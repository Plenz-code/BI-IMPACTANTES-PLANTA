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" documentId="13_ncr:1_{0A10D8D4-8450-4366-8075-B53B08E6B7EA}" xr6:coauthVersionLast="47" xr6:coauthVersionMax="47" xr10:uidLastSave="{B81944B3-5359-4FC7-8832-C62235BA55A7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<sst xmlns="http://schemas.openxmlformats.org/spreadsheetml/2006/main" count="5535" uniqueCount="332">
  <si>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</si>
  <si>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</si>
  <si>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</si>
  <si>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</si>
  <si>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</si>
  <si>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</si>
  <si>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</si>
  <si>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</si>
  <si>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</si>
  <si>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</si>
  <si>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</si>
  <si>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</si>
  <si>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</si>
  <si>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</si>
  <si>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</si>
  <si>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</si>
  <si>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</si>
  <si>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</si>
  <si>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</si>
  <si>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</si>
  <si>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</si>
  <si>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</si>
  <si>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</si>
  <si>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</si>
  <si>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</si>
  <si>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</si>
  <si>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</si>
  <si>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</si>
  <si>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</si>
  <si>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</si>
  <si>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</si>
  <si>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</si>
  <si>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</si>
  <si>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</si>
  <si>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</si>
  <si>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</si>
  <si>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</si>
  <si>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</si>
  <si>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</si>
  <si>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</si>
  <si>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</si>
  <si>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</si>
  <si>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</si>
  <si>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</si>
  <si>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</si>
  <si>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</si>
  <si>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</si>
  <si>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</si>
  <si>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</si>
  <si>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</si>
  <si>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</si>
  <si>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</si>
  <si>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</si>
  <si>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</si>
  <si>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</si>
  <si>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</si>
  <si>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</si>
  <si>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</si>
  <si>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</si>
  <si>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</si>
  <si>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</si>
  <si>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</si>
  <si>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</si>
  <si>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</si>
  <si>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</si>
  <si>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</si>
  <si>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</si>
  <si>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</si>
  <si>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</si>
  <si>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</si>
  <si>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</si>
  <si>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</si>
  <si>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</si>
  <si>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</si>
  <si>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</si>
  <si>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</si>
  <si>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</si>
  <si>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</si>
  <si>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</si>
  <si>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</si>
  <si>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</si>
  <si>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</si>
  <si>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</si>
  <si>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</si>
  <si>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</si>
  <si>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</si>
  <si>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</si>
  <si>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</si>
  <si>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</si>
  <si>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</si>
  <si>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</si>
  <si>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</si>
  <si>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</si>
  <si>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</si>
  <si>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</si>
  <si>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</si>
  <si>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</si>
  <si>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</si>
  <si>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</si>
  <si>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</si>
  <si>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</si>
  <si>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</si>
  <si>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</si>
  <si>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</si>
  <si>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</si>
  <si>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</si>
  <si>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</si>
  <si>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</si>
  <si>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</si>
  <si>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</si>
  <si>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</si>
  <si>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</si>
  <si>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</si>
  <si>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</si>
  <si>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</si>
  <si>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</si>
  <si>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</si>
  <si>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</si>
  <si>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</si>
  <si>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</si>
  <si>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</si>
  <si>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</si>
  <si>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</si>
  <si>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</si>
  <si>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</si>
  <si>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</si>
  <si>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</si>
  <si>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</si>
  <si>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</si>
  <si>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</si>
  <si>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</si>
  <si>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</si>
  <si>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</si>
  <si>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</si>
  <si>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</si>
  <si>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</si>
  <si>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</si>
  <si>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</si>
  <si>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</si>
  <si>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</si>
  <si>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</si>
  <si>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</si>
  <si>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</si>
  <si>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</si>
  <si>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</si>
  <si>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</si>
  <si>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</si>
  <si>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</si>
  <si>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</si>
  <si>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</si>
  <si>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</si>
  <si>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</si>
  <si>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</si>
  <si>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</si>
  <si>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</si>
  <si>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</si>
  <si>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</si>
  <si>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</si>
  <si>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</si>
  <si>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</si>
  <si>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</si>
  <si>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</si>
  <si>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</si>
  <si>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</si>
  <si>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</si>
  <si>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</si>
  <si>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</si>
  <si>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</si>
  <si>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</si>
  <si>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</si>
  <si>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</si>
  <si>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</si>
  <si>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</si>
  <si>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</si>
  <si>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</si>
  <si>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</si>
  <si>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</si>
  <si>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</si>
  <si>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</si>
  <si>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</si>
  <si>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</si>
  <si>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</si>
  <si>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</si>
  <si>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</si>
  <si>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</si>
  <si>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</si>
  <si>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</si>
  <si>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</si>
  <si>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</si>
  <si>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</si>
  <si>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</si>
  <si>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</si>
  <si>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</si>
  <si>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</si>
  <si>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</si>
  <si>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</si>
  <si>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</si>
  <si>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</si>
  <si>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</si>
  <si>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</si>
  <si>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</si>
  <si>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</si>
  <si>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</si>
  <si>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</si>
  <si>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</si>
  <si>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</si>
  <si>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</si>
  <si>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</si>
  <si>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</si>
  <si>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</si>
  <si>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</si>
  <si>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</si>
  <si>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</si>
  <si>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</si>
  <si>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</si>
  <si>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</si>
  <si>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</si>
  <si>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</si>
  <si>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</si>
  <si>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</si>
  <si>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</si>
  <si>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</si>
  <si>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</si>
  <si>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</si>
  <si>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</si>
  <si>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</si>
  <si>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</si>
  <si>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</si>
  <si>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</si>
  <si>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</si>
  <si>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</si>
  <si>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</si>
  <si>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</si>
  <si>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</si>
  <si>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</si>
  <si>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</si>
  <si>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</si>
  <si>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</si>
  <si>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</si>
  <si>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</si>
  <si>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</si>
  <si>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</si>
  <si>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</si>
  <si>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</si>
  <si>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</si>
  <si>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</si>
  <si>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</si>
  <si>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</si>
  <si>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</si>
  <si>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</si>
  <si>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</si>
  <si>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</si>
  <si>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</si>
  <si>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</si>
  <si>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</si>
  <si>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</si>
  <si>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</si>
  <si>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</si>
  <si>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</si>
  <si>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</si>
  <si>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</si>
  <si>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</si>
  <si>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</si>
  <si>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</si>
  <si>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</si>
  <si>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</si>
  <si>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</si>
  <si>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</si>
  <si>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</si>
  <si>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</si>
  <si>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</si>
  <si>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</si>
  <si>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</si>
  <si>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</si>
  <si>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</si>
  <si>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</si>
  <si>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</si>
  <si>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</si>
  <si>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</si>
  <si>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</si>
  <si>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</si>
  <si>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</si>
  <si>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</si>
  <si>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</si>
  <si>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</si>
  <si>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</si>
  <si>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</si>
  <si>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</si>
  <si>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</si>
  <si>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</si>
  <si>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</si>
  <si>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</si>
  <si>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</si>
  <si>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</si>
  <si>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</si>
  <si>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</si>
  <si>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</si>
  <si>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</si>
  <si>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</si>
  <si>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</si>
  <si>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</si>
  <si>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</si>
  <si>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</si>
  <si>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</si>
  <si>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</si>
  <si>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</si>
  <si>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</si>
  <si>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</si>
  <si>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</si>
  <si>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</si>
  <si>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</si>
  <si>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</si>
  <si>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</si>
  <si>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</si>
  <si>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</si>
  <si>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G1</t>
  </si>
  <si>
    <t>G2</t>
  </si>
  <si>
    <t>G3</t>
  </si>
  <si>
    <t>G4</t>
  </si>
  <si>
    <t>Teor médio de entrada</t>
  </si>
  <si>
    <t>Recuperação da planta</t>
  </si>
  <si>
    <t>Ponderamento da massa da balança (t)</t>
  </si>
  <si>
    <t>Fator balança → tonelada</t>
  </si>
  <si>
    <t>Ouro previsto (g)</t>
  </si>
  <si>
    <t>Ouro previsto(g)</t>
  </si>
  <si>
    <t xml:space="preserve"> </t>
  </si>
  <si>
    <t>Ouro Realizado(g)</t>
  </si>
  <si>
    <t>Aderência (%)</t>
  </si>
  <si>
    <t>Alto teor</t>
  </si>
  <si>
    <t>12 viagens com caminhão</t>
  </si>
  <si>
    <t>arrebentou balatas,troca de 3 parafusos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</si>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</sst>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00"/>
      <name val="Arial"/>
      <family val="2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9" fillId="0" borderId="0" applyFont="0" applyFill="0" applyBorder="0" applyAlignment="0" applyProtection="0"/>
  </cellStyleXfs>
  <cellXfs count="17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8" fillId="0" borderId="0" xfId="0" applyFont="1"/>
    <xf numFmtId="168" fontId="27" fillId="8" borderId="2" xfId="0" applyNumberFormat="1" applyFont="1" applyFill="1" applyBorder="1" applyAlignment="1">
      <alignment horizontal="left" vertical="center"/>
    </xf>
    <xf numFmtId="10" fontId="27" fillId="8" borderId="2" xfId="0" applyNumberFormat="1" applyFont="1" applyFill="1" applyBorder="1" applyAlignment="1">
      <alignment horizontal="left" vertical="center"/>
    </xf>
    <xf numFmtId="168" fontId="27" fillId="11" borderId="2" xfId="0" applyNumberFormat="1" applyFont="1" applyFill="1" applyBorder="1" applyAlignment="1">
      <alignment horizontal="left" vertical="center"/>
    </xf>
    <xf numFmtId="10" fontId="27" fillId="11" borderId="2" xfId="0" applyNumberFormat="1" applyFont="1" applyFill="1" applyBorder="1" applyAlignment="1">
      <alignment horizontal="left" vertical="center"/>
    </xf>
    <xf numFmtId="168" fontId="28" fillId="0" borderId="0" xfId="0" applyNumberFormat="1" applyFont="1"/>
    <xf numFmtId="10" fontId="28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0" fontId="21" fillId="16" borderId="7" xfId="0" applyFont="1" applyFill="1" applyBorder="1" applyAlignment="1">
      <alignment horizontal="center" vertical="center" wrapText="1"/>
    </xf>
    <xf numFmtId="2" fontId="30" fillId="17" borderId="7" xfId="0" applyNumberFormat="1" applyFont="1" applyFill="1" applyBorder="1" applyAlignment="1">
      <alignment horizontal="center"/>
    </xf>
    <xf numFmtId="2" fontId="30" fillId="17" borderId="9" xfId="0" applyNumberFormat="1" applyFont="1" applyFill="1" applyBorder="1" applyAlignment="1">
      <alignment horizontal="center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30" fillId="17" borderId="2" xfId="0" applyNumberFormat="1" applyFont="1" applyFill="1" applyBorder="1" applyAlignment="1">
      <alignment horizontal="center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2" fontId="24" fillId="3" borderId="2" xfId="0" applyNumberFormat="1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3" fontId="31" fillId="19" borderId="0" xfId="0" applyNumberFormat="1" applyFont="1" applyFill="1" applyAlignment="1">
      <alignment horizontal="center"/>
    </xf>
    <xf numFmtId="10" fontId="30" fillId="17" borderId="2" xfId="0" applyNumberFormat="1" applyFont="1" applyFill="1" applyBorder="1" applyAlignment="1">
      <alignment horizontal="center"/>
    </xf>
    <xf numFmtId="10" fontId="30" fillId="17" borderId="7" xfId="0" applyNumberFormat="1" applyFont="1" applyFill="1" applyBorder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30" fillId="17" borderId="9" xfId="0" applyNumberFormat="1" applyFont="1" applyFill="1" applyBorder="1" applyAlignment="1">
      <alignment horizont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10" fontId="24" fillId="3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21" fillId="2" borderId="2" xfId="0" applyNumberFormat="1" applyFont="1" applyFill="1" applyBorder="1" applyAlignment="1">
      <alignment horizontal="center" vertical="center"/>
    </xf>
    <xf numFmtId="4" fontId="22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21" fillId="2" borderId="7" xfId="0" applyNumberFormat="1" applyFont="1" applyFill="1" applyBorder="1" applyAlignment="1">
      <alignment horizontal="center" vertical="center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30" fillId="17" borderId="2" xfId="0" applyNumberFormat="1" applyFont="1" applyFill="1" applyBorder="1" applyAlignment="1">
      <alignment horizontal="center"/>
    </xf>
    <xf numFmtId="4" fontId="30" fillId="17" borderId="7" xfId="0" applyNumberFormat="1" applyFont="1" applyFill="1" applyBorder="1" applyAlignment="1">
      <alignment horizontal="center"/>
    </xf>
    <xf numFmtId="4" fontId="10" fillId="3" borderId="2" xfId="0" applyNumberFormat="1" applyFont="1" applyFill="1" applyBorder="1" applyAlignment="1">
      <alignment horizontal="center" vertical="center"/>
    </xf>
    <xf numFmtId="4" fontId="30" fillId="17" borderId="9" xfId="0" applyNumberFormat="1" applyFont="1" applyFill="1" applyBorder="1" applyAlignment="1">
      <alignment horizont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4" fontId="24" fillId="3" borderId="2" xfId="0" applyNumberFormat="1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.44140625" customWidth="1"/>
    <col min="8" max="8" width="19" hidden="1" customWidth="1"/>
    <col min="9" max="9" width="18.5546875" hidden="1" customWidth="1"/>
    <col min="10" max="10" width="13.33203125" hidden="1" customWidth="1"/>
  </cols>
  <sheetData>
    <row r="1" spans="1:10" ht="31.5" customHeight="1" x14ac:dyDescent="0.3">
      <c r="A1" s="173" t="s">
        <v>0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4.75" customHeight="1" x14ac:dyDescent="0.3">
      <c r="A2" s="171"/>
      <c r="B2" s="17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324</v>
      </c>
      <c r="I2" s="6" t="s">
        <v>326</v>
      </c>
      <c r="J2" s="155" t="s">
        <v>327</v>
      </c>
    </row>
    <row r="3" spans="1:10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  <c r="H3" s="6" t="s">
        <v>324</v>
      </c>
      <c r="I3" s="6" t="s">
        <v>326</v>
      </c>
      <c r="J3" s="156" t="s">
        <v>327</v>
      </c>
    </row>
    <row r="4" spans="1:10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105"/>
      <c r="I4" s="105"/>
      <c r="J4" s="157" t="str">
        <f>IF(H4=0,"-",1-ABS(I4-H4)/H4)</f>
        <v>-</v>
      </c>
    </row>
    <row r="5" spans="1:10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105"/>
      <c r="I5" s="105"/>
      <c r="J5" s="157" t="str">
        <f>IF(H5=0,"-",1-ABS(I5-H5)/H5)</f>
        <v>-</v>
      </c>
    </row>
    <row r="6" spans="1:10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105"/>
      <c r="I6" s="105"/>
      <c r="J6" s="157" t="str">
        <f t="shared" ref="J6:J34" si="1">IF(H6=0,"-",1-ABS(I6-H6)/H6)</f>
        <v>-</v>
      </c>
    </row>
    <row r="7" spans="1:10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105"/>
      <c r="I7" s="105"/>
      <c r="J7" s="157" t="str">
        <f t="shared" si="1"/>
        <v>-</v>
      </c>
    </row>
    <row r="8" spans="1:10" ht="15.75" customHeight="1" x14ac:dyDescent="0.3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105"/>
      <c r="I8" s="105"/>
      <c r="J8" s="157" t="str">
        <f t="shared" si="1"/>
        <v>-</v>
      </c>
    </row>
    <row r="9" spans="1:10" ht="15.75" customHeight="1" x14ac:dyDescent="0.3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105"/>
      <c r="I9" s="105"/>
      <c r="J9" s="157" t="str">
        <f t="shared" si="1"/>
        <v>-</v>
      </c>
    </row>
    <row r="10" spans="1:10" ht="15.75" customHeight="1" x14ac:dyDescent="0.3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105"/>
      <c r="I10" s="105"/>
      <c r="J10" s="157" t="str">
        <f t="shared" si="1"/>
        <v>-</v>
      </c>
    </row>
    <row r="11" spans="1:10" ht="15.75" customHeight="1" x14ac:dyDescent="0.3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105"/>
      <c r="I11" s="105"/>
      <c r="J11" s="157" t="str">
        <f t="shared" si="1"/>
        <v>-</v>
      </c>
    </row>
    <row r="12" spans="1:10" ht="15.75" customHeight="1" x14ac:dyDescent="0.3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105"/>
      <c r="I12" s="105"/>
      <c r="J12" s="157" t="str">
        <f t="shared" si="1"/>
        <v>-</v>
      </c>
    </row>
    <row r="13" spans="1:10" ht="15.75" customHeight="1" x14ac:dyDescent="0.3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105"/>
      <c r="I13" s="105"/>
      <c r="J13" s="157" t="str">
        <f t="shared" si="1"/>
        <v>-</v>
      </c>
    </row>
    <row r="14" spans="1:10" ht="15.75" customHeight="1" x14ac:dyDescent="0.3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105"/>
      <c r="I14" s="105"/>
      <c r="J14" s="157" t="str">
        <f t="shared" si="1"/>
        <v>-</v>
      </c>
    </row>
    <row r="15" spans="1:10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105">
        <f>IFERROR('Linha 1'!T325+'Linha 2'!T325+'Linha 3'!T325,0)</f>
        <v>0</v>
      </c>
      <c r="I15" s="105"/>
      <c r="J15" s="157" t="str">
        <f t="shared" si="1"/>
        <v>-</v>
      </c>
    </row>
    <row r="16" spans="1:10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105">
        <f>IFERROR('Linha 1'!T352+'Linha 2'!T352+'Linha 3'!T352,0)</f>
        <v>0</v>
      </c>
      <c r="I16" s="105"/>
      <c r="J16" s="157" t="str">
        <f t="shared" si="1"/>
        <v>-</v>
      </c>
    </row>
    <row r="17" spans="1:10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105">
        <f>IFERROR('Linha 1'!T379+'Linha 2'!T379+'Linha 3'!T379,0)</f>
        <v>0</v>
      </c>
      <c r="I17" s="105"/>
      <c r="J17" s="157" t="str">
        <f t="shared" si="1"/>
        <v>-</v>
      </c>
    </row>
    <row r="18" spans="1:10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105">
        <f>IFERROR('Linha 1'!T406+'Linha 2'!T406+'Linha 3'!T406,0)</f>
        <v>0</v>
      </c>
      <c r="I18" s="105"/>
      <c r="J18" s="157" t="str">
        <f t="shared" si="1"/>
        <v>-</v>
      </c>
    </row>
    <row r="19" spans="1:10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105">
        <f>IFERROR('Linha 1'!T433+'Linha 2'!T433+'Linha 3'!T433,0)</f>
        <v>0</v>
      </c>
      <c r="I19" s="105"/>
      <c r="J19" s="157" t="str">
        <f t="shared" si="1"/>
        <v>-</v>
      </c>
    </row>
    <row r="20" spans="1:10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105">
        <f>IFERROR('Linha 1'!T460+'Linha 2'!T460+'Linha 3'!T460,0)</f>
        <v>0</v>
      </c>
      <c r="I20" s="105"/>
      <c r="J20" s="157" t="str">
        <f t="shared" si="1"/>
        <v>-</v>
      </c>
    </row>
    <row r="21" spans="1:10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105">
        <f>IFERROR('Linha 1'!T487+'Linha 2'!T487+'Linha 3'!T487,0)</f>
        <v>0</v>
      </c>
      <c r="I21" s="105"/>
      <c r="J21" s="157" t="str">
        <f t="shared" si="1"/>
        <v>-</v>
      </c>
    </row>
    <row r="22" spans="1:10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105">
        <f>IFERROR('Linha 1'!T514+'Linha 2'!T514+'Linha 3'!T514,0)</f>
        <v>0</v>
      </c>
      <c r="I22" s="105"/>
      <c r="J22" s="157" t="str">
        <f t="shared" si="1"/>
        <v>-</v>
      </c>
    </row>
    <row r="23" spans="1:10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105">
        <f>IFERROR('Linha 1'!T541+'Linha 2'!T541+'Linha 3'!T541,0)</f>
        <v>0</v>
      </c>
      <c r="I23" s="105"/>
      <c r="J23" s="157" t="str">
        <f t="shared" si="1"/>
        <v>-</v>
      </c>
    </row>
    <row r="24" spans="1:10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105">
        <f>IFERROR('Linha 1'!T568+'Linha 2'!T568+'Linha 3'!T568,0)</f>
        <v>0</v>
      </c>
      <c r="I24" s="105"/>
      <c r="J24" s="157" t="str">
        <f t="shared" si="1"/>
        <v>-</v>
      </c>
    </row>
    <row r="25" spans="1:10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105">
        <f>IFERROR('Linha 1'!T595+'Linha 2'!T595+'Linha 3'!T595,0)</f>
        <v>0</v>
      </c>
      <c r="I25" s="105"/>
      <c r="J25" s="157" t="str">
        <f t="shared" si="1"/>
        <v>-</v>
      </c>
    </row>
    <row r="26" spans="1:10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105">
        <f>IFERROR('Linha 1'!T622+'Linha 2'!T622+'Linha 3'!T622,0)</f>
        <v>0</v>
      </c>
      <c r="I26" s="105"/>
      <c r="J26" s="157" t="str">
        <f t="shared" si="1"/>
        <v>-</v>
      </c>
    </row>
    <row r="27" spans="1:10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105">
        <f>IFERROR('Linha 1'!T649+'Linha 2'!T649+'Linha 3'!T649,0)</f>
        <v>0</v>
      </c>
      <c r="I27" s="105"/>
      <c r="J27" s="157" t="str">
        <f t="shared" si="1"/>
        <v>-</v>
      </c>
    </row>
    <row r="28" spans="1:10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105">
        <f>IFERROR('Linha 1'!T676+'Linha 2'!T676+'Linha 3'!T676,0)</f>
        <v>0</v>
      </c>
      <c r="I28" s="105"/>
      <c r="J28" s="157" t="str">
        <f t="shared" si="1"/>
        <v>-</v>
      </c>
    </row>
    <row r="29" spans="1:10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105">
        <f>IFERROR('Linha 1'!T703+'Linha 2'!T703+'Linha 3'!T703,0)</f>
        <v>0</v>
      </c>
      <c r="I29" s="105"/>
      <c r="J29" s="157" t="str">
        <f t="shared" si="1"/>
        <v>-</v>
      </c>
    </row>
    <row r="30" spans="1:10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105">
        <f>IFERROR('Linha 1'!T730+'Linha 2'!T730+'Linha 3'!T730,0)</f>
        <v>0</v>
      </c>
      <c r="I30" s="105"/>
      <c r="J30" s="157" t="str">
        <f t="shared" si="1"/>
        <v>-</v>
      </c>
    </row>
    <row r="31" spans="1:10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105">
        <f>IFERROR('Linha 1'!T757+'Linha 2'!T757+'Linha 3'!T757,0)</f>
        <v>0</v>
      </c>
      <c r="I31" s="105"/>
      <c r="J31" s="157" t="str">
        <f t="shared" si="1"/>
        <v>-</v>
      </c>
    </row>
    <row r="32" spans="1:10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105">
        <f>IFERROR('Linha 1'!T784+'Linha 2'!T784+'Linha 3'!T784,0)</f>
        <v>0</v>
      </c>
      <c r="I32" s="105"/>
      <c r="J32" s="157" t="str">
        <f t="shared" si="1"/>
        <v>-</v>
      </c>
    </row>
    <row r="33" spans="1:10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105">
        <f>IFERROR('Linha 1'!T811+'Linha 2'!T811+'Linha 3'!T811,0)</f>
        <v>0</v>
      </c>
      <c r="I33" s="105"/>
      <c r="J33" s="157" t="str">
        <f t="shared" si="1"/>
        <v>-</v>
      </c>
    </row>
    <row r="34" spans="1:10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105">
        <f>IFERROR('Linha 1'!T838+'Linha 2'!T838+'Linha 3'!T838,0)</f>
        <v>0</v>
      </c>
      <c r="I34" s="105"/>
      <c r="J34" s="157" t="str">
        <f t="shared" si="1"/>
        <v>-</v>
      </c>
    </row>
    <row r="35" spans="1:10" ht="14.25" customHeight="1" x14ac:dyDescent="0.3">
      <c r="A35" s="172" t="s">
        <v>9</v>
      </c>
      <c r="B35" s="172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106">
        <f t="shared" si="2"/>
        <v>0</v>
      </c>
      <c r="I35" s="106">
        <f>IFERROR(SUM(I4:I34),"")</f>
        <v>0</v>
      </c>
      <c r="J35" s="158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5" t="s">
        <v>10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</v>
      </c>
      <c r="O1" s="177"/>
      <c r="P1" s="177"/>
      <c r="Q1" s="177"/>
      <c r="R1" s="177"/>
    </row>
    <row r="2" spans="1:18" ht="4.5" customHeight="1" x14ac:dyDescent="0.3">
      <c r="M2" s="176"/>
    </row>
    <row r="3" spans="1:18" ht="25.95" customHeight="1" x14ac:dyDescent="0.3">
      <c r="A3" s="14" t="s">
        <v>12</v>
      </c>
      <c r="C3" s="14" t="s">
        <v>13</v>
      </c>
      <c r="E3" s="14" t="s">
        <v>319</v>
      </c>
      <c r="G3" s="14" t="s">
        <v>320</v>
      </c>
      <c r="J3" s="14" t="s">
        <v>14</v>
      </c>
      <c r="L3" s="14" t="s">
        <v>15</v>
      </c>
      <c r="M3" s="176"/>
      <c r="N3" s="15" t="s">
        <v>16</v>
      </c>
      <c r="O3" s="15" t="s">
        <v>17</v>
      </c>
      <c r="P3" s="15" t="s">
        <v>18</v>
      </c>
      <c r="Q3" s="15" t="s">
        <v>19</v>
      </c>
      <c r="R3" s="15" t="s">
        <v>20</v>
      </c>
    </row>
    <row r="4" spans="1:18" ht="15.75" customHeight="1" x14ac:dyDescent="0.3">
      <c r="A4" s="16" t="s">
        <v>21</v>
      </c>
      <c r="C4" s="16" t="s">
        <v>315</v>
      </c>
      <c r="E4" s="101">
        <v>0.35</v>
      </c>
      <c r="G4" s="103">
        <v>0.6</v>
      </c>
      <c r="J4" s="16" t="s">
        <v>16</v>
      </c>
      <c r="L4" s="16" t="s">
        <v>22</v>
      </c>
      <c r="M4" s="176"/>
      <c r="N4" s="16" t="s">
        <v>23</v>
      </c>
      <c r="O4" s="16" t="s">
        <v>24</v>
      </c>
      <c r="P4" s="16" t="s">
        <v>25</v>
      </c>
      <c r="Q4" s="16" t="s">
        <v>26</v>
      </c>
      <c r="R4" s="16" t="s">
        <v>27</v>
      </c>
    </row>
    <row r="5" spans="1:18" ht="15.75" customHeight="1" x14ac:dyDescent="0.3">
      <c r="A5" s="17" t="s">
        <v>28</v>
      </c>
      <c r="C5" s="17" t="s">
        <v>316</v>
      </c>
      <c r="E5" s="102">
        <v>0.23</v>
      </c>
      <c r="G5" s="104">
        <v>0.6</v>
      </c>
      <c r="J5" s="17" t="s">
        <v>17</v>
      </c>
      <c r="L5" s="17" t="s">
        <v>29</v>
      </c>
      <c r="M5" s="176"/>
      <c r="N5" s="17" t="s">
        <v>30</v>
      </c>
      <c r="O5" s="17" t="s">
        <v>31</v>
      </c>
      <c r="P5" s="17" t="s">
        <v>32</v>
      </c>
      <c r="Q5" s="17" t="s">
        <v>33</v>
      </c>
      <c r="R5" s="17" t="s">
        <v>34</v>
      </c>
    </row>
    <row r="6" spans="1:18" ht="15.75" customHeight="1" x14ac:dyDescent="0.3">
      <c r="A6" s="16" t="s">
        <v>35</v>
      </c>
      <c r="C6" s="16" t="s">
        <v>317</v>
      </c>
      <c r="E6" s="101">
        <v>0.21</v>
      </c>
      <c r="G6" s="103">
        <v>0.55000000000000004</v>
      </c>
      <c r="J6" s="16" t="s">
        <v>18</v>
      </c>
      <c r="L6" s="16" t="s">
        <v>36</v>
      </c>
      <c r="M6" s="176"/>
      <c r="N6" s="16" t="s">
        <v>37</v>
      </c>
      <c r="O6" s="16" t="s">
        <v>38</v>
      </c>
      <c r="P6" s="16" t="s">
        <v>39</v>
      </c>
      <c r="Q6" s="16" t="s">
        <v>40</v>
      </c>
      <c r="R6" s="16" t="s">
        <v>41</v>
      </c>
    </row>
    <row r="7" spans="1:18" ht="15.75" customHeight="1" x14ac:dyDescent="0.3">
      <c r="A7" s="17" t="s">
        <v>42</v>
      </c>
      <c r="C7" s="17" t="s">
        <v>318</v>
      </c>
      <c r="E7" s="102">
        <v>0.13</v>
      </c>
      <c r="G7" s="104">
        <v>0.55000000000000004</v>
      </c>
      <c r="J7" s="16" t="s">
        <v>19</v>
      </c>
      <c r="L7" s="17" t="s">
        <v>43</v>
      </c>
      <c r="M7" s="176"/>
      <c r="N7" s="17" t="s">
        <v>44</v>
      </c>
      <c r="O7" s="17" t="s">
        <v>45</v>
      </c>
      <c r="P7" s="17" t="s">
        <v>32</v>
      </c>
      <c r="Q7" s="17" t="s">
        <v>46</v>
      </c>
      <c r="R7" s="17" t="s">
        <v>47</v>
      </c>
    </row>
    <row r="8" spans="1:18" ht="15.75" customHeight="1" x14ac:dyDescent="0.3">
      <c r="A8" s="16"/>
      <c r="C8" s="16"/>
      <c r="D8" s="107"/>
      <c r="E8" s="108"/>
      <c r="F8" s="107"/>
      <c r="G8" s="109"/>
      <c r="H8" s="107"/>
      <c r="J8" s="17" t="s">
        <v>20</v>
      </c>
      <c r="L8" s="16" t="s">
        <v>48</v>
      </c>
      <c r="M8" s="176"/>
      <c r="N8" s="16" t="s">
        <v>49</v>
      </c>
      <c r="O8" s="16" t="s">
        <v>50</v>
      </c>
      <c r="P8" s="16" t="s">
        <v>39</v>
      </c>
      <c r="Q8" s="16" t="s">
        <v>51</v>
      </c>
      <c r="R8" s="16" t="s">
        <v>52</v>
      </c>
    </row>
    <row r="9" spans="1:18" ht="15.75" customHeight="1" x14ac:dyDescent="0.3">
      <c r="A9" s="17"/>
      <c r="C9" s="17"/>
      <c r="D9" s="107"/>
      <c r="E9" s="110"/>
      <c r="F9" s="107"/>
      <c r="G9" s="111"/>
      <c r="H9" s="107"/>
      <c r="J9" s="17"/>
      <c r="L9" s="17" t="s">
        <v>53</v>
      </c>
      <c r="M9" s="176"/>
      <c r="N9" s="17" t="s">
        <v>54</v>
      </c>
      <c r="O9" s="17" t="s">
        <v>55</v>
      </c>
      <c r="P9" s="17" t="s">
        <v>56</v>
      </c>
      <c r="Q9" s="17" t="s">
        <v>57</v>
      </c>
      <c r="R9" s="17" t="s">
        <v>58</v>
      </c>
    </row>
    <row r="10" spans="1:18" ht="15.75" customHeight="1" x14ac:dyDescent="0.3">
      <c r="A10" s="16"/>
      <c r="C10" s="16"/>
      <c r="D10" s="107"/>
      <c r="E10" s="108"/>
      <c r="F10" s="107"/>
      <c r="G10" s="109"/>
      <c r="H10" s="107"/>
      <c r="J10" s="16"/>
      <c r="L10" s="16" t="s">
        <v>59</v>
      </c>
      <c r="M10" s="176"/>
      <c r="N10" s="16" t="s">
        <v>60</v>
      </c>
      <c r="O10" s="16" t="s">
        <v>61</v>
      </c>
      <c r="P10" s="16" t="s">
        <v>62</v>
      </c>
      <c r="Q10" s="16" t="s">
        <v>63</v>
      </c>
      <c r="R10" s="16" t="s">
        <v>64</v>
      </c>
    </row>
    <row r="11" spans="1:18" ht="15.75" customHeight="1" x14ac:dyDescent="0.3">
      <c r="A11" s="17"/>
      <c r="C11" s="17"/>
      <c r="D11" s="107"/>
      <c r="E11" s="112"/>
      <c r="F11" s="107"/>
      <c r="G11" s="113"/>
      <c r="H11" s="107"/>
      <c r="J11" s="17"/>
      <c r="L11" s="17" t="s">
        <v>65</v>
      </c>
      <c r="M11" s="176"/>
      <c r="N11" s="17" t="s">
        <v>66</v>
      </c>
      <c r="O11" s="17" t="s">
        <v>67</v>
      </c>
      <c r="P11" s="17" t="s">
        <v>68</v>
      </c>
      <c r="Q11" s="17" t="s">
        <v>69</v>
      </c>
      <c r="R11" s="17" t="s">
        <v>70</v>
      </c>
    </row>
    <row r="12" spans="1:18" ht="15.75" customHeight="1" x14ac:dyDescent="0.3">
      <c r="A12" s="16"/>
      <c r="C12" s="16"/>
      <c r="J12" s="16"/>
      <c r="L12" s="16" t="s">
        <v>71</v>
      </c>
      <c r="M12" s="176"/>
      <c r="N12" s="16" t="s">
        <v>72</v>
      </c>
      <c r="O12" s="16" t="s">
        <v>73</v>
      </c>
      <c r="P12" s="16" t="s">
        <v>57</v>
      </c>
      <c r="Q12" s="16" t="s">
        <v>74</v>
      </c>
      <c r="R12" s="16" t="s">
        <v>75</v>
      </c>
    </row>
    <row r="13" spans="1:18" ht="15.75" customHeight="1" x14ac:dyDescent="0.3">
      <c r="A13" s="17"/>
      <c r="C13" s="17"/>
      <c r="J13" s="17"/>
      <c r="L13" s="17" t="s">
        <v>76</v>
      </c>
      <c r="M13" s="176"/>
      <c r="N13" s="17"/>
      <c r="O13" s="17" t="s">
        <v>77</v>
      </c>
      <c r="P13" s="17" t="s">
        <v>78</v>
      </c>
      <c r="Q13" s="17" t="s">
        <v>79</v>
      </c>
      <c r="R13" s="17" t="s">
        <v>80</v>
      </c>
    </row>
    <row r="14" spans="1:18" ht="15.75" customHeight="1" x14ac:dyDescent="0.3">
      <c r="A14" s="16"/>
      <c r="C14" s="16"/>
      <c r="J14" s="16"/>
      <c r="L14" s="16" t="s">
        <v>81</v>
      </c>
      <c r="M14" s="176"/>
      <c r="N14" s="16" t="s">
        <v>82</v>
      </c>
      <c r="O14" s="16" t="s">
        <v>83</v>
      </c>
      <c r="P14" s="16" t="s">
        <v>84</v>
      </c>
      <c r="Q14" s="16" t="s">
        <v>85</v>
      </c>
      <c r="R14" s="16" t="s">
        <v>86</v>
      </c>
    </row>
    <row r="15" spans="1:18" ht="15.75" customHeight="1" x14ac:dyDescent="0.3">
      <c r="A15" s="17"/>
      <c r="C15" s="17"/>
      <c r="J15" s="17"/>
      <c r="L15" s="17" t="s">
        <v>87</v>
      </c>
      <c r="M15" s="176"/>
      <c r="N15" s="17" t="s">
        <v>88</v>
      </c>
      <c r="O15" s="17" t="s">
        <v>89</v>
      </c>
      <c r="P15" s="17" t="s">
        <v>90</v>
      </c>
      <c r="Q15" s="17" t="s">
        <v>91</v>
      </c>
      <c r="R15" s="17" t="s">
        <v>92</v>
      </c>
    </row>
    <row r="16" spans="1:18" ht="15.75" customHeight="1" x14ac:dyDescent="0.3">
      <c r="A16" s="16"/>
      <c r="C16" s="16"/>
      <c r="J16" s="16"/>
      <c r="L16" s="16" t="s">
        <v>93</v>
      </c>
      <c r="M16" s="176"/>
      <c r="N16" s="16" t="s">
        <v>94</v>
      </c>
      <c r="O16" s="16" t="s">
        <v>95</v>
      </c>
      <c r="P16" s="16" t="s">
        <v>96</v>
      </c>
      <c r="Q16" s="16" t="s">
        <v>97</v>
      </c>
      <c r="R16" s="16" t="s">
        <v>98</v>
      </c>
    </row>
    <row r="17" spans="1:18" ht="15.75" customHeight="1" x14ac:dyDescent="0.3">
      <c r="A17" s="17"/>
      <c r="C17" s="17"/>
      <c r="J17" s="17"/>
      <c r="L17" s="17" t="s">
        <v>99</v>
      </c>
      <c r="M17" s="176"/>
      <c r="N17" s="17" t="s">
        <v>100</v>
      </c>
      <c r="O17" s="17" t="s">
        <v>101</v>
      </c>
      <c r="P17" s="17" t="s">
        <v>102</v>
      </c>
      <c r="Q17" s="17" t="s">
        <v>103</v>
      </c>
      <c r="R17" s="17" t="s">
        <v>104</v>
      </c>
    </row>
    <row r="18" spans="1:18" ht="15.75" customHeight="1" x14ac:dyDescent="0.3">
      <c r="A18" s="16"/>
      <c r="C18" s="16"/>
      <c r="J18" s="16"/>
      <c r="L18" s="16" t="s">
        <v>105</v>
      </c>
      <c r="M18" s="176"/>
      <c r="N18" s="16" t="s">
        <v>106</v>
      </c>
      <c r="O18" s="16" t="s">
        <v>107</v>
      </c>
      <c r="P18" s="16" t="s">
        <v>108</v>
      </c>
      <c r="Q18" s="16" t="s">
        <v>109</v>
      </c>
      <c r="R18" s="16" t="s">
        <v>110</v>
      </c>
    </row>
    <row r="19" spans="1:18" ht="15.75" customHeight="1" x14ac:dyDescent="0.3">
      <c r="A19" s="17"/>
      <c r="C19" s="17"/>
      <c r="J19" s="17"/>
      <c r="L19" s="17" t="s">
        <v>111</v>
      </c>
      <c r="M19" s="176"/>
      <c r="N19" s="17" t="s">
        <v>112</v>
      </c>
      <c r="O19" s="17" t="s">
        <v>113</v>
      </c>
      <c r="P19" s="17" t="s">
        <v>114</v>
      </c>
      <c r="Q19" s="17"/>
      <c r="R19" s="17" t="s">
        <v>115</v>
      </c>
    </row>
    <row r="20" spans="1:18" ht="15.75" customHeight="1" x14ac:dyDescent="0.3">
      <c r="A20" s="16"/>
      <c r="C20" s="16"/>
      <c r="J20" s="16"/>
      <c r="L20" s="16" t="s">
        <v>116</v>
      </c>
      <c r="M20" s="176"/>
      <c r="N20" s="16"/>
      <c r="O20" s="16"/>
      <c r="P20" s="16" t="s">
        <v>117</v>
      </c>
      <c r="Q20" s="16"/>
      <c r="R20" s="16" t="s">
        <v>118</v>
      </c>
    </row>
    <row r="21" spans="1:18" ht="15.75" customHeight="1" x14ac:dyDescent="0.3">
      <c r="A21" s="17"/>
      <c r="C21" s="17"/>
      <c r="J21" s="17"/>
      <c r="L21" s="17" t="s">
        <v>119</v>
      </c>
      <c r="M21" s="176"/>
      <c r="N21" s="17"/>
      <c r="O21" s="17"/>
      <c r="P21" s="17" t="s">
        <v>120</v>
      </c>
      <c r="Q21" s="17"/>
      <c r="R21" s="17" t="s">
        <v>121</v>
      </c>
    </row>
    <row r="22" spans="1:18" ht="15.75" customHeight="1" x14ac:dyDescent="0.3">
      <c r="A22" s="16"/>
      <c r="C22" s="16"/>
      <c r="J22" s="16"/>
      <c r="L22" s="16" t="s">
        <v>122</v>
      </c>
      <c r="M22" s="176"/>
      <c r="N22" s="16"/>
      <c r="O22" s="16"/>
      <c r="P22" s="16" t="s">
        <v>123</v>
      </c>
      <c r="Q22" s="16"/>
      <c r="R22" s="16" t="s">
        <v>124</v>
      </c>
    </row>
    <row r="23" spans="1:18" ht="15.75" customHeight="1" x14ac:dyDescent="0.3">
      <c r="A23" s="17"/>
      <c r="C23" s="17"/>
      <c r="J23" s="17"/>
      <c r="L23" s="17" t="s">
        <v>125</v>
      </c>
      <c r="M23" s="176"/>
      <c r="N23" s="17"/>
      <c r="O23" s="17"/>
      <c r="P23" s="17" t="s">
        <v>126</v>
      </c>
      <c r="Q23" s="17"/>
      <c r="R23" s="17" t="s">
        <v>127</v>
      </c>
    </row>
    <row r="24" spans="1:18" ht="15.75" customHeight="1" x14ac:dyDescent="0.3">
      <c r="A24" s="16"/>
      <c r="C24" s="16"/>
      <c r="J24" s="16"/>
      <c r="L24" s="16" t="s">
        <v>128</v>
      </c>
      <c r="M24" s="176"/>
      <c r="N24" s="16"/>
      <c r="O24" s="16"/>
      <c r="P24" s="16" t="s">
        <v>129</v>
      </c>
      <c r="Q24" s="16"/>
      <c r="R24" s="16" t="s">
        <v>130</v>
      </c>
    </row>
    <row r="25" spans="1:18" ht="15.75" customHeight="1" x14ac:dyDescent="0.3">
      <c r="A25" s="17"/>
      <c r="C25" s="17"/>
      <c r="J25" s="17"/>
      <c r="L25" s="17" t="s">
        <v>131</v>
      </c>
      <c r="M25" s="176"/>
      <c r="N25" s="17"/>
      <c r="O25" s="17"/>
      <c r="P25" s="17" t="s">
        <v>132</v>
      </c>
      <c r="Q25" s="17"/>
      <c r="R25" s="17" t="s">
        <v>133</v>
      </c>
    </row>
    <row r="26" spans="1:18" ht="15.75" customHeight="1" x14ac:dyDescent="0.3">
      <c r="A26" s="16"/>
      <c r="C26" s="16"/>
      <c r="J26" s="16"/>
      <c r="L26" s="16" t="s">
        <v>134</v>
      </c>
      <c r="M26" s="176"/>
      <c r="N26" s="16"/>
      <c r="O26" s="16"/>
      <c r="P26" s="16" t="s">
        <v>135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136</v>
      </c>
      <c r="M27" s="176"/>
      <c r="N27" s="17"/>
      <c r="O27" s="17"/>
      <c r="P27" s="17" t="s">
        <v>127</v>
      </c>
      <c r="Q27" s="17"/>
      <c r="R27" s="17" t="s">
        <v>58</v>
      </c>
    </row>
    <row r="28" spans="1:18" ht="15.75" customHeight="1" x14ac:dyDescent="0.3">
      <c r="A28" s="16"/>
      <c r="C28" s="16"/>
      <c r="J28" s="16"/>
      <c r="L28" s="16" t="s">
        <v>137</v>
      </c>
      <c r="M28" s="176"/>
      <c r="N28" s="16"/>
      <c r="O28" s="16"/>
      <c r="P28" s="16" t="s">
        <v>130</v>
      </c>
      <c r="Q28" s="16"/>
      <c r="R28" s="16" t="s">
        <v>138</v>
      </c>
    </row>
    <row r="29" spans="1:18" ht="15.75" customHeight="1" x14ac:dyDescent="0.3">
      <c r="A29" s="17"/>
      <c r="C29" s="17"/>
      <c r="J29" s="17"/>
      <c r="L29" s="17" t="s">
        <v>139</v>
      </c>
      <c r="M29" s="176"/>
      <c r="N29" s="17"/>
      <c r="O29" s="17"/>
      <c r="P29" s="17" t="s">
        <v>140</v>
      </c>
      <c r="Q29" s="17"/>
      <c r="R29" s="17" t="s">
        <v>141</v>
      </c>
    </row>
    <row r="30" spans="1:18" ht="15.75" customHeight="1" x14ac:dyDescent="0.3">
      <c r="A30" s="16"/>
      <c r="C30" s="16"/>
      <c r="J30" s="16"/>
      <c r="L30" s="16" t="s">
        <v>142</v>
      </c>
      <c r="M30" s="176"/>
      <c r="N30" s="16"/>
      <c r="O30" s="16"/>
      <c r="P30" s="16" t="s">
        <v>143</v>
      </c>
      <c r="Q30" s="16"/>
      <c r="R30" s="16" t="s">
        <v>144</v>
      </c>
    </row>
    <row r="31" spans="1:18" ht="15.75" customHeight="1" x14ac:dyDescent="0.3">
      <c r="A31" s="17"/>
      <c r="C31" s="17"/>
      <c r="J31" s="17"/>
      <c r="L31" s="17" t="s">
        <v>145</v>
      </c>
      <c r="M31" s="176"/>
      <c r="N31" s="17"/>
      <c r="O31" s="17"/>
      <c r="P31" s="18" t="s">
        <v>146</v>
      </c>
      <c r="Q31" s="17"/>
      <c r="R31" s="17" t="s">
        <v>147</v>
      </c>
    </row>
    <row r="32" spans="1:18" ht="15.75" customHeight="1" x14ac:dyDescent="0.3">
      <c r="A32" s="16"/>
      <c r="C32" s="16"/>
      <c r="J32" s="16"/>
      <c r="L32" s="16" t="s">
        <v>148</v>
      </c>
      <c r="M32" s="176"/>
      <c r="N32" s="16"/>
      <c r="O32" s="16"/>
      <c r="P32" s="16" t="s">
        <v>149</v>
      </c>
      <c r="Q32" s="16"/>
      <c r="R32" t="s">
        <v>150</v>
      </c>
    </row>
    <row r="33" spans="1:18" ht="15.75" customHeight="1" x14ac:dyDescent="0.3">
      <c r="A33" s="17"/>
      <c r="C33" s="127" t="s">
        <v>322</v>
      </c>
      <c r="E33" s="128">
        <v>1000</v>
      </c>
      <c r="J33" s="17"/>
      <c r="L33" s="17" t="s">
        <v>151</v>
      </c>
      <c r="M33" s="176"/>
      <c r="N33" s="17"/>
      <c r="O33" s="17"/>
      <c r="P33" s="18" t="s">
        <v>152</v>
      </c>
      <c r="Q33" s="17"/>
      <c r="R33" s="17" t="s">
        <v>20</v>
      </c>
    </row>
    <row r="34" spans="1:18" ht="15.75" customHeight="1" x14ac:dyDescent="0.3">
      <c r="A34" s="16"/>
      <c r="C34" s="16"/>
      <c r="J34" s="16"/>
      <c r="L34" s="16" t="s">
        <v>153</v>
      </c>
      <c r="M34" s="176"/>
      <c r="N34" s="16"/>
      <c r="O34" s="16"/>
      <c r="P34" s="16" t="s">
        <v>75</v>
      </c>
      <c r="Q34" s="16"/>
      <c r="R34" s="16" t="s">
        <v>154</v>
      </c>
    </row>
    <row r="35" spans="1:18" ht="15.75" customHeight="1" x14ac:dyDescent="0.3">
      <c r="A35" s="17"/>
      <c r="C35" s="17"/>
      <c r="J35" s="17"/>
      <c r="L35" s="17" t="s">
        <v>155</v>
      </c>
      <c r="M35" s="176"/>
      <c r="N35" s="17"/>
      <c r="O35" s="17"/>
      <c r="P35" s="17" t="s">
        <v>156</v>
      </c>
      <c r="Q35" s="17"/>
      <c r="R35" s="17" t="s">
        <v>157</v>
      </c>
    </row>
    <row r="36" spans="1:18" ht="15.75" customHeight="1" x14ac:dyDescent="0.3">
      <c r="A36" s="16"/>
      <c r="C36" s="16"/>
      <c r="J36" s="16"/>
      <c r="L36" s="16" t="s">
        <v>158</v>
      </c>
      <c r="M36" s="176"/>
      <c r="N36" s="16"/>
      <c r="O36" s="16"/>
      <c r="P36" s="16" t="s">
        <v>159</v>
      </c>
      <c r="Q36" s="16"/>
      <c r="R36" s="16" t="s">
        <v>160</v>
      </c>
    </row>
    <row r="37" spans="1:18" ht="15.75" customHeight="1" x14ac:dyDescent="0.3">
      <c r="A37" s="17"/>
      <c r="C37" s="17"/>
      <c r="J37" s="17"/>
      <c r="L37" s="17" t="s">
        <v>161</v>
      </c>
      <c r="M37" s="176"/>
      <c r="N37" s="17"/>
      <c r="O37" s="17"/>
      <c r="P37" s="17" t="s">
        <v>162</v>
      </c>
      <c r="Q37" s="17"/>
      <c r="R37" s="17" t="s">
        <v>163</v>
      </c>
    </row>
    <row r="38" spans="1:18" ht="15.75" customHeight="1" x14ac:dyDescent="0.3">
      <c r="A38" s="16"/>
      <c r="C38" s="16"/>
      <c r="J38" s="16"/>
      <c r="L38" s="16" t="s">
        <v>164</v>
      </c>
      <c r="M38" s="176"/>
      <c r="N38" s="16"/>
      <c r="O38" s="16"/>
      <c r="P38" s="16" t="s">
        <v>165</v>
      </c>
      <c r="Q38" s="16"/>
      <c r="R38" s="16" t="s">
        <v>166</v>
      </c>
    </row>
    <row r="39" spans="1:18" ht="15.75" customHeight="1" x14ac:dyDescent="0.3">
      <c r="A39" s="17"/>
      <c r="C39" s="17"/>
      <c r="J39" s="17"/>
      <c r="L39" s="17"/>
      <c r="M39" s="176"/>
      <c r="N39" s="17"/>
      <c r="O39" s="17"/>
      <c r="P39" s="17" t="s">
        <v>167</v>
      </c>
      <c r="Q39" s="17"/>
      <c r="R39" s="17" t="s">
        <v>168</v>
      </c>
    </row>
    <row r="40" spans="1:18" ht="15.75" customHeight="1" x14ac:dyDescent="0.3">
      <c r="A40" s="16"/>
      <c r="C40" s="16"/>
      <c r="J40" s="16"/>
      <c r="L40" s="16"/>
      <c r="M40" s="176"/>
      <c r="N40" s="16"/>
      <c r="O40" s="16"/>
      <c r="P40" s="16" t="s">
        <v>169</v>
      </c>
      <c r="Q40" s="16"/>
      <c r="R40" s="16" t="s">
        <v>170</v>
      </c>
    </row>
    <row r="41" spans="1:18" ht="15.75" customHeight="1" x14ac:dyDescent="0.3">
      <c r="A41" s="17"/>
      <c r="C41" s="17"/>
      <c r="J41" s="17"/>
      <c r="L41" s="17"/>
      <c r="M41" s="176"/>
      <c r="N41" s="17"/>
      <c r="O41" s="17"/>
      <c r="P41" s="17" t="s">
        <v>171</v>
      </c>
      <c r="Q41" s="17"/>
      <c r="R41" s="17" t="s">
        <v>172</v>
      </c>
    </row>
    <row r="42" spans="1:18" ht="15.75" customHeight="1" x14ac:dyDescent="0.3">
      <c r="A42" s="16"/>
      <c r="C42" s="16"/>
      <c r="J42" s="16"/>
      <c r="L42" s="16"/>
      <c r="M42" s="176"/>
      <c r="N42" s="16"/>
      <c r="O42" s="16"/>
      <c r="P42" s="16" t="s">
        <v>173</v>
      </c>
      <c r="Q42" s="16"/>
      <c r="R42" s="16" t="s">
        <v>174</v>
      </c>
    </row>
    <row r="43" spans="1:18" ht="15.75" customHeight="1" x14ac:dyDescent="0.3">
      <c r="A43" s="17"/>
      <c r="C43" s="17"/>
      <c r="J43" s="17"/>
      <c r="L43" s="17"/>
      <c r="M43" s="176"/>
      <c r="N43" s="17"/>
      <c r="O43" s="17"/>
      <c r="P43" s="17" t="s">
        <v>175</v>
      </c>
      <c r="Q43" s="17"/>
      <c r="R43" s="17" t="s">
        <v>176</v>
      </c>
    </row>
    <row r="44" spans="1:18" ht="15.75" customHeight="1" x14ac:dyDescent="0.3">
      <c r="A44" s="16"/>
      <c r="C44" s="16"/>
      <c r="J44" s="16"/>
      <c r="L44" s="16"/>
      <c r="M44" s="176"/>
      <c r="N44" s="16"/>
      <c r="O44" s="16"/>
      <c r="P44" s="16" t="s">
        <v>177</v>
      </c>
      <c r="Q44" s="16"/>
      <c r="R44" s="16" t="s">
        <v>178</v>
      </c>
    </row>
    <row r="45" spans="1:18" ht="15.75" customHeight="1" x14ac:dyDescent="0.3">
      <c r="A45" s="17"/>
      <c r="C45" s="17"/>
      <c r="J45" s="17"/>
      <c r="L45" s="17"/>
      <c r="M45" s="176"/>
      <c r="N45" s="17"/>
      <c r="O45" s="17"/>
      <c r="P45" s="17"/>
      <c r="Q45" s="17"/>
      <c r="R45" s="17" t="s">
        <v>179</v>
      </c>
    </row>
    <row r="46" spans="1:18" ht="15.75" customHeight="1" x14ac:dyDescent="0.3">
      <c r="A46" s="16"/>
      <c r="C46" s="16"/>
      <c r="J46" s="16"/>
      <c r="L46" s="16"/>
      <c r="M46" s="176"/>
      <c r="N46" s="16"/>
      <c r="O46" s="16"/>
      <c r="P46" s="16" t="s">
        <v>180</v>
      </c>
      <c r="Q46" s="16"/>
      <c r="R46" s="16" t="s">
        <v>181</v>
      </c>
    </row>
    <row r="47" spans="1:18" ht="15.75" customHeight="1" x14ac:dyDescent="0.3">
      <c r="A47" s="17"/>
      <c r="C47" s="17"/>
      <c r="J47" s="17"/>
      <c r="L47" s="17"/>
      <c r="M47" s="176"/>
      <c r="N47" s="17"/>
      <c r="O47" s="17"/>
      <c r="P47" s="17" t="s">
        <v>182</v>
      </c>
      <c r="Q47" s="17"/>
      <c r="R47" s="17" t="s">
        <v>183</v>
      </c>
    </row>
    <row r="48" spans="1:18" ht="15.75" customHeight="1" x14ac:dyDescent="0.3">
      <c r="A48" s="16"/>
      <c r="C48" s="16"/>
      <c r="J48" s="16"/>
      <c r="L48" s="16"/>
      <c r="M48" s="176"/>
      <c r="N48" s="16"/>
      <c r="O48" s="16"/>
      <c r="P48" s="16" t="s">
        <v>184</v>
      </c>
      <c r="Q48" s="16"/>
      <c r="R48" s="16" t="s">
        <v>185</v>
      </c>
    </row>
    <row r="49" spans="1:18" ht="18" customHeight="1" x14ac:dyDescent="0.3">
      <c r="M49" s="176"/>
      <c r="N49" s="17"/>
      <c r="O49" s="17"/>
      <c r="P49" s="17" t="s">
        <v>186</v>
      </c>
      <c r="Q49" s="17"/>
      <c r="R49" s="17" t="s">
        <v>187</v>
      </c>
    </row>
    <row r="50" spans="1:18" ht="21" customHeight="1" x14ac:dyDescent="0.3">
      <c r="A50" s="19" t="s">
        <v>188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6"/>
      <c r="N50" s="16"/>
      <c r="O50" s="16"/>
      <c r="P50" s="16" t="s">
        <v>189</v>
      </c>
      <c r="Q50" s="16"/>
      <c r="R50" s="16" t="s">
        <v>190</v>
      </c>
    </row>
    <row r="51" spans="1:18" ht="24" customHeight="1" x14ac:dyDescent="0.3">
      <c r="M51" s="176"/>
      <c r="N51" s="17"/>
      <c r="O51" s="17"/>
      <c r="P51" s="17" t="s">
        <v>191</v>
      </c>
      <c r="Q51" s="17"/>
      <c r="R51" s="17" t="s">
        <v>192</v>
      </c>
    </row>
    <row r="52" spans="1:18" ht="24" customHeight="1" x14ac:dyDescent="0.3">
      <c r="M52" s="176"/>
      <c r="N52" s="16"/>
      <c r="O52" s="16"/>
      <c r="P52" s="16" t="s">
        <v>193</v>
      </c>
      <c r="Q52" s="16"/>
      <c r="R52" s="16" t="s">
        <v>194</v>
      </c>
    </row>
    <row r="53" spans="1:18" ht="36" customHeight="1" x14ac:dyDescent="0.3">
      <c r="M53" s="176"/>
      <c r="N53" s="17"/>
      <c r="O53" s="17"/>
      <c r="P53" s="17" t="s">
        <v>195</v>
      </c>
      <c r="Q53" s="17"/>
      <c r="R53" s="17" t="s">
        <v>196</v>
      </c>
    </row>
    <row r="54" spans="1:18" ht="15" customHeight="1" x14ac:dyDescent="0.3">
      <c r="M54" s="176"/>
      <c r="N54" s="16"/>
      <c r="O54" s="16"/>
      <c r="P54" s="16" t="s">
        <v>197</v>
      </c>
      <c r="Q54" s="16"/>
      <c r="R54" s="16" t="s">
        <v>198</v>
      </c>
    </row>
    <row r="55" spans="1:18" ht="15" customHeight="1" x14ac:dyDescent="0.3">
      <c r="M55" s="176"/>
      <c r="N55" s="17"/>
      <c r="O55" s="17"/>
      <c r="P55" s="17" t="s">
        <v>199</v>
      </c>
      <c r="Q55" s="17"/>
      <c r="R55" s="17" t="s">
        <v>200</v>
      </c>
    </row>
    <row r="56" spans="1:18" ht="15" customHeight="1" x14ac:dyDescent="0.3">
      <c r="M56" s="176"/>
      <c r="N56" s="16"/>
      <c r="O56" s="16"/>
      <c r="P56" s="16" t="s">
        <v>201</v>
      </c>
      <c r="Q56" s="16"/>
      <c r="R56" s="16" t="s">
        <v>202</v>
      </c>
    </row>
    <row r="57" spans="1:18" ht="15" customHeight="1" x14ac:dyDescent="0.3">
      <c r="M57" s="176"/>
      <c r="N57" s="17"/>
      <c r="O57" s="17"/>
      <c r="P57" s="17" t="s">
        <v>46</v>
      </c>
      <c r="Q57" s="17"/>
      <c r="R57" s="17" t="s">
        <v>203</v>
      </c>
    </row>
    <row r="58" spans="1:18" ht="15" customHeight="1" x14ac:dyDescent="0.3">
      <c r="M58" s="176"/>
      <c r="N58" s="16"/>
      <c r="O58" s="16"/>
      <c r="P58" s="16" t="s">
        <v>204</v>
      </c>
      <c r="Q58" s="16"/>
      <c r="R58" s="16"/>
    </row>
    <row r="59" spans="1:18" ht="15" customHeight="1" x14ac:dyDescent="0.3">
      <c r="M59" s="176"/>
      <c r="N59" s="17"/>
      <c r="O59" s="17"/>
      <c r="P59" s="17" t="s">
        <v>205</v>
      </c>
      <c r="Q59" s="17"/>
      <c r="R59" s="17"/>
    </row>
    <row r="60" spans="1:18" ht="15" customHeight="1" x14ac:dyDescent="0.3">
      <c r="M60" s="176"/>
      <c r="N60" s="16"/>
      <c r="O60" s="16"/>
      <c r="P60" s="85" t="s">
        <v>101</v>
      </c>
      <c r="Q60" s="16"/>
      <c r="R60" s="16"/>
    </row>
    <row r="61" spans="1:18" ht="15" customHeight="1" x14ac:dyDescent="0.3">
      <c r="M61" s="176"/>
      <c r="N61" s="17"/>
      <c r="O61" s="17"/>
      <c r="P61" s="17" t="s">
        <v>206</v>
      </c>
      <c r="Q61" s="17"/>
      <c r="R61" s="17"/>
    </row>
    <row r="62" spans="1:18" ht="15" customHeight="1" x14ac:dyDescent="0.3">
      <c r="M62" s="176"/>
      <c r="N62" s="16"/>
      <c r="O62" s="16"/>
      <c r="P62" s="16" t="s">
        <v>207</v>
      </c>
      <c r="Q62" s="16"/>
      <c r="R62" s="16"/>
    </row>
    <row r="63" spans="1:18" ht="15" customHeight="1" x14ac:dyDescent="0.3">
      <c r="M63" s="176"/>
      <c r="N63" s="17"/>
      <c r="O63" s="17"/>
      <c r="P63" s="17" t="s">
        <v>208</v>
      </c>
      <c r="Q63" s="17"/>
      <c r="R63" s="17"/>
    </row>
    <row r="64" spans="1:18" ht="15" customHeight="1" x14ac:dyDescent="0.3">
      <c r="M64" s="176"/>
      <c r="N64" s="16"/>
      <c r="O64" s="16"/>
      <c r="P64" s="16" t="s">
        <v>209</v>
      </c>
      <c r="Q64" s="16"/>
      <c r="R64" s="16"/>
    </row>
    <row r="65" spans="13:18" ht="15" customHeight="1" x14ac:dyDescent="0.3">
      <c r="M65" s="176"/>
      <c r="N65" s="17"/>
      <c r="O65" s="17"/>
      <c r="P65" s="17" t="s">
        <v>210</v>
      </c>
      <c r="Q65" s="17"/>
      <c r="R65" s="17"/>
    </row>
    <row r="66" spans="13:18" ht="15" customHeight="1" x14ac:dyDescent="0.3">
      <c r="M66" s="176"/>
      <c r="N66" s="16"/>
      <c r="O66" s="16"/>
      <c r="P66" s="16" t="s">
        <v>211</v>
      </c>
      <c r="Q66" s="16"/>
      <c r="R66" s="16"/>
    </row>
    <row r="67" spans="13:18" ht="15" customHeight="1" x14ac:dyDescent="0.3">
      <c r="M67" s="176"/>
      <c r="N67" s="17"/>
      <c r="O67" s="17"/>
      <c r="P67" s="17" t="s">
        <v>212</v>
      </c>
      <c r="Q67" s="17"/>
      <c r="R67" s="17"/>
    </row>
    <row r="68" spans="13:18" ht="15" customHeight="1" x14ac:dyDescent="0.3">
      <c r="M68" s="176"/>
      <c r="N68" s="16"/>
      <c r="O68" s="16"/>
      <c r="P68" s="16" t="s">
        <v>213</v>
      </c>
      <c r="Q68" s="16"/>
      <c r="R68" s="16"/>
    </row>
    <row r="69" spans="13:18" ht="15" customHeight="1" x14ac:dyDescent="0.3">
      <c r="M69" s="176"/>
      <c r="N69" s="17"/>
      <c r="O69" s="17"/>
      <c r="P69" s="17" t="s">
        <v>214</v>
      </c>
      <c r="Q69" s="17"/>
      <c r="R69" s="17"/>
    </row>
    <row r="70" spans="13:18" ht="15" customHeight="1" x14ac:dyDescent="0.3">
      <c r="M70" s="176"/>
      <c r="N70" s="16"/>
      <c r="O70" s="16"/>
      <c r="P70" s="16" t="s">
        <v>215</v>
      </c>
      <c r="Q70" s="16"/>
      <c r="R70" s="16"/>
    </row>
    <row r="71" spans="13:18" ht="15" customHeight="1" x14ac:dyDescent="0.3">
      <c r="M71" s="176"/>
      <c r="N71" s="17"/>
      <c r="O71" s="17"/>
      <c r="P71" s="17" t="s">
        <v>216</v>
      </c>
      <c r="Q71" s="17"/>
      <c r="R71" s="17"/>
    </row>
    <row r="72" spans="13:18" ht="15" customHeight="1" x14ac:dyDescent="0.3">
      <c r="M72" s="176"/>
      <c r="N72" s="16"/>
      <c r="O72" s="16"/>
      <c r="P72" s="16" t="s">
        <v>217</v>
      </c>
      <c r="Q72" s="16"/>
      <c r="R72" s="16"/>
    </row>
    <row r="73" spans="13:18" ht="15" customHeight="1" x14ac:dyDescent="0.3">
      <c r="M73" s="176"/>
      <c r="N73" s="17"/>
      <c r="O73" s="17"/>
      <c r="P73" s="17" t="s">
        <v>218</v>
      </c>
      <c r="Q73" s="17"/>
      <c r="R73" s="17"/>
    </row>
    <row r="74" spans="13:18" ht="15" customHeight="1" x14ac:dyDescent="0.3">
      <c r="M74" s="176"/>
      <c r="N74" s="16"/>
      <c r="O74" s="16"/>
      <c r="P74" s="16" t="s">
        <v>219</v>
      </c>
      <c r="Q74" s="16"/>
      <c r="R74" s="16"/>
    </row>
    <row r="75" spans="13:18" ht="15" customHeight="1" x14ac:dyDescent="0.3">
      <c r="M75" s="176"/>
      <c r="N75" s="17"/>
      <c r="O75" s="17"/>
      <c r="P75" s="17"/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76" activePane="bottomLeft" state="frozen"/>
      <selection pane="bottomLeft" activeCell="H289" sqref="H289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9.88671875" customWidth="1"/>
  </cols>
  <sheetData>
    <row r="1" spans="1:15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3">
      <c r="A2" s="68">
        <v>46235</v>
      </c>
      <c r="B2" s="25">
        <v>0.33333333333333298</v>
      </c>
      <c r="C2" s="26" t="s">
        <v>42</v>
      </c>
      <c r="D2" s="20" t="s">
        <v>317</v>
      </c>
      <c r="E2" s="59" t="s">
        <v>230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22</v>
      </c>
      <c r="J2" s="26" t="s">
        <v>63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42</v>
      </c>
      <c r="D3" s="59" t="s">
        <v>317</v>
      </c>
      <c r="E3" s="59" t="s">
        <v>230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42</v>
      </c>
      <c r="D4" s="59" t="s">
        <v>317</v>
      </c>
      <c r="E4" s="59" t="s">
        <v>230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42</v>
      </c>
      <c r="D5" s="59" t="s">
        <v>317</v>
      </c>
      <c r="E5" s="59" t="s">
        <v>230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42</v>
      </c>
      <c r="D6" s="59" t="s">
        <v>317</v>
      </c>
      <c r="E6" s="59" t="s">
        <v>230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42</v>
      </c>
      <c r="D7" s="59" t="s">
        <v>317</v>
      </c>
      <c r="E7" s="59" t="s">
        <v>230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42</v>
      </c>
      <c r="D8" s="59" t="s">
        <v>317</v>
      </c>
      <c r="E8" s="59" t="s">
        <v>230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42</v>
      </c>
      <c r="D9" s="59" t="s">
        <v>317</v>
      </c>
      <c r="E9" s="59" t="s">
        <v>230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42</v>
      </c>
      <c r="D10" s="59" t="s">
        <v>317</v>
      </c>
      <c r="E10" s="59" t="s">
        <v>230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42</v>
      </c>
      <c r="D11" s="59" t="s">
        <v>317</v>
      </c>
      <c r="E11" s="59" t="s">
        <v>230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42</v>
      </c>
      <c r="D12" s="59" t="s">
        <v>317</v>
      </c>
      <c r="E12" s="59" t="s">
        <v>230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42</v>
      </c>
      <c r="D13" s="59" t="s">
        <v>317</v>
      </c>
      <c r="E13" s="59" t="s">
        <v>230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68" t="s">
        <v>231</v>
      </c>
      <c r="B14" s="169"/>
      <c r="C14" s="169"/>
      <c r="D14" s="169"/>
      <c r="E14" s="17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232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28</v>
      </c>
      <c r="D15" s="62" t="s">
        <v>316</v>
      </c>
      <c r="E15" s="62" t="s">
        <v>230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22</v>
      </c>
      <c r="J15" s="33" t="s">
        <v>127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28</v>
      </c>
      <c r="D16" s="62" t="s">
        <v>316</v>
      </c>
      <c r="E16" s="62" t="s">
        <v>230</v>
      </c>
      <c r="F16" s="27">
        <v>10</v>
      </c>
      <c r="G16" s="34">
        <f t="shared" si="3"/>
        <v>50</v>
      </c>
      <c r="H16" s="26" t="s">
        <v>20</v>
      </c>
      <c r="I16" s="26" t="s">
        <v>22</v>
      </c>
      <c r="J16" s="26" t="s">
        <v>41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28</v>
      </c>
      <c r="D17" s="62" t="s">
        <v>316</v>
      </c>
      <c r="E17" s="62" t="s">
        <v>230</v>
      </c>
      <c r="F17" s="27">
        <v>35</v>
      </c>
      <c r="G17" s="34">
        <f t="shared" si="3"/>
        <v>175</v>
      </c>
      <c r="H17" s="33" t="s">
        <v>18</v>
      </c>
      <c r="I17" s="33" t="s">
        <v>22</v>
      </c>
      <c r="J17" s="33" t="s">
        <v>46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233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28</v>
      </c>
      <c r="D18" s="62" t="s">
        <v>316</v>
      </c>
      <c r="E18" s="62" t="s">
        <v>230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28</v>
      </c>
      <c r="D19" s="62" t="s">
        <v>316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28</v>
      </c>
      <c r="D20" s="62" t="s">
        <v>316</v>
      </c>
      <c r="E20" s="62" t="s">
        <v>230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28</v>
      </c>
      <c r="D21" s="62" t="s">
        <v>316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28</v>
      </c>
      <c r="D22" s="62" t="s">
        <v>316</v>
      </c>
      <c r="E22" s="62" t="s">
        <v>230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28</v>
      </c>
      <c r="D23" s="62" t="s">
        <v>316</v>
      </c>
      <c r="E23" s="62" t="s">
        <v>230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28</v>
      </c>
      <c r="D24" s="62" t="s">
        <v>316</v>
      </c>
      <c r="E24" s="62" t="s">
        <v>230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28</v>
      </c>
      <c r="D25" s="62" t="s">
        <v>316</v>
      </c>
      <c r="E25" s="62" t="s">
        <v>230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28</v>
      </c>
      <c r="D26" s="62" t="s">
        <v>316</v>
      </c>
      <c r="E26" s="62" t="s">
        <v>230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68" t="s">
        <v>234</v>
      </c>
      <c r="B27" s="169"/>
      <c r="C27" s="169"/>
      <c r="D27" s="169"/>
      <c r="E27" s="170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232</v>
      </c>
      <c r="O27" s="39">
        <v>997910</v>
      </c>
    </row>
    <row r="28" spans="1:15" ht="18" customHeight="1" x14ac:dyDescent="0.3">
      <c r="A28" s="165" t="s">
        <v>235</v>
      </c>
      <c r="B28" s="166"/>
      <c r="C28" s="166"/>
      <c r="D28" s="166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236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42</v>
      </c>
      <c r="D29" s="59" t="s">
        <v>317</v>
      </c>
      <c r="E29" s="59" t="s">
        <v>230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22</v>
      </c>
      <c r="J29" s="33" t="s">
        <v>152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42</v>
      </c>
      <c r="D30" s="59" t="s">
        <v>317</v>
      </c>
      <c r="E30" s="59" t="s">
        <v>230</v>
      </c>
      <c r="F30" s="27">
        <v>36</v>
      </c>
      <c r="G30" s="34">
        <f t="shared" si="6"/>
        <v>180</v>
      </c>
      <c r="H30" s="26" t="s">
        <v>18</v>
      </c>
      <c r="I30" s="26" t="s">
        <v>22</v>
      </c>
      <c r="J30" s="26" t="s">
        <v>126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237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42</v>
      </c>
      <c r="D31" s="59" t="s">
        <v>317</v>
      </c>
      <c r="E31" s="59" t="s">
        <v>230</v>
      </c>
      <c r="F31" s="27">
        <v>35</v>
      </c>
      <c r="G31" s="28">
        <f t="shared" si="6"/>
        <v>175</v>
      </c>
      <c r="H31" s="33" t="s">
        <v>18</v>
      </c>
      <c r="I31" s="33" t="s">
        <v>22</v>
      </c>
      <c r="J31" s="33" t="s">
        <v>46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233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42</v>
      </c>
      <c r="D32" s="59" t="s">
        <v>317</v>
      </c>
      <c r="E32" s="59" t="s">
        <v>230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42</v>
      </c>
      <c r="D33" s="59" t="s">
        <v>317</v>
      </c>
      <c r="E33" s="59" t="s">
        <v>230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42</v>
      </c>
      <c r="D34" s="59" t="s">
        <v>317</v>
      </c>
      <c r="E34" s="59" t="s">
        <v>230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42</v>
      </c>
      <c r="D35" s="59" t="s">
        <v>317</v>
      </c>
      <c r="E35" s="59" t="s">
        <v>230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42</v>
      </c>
      <c r="D36" s="59" t="s">
        <v>317</v>
      </c>
      <c r="E36" s="59" t="s">
        <v>230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42</v>
      </c>
      <c r="D37" s="59" t="s">
        <v>317</v>
      </c>
      <c r="E37" s="59" t="s">
        <v>230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42</v>
      </c>
      <c r="D38" s="59" t="s">
        <v>317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42</v>
      </c>
      <c r="D39" s="59" t="s">
        <v>317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42</v>
      </c>
      <c r="D40" s="59" t="s">
        <v>317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68" t="s">
        <v>231</v>
      </c>
      <c r="B41" s="169"/>
      <c r="C41" s="169"/>
      <c r="D41" s="169"/>
      <c r="E41" s="170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232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28</v>
      </c>
      <c r="D42" s="62" t="s">
        <v>317</v>
      </c>
      <c r="E42" s="62" t="s">
        <v>230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22</v>
      </c>
      <c r="J42" s="26" t="s">
        <v>63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238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28</v>
      </c>
      <c r="D43" s="62" t="s">
        <v>317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22</v>
      </c>
      <c r="J43" s="33" t="s">
        <v>41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28</v>
      </c>
      <c r="D44" s="62" t="s">
        <v>317</v>
      </c>
      <c r="E44" s="62" t="s">
        <v>230</v>
      </c>
      <c r="F44" s="27">
        <v>0</v>
      </c>
      <c r="G44" s="34">
        <f t="shared" si="9"/>
        <v>0</v>
      </c>
      <c r="H44" s="26" t="s">
        <v>20</v>
      </c>
      <c r="I44" s="26" t="s">
        <v>22</v>
      </c>
      <c r="J44" s="26" t="s">
        <v>41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28</v>
      </c>
      <c r="D45" s="62" t="s">
        <v>317</v>
      </c>
      <c r="E45" s="62" t="s">
        <v>230</v>
      </c>
      <c r="F45" s="27">
        <v>0</v>
      </c>
      <c r="G45" s="28">
        <f t="shared" si="9"/>
        <v>0</v>
      </c>
      <c r="H45" s="33" t="s">
        <v>19</v>
      </c>
      <c r="I45" s="33" t="s">
        <v>22</v>
      </c>
      <c r="J45" s="33" t="s">
        <v>46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28</v>
      </c>
      <c r="D46" s="62" t="s">
        <v>317</v>
      </c>
      <c r="E46" s="62" t="s">
        <v>230</v>
      </c>
      <c r="F46" s="27">
        <v>27</v>
      </c>
      <c r="G46" s="34">
        <f t="shared" si="9"/>
        <v>135</v>
      </c>
      <c r="H46" s="26" t="s">
        <v>20</v>
      </c>
      <c r="I46" s="26" t="s">
        <v>22</v>
      </c>
      <c r="J46" s="26" t="s">
        <v>41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28</v>
      </c>
      <c r="D47" s="62" t="s">
        <v>317</v>
      </c>
      <c r="E47" s="62" t="s">
        <v>230</v>
      </c>
      <c r="F47" s="27">
        <v>17</v>
      </c>
      <c r="G47" s="28">
        <f t="shared" si="9"/>
        <v>85</v>
      </c>
      <c r="H47" s="33" t="s">
        <v>20</v>
      </c>
      <c r="I47" s="33" t="s">
        <v>22</v>
      </c>
      <c r="J47" s="33" t="s">
        <v>41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28</v>
      </c>
      <c r="D48" s="62" t="s">
        <v>317</v>
      </c>
      <c r="E48" s="62" t="s">
        <v>230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28</v>
      </c>
      <c r="D49" s="62" t="s">
        <v>317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28</v>
      </c>
      <c r="D50" s="62" t="s">
        <v>317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28</v>
      </c>
      <c r="D51" s="62" t="s">
        <v>317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28</v>
      </c>
      <c r="D52" s="62" t="s">
        <v>317</v>
      </c>
      <c r="E52" s="62" t="s">
        <v>230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28</v>
      </c>
      <c r="D53" s="62" t="s">
        <v>317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68" t="s">
        <v>234</v>
      </c>
      <c r="B54" s="169"/>
      <c r="C54" s="169"/>
      <c r="D54" s="169"/>
      <c r="E54" s="170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232</v>
      </c>
      <c r="O54" s="39">
        <v>981310</v>
      </c>
    </row>
    <row r="55" spans="1:15" ht="18" customHeight="1" x14ac:dyDescent="0.3">
      <c r="A55" s="165" t="s">
        <v>235</v>
      </c>
      <c r="B55" s="166"/>
      <c r="C55" s="166"/>
      <c r="D55" s="166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236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42</v>
      </c>
      <c r="D56" s="20" t="s">
        <v>317</v>
      </c>
      <c r="E56" s="59" t="s">
        <v>230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22</v>
      </c>
      <c r="J56" s="26" t="s">
        <v>152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42</v>
      </c>
      <c r="D57" s="59" t="s">
        <v>317</v>
      </c>
      <c r="E57" s="59" t="s">
        <v>230</v>
      </c>
      <c r="F57" s="27">
        <v>16</v>
      </c>
      <c r="G57" s="34">
        <f t="shared" si="12"/>
        <v>80</v>
      </c>
      <c r="H57" s="33" t="s">
        <v>20</v>
      </c>
      <c r="I57" s="33" t="s">
        <v>22</v>
      </c>
      <c r="J57" s="33" t="s">
        <v>130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42</v>
      </c>
      <c r="D58" s="59" t="s">
        <v>317</v>
      </c>
      <c r="E58" s="59" t="s">
        <v>230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42</v>
      </c>
      <c r="D59" s="59" t="s">
        <v>317</v>
      </c>
      <c r="E59" s="59" t="s">
        <v>230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42</v>
      </c>
      <c r="D60" s="59" t="s">
        <v>317</v>
      </c>
      <c r="E60" s="59" t="s">
        <v>230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42</v>
      </c>
      <c r="D61" s="59" t="s">
        <v>317</v>
      </c>
      <c r="E61" s="59" t="s">
        <v>230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42</v>
      </c>
      <c r="D62" s="59" t="s">
        <v>317</v>
      </c>
      <c r="E62" s="59" t="s">
        <v>230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42</v>
      </c>
      <c r="D63" s="59" t="s">
        <v>317</v>
      </c>
      <c r="E63" s="59" t="s">
        <v>230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42</v>
      </c>
      <c r="D64" s="59" t="s">
        <v>317</v>
      </c>
      <c r="E64" s="59" t="s">
        <v>230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42</v>
      </c>
      <c r="D65" s="59" t="s">
        <v>317</v>
      </c>
      <c r="E65" s="59" t="s">
        <v>230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42</v>
      </c>
      <c r="D66" s="59" t="s">
        <v>317</v>
      </c>
      <c r="E66" s="59" t="s">
        <v>230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42</v>
      </c>
      <c r="D67" s="59" t="s">
        <v>317</v>
      </c>
      <c r="E67" s="59" t="s">
        <v>230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68" t="s">
        <v>231</v>
      </c>
      <c r="B68" s="169"/>
      <c r="C68" s="169"/>
      <c r="D68" s="169"/>
      <c r="E68" s="170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232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28</v>
      </c>
      <c r="D69" s="62" t="s">
        <v>317</v>
      </c>
      <c r="E69" s="62" t="s">
        <v>230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22</v>
      </c>
      <c r="J69" s="33" t="s">
        <v>41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28</v>
      </c>
      <c r="D70" s="62" t="s">
        <v>317</v>
      </c>
      <c r="E70" s="62" t="s">
        <v>230</v>
      </c>
      <c r="F70" s="27">
        <v>14</v>
      </c>
      <c r="G70" s="28">
        <f t="shared" si="15"/>
        <v>70</v>
      </c>
      <c r="H70" s="26" t="s">
        <v>19</v>
      </c>
      <c r="I70" s="26" t="s">
        <v>22</v>
      </c>
      <c r="J70" s="26" t="s">
        <v>63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239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28</v>
      </c>
      <c r="D71" s="62" t="s">
        <v>317</v>
      </c>
      <c r="E71" s="62" t="s">
        <v>230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28</v>
      </c>
      <c r="D72" s="62" t="s">
        <v>317</v>
      </c>
      <c r="E72" s="62" t="s">
        <v>230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28</v>
      </c>
      <c r="D73" s="62" t="s">
        <v>317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28</v>
      </c>
      <c r="D74" s="62" t="s">
        <v>317</v>
      </c>
      <c r="E74" s="62" t="s">
        <v>230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28</v>
      </c>
      <c r="D75" s="62" t="s">
        <v>317</v>
      </c>
      <c r="E75" s="62" t="s">
        <v>230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28</v>
      </c>
      <c r="D76" s="62" t="s">
        <v>317</v>
      </c>
      <c r="E76" s="62" t="s">
        <v>230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28</v>
      </c>
      <c r="D77" s="62" t="s">
        <v>317</v>
      </c>
      <c r="E77" s="62" t="s">
        <v>230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28</v>
      </c>
      <c r="D78" s="62" t="s">
        <v>316</v>
      </c>
      <c r="E78" s="62" t="s">
        <v>230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28</v>
      </c>
      <c r="D79" s="62" t="s">
        <v>316</v>
      </c>
      <c r="E79" s="62" t="s">
        <v>230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28</v>
      </c>
      <c r="D80" s="62" t="s">
        <v>316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68" t="s">
        <v>234</v>
      </c>
      <c r="B81" s="169"/>
      <c r="C81" s="169"/>
      <c r="D81" s="169"/>
      <c r="E81" s="170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232</v>
      </c>
      <c r="O81" s="39">
        <v>1547910</v>
      </c>
    </row>
    <row r="82" spans="1:15" ht="18" customHeight="1" x14ac:dyDescent="0.3">
      <c r="A82" s="165" t="s">
        <v>235</v>
      </c>
      <c r="B82" s="166"/>
      <c r="C82" s="166"/>
      <c r="D82" s="166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236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42</v>
      </c>
      <c r="D83" s="59" t="s">
        <v>316</v>
      </c>
      <c r="E83" s="59" t="s">
        <v>230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22</v>
      </c>
      <c r="J83" s="33" t="s">
        <v>54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42</v>
      </c>
      <c r="D84" s="59" t="s">
        <v>316</v>
      </c>
      <c r="E84" s="59" t="s">
        <v>230</v>
      </c>
      <c r="F84" s="27">
        <v>30</v>
      </c>
      <c r="G84" s="34">
        <f t="shared" si="18"/>
        <v>150</v>
      </c>
      <c r="H84" s="26" t="s">
        <v>20</v>
      </c>
      <c r="I84" s="26" t="s">
        <v>22</v>
      </c>
      <c r="J84" s="26" t="s">
        <v>130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42</v>
      </c>
      <c r="D85" s="59" t="s">
        <v>316</v>
      </c>
      <c r="E85" s="59" t="s">
        <v>230</v>
      </c>
      <c r="F85" s="27">
        <v>35</v>
      </c>
      <c r="G85" s="28">
        <f t="shared" si="18"/>
        <v>175</v>
      </c>
      <c r="H85" s="33" t="s">
        <v>20</v>
      </c>
      <c r="I85" s="33" t="s">
        <v>22</v>
      </c>
      <c r="J85" s="33" t="s">
        <v>141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240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42</v>
      </c>
      <c r="D86" s="59" t="s">
        <v>316</v>
      </c>
      <c r="E86" s="59" t="s">
        <v>230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42</v>
      </c>
      <c r="D87" s="59" t="s">
        <v>316</v>
      </c>
      <c r="E87" s="59" t="s">
        <v>230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42</v>
      </c>
      <c r="D88" s="59" t="s">
        <v>316</v>
      </c>
      <c r="E88" s="59" t="s">
        <v>230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42</v>
      </c>
      <c r="D89" s="59" t="s">
        <v>316</v>
      </c>
      <c r="E89" s="59" t="s">
        <v>230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42</v>
      </c>
      <c r="D90" s="59" t="s">
        <v>316</v>
      </c>
      <c r="E90" s="59" t="s">
        <v>230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42</v>
      </c>
      <c r="D91" s="59" t="s">
        <v>316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42</v>
      </c>
      <c r="D92" s="59" t="s">
        <v>316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42</v>
      </c>
      <c r="D93" s="59" t="s">
        <v>316</v>
      </c>
      <c r="E93" s="59" t="s">
        <v>230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42</v>
      </c>
      <c r="D94" s="59" t="s">
        <v>316</v>
      </c>
      <c r="E94" s="59" t="s">
        <v>230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68" t="s">
        <v>231</v>
      </c>
      <c r="B95" s="169"/>
      <c r="C95" s="169"/>
      <c r="D95" s="169"/>
      <c r="E95" s="170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232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28</v>
      </c>
      <c r="D96" s="62" t="s">
        <v>316</v>
      </c>
      <c r="E96" s="62" t="s">
        <v>230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28</v>
      </c>
      <c r="D97" s="62" t="s">
        <v>316</v>
      </c>
      <c r="E97" s="62" t="s">
        <v>230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28</v>
      </c>
      <c r="D98" s="62" t="s">
        <v>316</v>
      </c>
      <c r="E98" s="62" t="s">
        <v>230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28</v>
      </c>
      <c r="D99" s="62" t="s">
        <v>316</v>
      </c>
      <c r="E99" s="62" t="s">
        <v>230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28</v>
      </c>
      <c r="D100" s="62" t="s">
        <v>316</v>
      </c>
      <c r="E100" s="62" t="s">
        <v>230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28</v>
      </c>
      <c r="D101" s="62" t="s">
        <v>316</v>
      </c>
      <c r="E101" s="62" t="s">
        <v>230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241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28</v>
      </c>
      <c r="D102" s="62" t="s">
        <v>316</v>
      </c>
      <c r="E102" s="62" t="s">
        <v>230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28</v>
      </c>
      <c r="D103" s="62" t="s">
        <v>316</v>
      </c>
      <c r="E103" s="62" t="s">
        <v>230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28</v>
      </c>
      <c r="D104" s="62" t="s">
        <v>316</v>
      </c>
      <c r="E104" s="62" t="s">
        <v>230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28</v>
      </c>
      <c r="D105" s="62" t="s">
        <v>316</v>
      </c>
      <c r="E105" s="62" t="s">
        <v>230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28</v>
      </c>
      <c r="D106" s="62" t="s">
        <v>316</v>
      </c>
      <c r="E106" s="62" t="s">
        <v>230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28</v>
      </c>
      <c r="D107" s="62" t="s">
        <v>316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68" t="s">
        <v>234</v>
      </c>
      <c r="B108" s="169"/>
      <c r="C108" s="169"/>
      <c r="D108" s="169"/>
      <c r="E108" s="170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3156240</v>
      </c>
    </row>
    <row r="109" spans="1:15" ht="18" customHeight="1" x14ac:dyDescent="0.3">
      <c r="A109" s="165" t="s">
        <v>235</v>
      </c>
      <c r="B109" s="166"/>
      <c r="C109" s="166"/>
      <c r="D109" s="166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236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42</v>
      </c>
      <c r="D110" s="59" t="s">
        <v>316</v>
      </c>
      <c r="E110" s="59" t="s">
        <v>230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22</v>
      </c>
      <c r="J110" s="26" t="s">
        <v>32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42</v>
      </c>
      <c r="D111" s="59" t="s">
        <v>316</v>
      </c>
      <c r="E111" s="59" t="s">
        <v>230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42</v>
      </c>
      <c r="D112" s="59" t="s">
        <v>316</v>
      </c>
      <c r="E112" s="59" t="s">
        <v>230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42</v>
      </c>
      <c r="D113" s="59" t="s">
        <v>316</v>
      </c>
      <c r="E113" s="59" t="s">
        <v>230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42</v>
      </c>
      <c r="D114" s="59" t="s">
        <v>316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42</v>
      </c>
      <c r="D115" s="59" t="s">
        <v>316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42</v>
      </c>
      <c r="D116" s="59" t="s">
        <v>316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42</v>
      </c>
      <c r="D117" s="59" t="s">
        <v>316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42</v>
      </c>
      <c r="D118" s="59" t="s">
        <v>316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42</v>
      </c>
      <c r="D119" s="59" t="s">
        <v>316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42</v>
      </c>
      <c r="D120" s="59" t="s">
        <v>316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42</v>
      </c>
      <c r="D121" s="59" t="s">
        <v>316</v>
      </c>
      <c r="E121" s="59" t="s">
        <v>230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68" t="s">
        <v>231</v>
      </c>
      <c r="B122" s="169"/>
      <c r="C122" s="169"/>
      <c r="D122" s="169"/>
      <c r="E122" s="170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232</v>
      </c>
      <c r="O122" s="39">
        <v>846660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28</v>
      </c>
      <c r="D123" s="62" t="s">
        <v>316</v>
      </c>
      <c r="E123" s="62" t="s">
        <v>230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28</v>
      </c>
      <c r="D124" s="62" t="s">
        <v>316</v>
      </c>
      <c r="E124" s="62" t="s">
        <v>230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28</v>
      </c>
      <c r="D125" s="62" t="s">
        <v>316</v>
      </c>
      <c r="E125" s="62" t="s">
        <v>230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28</v>
      </c>
      <c r="D126" s="62" t="s">
        <v>316</v>
      </c>
      <c r="E126" s="62" t="s">
        <v>230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28</v>
      </c>
      <c r="D127" s="62" t="s">
        <v>316</v>
      </c>
      <c r="E127" s="62" t="s">
        <v>230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28</v>
      </c>
      <c r="D128" s="62" t="s">
        <v>316</v>
      </c>
      <c r="E128" s="62" t="s">
        <v>230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28</v>
      </c>
      <c r="D129" s="62" t="s">
        <v>316</v>
      </c>
      <c r="E129" s="62" t="s">
        <v>230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28</v>
      </c>
      <c r="D130" s="62" t="s">
        <v>316</v>
      </c>
      <c r="E130" s="62" t="s">
        <v>230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28</v>
      </c>
      <c r="D131" s="62" t="s">
        <v>316</v>
      </c>
      <c r="E131" s="62" t="s">
        <v>230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28</v>
      </c>
      <c r="D132" s="62" t="s">
        <v>316</v>
      </c>
      <c r="E132" s="62" t="s">
        <v>230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28</v>
      </c>
      <c r="D133" s="62" t="s">
        <v>317</v>
      </c>
      <c r="E133" s="62" t="s">
        <v>230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28</v>
      </c>
      <c r="D134" s="62" t="s">
        <v>317</v>
      </c>
      <c r="E134" s="62" t="s">
        <v>230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68" t="s">
        <v>234</v>
      </c>
      <c r="B135" s="169"/>
      <c r="C135" s="169"/>
      <c r="D135" s="169"/>
      <c r="E135" s="170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232</v>
      </c>
      <c r="O135" s="39">
        <v>2875180</v>
      </c>
    </row>
    <row r="136" spans="1:15" ht="18" customHeight="1" x14ac:dyDescent="0.3">
      <c r="A136" s="165" t="s">
        <v>235</v>
      </c>
      <c r="B136" s="166"/>
      <c r="C136" s="166"/>
      <c r="D136" s="166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236</v>
      </c>
      <c r="O136" s="43">
        <f>IFERROR(O122+O135,"")</f>
        <v>3721840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317</v>
      </c>
      <c r="E137" s="62" t="s">
        <v>230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22</v>
      </c>
      <c r="J137" s="33" t="s">
        <v>24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242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317</v>
      </c>
      <c r="E138" s="62" t="s">
        <v>230</v>
      </c>
      <c r="F138" s="27">
        <v>35</v>
      </c>
      <c r="G138" s="28">
        <f t="shared" si="30"/>
        <v>175</v>
      </c>
      <c r="H138" s="26" t="s">
        <v>19</v>
      </c>
      <c r="I138" s="26" t="s">
        <v>22</v>
      </c>
      <c r="J138" s="26" t="s">
        <v>103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317</v>
      </c>
      <c r="E139" s="62" t="s">
        <v>230</v>
      </c>
      <c r="F139" s="27">
        <v>25</v>
      </c>
      <c r="G139" s="34">
        <f t="shared" si="30"/>
        <v>125</v>
      </c>
      <c r="H139" s="33" t="s">
        <v>20</v>
      </c>
      <c r="I139" s="33" t="s">
        <v>22</v>
      </c>
      <c r="J139" s="33" t="s">
        <v>34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317</v>
      </c>
      <c r="E140" s="62" t="s">
        <v>230</v>
      </c>
      <c r="F140" s="27">
        <v>30</v>
      </c>
      <c r="G140" s="28">
        <f t="shared" si="30"/>
        <v>150</v>
      </c>
      <c r="H140" s="26" t="s">
        <v>16</v>
      </c>
      <c r="I140" s="26" t="s">
        <v>22</v>
      </c>
      <c r="J140" s="26" t="s">
        <v>112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317</v>
      </c>
      <c r="E141" s="62" t="s">
        <v>230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317</v>
      </c>
      <c r="E142" s="62" t="s">
        <v>230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317</v>
      </c>
      <c r="E143" s="62" t="s">
        <v>230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317</v>
      </c>
      <c r="E144" s="62" t="s">
        <v>230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317</v>
      </c>
      <c r="E145" s="62" t="s">
        <v>230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317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317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317</v>
      </c>
      <c r="E148" s="62" t="s">
        <v>230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68" t="s">
        <v>231</v>
      </c>
      <c r="B149" s="169"/>
      <c r="C149" s="169"/>
      <c r="D149" s="169"/>
      <c r="E149" s="170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232</v>
      </c>
      <c r="O149" s="99">
        <v>1650350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42</v>
      </c>
      <c r="D150" s="59" t="s">
        <v>317</v>
      </c>
      <c r="E150" s="59" t="s">
        <v>230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22</v>
      </c>
      <c r="J150" s="26" t="s">
        <v>130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42</v>
      </c>
      <c r="D151" s="59" t="s">
        <v>317</v>
      </c>
      <c r="E151" s="59" t="s">
        <v>230</v>
      </c>
      <c r="F151" s="27">
        <v>0</v>
      </c>
      <c r="G151" s="34">
        <f t="shared" si="33"/>
        <v>0</v>
      </c>
      <c r="H151" s="33" t="s">
        <v>17</v>
      </c>
      <c r="I151" s="33" t="s">
        <v>22</v>
      </c>
      <c r="J151" s="33" t="s">
        <v>83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243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42</v>
      </c>
      <c r="D152" s="59" t="s">
        <v>317</v>
      </c>
      <c r="E152" s="59" t="s">
        <v>230</v>
      </c>
      <c r="F152" s="27">
        <v>14</v>
      </c>
      <c r="G152" s="28">
        <f t="shared" si="33"/>
        <v>70</v>
      </c>
      <c r="H152" s="26" t="s">
        <v>20</v>
      </c>
      <c r="I152" s="26" t="s">
        <v>22</v>
      </c>
      <c r="J152" s="26" t="s">
        <v>130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42</v>
      </c>
      <c r="D153" s="59" t="s">
        <v>317</v>
      </c>
      <c r="E153" s="59" t="s">
        <v>230</v>
      </c>
      <c r="F153" s="27">
        <v>0</v>
      </c>
      <c r="G153" s="34">
        <f t="shared" si="33"/>
        <v>0</v>
      </c>
      <c r="H153" s="33" t="s">
        <v>19</v>
      </c>
      <c r="I153" s="33" t="s">
        <v>22</v>
      </c>
      <c r="J153" s="33" t="s">
        <v>63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42</v>
      </c>
      <c r="D154" s="59" t="s">
        <v>317</v>
      </c>
      <c r="E154" s="59" t="s">
        <v>230</v>
      </c>
      <c r="F154" s="27">
        <v>10</v>
      </c>
      <c r="G154" s="28">
        <f t="shared" si="33"/>
        <v>50</v>
      </c>
      <c r="H154" s="26" t="s">
        <v>20</v>
      </c>
      <c r="I154" s="26" t="s">
        <v>22</v>
      </c>
      <c r="J154" s="26" t="s">
        <v>141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42</v>
      </c>
      <c r="D155" s="59" t="s">
        <v>317</v>
      </c>
      <c r="E155" s="59" t="s">
        <v>230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42</v>
      </c>
      <c r="D156" s="59" t="s">
        <v>317</v>
      </c>
      <c r="E156" s="59" t="s">
        <v>230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42</v>
      </c>
      <c r="D157" s="59" t="s">
        <v>317</v>
      </c>
      <c r="E157" s="59" t="s">
        <v>230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42</v>
      </c>
      <c r="D158" s="59" t="s">
        <v>317</v>
      </c>
      <c r="E158" s="59" t="s">
        <v>230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42</v>
      </c>
      <c r="D159" s="59" t="s">
        <v>317</v>
      </c>
      <c r="E159" s="59" t="s">
        <v>230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42</v>
      </c>
      <c r="D160" s="59" t="s">
        <v>317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42</v>
      </c>
      <c r="D161" s="59" t="s">
        <v>317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68" t="s">
        <v>234</v>
      </c>
      <c r="B162" s="169"/>
      <c r="C162" s="169"/>
      <c r="D162" s="169"/>
      <c r="E162" s="170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232</v>
      </c>
      <c r="O162" s="44">
        <v>842000</v>
      </c>
    </row>
    <row r="163" spans="1:15" ht="18" customHeight="1" x14ac:dyDescent="0.3">
      <c r="A163" s="165" t="s">
        <v>235</v>
      </c>
      <c r="B163" s="166"/>
      <c r="C163" s="166"/>
      <c r="D163" s="166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236</v>
      </c>
      <c r="O163" s="43">
        <f>IFERROR(O149+O162,"")</f>
        <v>2492350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317</v>
      </c>
      <c r="E164" s="59" t="s">
        <v>230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22</v>
      </c>
      <c r="J164" s="26" t="s">
        <v>219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244</v>
      </c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317</v>
      </c>
      <c r="E165" s="59" t="s">
        <v>230</v>
      </c>
      <c r="F165" s="27">
        <v>35</v>
      </c>
      <c r="G165" s="34">
        <f t="shared" si="36"/>
        <v>175</v>
      </c>
      <c r="H165" s="33" t="s">
        <v>16</v>
      </c>
      <c r="I165" s="33" t="s">
        <v>22</v>
      </c>
      <c r="J165" s="33" t="s">
        <v>112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317</v>
      </c>
      <c r="E166" s="59" t="s">
        <v>230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317</v>
      </c>
      <c r="E167" s="59" t="s">
        <v>230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317</v>
      </c>
      <c r="E168" s="59" t="s">
        <v>230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317</v>
      </c>
      <c r="E169" s="59" t="s">
        <v>230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317</v>
      </c>
      <c r="E170" s="59" t="s">
        <v>230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317</v>
      </c>
      <c r="E171" s="59" t="s">
        <v>230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317</v>
      </c>
      <c r="E172" s="59" t="s">
        <v>230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317</v>
      </c>
      <c r="E173" s="59" t="s">
        <v>230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317</v>
      </c>
      <c r="E174" s="59" t="s">
        <v>230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317</v>
      </c>
      <c r="E175" s="59" t="s">
        <v>230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68" t="s">
        <v>231</v>
      </c>
      <c r="B176" s="169"/>
      <c r="C176" s="169"/>
      <c r="D176" s="169"/>
      <c r="E176" s="170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232</v>
      </c>
      <c r="O176" s="39">
        <v>2934820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42</v>
      </c>
      <c r="D177" s="62" t="s">
        <v>317</v>
      </c>
      <c r="E177" s="62" t="s">
        <v>230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22</v>
      </c>
      <c r="J177" s="33" t="s">
        <v>83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245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42</v>
      </c>
      <c r="D178" s="62" t="s">
        <v>317</v>
      </c>
      <c r="E178" s="62" t="s">
        <v>230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42</v>
      </c>
      <c r="D179" s="62" t="s">
        <v>317</v>
      </c>
      <c r="E179" s="62" t="s">
        <v>230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42</v>
      </c>
      <c r="D180" s="62" t="s">
        <v>317</v>
      </c>
      <c r="E180" s="62" t="s">
        <v>230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42</v>
      </c>
      <c r="D181" s="62" t="s">
        <v>317</v>
      </c>
      <c r="E181" s="62" t="s">
        <v>230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42</v>
      </c>
      <c r="D182" s="62" t="s">
        <v>317</v>
      </c>
      <c r="E182" s="62" t="s">
        <v>230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42</v>
      </c>
      <c r="D183" s="62" t="s">
        <v>317</v>
      </c>
      <c r="E183" s="62" t="s">
        <v>230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42</v>
      </c>
      <c r="D184" s="62" t="s">
        <v>317</v>
      </c>
      <c r="E184" s="62" t="s">
        <v>230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42</v>
      </c>
      <c r="D185" s="62" t="s">
        <v>317</v>
      </c>
      <c r="E185" s="62" t="s">
        <v>246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42</v>
      </c>
      <c r="D186" s="62" t="s">
        <v>317</v>
      </c>
      <c r="E186" s="62" t="s">
        <v>230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42</v>
      </c>
      <c r="D187" s="62" t="s">
        <v>317</v>
      </c>
      <c r="E187" s="62" t="s">
        <v>230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42</v>
      </c>
      <c r="D188" s="62" t="s">
        <v>317</v>
      </c>
      <c r="E188" s="62" t="s">
        <v>230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68" t="s">
        <v>234</v>
      </c>
      <c r="B189" s="169"/>
      <c r="C189" s="169"/>
      <c r="D189" s="169"/>
      <c r="E189" s="170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232</v>
      </c>
      <c r="O189" s="39">
        <v>1901630</v>
      </c>
    </row>
    <row r="190" spans="1:15" ht="18" customHeight="1" x14ac:dyDescent="0.3">
      <c r="A190" s="165" t="s">
        <v>235</v>
      </c>
      <c r="B190" s="166"/>
      <c r="C190" s="166"/>
      <c r="D190" s="166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236</v>
      </c>
      <c r="O190" s="43">
        <f>IFERROR(O176+O189,"")</f>
        <v>4836450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317</v>
      </c>
      <c r="E191" s="62" t="s">
        <v>230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22</v>
      </c>
      <c r="J191" s="33" t="s">
        <v>34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317</v>
      </c>
      <c r="E192" s="62" t="s">
        <v>230</v>
      </c>
      <c r="F192" s="27">
        <v>15</v>
      </c>
      <c r="G192" s="28">
        <f t="shared" si="42"/>
        <v>75</v>
      </c>
      <c r="H192" s="26" t="s">
        <v>20</v>
      </c>
      <c r="I192" s="26" t="s">
        <v>22</v>
      </c>
      <c r="J192" s="26" t="s">
        <v>34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317</v>
      </c>
      <c r="E193" s="62" t="s">
        <v>230</v>
      </c>
      <c r="F193" s="27">
        <v>20</v>
      </c>
      <c r="G193" s="34">
        <f t="shared" si="42"/>
        <v>100</v>
      </c>
      <c r="H193" s="33" t="s">
        <v>20</v>
      </c>
      <c r="I193" s="33" t="s">
        <v>22</v>
      </c>
      <c r="J193" s="33" t="s">
        <v>34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247</v>
      </c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317</v>
      </c>
      <c r="E194" s="62" t="s">
        <v>230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317</v>
      </c>
      <c r="E195" s="62" t="s">
        <v>230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317</v>
      </c>
      <c r="E196" s="62" t="s">
        <v>230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317</v>
      </c>
      <c r="E197" s="62" t="s">
        <v>230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317</v>
      </c>
      <c r="E198" s="62" t="s">
        <v>230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317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317</v>
      </c>
      <c r="E200" s="62" t="s">
        <v>230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317</v>
      </c>
      <c r="E201" s="62" t="s">
        <v>230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317</v>
      </c>
      <c r="E202" s="62" t="s">
        <v>230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68" t="s">
        <v>231</v>
      </c>
      <c r="B203" s="169"/>
      <c r="C203" s="169"/>
      <c r="D203" s="169"/>
      <c r="E203" s="170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232</v>
      </c>
      <c r="O203" s="45">
        <v>1392300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42</v>
      </c>
      <c r="D204" s="59" t="s">
        <v>317</v>
      </c>
      <c r="E204" s="59" t="s">
        <v>230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42</v>
      </c>
      <c r="D205" s="59" t="s">
        <v>317</v>
      </c>
      <c r="E205" s="59" t="s">
        <v>230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42</v>
      </c>
      <c r="D206" s="59" t="s">
        <v>317</v>
      </c>
      <c r="E206" s="59" t="s">
        <v>230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42</v>
      </c>
      <c r="D207" s="59" t="s">
        <v>317</v>
      </c>
      <c r="E207" s="59" t="s">
        <v>230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42</v>
      </c>
      <c r="D208" s="59" t="s">
        <v>317</v>
      </c>
      <c r="E208" s="59" t="s">
        <v>230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42</v>
      </c>
      <c r="D209" s="59" t="s">
        <v>317</v>
      </c>
      <c r="E209" s="59" t="s">
        <v>230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42</v>
      </c>
      <c r="D210" s="59" t="s">
        <v>317</v>
      </c>
      <c r="E210" s="59" t="s">
        <v>230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42</v>
      </c>
      <c r="D211" s="59" t="s">
        <v>317</v>
      </c>
      <c r="E211" s="59" t="s">
        <v>230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42</v>
      </c>
      <c r="D212" s="59" t="s">
        <v>317</v>
      </c>
      <c r="E212" s="59" t="s">
        <v>230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42</v>
      </c>
      <c r="D213" s="59" t="s">
        <v>317</v>
      </c>
      <c r="E213" s="59" t="s">
        <v>230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42</v>
      </c>
      <c r="D214" s="59" t="s">
        <v>317</v>
      </c>
      <c r="E214" s="59" t="s">
        <v>230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42</v>
      </c>
      <c r="D215" s="59" t="s">
        <v>317</v>
      </c>
      <c r="E215" s="59" t="s">
        <v>230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68" t="s">
        <v>234</v>
      </c>
      <c r="B216" s="169"/>
      <c r="C216" s="169"/>
      <c r="D216" s="169"/>
      <c r="E216" s="170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45">
        <v>1852295</v>
      </c>
    </row>
    <row r="217" spans="1:15" ht="18" customHeight="1" x14ac:dyDescent="0.3">
      <c r="A217" s="165" t="s">
        <v>235</v>
      </c>
      <c r="B217" s="166"/>
      <c r="C217" s="166"/>
      <c r="D217" s="166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236</v>
      </c>
      <c r="O217" s="48">
        <f>IFERROR(O203+O216,"")</f>
        <v>3244595</v>
      </c>
    </row>
    <row r="218" spans="1:15" ht="15" customHeight="1" x14ac:dyDescent="0.3">
      <c r="A218" s="68">
        <v>46243</v>
      </c>
      <c r="B218" s="25">
        <v>0.33333333333333298</v>
      </c>
      <c r="C218" s="26" t="s">
        <v>28</v>
      </c>
      <c r="D218" s="59" t="s">
        <v>317</v>
      </c>
      <c r="E218" s="59" t="s">
        <v>230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22</v>
      </c>
      <c r="J218" s="26" t="s">
        <v>162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28</v>
      </c>
      <c r="D219" s="59" t="s">
        <v>317</v>
      </c>
      <c r="E219" s="59" t="s">
        <v>230</v>
      </c>
      <c r="F219" s="27">
        <v>45</v>
      </c>
      <c r="G219" s="34">
        <f t="shared" si="48"/>
        <v>225</v>
      </c>
      <c r="H219" s="33" t="s">
        <v>20</v>
      </c>
      <c r="I219" s="33" t="s">
        <v>22</v>
      </c>
      <c r="J219" s="33" t="s">
        <v>41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28</v>
      </c>
      <c r="D220" s="59" t="s">
        <v>317</v>
      </c>
      <c r="E220" s="59" t="s">
        <v>230</v>
      </c>
      <c r="F220" s="27">
        <v>30</v>
      </c>
      <c r="G220" s="28">
        <f t="shared" si="48"/>
        <v>150</v>
      </c>
      <c r="H220" s="26" t="s">
        <v>20</v>
      </c>
      <c r="I220" s="26" t="s">
        <v>22</v>
      </c>
      <c r="J220" s="26" t="s">
        <v>198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248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28</v>
      </c>
      <c r="D221" s="59" t="s">
        <v>317</v>
      </c>
      <c r="E221" s="59" t="s">
        <v>230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28</v>
      </c>
      <c r="D222" s="59" t="s">
        <v>317</v>
      </c>
      <c r="E222" s="59" t="s">
        <v>230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28</v>
      </c>
      <c r="D223" s="59" t="s">
        <v>317</v>
      </c>
      <c r="E223" s="59" t="s">
        <v>230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28</v>
      </c>
      <c r="D224" s="59" t="s">
        <v>317</v>
      </c>
      <c r="E224" s="59" t="s">
        <v>230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9">
        <v>46243</v>
      </c>
      <c r="B225" s="32">
        <f t="shared" si="50"/>
        <v>0.62499999999999967</v>
      </c>
      <c r="C225" s="26" t="s">
        <v>28</v>
      </c>
      <c r="D225" s="59" t="s">
        <v>317</v>
      </c>
      <c r="E225" s="59" t="s">
        <v>230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8">
        <v>46243</v>
      </c>
      <c r="B226" s="25">
        <f t="shared" si="50"/>
        <v>0.6666666666666663</v>
      </c>
      <c r="C226" s="26" t="s">
        <v>28</v>
      </c>
      <c r="D226" s="59" t="s">
        <v>317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9">
        <v>46243</v>
      </c>
      <c r="B227" s="32">
        <f t="shared" si="50"/>
        <v>0.70833333333333293</v>
      </c>
      <c r="C227" s="26" t="s">
        <v>28</v>
      </c>
      <c r="D227" s="59" t="s">
        <v>317</v>
      </c>
      <c r="E227" s="59" t="s">
        <v>230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8">
        <v>46243</v>
      </c>
      <c r="B228" s="25">
        <f t="shared" si="50"/>
        <v>0.74999999999999956</v>
      </c>
      <c r="C228" s="26" t="s">
        <v>28</v>
      </c>
      <c r="D228" s="59" t="s">
        <v>317</v>
      </c>
      <c r="E228" s="59" t="s">
        <v>230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9">
        <v>46243</v>
      </c>
      <c r="B229" s="32">
        <f t="shared" si="50"/>
        <v>0.79166666666666619</v>
      </c>
      <c r="C229" s="26" t="s">
        <v>28</v>
      </c>
      <c r="D229" s="59" t="s">
        <v>317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59" t="s">
        <v>231</v>
      </c>
      <c r="B230" s="160"/>
      <c r="C230" s="160"/>
      <c r="D230" s="160"/>
      <c r="E230" s="16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232</v>
      </c>
      <c r="O230" s="39">
        <v>2165620</v>
      </c>
    </row>
    <row r="231" spans="1:21" ht="15" customHeight="1" x14ac:dyDescent="0.3">
      <c r="A231" s="69">
        <v>46243</v>
      </c>
      <c r="B231" s="32">
        <v>0.83333333333333304</v>
      </c>
      <c r="C231" s="33" t="s">
        <v>42</v>
      </c>
      <c r="D231" s="62" t="s">
        <v>317</v>
      </c>
      <c r="E231" s="62" t="s">
        <v>230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22</v>
      </c>
      <c r="J231" s="33" t="s">
        <v>198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42</v>
      </c>
      <c r="D232" s="62" t="s">
        <v>317</v>
      </c>
      <c r="E232" s="62" t="s">
        <v>230</v>
      </c>
      <c r="F232" s="27">
        <v>37</v>
      </c>
      <c r="G232" s="28">
        <f t="shared" si="51"/>
        <v>185</v>
      </c>
      <c r="H232" s="26" t="s">
        <v>20</v>
      </c>
      <c r="I232" s="26" t="s">
        <v>22</v>
      </c>
      <c r="J232" s="26" t="s">
        <v>141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9">
        <v>46243</v>
      </c>
      <c r="B233" s="32">
        <f t="shared" si="53"/>
        <v>0.9166666666666663</v>
      </c>
      <c r="C233" s="33" t="s">
        <v>42</v>
      </c>
      <c r="D233" s="62" t="s">
        <v>317</v>
      </c>
      <c r="E233" s="62" t="s">
        <v>230</v>
      </c>
      <c r="F233" s="27">
        <v>16</v>
      </c>
      <c r="G233" s="34">
        <f t="shared" si="51"/>
        <v>80</v>
      </c>
      <c r="H233" s="33" t="s">
        <v>20</v>
      </c>
      <c r="I233" s="33" t="s">
        <v>22</v>
      </c>
      <c r="J233" s="33" t="s">
        <v>141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8">
        <v>46243</v>
      </c>
      <c r="B234" s="25">
        <f t="shared" si="53"/>
        <v>0.95833333333333293</v>
      </c>
      <c r="C234" s="33" t="s">
        <v>42</v>
      </c>
      <c r="D234" s="62" t="s">
        <v>317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9">
        <v>46243</v>
      </c>
      <c r="B235" s="32">
        <f t="shared" si="53"/>
        <v>0.99999999999999956</v>
      </c>
      <c r="C235" s="33" t="s">
        <v>42</v>
      </c>
      <c r="D235" s="62" t="s">
        <v>317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8">
        <v>46243</v>
      </c>
      <c r="B236" s="25">
        <f t="shared" si="53"/>
        <v>1.0416666666666663</v>
      </c>
      <c r="C236" s="33" t="s">
        <v>42</v>
      </c>
      <c r="D236" s="62" t="s">
        <v>317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9">
        <v>46243</v>
      </c>
      <c r="B237" s="32">
        <f t="shared" si="53"/>
        <v>1.083333333333333</v>
      </c>
      <c r="C237" s="33" t="s">
        <v>42</v>
      </c>
      <c r="D237" s="62" t="s">
        <v>317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8">
        <v>46243</v>
      </c>
      <c r="B238" s="25">
        <f t="shared" si="53"/>
        <v>1.1249999999999998</v>
      </c>
      <c r="C238" s="33" t="s">
        <v>42</v>
      </c>
      <c r="D238" s="62" t="s">
        <v>317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9">
        <v>46243</v>
      </c>
      <c r="B239" s="32">
        <f t="shared" si="53"/>
        <v>1.1666666666666665</v>
      </c>
      <c r="C239" s="33" t="s">
        <v>42</v>
      </c>
      <c r="D239" s="62" t="s">
        <v>317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8">
        <v>46243</v>
      </c>
      <c r="B240" s="25">
        <f t="shared" si="53"/>
        <v>1.2083333333333333</v>
      </c>
      <c r="C240" s="33" t="s">
        <v>42</v>
      </c>
      <c r="D240" s="62" t="s">
        <v>317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42</v>
      </c>
      <c r="D241" s="62" t="s">
        <v>317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42</v>
      </c>
      <c r="D242" s="62" t="s">
        <v>317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68" t="s">
        <v>234</v>
      </c>
      <c r="B243" s="169"/>
      <c r="C243" s="169"/>
      <c r="D243" s="169"/>
      <c r="E243" s="170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232</v>
      </c>
      <c r="O243" s="39">
        <v>991010</v>
      </c>
    </row>
    <row r="244" spans="1:15" ht="18" customHeight="1" x14ac:dyDescent="0.3">
      <c r="A244" s="165" t="s">
        <v>235</v>
      </c>
      <c r="B244" s="166"/>
      <c r="C244" s="166"/>
      <c r="D244" s="166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236</v>
      </c>
      <c r="O244" s="48">
        <f>IFERROR(O230+O243,"")</f>
        <v>3156630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28</v>
      </c>
      <c r="D245" s="59" t="s">
        <v>317</v>
      </c>
      <c r="E245" s="59" t="s">
        <v>230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20</v>
      </c>
      <c r="I245" s="33" t="s">
        <v>22</v>
      </c>
      <c r="J245" s="33" t="s">
        <v>203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28</v>
      </c>
      <c r="D246" s="59" t="s">
        <v>317</v>
      </c>
      <c r="E246" s="59" t="s">
        <v>230</v>
      </c>
      <c r="F246" s="27">
        <v>2</v>
      </c>
      <c r="G246" s="34">
        <f t="shared" si="54"/>
        <v>10</v>
      </c>
      <c r="H246" s="33" t="s">
        <v>20</v>
      </c>
      <c r="I246" s="26" t="s">
        <v>22</v>
      </c>
      <c r="J246" s="33" t="s">
        <v>64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28</v>
      </c>
      <c r="D247" s="59" t="s">
        <v>317</v>
      </c>
      <c r="E247" s="59" t="s">
        <v>230</v>
      </c>
      <c r="F247" s="27">
        <v>3</v>
      </c>
      <c r="G247" s="28">
        <f t="shared" si="54"/>
        <v>15</v>
      </c>
      <c r="H247" s="33" t="s">
        <v>19</v>
      </c>
      <c r="I247" s="33" t="s">
        <v>22</v>
      </c>
      <c r="J247" s="33" t="s">
        <v>63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28</v>
      </c>
      <c r="D248" s="59" t="s">
        <v>316</v>
      </c>
      <c r="E248" s="59" t="s">
        <v>230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28</v>
      </c>
      <c r="D249" s="59" t="s">
        <v>316</v>
      </c>
      <c r="E249" s="59" t="s">
        <v>230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329</v>
      </c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28</v>
      </c>
      <c r="D250" s="59" t="s">
        <v>316</v>
      </c>
      <c r="E250" s="59" t="s">
        <v>230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28</v>
      </c>
      <c r="D251" s="59" t="s">
        <v>316</v>
      </c>
      <c r="E251" s="59" t="s">
        <v>230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28</v>
      </c>
      <c r="D252" s="59" t="s">
        <v>316</v>
      </c>
      <c r="E252" s="59" t="s">
        <v>230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28</v>
      </c>
      <c r="D253" s="59" t="s">
        <v>316</v>
      </c>
      <c r="E253" s="59" t="s">
        <v>230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28</v>
      </c>
      <c r="D254" s="59" t="s">
        <v>316</v>
      </c>
      <c r="E254" s="59" t="s">
        <v>230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28</v>
      </c>
      <c r="D255" s="59" t="s">
        <v>316</v>
      </c>
      <c r="E255" s="59" t="s">
        <v>230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28</v>
      </c>
      <c r="D256" s="59" t="s">
        <v>316</v>
      </c>
      <c r="E256" s="59" t="s">
        <v>230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68" t="s">
        <v>231</v>
      </c>
      <c r="B257" s="169"/>
      <c r="C257" s="169"/>
      <c r="D257" s="169"/>
      <c r="E257" s="170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232</v>
      </c>
      <c r="O257" s="39">
        <v>2149680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42</v>
      </c>
      <c r="D258" s="62" t="s">
        <v>328</v>
      </c>
      <c r="E258" s="62" t="s">
        <v>230</v>
      </c>
      <c r="F258" s="27">
        <v>0</v>
      </c>
      <c r="G258" s="34">
        <v>0</v>
      </c>
      <c r="H258" s="26" t="s">
        <v>19</v>
      </c>
      <c r="I258" s="26" t="s">
        <v>22</v>
      </c>
      <c r="J258" s="26" t="s">
        <v>85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8">
        <v>46244</v>
      </c>
      <c r="B259" s="25">
        <f t="shared" ref="B259:B269" si="58">B258+TIME(0,60,0)</f>
        <v>0.87499999999999967</v>
      </c>
      <c r="C259" s="33" t="s">
        <v>42</v>
      </c>
      <c r="D259" s="62" t="s">
        <v>328</v>
      </c>
      <c r="E259" s="62" t="s">
        <v>230</v>
      </c>
      <c r="F259" s="27">
        <v>15</v>
      </c>
      <c r="G259" s="28">
        <v>75</v>
      </c>
      <c r="H259" s="50" t="s">
        <v>20</v>
      </c>
      <c r="I259" s="50" t="s">
        <v>22</v>
      </c>
      <c r="J259" s="50" t="s">
        <v>130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9">
        <v>46244</v>
      </c>
      <c r="B260" s="32">
        <f t="shared" si="58"/>
        <v>0.9166666666666663</v>
      </c>
      <c r="C260" s="33" t="s">
        <v>42</v>
      </c>
      <c r="D260" s="62" t="s">
        <v>328</v>
      </c>
      <c r="E260" s="62" t="s">
        <v>230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8"/>
        <v>0.95833333333333293</v>
      </c>
      <c r="C261" s="33" t="s">
        <v>42</v>
      </c>
      <c r="D261" s="62" t="s">
        <v>328</v>
      </c>
      <c r="E261" s="62" t="s">
        <v>230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8"/>
        <v>0.99999999999999956</v>
      </c>
      <c r="C262" s="33" t="s">
        <v>42</v>
      </c>
      <c r="D262" s="62" t="s">
        <v>328</v>
      </c>
      <c r="E262" s="62" t="s">
        <v>230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8"/>
        <v>1.0416666666666663</v>
      </c>
      <c r="C263" s="33" t="s">
        <v>42</v>
      </c>
      <c r="D263" s="62" t="s">
        <v>328</v>
      </c>
      <c r="E263" s="62" t="s">
        <v>230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8"/>
        <v>1.083333333333333</v>
      </c>
      <c r="C264" s="33" t="s">
        <v>42</v>
      </c>
      <c r="D264" s="62" t="s">
        <v>328</v>
      </c>
      <c r="E264" s="62" t="s">
        <v>230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8"/>
        <v>1.1249999999999998</v>
      </c>
      <c r="C265" s="33" t="s">
        <v>42</v>
      </c>
      <c r="D265" s="62" t="s">
        <v>328</v>
      </c>
      <c r="E265" s="62" t="s">
        <v>230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8"/>
        <v>1.1666666666666665</v>
      </c>
      <c r="C266" s="33" t="s">
        <v>42</v>
      </c>
      <c r="D266" s="62" t="s">
        <v>328</v>
      </c>
      <c r="E266" s="62" t="s">
        <v>230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8"/>
        <v>1.2083333333333333</v>
      </c>
      <c r="C267" s="33" t="s">
        <v>42</v>
      </c>
      <c r="D267" s="62" t="s">
        <v>328</v>
      </c>
      <c r="E267" s="62" t="s">
        <v>230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8"/>
        <v>1.25</v>
      </c>
      <c r="C268" s="33" t="s">
        <v>42</v>
      </c>
      <c r="D268" s="62" t="s">
        <v>328</v>
      </c>
      <c r="E268" s="62" t="s">
        <v>230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8"/>
        <v>1.2916666666666667</v>
      </c>
      <c r="C269" s="33" t="s">
        <v>42</v>
      </c>
      <c r="D269" s="62" t="s">
        <v>328</v>
      </c>
      <c r="E269" s="62" t="s">
        <v>230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68" t="s">
        <v>234</v>
      </c>
      <c r="B270" s="169"/>
      <c r="C270" s="169"/>
      <c r="D270" s="169"/>
      <c r="E270" s="170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232</v>
      </c>
      <c r="O270" s="39">
        <v>1544700</v>
      </c>
    </row>
    <row r="271" spans="1:15" ht="18" customHeight="1" x14ac:dyDescent="0.3">
      <c r="A271" s="165" t="s">
        <v>235</v>
      </c>
      <c r="B271" s="166"/>
      <c r="C271" s="166"/>
      <c r="D271" s="166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236</v>
      </c>
      <c r="O271" s="48">
        <f>IFERROR(O257+O270,"")</f>
        <v>3694380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28</v>
      </c>
      <c r="D272" s="59" t="s">
        <v>328</v>
      </c>
      <c r="E272" s="59" t="s">
        <v>230</v>
      </c>
      <c r="F272" s="27">
        <v>37</v>
      </c>
      <c r="G272" s="28">
        <v>185</v>
      </c>
      <c r="H272" s="26" t="s">
        <v>18</v>
      </c>
      <c r="I272" s="26" t="s">
        <v>22</v>
      </c>
      <c r="J272" s="26" t="s">
        <v>162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0">B272+TIME(0,60,0)</f>
        <v>0.37499999999999967</v>
      </c>
      <c r="C273" s="26" t="s">
        <v>28</v>
      </c>
      <c r="D273" s="59" t="s">
        <v>328</v>
      </c>
      <c r="E273" s="59" t="s">
        <v>230</v>
      </c>
      <c r="F273" s="27">
        <v>31</v>
      </c>
      <c r="G273" s="34">
        <v>155</v>
      </c>
      <c r="H273" s="33" t="s">
        <v>20</v>
      </c>
      <c r="I273" s="33" t="s">
        <v>22</v>
      </c>
      <c r="J273" s="33" t="s">
        <v>130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8">
        <v>46245</v>
      </c>
      <c r="B274" s="25">
        <f t="shared" si="60"/>
        <v>0.41666666666666635</v>
      </c>
      <c r="C274" s="26" t="s">
        <v>28</v>
      </c>
      <c r="D274" s="59" t="s">
        <v>328</v>
      </c>
      <c r="E274" s="59" t="s">
        <v>230</v>
      </c>
      <c r="F274" s="27">
        <v>20</v>
      </c>
      <c r="G274" s="28">
        <v>100</v>
      </c>
      <c r="H274" s="26" t="s">
        <v>19</v>
      </c>
      <c r="I274" s="26" t="s">
        <v>22</v>
      </c>
      <c r="J274" s="26" t="s">
        <v>63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9">
        <v>46245</v>
      </c>
      <c r="B275" s="32">
        <f t="shared" si="60"/>
        <v>0.45833333333333304</v>
      </c>
      <c r="C275" s="26" t="s">
        <v>28</v>
      </c>
      <c r="D275" s="59" t="s">
        <v>328</v>
      </c>
      <c r="E275" s="59" t="s">
        <v>230</v>
      </c>
      <c r="F275" s="27">
        <v>8</v>
      </c>
      <c r="G275" s="34">
        <v>40</v>
      </c>
      <c r="H275" s="33" t="s">
        <v>20</v>
      </c>
      <c r="I275" s="33" t="s">
        <v>22</v>
      </c>
      <c r="J275" s="33" t="s">
        <v>203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8">
        <v>46245</v>
      </c>
      <c r="B276" s="25">
        <f t="shared" si="60"/>
        <v>0.49999999999999972</v>
      </c>
      <c r="C276" s="26" t="s">
        <v>28</v>
      </c>
      <c r="D276" s="59" t="s">
        <v>328</v>
      </c>
      <c r="E276" s="59" t="s">
        <v>230</v>
      </c>
      <c r="F276" s="27">
        <v>35</v>
      </c>
      <c r="G276" s="28">
        <v>175</v>
      </c>
      <c r="H276" s="26" t="s">
        <v>19</v>
      </c>
      <c r="I276" s="26" t="s">
        <v>22</v>
      </c>
      <c r="J276" s="26" t="s">
        <v>46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9">
        <v>46245</v>
      </c>
      <c r="B277" s="32">
        <f t="shared" si="60"/>
        <v>0.54166666666666641</v>
      </c>
      <c r="C277" s="26" t="s">
        <v>28</v>
      </c>
      <c r="D277" s="59" t="s">
        <v>328</v>
      </c>
      <c r="E277" s="59" t="s">
        <v>230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330</v>
      </c>
      <c r="O277" s="47"/>
    </row>
    <row r="278" spans="1:15" ht="15" customHeight="1" x14ac:dyDescent="0.3">
      <c r="A278" s="68">
        <v>46245</v>
      </c>
      <c r="B278" s="25">
        <f t="shared" si="60"/>
        <v>0.58333333333333304</v>
      </c>
      <c r="C278" s="26" t="s">
        <v>28</v>
      </c>
      <c r="D278" s="59" t="s">
        <v>328</v>
      </c>
      <c r="E278" s="59" t="s">
        <v>230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0"/>
        <v>0.62499999999999967</v>
      </c>
      <c r="C279" s="26" t="s">
        <v>28</v>
      </c>
      <c r="D279" s="59" t="s">
        <v>328</v>
      </c>
      <c r="E279" s="59" t="s">
        <v>230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0"/>
        <v>0.6666666666666663</v>
      </c>
      <c r="C280" s="26" t="s">
        <v>28</v>
      </c>
      <c r="D280" s="59" t="s">
        <v>328</v>
      </c>
      <c r="E280" s="59" t="s">
        <v>230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0"/>
        <v>0.70833333333333293</v>
      </c>
      <c r="C281" s="26" t="s">
        <v>28</v>
      </c>
      <c r="D281" s="59" t="s">
        <v>328</v>
      </c>
      <c r="E281" s="59" t="s">
        <v>230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0"/>
        <v>0.74999999999999956</v>
      </c>
      <c r="C282" s="26" t="s">
        <v>28</v>
      </c>
      <c r="D282" s="59" t="s">
        <v>328</v>
      </c>
      <c r="E282" s="59" t="s">
        <v>230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0"/>
        <v>0.79166666666666619</v>
      </c>
      <c r="C283" s="26" t="s">
        <v>28</v>
      </c>
      <c r="D283" s="59" t="s">
        <v>328</v>
      </c>
      <c r="E283" s="59" t="s">
        <v>230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68" t="s">
        <v>231</v>
      </c>
      <c r="B284" s="169"/>
      <c r="C284" s="169"/>
      <c r="D284" s="169"/>
      <c r="E284" s="170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232</v>
      </c>
      <c r="O284" s="39">
        <v>1583020</v>
      </c>
    </row>
    <row r="285" spans="1:15" ht="15" customHeight="1" x14ac:dyDescent="0.3">
      <c r="A285" s="69">
        <v>46245</v>
      </c>
      <c r="B285" s="32">
        <v>0.83333333333333304</v>
      </c>
      <c r="C285" s="33" t="s">
        <v>42</v>
      </c>
      <c r="D285" s="62" t="s">
        <v>328</v>
      </c>
      <c r="E285" s="62" t="s">
        <v>246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2">B285+TIME(0,60,0)</f>
        <v>0.87499999999999967</v>
      </c>
      <c r="C286" s="33" t="s">
        <v>42</v>
      </c>
      <c r="D286" s="62" t="s">
        <v>328</v>
      </c>
      <c r="E286" s="62" t="s">
        <v>246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2"/>
        <v>0.9166666666666663</v>
      </c>
      <c r="C287" s="33" t="s">
        <v>42</v>
      </c>
      <c r="D287" s="62" t="s">
        <v>328</v>
      </c>
      <c r="E287" s="62" t="s">
        <v>246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2"/>
        <v>0.95833333333333293</v>
      </c>
      <c r="C288" s="33" t="s">
        <v>42</v>
      </c>
      <c r="D288" s="62" t="s">
        <v>328</v>
      </c>
      <c r="E288" s="62" t="s">
        <v>246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2"/>
        <v>0.99999999999999956</v>
      </c>
      <c r="C289" s="33" t="s">
        <v>42</v>
      </c>
      <c r="D289" s="62" t="s">
        <v>328</v>
      </c>
      <c r="E289" s="62" t="s">
        <v>246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2"/>
        <v>1.0416666666666663</v>
      </c>
      <c r="C290" s="33" t="s">
        <v>42</v>
      </c>
      <c r="D290" s="62" t="s">
        <v>328</v>
      </c>
      <c r="E290" s="62" t="s">
        <v>246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2"/>
        <v>1.083333333333333</v>
      </c>
      <c r="C291" s="33" t="s">
        <v>42</v>
      </c>
      <c r="D291" s="62" t="s">
        <v>328</v>
      </c>
      <c r="E291" s="62" t="s">
        <v>246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2"/>
        <v>1.1249999999999998</v>
      </c>
      <c r="C292" s="33" t="s">
        <v>42</v>
      </c>
      <c r="D292" s="62" t="s">
        <v>328</v>
      </c>
      <c r="E292" s="62" t="s">
        <v>246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2"/>
        <v>1.1666666666666665</v>
      </c>
      <c r="C293" s="33" t="s">
        <v>42</v>
      </c>
      <c r="D293" s="62" t="s">
        <v>328</v>
      </c>
      <c r="E293" s="62" t="s">
        <v>246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2"/>
        <v>1.2083333333333333</v>
      </c>
      <c r="C294" s="33" t="s">
        <v>42</v>
      </c>
      <c r="D294" s="62" t="s">
        <v>328</v>
      </c>
      <c r="E294" s="62" t="s">
        <v>246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2"/>
        <v>1.25</v>
      </c>
      <c r="C295" s="33" t="s">
        <v>42</v>
      </c>
      <c r="D295" s="62" t="s">
        <v>328</v>
      </c>
      <c r="E295" s="62" t="s">
        <v>246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2"/>
        <v>1.2916666666666667</v>
      </c>
      <c r="C296" s="33" t="s">
        <v>42</v>
      </c>
      <c r="D296" s="62" t="s">
        <v>328</v>
      </c>
      <c r="E296" s="62" t="s">
        <v>246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68" t="s">
        <v>234</v>
      </c>
      <c r="B297" s="169"/>
      <c r="C297" s="169"/>
      <c r="D297" s="169"/>
      <c r="E297" s="170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>
        <v>1715230</v>
      </c>
    </row>
    <row r="298" spans="1:15" ht="18" customHeight="1" x14ac:dyDescent="0.3">
      <c r="A298" s="165" t="s">
        <v>235</v>
      </c>
      <c r="B298" s="166"/>
      <c r="C298" s="166"/>
      <c r="D298" s="166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236</v>
      </c>
      <c r="O298" s="48">
        <f>IFERROR(O284+O297,"")</f>
        <v>3298250</v>
      </c>
    </row>
    <row r="299" spans="1:15" ht="15" customHeight="1" x14ac:dyDescent="0.3">
      <c r="A299" s="69">
        <v>46246</v>
      </c>
      <c r="B299" s="32">
        <v>0.33333333333333298</v>
      </c>
      <c r="C299" s="33" t="s">
        <v>28</v>
      </c>
      <c r="D299" s="62" t="s">
        <v>316</v>
      </c>
      <c r="E299" s="62" t="s">
        <v>230</v>
      </c>
      <c r="F299" s="27">
        <v>37</v>
      </c>
      <c r="G299" s="34">
        <v>185</v>
      </c>
      <c r="H299" s="33" t="s">
        <v>18</v>
      </c>
      <c r="I299" s="33" t="s">
        <v>22</v>
      </c>
      <c r="J299" s="33" t="s">
        <v>219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4">B299+TIME(0,60,0)</f>
        <v>0.37499999999999967</v>
      </c>
      <c r="C300" s="33" t="s">
        <v>28</v>
      </c>
      <c r="D300" s="62" t="s">
        <v>316</v>
      </c>
      <c r="E300" s="62" t="s">
        <v>230</v>
      </c>
      <c r="F300" s="27">
        <v>31</v>
      </c>
      <c r="G300" s="28">
        <v>155</v>
      </c>
      <c r="H300" s="26" t="s">
        <v>20</v>
      </c>
      <c r="I300" s="26" t="s">
        <v>22</v>
      </c>
      <c r="J300" s="26" t="s">
        <v>130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9">
        <v>46246</v>
      </c>
      <c r="B301" s="32">
        <f t="shared" si="64"/>
        <v>0.41666666666666635</v>
      </c>
      <c r="C301" s="33" t="s">
        <v>28</v>
      </c>
      <c r="D301" s="62" t="s">
        <v>316</v>
      </c>
      <c r="E301" s="62" t="s">
        <v>230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4"/>
        <v>0.45833333333333304</v>
      </c>
      <c r="C302" s="33" t="s">
        <v>28</v>
      </c>
      <c r="D302" s="62" t="s">
        <v>316</v>
      </c>
      <c r="E302" s="62" t="s">
        <v>230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4"/>
        <v>0.49999999999999972</v>
      </c>
      <c r="C303" s="33" t="s">
        <v>28</v>
      </c>
      <c r="D303" s="62" t="s">
        <v>316</v>
      </c>
      <c r="E303" s="62" t="s">
        <v>230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4"/>
        <v>0.54166666666666641</v>
      </c>
      <c r="C304" s="33" t="s">
        <v>28</v>
      </c>
      <c r="D304" s="62" t="s">
        <v>316</v>
      </c>
      <c r="E304" s="62" t="s">
        <v>230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4"/>
        <v>0.58333333333333304</v>
      </c>
      <c r="C305" s="33" t="s">
        <v>28</v>
      </c>
      <c r="D305" s="62" t="s">
        <v>316</v>
      </c>
      <c r="E305" s="62" t="s">
        <v>230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4"/>
        <v>0.62499999999999967</v>
      </c>
      <c r="C306" s="33" t="s">
        <v>28</v>
      </c>
      <c r="D306" s="62" t="s">
        <v>316</v>
      </c>
      <c r="E306" s="62" t="s">
        <v>230</v>
      </c>
      <c r="F306" s="27"/>
      <c r="G306" s="28" t="s">
        <v>331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4"/>
        <v>0.6666666666666663</v>
      </c>
      <c r="C307" s="33" t="s">
        <v>28</v>
      </c>
      <c r="D307" s="62" t="s">
        <v>316</v>
      </c>
      <c r="E307" s="62" t="s">
        <v>230</v>
      </c>
      <c r="F307" s="27"/>
      <c r="G307" s="34" t="s">
        <v>331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4"/>
        <v>0.70833333333333293</v>
      </c>
      <c r="C308" s="33" t="s">
        <v>28</v>
      </c>
      <c r="D308" s="62" t="s">
        <v>316</v>
      </c>
      <c r="E308" s="62" t="s">
        <v>230</v>
      </c>
      <c r="F308" s="27"/>
      <c r="G308" s="28" t="s">
        <v>331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4"/>
        <v>0.74999999999999956</v>
      </c>
      <c r="C309" s="33" t="s">
        <v>28</v>
      </c>
      <c r="D309" s="62" t="s">
        <v>316</v>
      </c>
      <c r="E309" s="62" t="s">
        <v>230</v>
      </c>
      <c r="F309" s="27"/>
      <c r="G309" s="34" t="s">
        <v>331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4"/>
        <v>0.79166666666666619</v>
      </c>
      <c r="C310" s="33" t="s">
        <v>28</v>
      </c>
      <c r="D310" s="62" t="s">
        <v>316</v>
      </c>
      <c r="E310" s="62" t="s">
        <v>230</v>
      </c>
      <c r="F310" s="27"/>
      <c r="G310" s="28" t="s">
        <v>331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86" t="s">
        <v>231</v>
      </c>
      <c r="B311" s="87"/>
      <c r="C311" s="87"/>
      <c r="D311" s="87"/>
      <c r="E311" s="88">
        <f>SUM(E299:E310)</f>
        <v>0</v>
      </c>
      <c r="F311" s="36">
        <f>SUM(F299:F310)</f>
        <v>271</v>
      </c>
      <c r="G311" s="89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232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 x14ac:dyDescent="0.3">
      <c r="A324" s="168" t="s">
        <v>234</v>
      </c>
      <c r="B324" s="169"/>
      <c r="C324" s="169"/>
      <c r="D324" s="169"/>
      <c r="E324" s="17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 x14ac:dyDescent="0.3">
      <c r="A325" s="165" t="s">
        <v>235</v>
      </c>
      <c r="B325" s="166"/>
      <c r="C325" s="166"/>
      <c r="D325" s="166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236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0">B326+TIME(0,60,0)</f>
        <v>0.37499999999999967</v>
      </c>
      <c r="C327" s="26"/>
      <c r="D327" s="59"/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0"/>
        <v>0.41666666666666635</v>
      </c>
      <c r="C328" s="26"/>
      <c r="D328" s="59"/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0"/>
        <v>0.45833333333333304</v>
      </c>
      <c r="C329" s="26"/>
      <c r="D329" s="59"/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0"/>
        <v>0.49999999999999972</v>
      </c>
      <c r="C330" s="26"/>
      <c r="D330" s="59"/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0"/>
        <v>0.54166666666666641</v>
      </c>
      <c r="C331" s="26"/>
      <c r="D331" s="59"/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0"/>
        <v>0.58333333333333304</v>
      </c>
      <c r="C332" s="26"/>
      <c r="D332" s="59"/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0"/>
        <v>0.62499999999999967</v>
      </c>
      <c r="C333" s="26"/>
      <c r="D333" s="59"/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0"/>
        <v>0.6666666666666663</v>
      </c>
      <c r="C334" s="26"/>
      <c r="D334" s="59"/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0"/>
        <v>0.70833333333333293</v>
      </c>
      <c r="C335" s="26"/>
      <c r="D335" s="59"/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0"/>
        <v>0.74999999999999956</v>
      </c>
      <c r="C336" s="26"/>
      <c r="D336" s="59"/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0"/>
        <v>0.79166666666666619</v>
      </c>
      <c r="C337" s="26"/>
      <c r="D337" s="59"/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 x14ac:dyDescent="0.3">
      <c r="A338" s="168" t="s">
        <v>231</v>
      </c>
      <c r="B338" s="169"/>
      <c r="C338" s="169"/>
      <c r="D338" s="169"/>
      <c r="E338" s="17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 x14ac:dyDescent="0.3">
      <c r="A351" s="168" t="s">
        <v>234</v>
      </c>
      <c r="B351" s="169"/>
      <c r="C351" s="169"/>
      <c r="D351" s="169"/>
      <c r="E351" s="17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 x14ac:dyDescent="0.3">
      <c r="A352" s="165" t="s">
        <v>235</v>
      </c>
      <c r="B352" s="166"/>
      <c r="C352" s="166"/>
      <c r="D352" s="166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 x14ac:dyDescent="0.3">
      <c r="A365" s="168" t="s">
        <v>231</v>
      </c>
      <c r="B365" s="169"/>
      <c r="C365" s="169"/>
      <c r="D365" s="169"/>
      <c r="E365" s="17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 x14ac:dyDescent="0.3">
      <c r="A378" s="168" t="s">
        <v>234</v>
      </c>
      <c r="B378" s="169"/>
      <c r="C378" s="169"/>
      <c r="D378" s="169"/>
      <c r="E378" s="17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 x14ac:dyDescent="0.3">
      <c r="A379" s="165" t="s">
        <v>235</v>
      </c>
      <c r="B379" s="166"/>
      <c r="C379" s="166"/>
      <c r="D379" s="166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 x14ac:dyDescent="0.3">
      <c r="A392" s="168" t="s">
        <v>231</v>
      </c>
      <c r="B392" s="169"/>
      <c r="C392" s="169"/>
      <c r="D392" s="169"/>
      <c r="E392" s="17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 x14ac:dyDescent="0.3">
      <c r="A405" s="168" t="s">
        <v>234</v>
      </c>
      <c r="B405" s="169"/>
      <c r="C405" s="169"/>
      <c r="D405" s="169"/>
      <c r="E405" s="17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 x14ac:dyDescent="0.3">
      <c r="A406" s="165" t="s">
        <v>235</v>
      </c>
      <c r="B406" s="166"/>
      <c r="C406" s="166"/>
      <c r="D406" s="166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 x14ac:dyDescent="0.3">
      <c r="A419" s="168" t="s">
        <v>231</v>
      </c>
      <c r="B419" s="169"/>
      <c r="C419" s="169"/>
      <c r="D419" s="169"/>
      <c r="E419" s="17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 x14ac:dyDescent="0.3">
      <c r="A432" s="168" t="s">
        <v>234</v>
      </c>
      <c r="B432" s="169"/>
      <c r="C432" s="169"/>
      <c r="D432" s="169"/>
      <c r="E432" s="17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 x14ac:dyDescent="0.3">
      <c r="A433" s="165" t="s">
        <v>235</v>
      </c>
      <c r="B433" s="166"/>
      <c r="C433" s="166"/>
      <c r="D433" s="166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 x14ac:dyDescent="0.3">
      <c r="A446" s="168" t="s">
        <v>231</v>
      </c>
      <c r="B446" s="169"/>
      <c r="C446" s="169"/>
      <c r="D446" s="169"/>
      <c r="E446" s="17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 x14ac:dyDescent="0.3">
      <c r="A459" s="168" t="s">
        <v>234</v>
      </c>
      <c r="B459" s="169"/>
      <c r="C459" s="169"/>
      <c r="D459" s="169"/>
      <c r="E459" s="17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 x14ac:dyDescent="0.3">
      <c r="A460" s="165" t="s">
        <v>235</v>
      </c>
      <c r="B460" s="166"/>
      <c r="C460" s="166"/>
      <c r="D460" s="166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 x14ac:dyDescent="0.3">
      <c r="A473" s="168" t="s">
        <v>231</v>
      </c>
      <c r="B473" s="169"/>
      <c r="C473" s="169"/>
      <c r="D473" s="169"/>
      <c r="E473" s="17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 x14ac:dyDescent="0.3">
      <c r="A486" s="168" t="s">
        <v>234</v>
      </c>
      <c r="B486" s="169"/>
      <c r="C486" s="169"/>
      <c r="D486" s="169"/>
      <c r="E486" s="17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 x14ac:dyDescent="0.3">
      <c r="A487" s="165" t="s">
        <v>235</v>
      </c>
      <c r="B487" s="166"/>
      <c r="C487" s="166"/>
      <c r="D487" s="166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 x14ac:dyDescent="0.3">
      <c r="A500" s="168" t="s">
        <v>231</v>
      </c>
      <c r="B500" s="169"/>
      <c r="C500" s="169"/>
      <c r="D500" s="169"/>
      <c r="E500" s="17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 x14ac:dyDescent="0.3">
      <c r="A513" s="168" t="s">
        <v>234</v>
      </c>
      <c r="B513" s="169"/>
      <c r="C513" s="169"/>
      <c r="D513" s="169"/>
      <c r="E513" s="17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 x14ac:dyDescent="0.3">
      <c r="A514" s="165" t="s">
        <v>235</v>
      </c>
      <c r="B514" s="166"/>
      <c r="C514" s="166"/>
      <c r="D514" s="166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 x14ac:dyDescent="0.3">
      <c r="A527" s="168" t="s">
        <v>231</v>
      </c>
      <c r="B527" s="169"/>
      <c r="C527" s="169"/>
      <c r="D527" s="169"/>
      <c r="E527" s="17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 x14ac:dyDescent="0.3">
      <c r="A540" s="168" t="s">
        <v>234</v>
      </c>
      <c r="B540" s="169"/>
      <c r="C540" s="169"/>
      <c r="D540" s="169"/>
      <c r="E540" s="17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 x14ac:dyDescent="0.3">
      <c r="A541" s="165" t="s">
        <v>235</v>
      </c>
      <c r="B541" s="166"/>
      <c r="C541" s="166"/>
      <c r="D541" s="166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 x14ac:dyDescent="0.3">
      <c r="A554" s="168" t="s">
        <v>231</v>
      </c>
      <c r="B554" s="169"/>
      <c r="C554" s="169"/>
      <c r="D554" s="169"/>
      <c r="E554" s="17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 x14ac:dyDescent="0.3">
      <c r="A567" s="168" t="s">
        <v>234</v>
      </c>
      <c r="B567" s="169"/>
      <c r="C567" s="169"/>
      <c r="D567" s="169"/>
      <c r="E567" s="17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 x14ac:dyDescent="0.3">
      <c r="A568" s="165" t="s">
        <v>235</v>
      </c>
      <c r="B568" s="166"/>
      <c r="C568" s="166"/>
      <c r="D568" s="166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 x14ac:dyDescent="0.3">
      <c r="A581" s="168" t="s">
        <v>231</v>
      </c>
      <c r="B581" s="169"/>
      <c r="C581" s="169"/>
      <c r="D581" s="169"/>
      <c r="E581" s="17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 x14ac:dyDescent="0.3">
      <c r="A594" s="168" t="s">
        <v>234</v>
      </c>
      <c r="B594" s="169"/>
      <c r="C594" s="169"/>
      <c r="D594" s="169"/>
      <c r="E594" s="17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 x14ac:dyDescent="0.3">
      <c r="A595" s="165" t="s">
        <v>235</v>
      </c>
      <c r="B595" s="166"/>
      <c r="C595" s="166"/>
      <c r="D595" s="166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 x14ac:dyDescent="0.3">
      <c r="A608" s="168" t="s">
        <v>231</v>
      </c>
      <c r="B608" s="169"/>
      <c r="C608" s="169"/>
      <c r="D608" s="169"/>
      <c r="E608" s="17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 x14ac:dyDescent="0.3">
      <c r="A621" s="168" t="s">
        <v>234</v>
      </c>
      <c r="B621" s="169"/>
      <c r="C621" s="169"/>
      <c r="D621" s="169"/>
      <c r="E621" s="17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 x14ac:dyDescent="0.3">
      <c r="A622" s="165" t="s">
        <v>235</v>
      </c>
      <c r="B622" s="166"/>
      <c r="C622" s="166"/>
      <c r="D622" s="166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 x14ac:dyDescent="0.3">
      <c r="A635" s="168" t="s">
        <v>231</v>
      </c>
      <c r="B635" s="169"/>
      <c r="C635" s="169"/>
      <c r="D635" s="169"/>
      <c r="E635" s="17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 x14ac:dyDescent="0.3">
      <c r="A648" s="168" t="s">
        <v>234</v>
      </c>
      <c r="B648" s="169"/>
      <c r="C648" s="169"/>
      <c r="D648" s="169"/>
      <c r="E648" s="17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 x14ac:dyDescent="0.3">
      <c r="A649" s="165" t="s">
        <v>235</v>
      </c>
      <c r="B649" s="166"/>
      <c r="C649" s="166"/>
      <c r="D649" s="166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 x14ac:dyDescent="0.3">
      <c r="A662" s="168" t="s">
        <v>231</v>
      </c>
      <c r="B662" s="169"/>
      <c r="C662" s="169"/>
      <c r="D662" s="169"/>
      <c r="E662" s="17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 x14ac:dyDescent="0.3">
      <c r="A675" s="168" t="s">
        <v>234</v>
      </c>
      <c r="B675" s="169"/>
      <c r="C675" s="169"/>
      <c r="D675" s="169"/>
      <c r="E675" s="17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 x14ac:dyDescent="0.3">
      <c r="A676" s="165" t="s">
        <v>235</v>
      </c>
      <c r="B676" s="166"/>
      <c r="C676" s="166"/>
      <c r="D676" s="166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 x14ac:dyDescent="0.3">
      <c r="A689" s="168" t="s">
        <v>231</v>
      </c>
      <c r="B689" s="169"/>
      <c r="C689" s="169"/>
      <c r="D689" s="169"/>
      <c r="E689" s="17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 x14ac:dyDescent="0.3">
      <c r="A702" s="168" t="s">
        <v>234</v>
      </c>
      <c r="B702" s="169"/>
      <c r="C702" s="169"/>
      <c r="D702" s="169"/>
      <c r="E702" s="17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 x14ac:dyDescent="0.3">
      <c r="A703" s="165" t="s">
        <v>235</v>
      </c>
      <c r="B703" s="166"/>
      <c r="C703" s="166"/>
      <c r="D703" s="166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 x14ac:dyDescent="0.3">
      <c r="A716" s="168" t="s">
        <v>231</v>
      </c>
      <c r="B716" s="169"/>
      <c r="C716" s="169"/>
      <c r="D716" s="169"/>
      <c r="E716" s="17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 x14ac:dyDescent="0.3">
      <c r="A729" s="168" t="s">
        <v>234</v>
      </c>
      <c r="B729" s="169"/>
      <c r="C729" s="169"/>
      <c r="D729" s="169"/>
      <c r="E729" s="17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 x14ac:dyDescent="0.3">
      <c r="A730" s="165" t="s">
        <v>235</v>
      </c>
      <c r="B730" s="166"/>
      <c r="C730" s="166"/>
      <c r="D730" s="166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 x14ac:dyDescent="0.3">
      <c r="A743" s="168" t="s">
        <v>231</v>
      </c>
      <c r="B743" s="169"/>
      <c r="C743" s="169"/>
      <c r="D743" s="169"/>
      <c r="E743" s="17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 x14ac:dyDescent="0.3">
      <c r="A756" s="168" t="s">
        <v>234</v>
      </c>
      <c r="B756" s="169"/>
      <c r="C756" s="169"/>
      <c r="D756" s="169"/>
      <c r="E756" s="17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 x14ac:dyDescent="0.3">
      <c r="A757" s="165" t="s">
        <v>235</v>
      </c>
      <c r="B757" s="166"/>
      <c r="C757" s="166"/>
      <c r="D757" s="166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 x14ac:dyDescent="0.3">
      <c r="A770" s="168" t="s">
        <v>231</v>
      </c>
      <c r="B770" s="169"/>
      <c r="C770" s="169"/>
      <c r="D770" s="169"/>
      <c r="E770" s="17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 x14ac:dyDescent="0.3">
      <c r="A783" s="168" t="s">
        <v>234</v>
      </c>
      <c r="B783" s="169"/>
      <c r="C783" s="169"/>
      <c r="D783" s="169"/>
      <c r="E783" s="17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 x14ac:dyDescent="0.3">
      <c r="A784" s="165" t="s">
        <v>235</v>
      </c>
      <c r="B784" s="166"/>
      <c r="C784" s="166"/>
      <c r="D784" s="166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 x14ac:dyDescent="0.3">
      <c r="A797" s="168" t="s">
        <v>231</v>
      </c>
      <c r="B797" s="169"/>
      <c r="C797" s="169"/>
      <c r="D797" s="169"/>
      <c r="E797" s="17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 x14ac:dyDescent="0.3">
      <c r="A810" s="168" t="s">
        <v>234</v>
      </c>
      <c r="B810" s="169"/>
      <c r="C810" s="169"/>
      <c r="D810" s="169"/>
      <c r="E810" s="17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 x14ac:dyDescent="0.3">
      <c r="A811" s="162" t="s">
        <v>235</v>
      </c>
      <c r="B811" s="163"/>
      <c r="C811" s="163"/>
      <c r="D811" s="163"/>
      <c r="E811" s="164">
        <f>E797+E810</f>
        <v>0</v>
      </c>
      <c r="F811" s="97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 x14ac:dyDescent="0.3">
      <c r="A824" s="168" t="s">
        <v>231</v>
      </c>
      <c r="B824" s="169"/>
      <c r="C824" s="169"/>
      <c r="D824" s="169"/>
      <c r="E824" s="17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 x14ac:dyDescent="0.3">
      <c r="A837" s="168" t="s">
        <v>234</v>
      </c>
      <c r="B837" s="169"/>
      <c r="C837" s="169"/>
      <c r="D837" s="169"/>
      <c r="E837" s="17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 x14ac:dyDescent="0.3">
      <c r="A838" s="165" t="s">
        <v>235</v>
      </c>
      <c r="B838" s="166"/>
      <c r="C838" s="166"/>
      <c r="D838" s="166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60" zoomScaleNormal="60" zoomScaleSheetLayoutView="70" workbookViewId="0">
      <pane ySplit="1" topLeftCell="A285" activePane="bottomLeft" state="frozen"/>
      <selection pane="bottomLeft" activeCell="S303" sqref="S303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9" width="16.33203125" style="20" hidden="1" customWidth="1"/>
    <col min="10" max="10" width="13.88671875" style="20" hidden="1" customWidth="1"/>
    <col min="11" max="11" width="14" style="20" customWidth="1"/>
    <col min="12" max="12" width="31.33203125" style="20" customWidth="1"/>
    <col min="13" max="13" width="29.3320312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6640625" customWidth="1"/>
    <col min="20" max="20" width="14.6640625" hidden="1" customWidth="1"/>
  </cols>
  <sheetData>
    <row r="1" spans="1:20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117" t="s">
        <v>319</v>
      </c>
      <c r="G1" s="23" t="s">
        <v>222</v>
      </c>
      <c r="H1" s="117" t="s">
        <v>321</v>
      </c>
      <c r="I1" s="117" t="s">
        <v>320</v>
      </c>
      <c r="J1" s="117" t="s">
        <v>323</v>
      </c>
      <c r="K1" s="23" t="s">
        <v>223</v>
      </c>
      <c r="L1" s="23" t="s">
        <v>14</v>
      </c>
      <c r="M1" s="23" t="s">
        <v>15</v>
      </c>
      <c r="N1" s="23" t="s">
        <v>224</v>
      </c>
      <c r="O1" s="23" t="s">
        <v>225</v>
      </c>
      <c r="P1" s="23" t="s">
        <v>226</v>
      </c>
      <c r="Q1" s="24" t="s">
        <v>227</v>
      </c>
      <c r="R1" s="23" t="s">
        <v>228</v>
      </c>
      <c r="S1" s="23" t="s">
        <v>229</v>
      </c>
      <c r="T1" s="23" t="s">
        <v>323</v>
      </c>
    </row>
    <row r="2" spans="1:20" ht="15" customHeight="1" x14ac:dyDescent="0.3">
      <c r="A2" s="68">
        <v>46235</v>
      </c>
      <c r="B2" s="25">
        <v>0.33333333333333298</v>
      </c>
      <c r="C2" s="26" t="s">
        <v>42</v>
      </c>
      <c r="D2" s="59" t="s">
        <v>317</v>
      </c>
      <c r="E2" s="120" t="s">
        <v>246</v>
      </c>
      <c r="F2" s="122"/>
      <c r="G2" s="114">
        <v>0</v>
      </c>
      <c r="H2" s="122"/>
      <c r="I2" s="129"/>
      <c r="J2" s="145"/>
      <c r="K2" s="28">
        <f t="shared" ref="K2:K13" si="0">IF(G2="","",IF(E2="PC 17",G2*4.2,IF(E2="PC 19",G2*5,IF(E2="CB",G2*24,""))))</f>
        <v>0</v>
      </c>
      <c r="L2" s="26" t="s">
        <v>19</v>
      </c>
      <c r="M2" s="26" t="s">
        <v>155</v>
      </c>
      <c r="N2" s="26" t="s">
        <v>26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250</v>
      </c>
      <c r="S2" s="31"/>
    </row>
    <row r="3" spans="1:20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42</v>
      </c>
      <c r="D3" s="59" t="s">
        <v>317</v>
      </c>
      <c r="E3" s="120" t="s">
        <v>246</v>
      </c>
      <c r="F3" s="122"/>
      <c r="G3" s="114">
        <v>11</v>
      </c>
      <c r="H3" s="122"/>
      <c r="I3" s="129"/>
      <c r="J3" s="145"/>
      <c r="K3" s="34">
        <f t="shared" si="0"/>
        <v>46.2</v>
      </c>
      <c r="L3" s="33" t="s">
        <v>20</v>
      </c>
      <c r="M3" s="33"/>
      <c r="N3" s="33" t="s">
        <v>70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8">
        <v>46235</v>
      </c>
      <c r="B4" s="25">
        <f t="shared" si="2"/>
        <v>0.41666666666666635</v>
      </c>
      <c r="C4" s="26" t="s">
        <v>42</v>
      </c>
      <c r="D4" s="59" t="s">
        <v>317</v>
      </c>
      <c r="E4" s="120" t="s">
        <v>246</v>
      </c>
      <c r="F4" s="122"/>
      <c r="G4" s="114">
        <v>8</v>
      </c>
      <c r="H4" s="122"/>
      <c r="I4" s="129"/>
      <c r="J4" s="145"/>
      <c r="K4" s="28">
        <f t="shared" si="0"/>
        <v>33.6</v>
      </c>
      <c r="L4" s="26" t="s">
        <v>20</v>
      </c>
      <c r="M4" s="26" t="s">
        <v>29</v>
      </c>
      <c r="N4" s="26" t="s">
        <v>27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9">
        <v>46235</v>
      </c>
      <c r="B5" s="32">
        <f t="shared" si="2"/>
        <v>0.45833333333333304</v>
      </c>
      <c r="C5" s="26" t="s">
        <v>42</v>
      </c>
      <c r="D5" s="59" t="s">
        <v>317</v>
      </c>
      <c r="E5" s="120" t="s">
        <v>246</v>
      </c>
      <c r="F5" s="122"/>
      <c r="G5" s="114">
        <v>9</v>
      </c>
      <c r="H5" s="122"/>
      <c r="I5" s="129"/>
      <c r="J5" s="145"/>
      <c r="K5" s="34">
        <f t="shared" si="0"/>
        <v>37.800000000000004</v>
      </c>
      <c r="L5" s="33" t="s">
        <v>18</v>
      </c>
      <c r="M5" s="33" t="s">
        <v>36</v>
      </c>
      <c r="N5" s="33" t="s">
        <v>126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251</v>
      </c>
      <c r="S5" s="31"/>
    </row>
    <row r="6" spans="1:20" ht="15" customHeight="1" x14ac:dyDescent="0.3">
      <c r="A6" s="68">
        <v>46235</v>
      </c>
      <c r="B6" s="25">
        <f t="shared" si="2"/>
        <v>0.49999999999999972</v>
      </c>
      <c r="C6" s="26" t="s">
        <v>42</v>
      </c>
      <c r="D6" s="59" t="s">
        <v>317</v>
      </c>
      <c r="E6" s="120" t="s">
        <v>246</v>
      </c>
      <c r="F6" s="122"/>
      <c r="G6" s="114">
        <v>18</v>
      </c>
      <c r="H6" s="122"/>
      <c r="I6" s="129"/>
      <c r="J6" s="145"/>
      <c r="K6" s="28">
        <f t="shared" si="0"/>
        <v>75.600000000000009</v>
      </c>
      <c r="L6" s="26" t="s">
        <v>16</v>
      </c>
      <c r="M6" s="26"/>
      <c r="N6" s="26" t="s">
        <v>54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252</v>
      </c>
      <c r="S6" s="31"/>
    </row>
    <row r="7" spans="1:20" ht="15" customHeight="1" x14ac:dyDescent="0.3">
      <c r="A7" s="69">
        <v>46235</v>
      </c>
      <c r="B7" s="32">
        <f t="shared" si="2"/>
        <v>0.54166666666666641</v>
      </c>
      <c r="C7" s="26" t="s">
        <v>42</v>
      </c>
      <c r="D7" s="59" t="s">
        <v>317</v>
      </c>
      <c r="E7" s="120" t="s">
        <v>246</v>
      </c>
      <c r="F7" s="122"/>
      <c r="G7" s="114">
        <v>16</v>
      </c>
      <c r="H7" s="122"/>
      <c r="I7" s="129"/>
      <c r="J7" s="145"/>
      <c r="K7" s="34">
        <f t="shared" si="0"/>
        <v>67.2</v>
      </c>
      <c r="L7" s="33" t="s">
        <v>20</v>
      </c>
      <c r="M7" s="33"/>
      <c r="N7" s="33" t="s">
        <v>127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8">
        <v>46235</v>
      </c>
      <c r="B8" s="25">
        <f t="shared" si="2"/>
        <v>0.58333333333333304</v>
      </c>
      <c r="C8" s="26" t="s">
        <v>42</v>
      </c>
      <c r="D8" s="59" t="s">
        <v>317</v>
      </c>
      <c r="E8" s="120" t="s">
        <v>246</v>
      </c>
      <c r="F8" s="122"/>
      <c r="G8" s="114">
        <v>10</v>
      </c>
      <c r="H8" s="122"/>
      <c r="I8" s="129"/>
      <c r="J8" s="145"/>
      <c r="K8" s="28">
        <f t="shared" si="0"/>
        <v>42</v>
      </c>
      <c r="L8" s="26" t="s">
        <v>20</v>
      </c>
      <c r="M8" s="26"/>
      <c r="N8" s="26" t="s">
        <v>127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9">
        <v>46235</v>
      </c>
      <c r="B9" s="32">
        <f t="shared" si="2"/>
        <v>0.62499999999999967</v>
      </c>
      <c r="C9" s="26" t="s">
        <v>42</v>
      </c>
      <c r="D9" s="59" t="s">
        <v>317</v>
      </c>
      <c r="E9" s="120" t="s">
        <v>246</v>
      </c>
      <c r="F9" s="122"/>
      <c r="G9" s="114">
        <v>7</v>
      </c>
      <c r="H9" s="122"/>
      <c r="I9" s="129"/>
      <c r="J9" s="145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8">
        <v>46235</v>
      </c>
      <c r="B10" s="25">
        <f t="shared" si="2"/>
        <v>0.6666666666666663</v>
      </c>
      <c r="C10" s="26" t="s">
        <v>42</v>
      </c>
      <c r="D10" s="59" t="s">
        <v>317</v>
      </c>
      <c r="E10" s="120" t="s">
        <v>246</v>
      </c>
      <c r="F10" s="122"/>
      <c r="G10" s="114">
        <v>8</v>
      </c>
      <c r="H10" s="122"/>
      <c r="I10" s="129"/>
      <c r="J10" s="145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9">
        <v>46235</v>
      </c>
      <c r="B11" s="32">
        <f t="shared" si="2"/>
        <v>0.70833333333333293</v>
      </c>
      <c r="C11" s="26" t="s">
        <v>42</v>
      </c>
      <c r="D11" s="59" t="s">
        <v>317</v>
      </c>
      <c r="E11" s="120" t="s">
        <v>246</v>
      </c>
      <c r="F11" s="122"/>
      <c r="G11" s="114">
        <v>16</v>
      </c>
      <c r="H11" s="122"/>
      <c r="I11" s="129"/>
      <c r="J11" s="145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8">
        <v>46235</v>
      </c>
      <c r="B12" s="25">
        <f t="shared" si="2"/>
        <v>0.74999999999999956</v>
      </c>
      <c r="C12" s="26" t="s">
        <v>42</v>
      </c>
      <c r="D12" s="59" t="s">
        <v>317</v>
      </c>
      <c r="E12" s="120" t="s">
        <v>246</v>
      </c>
      <c r="F12" s="122"/>
      <c r="G12" s="114">
        <v>9</v>
      </c>
      <c r="H12" s="122"/>
      <c r="I12" s="129"/>
      <c r="J12" s="145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9">
        <v>46235</v>
      </c>
      <c r="B13" s="32">
        <f t="shared" si="2"/>
        <v>0.79166666666666619</v>
      </c>
      <c r="C13" s="26" t="s">
        <v>42</v>
      </c>
      <c r="D13" s="59" t="s">
        <v>317</v>
      </c>
      <c r="E13" s="120" t="s">
        <v>246</v>
      </c>
      <c r="F13" s="118"/>
      <c r="G13" s="114">
        <v>0</v>
      </c>
      <c r="H13" s="118"/>
      <c r="I13" s="130"/>
      <c r="J13" s="146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68" t="s">
        <v>231</v>
      </c>
      <c r="B14" s="169"/>
      <c r="C14" s="169"/>
      <c r="D14" s="169"/>
      <c r="E14" s="169"/>
      <c r="F14" s="123"/>
      <c r="G14" s="88">
        <f>SUM(G2:G13)</f>
        <v>112</v>
      </c>
      <c r="H14" s="123"/>
      <c r="I14" s="131"/>
      <c r="J14" s="147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232</v>
      </c>
      <c r="S14" s="76">
        <v>481280</v>
      </c>
      <c r="T14" s="136"/>
    </row>
    <row r="15" spans="1:20" ht="15" customHeight="1" x14ac:dyDescent="0.3">
      <c r="A15" s="69">
        <v>46235</v>
      </c>
      <c r="B15" s="32">
        <v>0.83333333333333304</v>
      </c>
      <c r="C15" s="33" t="s">
        <v>28</v>
      </c>
      <c r="D15" s="62" t="s">
        <v>316</v>
      </c>
      <c r="E15" s="121" t="s">
        <v>246</v>
      </c>
      <c r="F15" s="119"/>
      <c r="G15" s="114">
        <v>26</v>
      </c>
      <c r="H15" s="119"/>
      <c r="I15" s="132"/>
      <c r="J15" s="148"/>
      <c r="K15" s="34">
        <f t="shared" ref="K15:K26" si="3">IF(G15="","",IF(E15="PC 17",G15*4.2,IF(E15="PC 19",G15*5,IF(E15="CB",G15*24,""))))</f>
        <v>109.2</v>
      </c>
      <c r="L15" s="33" t="s">
        <v>19</v>
      </c>
      <c r="M15" s="33" t="s">
        <v>29</v>
      </c>
      <c r="N15" s="33" t="s">
        <v>26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28</v>
      </c>
      <c r="D16" s="62" t="s">
        <v>316</v>
      </c>
      <c r="E16" s="121" t="s">
        <v>246</v>
      </c>
      <c r="F16" s="122"/>
      <c r="G16" s="114">
        <v>8</v>
      </c>
      <c r="H16" s="122"/>
      <c r="I16" s="129"/>
      <c r="J16" s="145"/>
      <c r="K16" s="34">
        <f t="shared" si="3"/>
        <v>33.6</v>
      </c>
      <c r="L16" s="26" t="s">
        <v>19</v>
      </c>
      <c r="M16" s="26" t="s">
        <v>36</v>
      </c>
      <c r="N16" s="26" t="s">
        <v>26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9">
        <v>46235</v>
      </c>
      <c r="B17" s="32">
        <f t="shared" si="5"/>
        <v>0.9166666666666663</v>
      </c>
      <c r="C17" s="33" t="s">
        <v>28</v>
      </c>
      <c r="D17" s="62" t="s">
        <v>316</v>
      </c>
      <c r="E17" s="121" t="s">
        <v>246</v>
      </c>
      <c r="F17" s="122"/>
      <c r="G17" s="114">
        <v>26</v>
      </c>
      <c r="H17" s="122"/>
      <c r="I17" s="129"/>
      <c r="J17" s="145"/>
      <c r="K17" s="34">
        <f t="shared" si="3"/>
        <v>109.2</v>
      </c>
      <c r="L17" s="33" t="s">
        <v>17</v>
      </c>
      <c r="M17" s="33" t="s">
        <v>131</v>
      </c>
      <c r="N17" s="33" t="s">
        <v>45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8">
        <v>46235</v>
      </c>
      <c r="B18" s="25">
        <f t="shared" si="5"/>
        <v>0.95833333333333293</v>
      </c>
      <c r="C18" s="33" t="s">
        <v>28</v>
      </c>
      <c r="D18" s="62" t="s">
        <v>316</v>
      </c>
      <c r="E18" s="121" t="s">
        <v>246</v>
      </c>
      <c r="F18" s="122"/>
      <c r="G18" s="114">
        <v>1</v>
      </c>
      <c r="H18" s="122"/>
      <c r="I18" s="129"/>
      <c r="J18" s="145"/>
      <c r="K18" s="34">
        <f t="shared" si="3"/>
        <v>4.2</v>
      </c>
      <c r="L18" s="26" t="s">
        <v>20</v>
      </c>
      <c r="M18" s="26" t="s">
        <v>153</v>
      </c>
      <c r="N18" s="26" t="s">
        <v>70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9">
        <v>46235</v>
      </c>
      <c r="B19" s="32">
        <f t="shared" si="5"/>
        <v>0.99999999999999956</v>
      </c>
      <c r="C19" s="33" t="s">
        <v>28</v>
      </c>
      <c r="D19" s="62" t="s">
        <v>316</v>
      </c>
      <c r="E19" s="121" t="s">
        <v>246</v>
      </c>
      <c r="F19" s="122"/>
      <c r="G19" s="114">
        <v>1</v>
      </c>
      <c r="H19" s="122"/>
      <c r="I19" s="129"/>
      <c r="J19" s="145"/>
      <c r="K19" s="34">
        <f t="shared" si="3"/>
        <v>4.2</v>
      </c>
      <c r="L19" s="33" t="s">
        <v>17</v>
      </c>
      <c r="M19" s="33" t="s">
        <v>131</v>
      </c>
      <c r="N19" s="33" t="s">
        <v>45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253</v>
      </c>
      <c r="S19" s="31"/>
    </row>
    <row r="20" spans="1:20" ht="15" customHeight="1" x14ac:dyDescent="0.3">
      <c r="A20" s="68">
        <v>46235</v>
      </c>
      <c r="B20" s="25">
        <f t="shared" si="5"/>
        <v>1.0416666666666663</v>
      </c>
      <c r="C20" s="33" t="s">
        <v>28</v>
      </c>
      <c r="D20" s="62" t="s">
        <v>316</v>
      </c>
      <c r="E20" s="121" t="s">
        <v>246</v>
      </c>
      <c r="F20" s="122"/>
      <c r="G20" s="114">
        <v>14</v>
      </c>
      <c r="H20" s="122"/>
      <c r="I20" s="129"/>
      <c r="J20" s="145"/>
      <c r="K20" s="34">
        <f t="shared" si="3"/>
        <v>58.800000000000004</v>
      </c>
      <c r="L20" s="26" t="s">
        <v>20</v>
      </c>
      <c r="M20" s="26" t="s">
        <v>29</v>
      </c>
      <c r="N20" s="26" t="s">
        <v>34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254</v>
      </c>
      <c r="S20" s="31"/>
    </row>
    <row r="21" spans="1:20" ht="15" customHeight="1" x14ac:dyDescent="0.3">
      <c r="A21" s="69">
        <v>46235</v>
      </c>
      <c r="B21" s="32">
        <f t="shared" si="5"/>
        <v>1.083333333333333</v>
      </c>
      <c r="C21" s="33" t="s">
        <v>28</v>
      </c>
      <c r="D21" s="62" t="s">
        <v>316</v>
      </c>
      <c r="E21" s="121" t="s">
        <v>246</v>
      </c>
      <c r="F21" s="122"/>
      <c r="G21" s="114">
        <v>12</v>
      </c>
      <c r="H21" s="122"/>
      <c r="I21" s="129"/>
      <c r="J21" s="145"/>
      <c r="K21" s="34">
        <f t="shared" si="3"/>
        <v>50.400000000000006</v>
      </c>
      <c r="L21" s="33" t="s">
        <v>19</v>
      </c>
      <c r="M21" s="33" t="s">
        <v>36</v>
      </c>
      <c r="N21" s="33" t="s">
        <v>26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8">
        <v>46235</v>
      </c>
      <c r="B22" s="25">
        <f t="shared" si="5"/>
        <v>1.1249999999999998</v>
      </c>
      <c r="C22" s="33" t="s">
        <v>28</v>
      </c>
      <c r="D22" s="62" t="s">
        <v>316</v>
      </c>
      <c r="E22" s="121" t="s">
        <v>246</v>
      </c>
      <c r="F22" s="122"/>
      <c r="G22" s="114">
        <v>11</v>
      </c>
      <c r="H22" s="122"/>
      <c r="I22" s="129"/>
      <c r="J22" s="145"/>
      <c r="K22" s="34">
        <f t="shared" si="3"/>
        <v>46.2</v>
      </c>
      <c r="L22" s="26" t="s">
        <v>19</v>
      </c>
      <c r="M22" s="26" t="s">
        <v>29</v>
      </c>
      <c r="N22" s="26" t="s">
        <v>26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9">
        <v>46235</v>
      </c>
      <c r="B23" s="32">
        <f t="shared" si="5"/>
        <v>1.1666666666666665</v>
      </c>
      <c r="C23" s="33" t="s">
        <v>28</v>
      </c>
      <c r="D23" s="62" t="s">
        <v>316</v>
      </c>
      <c r="E23" s="121" t="s">
        <v>246</v>
      </c>
      <c r="F23" s="122"/>
      <c r="G23" s="115">
        <v>7</v>
      </c>
      <c r="H23" s="122"/>
      <c r="I23" s="129"/>
      <c r="J23" s="145"/>
      <c r="K23" s="34">
        <f t="shared" si="3"/>
        <v>29.400000000000002</v>
      </c>
      <c r="L23" s="33" t="s">
        <v>19</v>
      </c>
      <c r="M23" s="33" t="s">
        <v>29</v>
      </c>
      <c r="N23" s="33" t="s">
        <v>46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8">
        <v>46235</v>
      </c>
      <c r="B24" s="25">
        <f t="shared" si="5"/>
        <v>1.2083333333333333</v>
      </c>
      <c r="C24" s="33" t="s">
        <v>28</v>
      </c>
      <c r="D24" s="62" t="s">
        <v>316</v>
      </c>
      <c r="E24" s="121" t="s">
        <v>246</v>
      </c>
      <c r="F24" s="122"/>
      <c r="G24" s="114">
        <v>0</v>
      </c>
      <c r="H24" s="122"/>
      <c r="I24" s="129"/>
      <c r="J24" s="145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9">
        <v>46235</v>
      </c>
      <c r="B25" s="32">
        <f t="shared" si="5"/>
        <v>1.25</v>
      </c>
      <c r="C25" s="33" t="s">
        <v>28</v>
      </c>
      <c r="D25" s="62" t="s">
        <v>316</v>
      </c>
      <c r="E25" s="121" t="s">
        <v>246</v>
      </c>
      <c r="F25" s="122"/>
      <c r="G25" s="114">
        <v>6</v>
      </c>
      <c r="H25" s="122"/>
      <c r="I25" s="129"/>
      <c r="J25" s="145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8">
        <v>46235</v>
      </c>
      <c r="B26" s="25">
        <f t="shared" si="5"/>
        <v>1.2916666666666667</v>
      </c>
      <c r="C26" s="33" t="s">
        <v>28</v>
      </c>
      <c r="D26" s="62" t="s">
        <v>316</v>
      </c>
      <c r="E26" s="121" t="s">
        <v>246</v>
      </c>
      <c r="F26" s="118"/>
      <c r="G26" s="114">
        <v>5</v>
      </c>
      <c r="H26" s="118"/>
      <c r="I26" s="130"/>
      <c r="J26" s="146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68" t="s">
        <v>234</v>
      </c>
      <c r="B27" s="169"/>
      <c r="C27" s="169"/>
      <c r="D27" s="169"/>
      <c r="E27" s="169"/>
      <c r="F27" s="124"/>
      <c r="G27" s="88">
        <f>SUM(G15:G26)</f>
        <v>117</v>
      </c>
      <c r="H27" s="124"/>
      <c r="I27" s="133"/>
      <c r="J27" s="149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232</v>
      </c>
      <c r="S27" s="76">
        <v>549860</v>
      </c>
      <c r="T27" s="136"/>
    </row>
    <row r="28" spans="1:20" ht="18" customHeight="1" x14ac:dyDescent="0.3">
      <c r="A28" s="165" t="s">
        <v>235</v>
      </c>
      <c r="B28" s="166"/>
      <c r="C28" s="166"/>
      <c r="D28" s="166"/>
      <c r="E28" s="166"/>
      <c r="F28" s="125"/>
      <c r="G28" s="100">
        <f>G14+G27</f>
        <v>229</v>
      </c>
      <c r="H28" s="125"/>
      <c r="I28" s="134"/>
      <c r="J28" s="150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236</v>
      </c>
      <c r="S28" s="81">
        <f>S14+S27</f>
        <v>1031140</v>
      </c>
      <c r="T28" s="137">
        <f>IFERROR(J28,"")</f>
        <v>0</v>
      </c>
    </row>
    <row r="29" spans="1:20" ht="15" customHeight="1" x14ac:dyDescent="0.3">
      <c r="A29" s="68">
        <v>46236</v>
      </c>
      <c r="B29" s="25">
        <v>0.33333333333333298</v>
      </c>
      <c r="C29" s="26" t="s">
        <v>42</v>
      </c>
      <c r="D29" s="59" t="s">
        <v>315</v>
      </c>
      <c r="E29" s="120" t="s">
        <v>246</v>
      </c>
      <c r="F29" s="119"/>
      <c r="G29" s="114">
        <v>5</v>
      </c>
      <c r="H29" s="119"/>
      <c r="I29" s="132"/>
      <c r="J29" s="148"/>
      <c r="K29" s="28">
        <f t="shared" ref="K29:K40" si="6">IF(G29="","",IF(E29="PC 17",G29*4.2,IF(E29="PC 19",G29*5,IF(E29="CB",G29*24,""))))</f>
        <v>21</v>
      </c>
      <c r="L29" s="33" t="s">
        <v>20</v>
      </c>
      <c r="M29" s="33" t="s">
        <v>153</v>
      </c>
      <c r="N29" s="33" t="s">
        <v>70</v>
      </c>
      <c r="O29" s="29">
        <v>0.3923611111111111</v>
      </c>
      <c r="P29" s="29">
        <v>0.40625</v>
      </c>
      <c r="Q29" s="78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42</v>
      </c>
      <c r="D30" s="59" t="s">
        <v>315</v>
      </c>
      <c r="E30" s="120" t="s">
        <v>246</v>
      </c>
      <c r="F30" s="122"/>
      <c r="G30" s="114">
        <v>3</v>
      </c>
      <c r="H30" s="122"/>
      <c r="I30" s="129"/>
      <c r="J30" s="145"/>
      <c r="K30" s="34"/>
      <c r="L30" s="26" t="s">
        <v>19</v>
      </c>
      <c r="M30" s="26" t="s">
        <v>36</v>
      </c>
      <c r="N30" s="26" t="s">
        <v>26</v>
      </c>
      <c r="O30" s="29">
        <v>0.63958333333333328</v>
      </c>
      <c r="P30" s="29">
        <v>0.67500000000000004</v>
      </c>
      <c r="Q30" s="98">
        <v>3.5416666666666666E-2</v>
      </c>
      <c r="S30" s="31"/>
    </row>
    <row r="31" spans="1:20" ht="15" customHeight="1" x14ac:dyDescent="0.3">
      <c r="A31" s="68">
        <v>46236</v>
      </c>
      <c r="B31" s="25">
        <f t="shared" si="8"/>
        <v>0.41666666666666635</v>
      </c>
      <c r="C31" s="26" t="s">
        <v>42</v>
      </c>
      <c r="D31" s="59" t="s">
        <v>315</v>
      </c>
      <c r="E31" s="120" t="s">
        <v>246</v>
      </c>
      <c r="F31" s="122"/>
      <c r="G31" s="114">
        <v>4</v>
      </c>
      <c r="H31" s="122"/>
      <c r="I31" s="129"/>
      <c r="J31" s="145"/>
      <c r="K31" s="28">
        <f t="shared" si="6"/>
        <v>16.8</v>
      </c>
      <c r="L31" s="33" t="s">
        <v>19</v>
      </c>
      <c r="M31" s="33" t="s">
        <v>36</v>
      </c>
      <c r="N31" s="33" t="s">
        <v>46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9">
        <v>46236</v>
      </c>
      <c r="B32" s="32">
        <f t="shared" si="8"/>
        <v>0.45833333333333304</v>
      </c>
      <c r="C32" s="26" t="s">
        <v>42</v>
      </c>
      <c r="D32" s="59" t="s">
        <v>315</v>
      </c>
      <c r="E32" s="120" t="s">
        <v>246</v>
      </c>
      <c r="F32" s="122"/>
      <c r="G32" s="114">
        <v>4</v>
      </c>
      <c r="H32" s="122"/>
      <c r="I32" s="129"/>
      <c r="J32" s="145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8">
        <v>46236</v>
      </c>
      <c r="B33" s="25">
        <f t="shared" si="8"/>
        <v>0.49999999999999972</v>
      </c>
      <c r="C33" s="26" t="s">
        <v>42</v>
      </c>
      <c r="D33" s="59" t="s">
        <v>315</v>
      </c>
      <c r="E33" s="120" t="s">
        <v>246</v>
      </c>
      <c r="F33" s="122"/>
      <c r="G33" s="114">
        <v>5</v>
      </c>
      <c r="H33" s="122"/>
      <c r="I33" s="129"/>
      <c r="J33" s="145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9">
        <v>46236</v>
      </c>
      <c r="B34" s="32">
        <f t="shared" si="8"/>
        <v>0.54166666666666641</v>
      </c>
      <c r="C34" s="26" t="s">
        <v>42</v>
      </c>
      <c r="D34" s="59" t="s">
        <v>315</v>
      </c>
      <c r="E34" s="120" t="s">
        <v>246</v>
      </c>
      <c r="F34" s="122"/>
      <c r="G34" s="114">
        <v>19</v>
      </c>
      <c r="H34" s="122"/>
      <c r="I34" s="129"/>
      <c r="J34" s="145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8">
        <v>46236</v>
      </c>
      <c r="B35" s="25">
        <f t="shared" si="8"/>
        <v>0.58333333333333304</v>
      </c>
      <c r="C35" s="26" t="s">
        <v>42</v>
      </c>
      <c r="D35" s="59" t="s">
        <v>315</v>
      </c>
      <c r="E35" s="120" t="s">
        <v>246</v>
      </c>
      <c r="F35" s="122"/>
      <c r="G35" s="114">
        <v>15</v>
      </c>
      <c r="H35" s="122"/>
      <c r="I35" s="129"/>
      <c r="J35" s="145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9">
        <v>46236</v>
      </c>
      <c r="B36" s="32">
        <f t="shared" si="8"/>
        <v>0.62499999999999967</v>
      </c>
      <c r="C36" s="26" t="s">
        <v>42</v>
      </c>
      <c r="D36" s="59" t="s">
        <v>315</v>
      </c>
      <c r="E36" s="120" t="s">
        <v>246</v>
      </c>
      <c r="F36" s="122"/>
      <c r="G36" s="114">
        <v>3</v>
      </c>
      <c r="H36" s="122"/>
      <c r="I36" s="129"/>
      <c r="J36" s="145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8">
        <v>46236</v>
      </c>
      <c r="B37" s="25">
        <f t="shared" si="8"/>
        <v>0.6666666666666663</v>
      </c>
      <c r="C37" s="26" t="s">
        <v>42</v>
      </c>
      <c r="D37" s="59" t="s">
        <v>315</v>
      </c>
      <c r="E37" s="120" t="s">
        <v>246</v>
      </c>
      <c r="F37" s="122"/>
      <c r="G37" s="114">
        <v>3</v>
      </c>
      <c r="H37" s="122"/>
      <c r="I37" s="129"/>
      <c r="J37" s="145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9">
        <v>46236</v>
      </c>
      <c r="B38" s="32">
        <f t="shared" si="8"/>
        <v>0.70833333333333293</v>
      </c>
      <c r="C38" s="26" t="s">
        <v>42</v>
      </c>
      <c r="D38" s="59" t="s">
        <v>315</v>
      </c>
      <c r="E38" s="120" t="s">
        <v>246</v>
      </c>
      <c r="F38" s="122"/>
      <c r="G38" s="114">
        <v>12</v>
      </c>
      <c r="H38" s="122"/>
      <c r="I38" s="129"/>
      <c r="J38" s="145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8">
        <v>46236</v>
      </c>
      <c r="B39" s="25">
        <f t="shared" si="8"/>
        <v>0.74999999999999956</v>
      </c>
      <c r="C39" s="26" t="s">
        <v>42</v>
      </c>
      <c r="D39" s="59" t="s">
        <v>315</v>
      </c>
      <c r="E39" s="120" t="s">
        <v>246</v>
      </c>
      <c r="F39" s="122"/>
      <c r="G39" s="114">
        <v>7</v>
      </c>
      <c r="H39" s="122"/>
      <c r="I39" s="129"/>
      <c r="J39" s="145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9">
        <v>46236</v>
      </c>
      <c r="B40" s="32">
        <f t="shared" si="8"/>
        <v>0.79166666666666619</v>
      </c>
      <c r="C40" s="26" t="s">
        <v>42</v>
      </c>
      <c r="D40" s="59" t="s">
        <v>315</v>
      </c>
      <c r="E40" s="120" t="s">
        <v>246</v>
      </c>
      <c r="F40" s="118"/>
      <c r="G40" s="114"/>
      <c r="H40" s="118"/>
      <c r="I40" s="130"/>
      <c r="J40" s="146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68" t="s">
        <v>231</v>
      </c>
      <c r="B41" s="169"/>
      <c r="C41" s="169"/>
      <c r="D41" s="169"/>
      <c r="E41" s="169">
        <f>SUM(E29:E40)</f>
        <v>0</v>
      </c>
      <c r="F41" s="123"/>
      <c r="G41" s="88">
        <f>SUM(G29:G40)</f>
        <v>80</v>
      </c>
      <c r="H41" s="123"/>
      <c r="I41" s="131"/>
      <c r="J41" s="147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232</v>
      </c>
      <c r="S41" s="83">
        <v>311070</v>
      </c>
      <c r="T41" s="138"/>
    </row>
    <row r="42" spans="1:20" ht="15" customHeight="1" x14ac:dyDescent="0.3">
      <c r="A42" s="69">
        <v>46236</v>
      </c>
      <c r="B42" s="32">
        <v>0.83333333333333304</v>
      </c>
      <c r="C42" s="33" t="s">
        <v>28</v>
      </c>
      <c r="D42" s="62" t="s">
        <v>315</v>
      </c>
      <c r="E42" s="121" t="s">
        <v>246</v>
      </c>
      <c r="F42" s="119"/>
      <c r="G42" s="114">
        <v>18</v>
      </c>
      <c r="H42" s="119"/>
      <c r="I42" s="132"/>
      <c r="J42" s="148"/>
      <c r="K42" s="34">
        <f t="shared" ref="K42:K53" si="9">IF(G42="","",IF(E42="PC 17",G42*4.2,IF(E42="PC 19",G42*5,IF(E42="CB",G42*24,""))))</f>
        <v>75.600000000000009</v>
      </c>
      <c r="L42" s="26" t="s">
        <v>20</v>
      </c>
      <c r="M42" s="26" t="s">
        <v>36</v>
      </c>
      <c r="N42" s="26" t="s">
        <v>47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28</v>
      </c>
      <c r="D43" s="62" t="s">
        <v>315</v>
      </c>
      <c r="E43" s="121" t="s">
        <v>246</v>
      </c>
      <c r="F43" s="122"/>
      <c r="G43" s="114">
        <v>6</v>
      </c>
      <c r="H43" s="122"/>
      <c r="I43" s="129"/>
      <c r="J43" s="145"/>
      <c r="K43" s="28">
        <f t="shared" si="9"/>
        <v>25.200000000000003</v>
      </c>
      <c r="L43" s="33" t="s">
        <v>20</v>
      </c>
      <c r="M43" s="33" t="s">
        <v>36</v>
      </c>
      <c r="N43" s="33" t="s">
        <v>47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9">
        <v>46236</v>
      </c>
      <c r="B44" s="32">
        <f t="shared" si="10"/>
        <v>0.9166666666666663</v>
      </c>
      <c r="C44" s="33" t="s">
        <v>28</v>
      </c>
      <c r="D44" s="62" t="s">
        <v>315</v>
      </c>
      <c r="E44" s="121" t="s">
        <v>246</v>
      </c>
      <c r="F44" s="122"/>
      <c r="G44" s="114">
        <v>3</v>
      </c>
      <c r="H44" s="122"/>
      <c r="I44" s="129"/>
      <c r="J44" s="145"/>
      <c r="K44" s="34">
        <f t="shared" si="9"/>
        <v>12.600000000000001</v>
      </c>
      <c r="L44" s="26" t="s">
        <v>20</v>
      </c>
      <c r="M44" s="26" t="s">
        <v>29</v>
      </c>
      <c r="N44" s="26" t="s">
        <v>47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8">
        <v>46236</v>
      </c>
      <c r="B45" s="25">
        <f t="shared" si="10"/>
        <v>0.95833333333333293</v>
      </c>
      <c r="C45" s="33" t="s">
        <v>28</v>
      </c>
      <c r="D45" s="62" t="s">
        <v>315</v>
      </c>
      <c r="E45" s="121" t="s">
        <v>246</v>
      </c>
      <c r="F45" s="122"/>
      <c r="G45" s="114">
        <v>3</v>
      </c>
      <c r="H45" s="122"/>
      <c r="I45" s="129"/>
      <c r="J45" s="145"/>
      <c r="K45" s="28">
        <f t="shared" si="9"/>
        <v>12.600000000000001</v>
      </c>
      <c r="L45" s="33" t="s">
        <v>20</v>
      </c>
      <c r="M45" s="33" t="s">
        <v>155</v>
      </c>
      <c r="N45" s="33" t="s">
        <v>47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9">
        <v>46236</v>
      </c>
      <c r="B46" s="32">
        <f t="shared" si="10"/>
        <v>0.99999999999999956</v>
      </c>
      <c r="C46" s="33" t="s">
        <v>28</v>
      </c>
      <c r="D46" s="62" t="s">
        <v>315</v>
      </c>
      <c r="E46" s="121" t="s">
        <v>246</v>
      </c>
      <c r="F46" s="122"/>
      <c r="G46" s="114">
        <v>20</v>
      </c>
      <c r="H46" s="122"/>
      <c r="I46" s="129"/>
      <c r="J46" s="145"/>
      <c r="K46" s="34">
        <f t="shared" si="9"/>
        <v>84</v>
      </c>
      <c r="L46" s="26" t="s">
        <v>20</v>
      </c>
      <c r="M46" s="26" t="s">
        <v>36</v>
      </c>
      <c r="N46" s="26" t="s">
        <v>47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8">
        <v>46236</v>
      </c>
      <c r="B47" s="25">
        <f t="shared" si="10"/>
        <v>1.0416666666666663</v>
      </c>
      <c r="C47" s="33" t="s">
        <v>28</v>
      </c>
      <c r="D47" s="62" t="s">
        <v>315</v>
      </c>
      <c r="E47" s="121" t="s">
        <v>246</v>
      </c>
      <c r="F47" s="122"/>
      <c r="G47" s="114">
        <v>0</v>
      </c>
      <c r="H47" s="122"/>
      <c r="I47" s="129"/>
      <c r="J47" s="145"/>
      <c r="K47" s="28">
        <f t="shared" si="9"/>
        <v>0</v>
      </c>
      <c r="L47" s="33" t="s">
        <v>20</v>
      </c>
      <c r="M47" s="33" t="s">
        <v>155</v>
      </c>
      <c r="N47" s="33" t="s">
        <v>47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9">
        <v>46236</v>
      </c>
      <c r="B48" s="32">
        <f t="shared" si="10"/>
        <v>1.083333333333333</v>
      </c>
      <c r="C48" s="33" t="s">
        <v>28</v>
      </c>
      <c r="D48" s="62" t="s">
        <v>315</v>
      </c>
      <c r="E48" s="121" t="s">
        <v>246</v>
      </c>
      <c r="F48" s="122"/>
      <c r="G48" s="114">
        <v>2</v>
      </c>
      <c r="H48" s="122"/>
      <c r="I48" s="129"/>
      <c r="J48" s="145"/>
      <c r="K48" s="34">
        <f t="shared" si="9"/>
        <v>8.4</v>
      </c>
      <c r="L48" s="26" t="s">
        <v>20</v>
      </c>
      <c r="M48" s="26" t="s">
        <v>36</v>
      </c>
      <c r="N48" s="26" t="s">
        <v>47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255</v>
      </c>
      <c r="S48" s="31"/>
    </row>
    <row r="49" spans="1:20" ht="15" customHeight="1" x14ac:dyDescent="0.3">
      <c r="A49" s="68">
        <v>46236</v>
      </c>
      <c r="B49" s="25">
        <f t="shared" si="10"/>
        <v>1.1249999999999998</v>
      </c>
      <c r="C49" s="33" t="s">
        <v>28</v>
      </c>
      <c r="D49" s="62" t="s">
        <v>315</v>
      </c>
      <c r="E49" s="121" t="s">
        <v>246</v>
      </c>
      <c r="F49" s="122"/>
      <c r="G49" s="114">
        <v>8</v>
      </c>
      <c r="H49" s="122"/>
      <c r="I49" s="129"/>
      <c r="J49" s="145"/>
      <c r="K49" s="28">
        <f t="shared" si="9"/>
        <v>33.6</v>
      </c>
      <c r="L49" s="33" t="s">
        <v>19</v>
      </c>
      <c r="M49" s="33" t="s">
        <v>36</v>
      </c>
      <c r="N49" s="33" t="s">
        <v>26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256</v>
      </c>
      <c r="S49" s="31"/>
    </row>
    <row r="50" spans="1:20" ht="15" customHeight="1" x14ac:dyDescent="0.3">
      <c r="A50" s="69">
        <v>46236</v>
      </c>
      <c r="B50" s="32">
        <f t="shared" si="10"/>
        <v>1.1666666666666665</v>
      </c>
      <c r="C50" s="33" t="s">
        <v>28</v>
      </c>
      <c r="D50" s="62" t="s">
        <v>315</v>
      </c>
      <c r="E50" s="121" t="s">
        <v>246</v>
      </c>
      <c r="F50" s="122"/>
      <c r="G50" s="114">
        <v>10</v>
      </c>
      <c r="H50" s="122"/>
      <c r="I50" s="129"/>
      <c r="J50" s="145"/>
      <c r="K50" s="34">
        <f t="shared" si="9"/>
        <v>42</v>
      </c>
      <c r="L50" s="26" t="s">
        <v>19</v>
      </c>
      <c r="M50" s="26" t="s">
        <v>36</v>
      </c>
      <c r="N50" s="26" t="s">
        <v>33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8">
        <v>46236</v>
      </c>
      <c r="B51" s="25">
        <f t="shared" si="10"/>
        <v>1.2083333333333333</v>
      </c>
      <c r="C51" s="33" t="s">
        <v>28</v>
      </c>
      <c r="D51" s="62" t="s">
        <v>315</v>
      </c>
      <c r="E51" s="121" t="s">
        <v>246</v>
      </c>
      <c r="F51" s="122"/>
      <c r="G51" s="114">
        <v>0</v>
      </c>
      <c r="H51" s="122"/>
      <c r="I51" s="129"/>
      <c r="J51" s="145"/>
      <c r="K51" s="28">
        <f t="shared" si="9"/>
        <v>0</v>
      </c>
      <c r="L51" s="33" t="s">
        <v>20</v>
      </c>
      <c r="M51" s="33" t="s">
        <v>36</v>
      </c>
      <c r="N51" s="33" t="s">
        <v>47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9">
        <v>46236</v>
      </c>
      <c r="B52" s="32">
        <f t="shared" si="10"/>
        <v>1.25</v>
      </c>
      <c r="C52" s="33" t="s">
        <v>28</v>
      </c>
      <c r="D52" s="62" t="s">
        <v>315</v>
      </c>
      <c r="E52" s="121" t="s">
        <v>246</v>
      </c>
      <c r="F52" s="122"/>
      <c r="G52" s="114">
        <v>14</v>
      </c>
      <c r="H52" s="122"/>
      <c r="I52" s="129"/>
      <c r="J52" s="145"/>
      <c r="K52" s="34">
        <f t="shared" si="9"/>
        <v>58.800000000000004</v>
      </c>
      <c r="L52" s="26" t="s">
        <v>18</v>
      </c>
      <c r="M52" s="26" t="s">
        <v>36</v>
      </c>
      <c r="N52" s="26" t="s">
        <v>126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257</v>
      </c>
      <c r="S52" s="31"/>
    </row>
    <row r="53" spans="1:20" ht="15" customHeight="1" thickBot="1" x14ac:dyDescent="0.35">
      <c r="A53" s="68">
        <v>46236</v>
      </c>
      <c r="B53" s="25">
        <f t="shared" si="10"/>
        <v>1.2916666666666667</v>
      </c>
      <c r="C53" s="33" t="s">
        <v>28</v>
      </c>
      <c r="D53" s="62" t="s">
        <v>315</v>
      </c>
      <c r="E53" s="121" t="s">
        <v>246</v>
      </c>
      <c r="F53" s="118"/>
      <c r="G53" s="114">
        <v>0</v>
      </c>
      <c r="H53" s="118"/>
      <c r="I53" s="130"/>
      <c r="J53" s="146"/>
      <c r="K53" s="28">
        <f t="shared" si="9"/>
        <v>0</v>
      </c>
      <c r="L53" s="33" t="s">
        <v>18</v>
      </c>
      <c r="M53" s="33"/>
      <c r="N53" s="33" t="s">
        <v>126</v>
      </c>
      <c r="O53" s="29">
        <v>0.12152777777777778</v>
      </c>
      <c r="P53" s="29"/>
      <c r="Q53" s="30">
        <f t="shared" ca="1" si="11"/>
        <v>0.51737824073643424</v>
      </c>
      <c r="R53" s="46" t="s">
        <v>258</v>
      </c>
      <c r="S53" s="31"/>
    </row>
    <row r="54" spans="1:20" ht="15.75" customHeight="1" thickBot="1" x14ac:dyDescent="0.35">
      <c r="A54" s="168" t="s">
        <v>234</v>
      </c>
      <c r="B54" s="169"/>
      <c r="C54" s="169"/>
      <c r="D54" s="169"/>
      <c r="E54" s="169">
        <f>SUM(E42:E53)</f>
        <v>0</v>
      </c>
      <c r="F54" s="124"/>
      <c r="G54" s="88">
        <f>SUM(G42:G53)</f>
        <v>84</v>
      </c>
      <c r="H54" s="124"/>
      <c r="I54" s="133"/>
      <c r="J54" s="149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0.65626712962532308</v>
      </c>
      <c r="R54" s="36" t="s">
        <v>232</v>
      </c>
      <c r="S54" s="83">
        <v>352430</v>
      </c>
      <c r="T54" s="138"/>
    </row>
    <row r="55" spans="1:20" ht="18" customHeight="1" x14ac:dyDescent="0.3">
      <c r="A55" s="165" t="s">
        <v>235</v>
      </c>
      <c r="B55" s="166"/>
      <c r="C55" s="166"/>
      <c r="D55" s="166"/>
      <c r="E55" s="166">
        <f>E41+E54</f>
        <v>0</v>
      </c>
      <c r="F55" s="125"/>
      <c r="G55" s="100">
        <f>G41+G54</f>
        <v>164</v>
      </c>
      <c r="H55" s="125"/>
      <c r="I55" s="134"/>
      <c r="J55" s="150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0.74098935184754544</v>
      </c>
      <c r="R55" s="40" t="s">
        <v>236</v>
      </c>
      <c r="S55" s="81">
        <f>IFERROR(S41+S54,"")</f>
        <v>663500</v>
      </c>
      <c r="T55" s="137">
        <f>IFERROR(J55,"")</f>
        <v>0</v>
      </c>
    </row>
    <row r="56" spans="1:20" ht="15" customHeight="1" x14ac:dyDescent="0.3">
      <c r="A56" s="68">
        <v>46237</v>
      </c>
      <c r="B56" s="25">
        <v>0.33333333333333298</v>
      </c>
      <c r="C56" s="26" t="s">
        <v>42</v>
      </c>
      <c r="D56" s="59" t="s">
        <v>317</v>
      </c>
      <c r="E56" s="120" t="s">
        <v>246</v>
      </c>
      <c r="F56" s="119"/>
      <c r="G56" s="114">
        <v>12</v>
      </c>
      <c r="H56" s="119"/>
      <c r="I56" s="132"/>
      <c r="J56" s="148"/>
      <c r="K56" s="28">
        <f t="shared" ref="K56:K67" si="12">IF(G56="","",IF(E56="PC 17",G56*4.2,IF(E56="PC 19",G56*5,IF(E56="CB",G56*24,""))))</f>
        <v>50.400000000000006</v>
      </c>
      <c r="L56" s="26" t="s">
        <v>19</v>
      </c>
      <c r="M56" s="26" t="s">
        <v>29</v>
      </c>
      <c r="N56" s="26" t="s">
        <v>26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42</v>
      </c>
      <c r="D57" s="59" t="s">
        <v>317</v>
      </c>
      <c r="E57" s="120" t="s">
        <v>246</v>
      </c>
      <c r="F57" s="122"/>
      <c r="G57" s="114">
        <v>17</v>
      </c>
      <c r="H57" s="122"/>
      <c r="I57" s="129"/>
      <c r="J57" s="145"/>
      <c r="K57" s="34">
        <f t="shared" si="12"/>
        <v>71.400000000000006</v>
      </c>
      <c r="L57" s="33" t="s">
        <v>20</v>
      </c>
      <c r="M57" s="33" t="s">
        <v>119</v>
      </c>
      <c r="N57" s="80" t="s">
        <v>110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8">
        <v>46237</v>
      </c>
      <c r="B58" s="25">
        <f t="shared" si="14"/>
        <v>0.41666666666666635</v>
      </c>
      <c r="C58" s="26" t="s">
        <v>42</v>
      </c>
      <c r="D58" s="59" t="s">
        <v>318</v>
      </c>
      <c r="E58" s="120" t="s">
        <v>246</v>
      </c>
      <c r="F58" s="122"/>
      <c r="G58" s="114">
        <v>10</v>
      </c>
      <c r="H58" s="122"/>
      <c r="I58" s="129"/>
      <c r="J58" s="145"/>
      <c r="K58" s="28">
        <f t="shared" si="12"/>
        <v>42</v>
      </c>
      <c r="L58" s="26" t="s">
        <v>20</v>
      </c>
      <c r="M58" s="79" t="s">
        <v>119</v>
      </c>
      <c r="N58" s="26" t="s">
        <v>110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9">
        <v>46237</v>
      </c>
      <c r="B59" s="32">
        <f t="shared" si="14"/>
        <v>0.45833333333333304</v>
      </c>
      <c r="C59" s="26" t="s">
        <v>42</v>
      </c>
      <c r="D59" s="59" t="s">
        <v>317</v>
      </c>
      <c r="E59" s="120" t="s">
        <v>246</v>
      </c>
      <c r="F59" s="122"/>
      <c r="G59" s="114">
        <v>10</v>
      </c>
      <c r="H59" s="122"/>
      <c r="I59" s="129"/>
      <c r="J59" s="145"/>
      <c r="K59" s="34">
        <f t="shared" si="12"/>
        <v>42</v>
      </c>
      <c r="L59" s="33" t="s">
        <v>20</v>
      </c>
      <c r="M59" s="33" t="s">
        <v>119</v>
      </c>
      <c r="N59" s="33" t="s">
        <v>110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8">
        <v>46237</v>
      </c>
      <c r="B60" s="25">
        <f t="shared" si="14"/>
        <v>0.49999999999999972</v>
      </c>
      <c r="C60" s="26" t="s">
        <v>42</v>
      </c>
      <c r="D60" s="59" t="s">
        <v>317</v>
      </c>
      <c r="E60" s="120" t="s">
        <v>246</v>
      </c>
      <c r="F60" s="122"/>
      <c r="G60" s="114">
        <v>6</v>
      </c>
      <c r="H60" s="122"/>
      <c r="I60" s="129"/>
      <c r="J60" s="145"/>
      <c r="K60" s="28">
        <f t="shared" si="12"/>
        <v>25.200000000000003</v>
      </c>
      <c r="L60" s="26" t="s">
        <v>20</v>
      </c>
      <c r="M60" s="26" t="s">
        <v>119</v>
      </c>
      <c r="N60" s="26" t="s">
        <v>110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9">
        <v>46237</v>
      </c>
      <c r="B61" s="32">
        <f t="shared" si="14"/>
        <v>0.54166666666666641</v>
      </c>
      <c r="C61" s="26" t="s">
        <v>42</v>
      </c>
      <c r="D61" s="59" t="s">
        <v>317</v>
      </c>
      <c r="E61" s="120" t="s">
        <v>246</v>
      </c>
      <c r="F61" s="122"/>
      <c r="G61" s="114">
        <v>14</v>
      </c>
      <c r="H61" s="122"/>
      <c r="I61" s="129"/>
      <c r="J61" s="145"/>
      <c r="K61" s="34">
        <f t="shared" si="12"/>
        <v>58.800000000000004</v>
      </c>
      <c r="L61" s="33" t="s">
        <v>20</v>
      </c>
      <c r="M61" s="33" t="s">
        <v>119</v>
      </c>
      <c r="N61" s="33" t="s">
        <v>110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8">
        <v>46237</v>
      </c>
      <c r="B62" s="25">
        <f t="shared" si="14"/>
        <v>0.58333333333333304</v>
      </c>
      <c r="C62" s="26" t="s">
        <v>42</v>
      </c>
      <c r="D62" s="59" t="s">
        <v>317</v>
      </c>
      <c r="E62" s="120" t="s">
        <v>246</v>
      </c>
      <c r="F62" s="122"/>
      <c r="G62" s="114">
        <v>19</v>
      </c>
      <c r="H62" s="122"/>
      <c r="I62" s="129"/>
      <c r="J62" s="145"/>
      <c r="K62" s="28">
        <f t="shared" si="12"/>
        <v>79.8</v>
      </c>
      <c r="L62" s="26" t="s">
        <v>20</v>
      </c>
      <c r="M62" s="26" t="s">
        <v>119</v>
      </c>
      <c r="N62" s="26" t="s">
        <v>110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9">
        <v>46237</v>
      </c>
      <c r="B63" s="32">
        <f t="shared" si="14"/>
        <v>0.62499999999999967</v>
      </c>
      <c r="C63" s="26" t="s">
        <v>42</v>
      </c>
      <c r="D63" s="59" t="s">
        <v>317</v>
      </c>
      <c r="E63" s="120" t="s">
        <v>246</v>
      </c>
      <c r="F63" s="122"/>
      <c r="G63" s="114">
        <v>12</v>
      </c>
      <c r="H63" s="122"/>
      <c r="I63" s="129"/>
      <c r="J63" s="145"/>
      <c r="K63" s="34">
        <f t="shared" si="12"/>
        <v>50.400000000000006</v>
      </c>
      <c r="L63" s="33" t="s">
        <v>19</v>
      </c>
      <c r="M63" s="33" t="s">
        <v>36</v>
      </c>
      <c r="N63" s="33" t="s">
        <v>26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250</v>
      </c>
      <c r="S63" s="31"/>
    </row>
    <row r="64" spans="1:20" ht="15" customHeight="1" x14ac:dyDescent="0.3">
      <c r="A64" s="68">
        <v>46237</v>
      </c>
      <c r="B64" s="25">
        <f t="shared" si="14"/>
        <v>0.6666666666666663</v>
      </c>
      <c r="C64" s="26" t="s">
        <v>42</v>
      </c>
      <c r="D64" s="59" t="s">
        <v>317</v>
      </c>
      <c r="E64" s="120" t="s">
        <v>246</v>
      </c>
      <c r="F64" s="122"/>
      <c r="G64" s="114">
        <v>14</v>
      </c>
      <c r="H64" s="122"/>
      <c r="I64" s="129"/>
      <c r="J64" s="145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9">
        <v>46237</v>
      </c>
      <c r="B65" s="32">
        <f t="shared" si="14"/>
        <v>0.70833333333333293</v>
      </c>
      <c r="C65" s="26" t="s">
        <v>42</v>
      </c>
      <c r="D65" s="59" t="s">
        <v>317</v>
      </c>
      <c r="E65" s="120" t="s">
        <v>246</v>
      </c>
      <c r="F65" s="122"/>
      <c r="G65" s="114">
        <v>6</v>
      </c>
      <c r="H65" s="122"/>
      <c r="I65" s="129"/>
      <c r="J65" s="145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8">
        <v>46237</v>
      </c>
      <c r="B66" s="25">
        <f t="shared" si="14"/>
        <v>0.74999999999999956</v>
      </c>
      <c r="C66" s="26" t="s">
        <v>42</v>
      </c>
      <c r="D66" s="59" t="s">
        <v>317</v>
      </c>
      <c r="E66" s="120" t="s">
        <v>246</v>
      </c>
      <c r="F66" s="122"/>
      <c r="G66" s="114">
        <v>5</v>
      </c>
      <c r="H66" s="122"/>
      <c r="I66" s="129"/>
      <c r="J66" s="145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9">
        <v>46237</v>
      </c>
      <c r="B67" s="32">
        <f t="shared" si="14"/>
        <v>0.79166666666666619</v>
      </c>
      <c r="C67" s="26" t="s">
        <v>42</v>
      </c>
      <c r="D67" s="59" t="s">
        <v>317</v>
      </c>
      <c r="E67" s="120" t="s">
        <v>246</v>
      </c>
      <c r="F67" s="118"/>
      <c r="G67" s="114">
        <v>11</v>
      </c>
      <c r="H67" s="118"/>
      <c r="I67" s="130"/>
      <c r="J67" s="146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68" t="s">
        <v>231</v>
      </c>
      <c r="B68" s="169"/>
      <c r="C68" s="169"/>
      <c r="D68" s="169"/>
      <c r="E68" s="169">
        <f>SUM(E56:E67)</f>
        <v>0</v>
      </c>
      <c r="F68" s="123"/>
      <c r="G68" s="88">
        <f>SUM(G56:G67)</f>
        <v>136</v>
      </c>
      <c r="H68" s="123"/>
      <c r="I68" s="131"/>
      <c r="J68" s="147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232</v>
      </c>
      <c r="S68" s="54">
        <v>565230</v>
      </c>
      <c r="T68" s="139"/>
    </row>
    <row r="69" spans="1:20" ht="15" customHeight="1" x14ac:dyDescent="0.3">
      <c r="A69" s="69">
        <v>46237</v>
      </c>
      <c r="B69" s="32">
        <v>0.83333333333333304</v>
      </c>
      <c r="C69" s="33" t="s">
        <v>28</v>
      </c>
      <c r="D69" s="62" t="s">
        <v>317</v>
      </c>
      <c r="E69" s="121" t="s">
        <v>246</v>
      </c>
      <c r="F69" s="119"/>
      <c r="G69" s="114">
        <v>21</v>
      </c>
      <c r="H69" s="119"/>
      <c r="I69" s="132"/>
      <c r="J69" s="148"/>
      <c r="K69" s="34">
        <f t="shared" ref="K69:K80" si="15">IF(G69="","",IF(E69="PC 17",G69*4.2,IF(E69="PC 19",G69*5,IF(E69="CB",G69*24,""))))</f>
        <v>88.2</v>
      </c>
      <c r="L69" s="33" t="s">
        <v>20</v>
      </c>
      <c r="M69" s="33" t="s">
        <v>145</v>
      </c>
      <c r="N69" s="26" t="s">
        <v>181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28</v>
      </c>
      <c r="D70" s="62" t="s">
        <v>317</v>
      </c>
      <c r="E70" s="121" t="s">
        <v>246</v>
      </c>
      <c r="F70" s="122"/>
      <c r="G70" s="114">
        <v>14</v>
      </c>
      <c r="H70" s="122"/>
      <c r="I70" s="129"/>
      <c r="J70" s="145"/>
      <c r="K70" s="28">
        <f t="shared" si="15"/>
        <v>58.800000000000004</v>
      </c>
      <c r="L70" s="26" t="s">
        <v>17</v>
      </c>
      <c r="M70" s="26" t="s">
        <v>131</v>
      </c>
      <c r="N70" s="26" t="s">
        <v>45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9">
        <v>46237</v>
      </c>
      <c r="B71" s="32">
        <f t="shared" si="16"/>
        <v>0.9166666666666663</v>
      </c>
      <c r="C71" s="33" t="s">
        <v>28</v>
      </c>
      <c r="D71" s="62" t="s">
        <v>317</v>
      </c>
      <c r="E71" s="121" t="s">
        <v>246</v>
      </c>
      <c r="F71" s="122"/>
      <c r="G71" s="114">
        <v>1</v>
      </c>
      <c r="H71" s="122"/>
      <c r="I71" s="129"/>
      <c r="J71" s="145"/>
      <c r="K71" s="34">
        <f t="shared" si="15"/>
        <v>4.2</v>
      </c>
      <c r="L71" s="33" t="s">
        <v>20</v>
      </c>
      <c r="M71" s="33" t="s">
        <v>153</v>
      </c>
      <c r="N71" s="33" t="s">
        <v>70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8">
        <v>46237</v>
      </c>
      <c r="B72" s="25">
        <f t="shared" si="16"/>
        <v>0.95833333333333293</v>
      </c>
      <c r="C72" s="33" t="s">
        <v>28</v>
      </c>
      <c r="D72" s="62" t="s">
        <v>317</v>
      </c>
      <c r="E72" s="121" t="s">
        <v>246</v>
      </c>
      <c r="F72" s="122"/>
      <c r="G72" s="114">
        <v>5</v>
      </c>
      <c r="H72" s="122"/>
      <c r="I72" s="129"/>
      <c r="J72" s="145"/>
      <c r="K72" s="28">
        <f t="shared" si="15"/>
        <v>21</v>
      </c>
      <c r="L72" s="26" t="s">
        <v>20</v>
      </c>
      <c r="M72" s="26" t="s">
        <v>153</v>
      </c>
      <c r="N72" s="26" t="s">
        <v>70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9">
        <v>46237</v>
      </c>
      <c r="B73" s="32">
        <f t="shared" si="16"/>
        <v>0.99999999999999956</v>
      </c>
      <c r="C73" s="33" t="s">
        <v>28</v>
      </c>
      <c r="D73" s="62" t="s">
        <v>317</v>
      </c>
      <c r="E73" s="121" t="s">
        <v>246</v>
      </c>
      <c r="F73" s="122"/>
      <c r="G73" s="114">
        <v>14</v>
      </c>
      <c r="H73" s="122"/>
      <c r="I73" s="129"/>
      <c r="J73" s="145"/>
      <c r="K73" s="34">
        <f t="shared" si="15"/>
        <v>58.800000000000004</v>
      </c>
      <c r="L73" s="33" t="s">
        <v>19</v>
      </c>
      <c r="M73" s="33" t="s">
        <v>29</v>
      </c>
      <c r="N73" s="33" t="s">
        <v>26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8">
        <v>46237</v>
      </c>
      <c r="B74" s="25">
        <f t="shared" si="16"/>
        <v>1.0416666666666663</v>
      </c>
      <c r="C74" s="33" t="s">
        <v>28</v>
      </c>
      <c r="D74" s="62" t="s">
        <v>317</v>
      </c>
      <c r="E74" s="121" t="s">
        <v>246</v>
      </c>
      <c r="F74" s="122"/>
      <c r="G74" s="114">
        <v>19</v>
      </c>
      <c r="H74" s="122"/>
      <c r="I74" s="129"/>
      <c r="J74" s="145"/>
      <c r="K74" s="28">
        <f t="shared" si="15"/>
        <v>79.8</v>
      </c>
      <c r="L74" s="26" t="s">
        <v>20</v>
      </c>
      <c r="M74" s="26" t="s">
        <v>153</v>
      </c>
      <c r="N74" s="26" t="s">
        <v>70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9">
        <v>46237</v>
      </c>
      <c r="B75" s="32">
        <f t="shared" si="16"/>
        <v>1.083333333333333</v>
      </c>
      <c r="C75" s="33" t="s">
        <v>28</v>
      </c>
      <c r="D75" s="62" t="s">
        <v>317</v>
      </c>
      <c r="E75" s="121" t="s">
        <v>246</v>
      </c>
      <c r="F75" s="122"/>
      <c r="G75" s="114">
        <v>16</v>
      </c>
      <c r="H75" s="122"/>
      <c r="I75" s="129"/>
      <c r="J75" s="145"/>
      <c r="K75" s="34">
        <f t="shared" si="15"/>
        <v>67.2</v>
      </c>
      <c r="L75" s="33" t="s">
        <v>19</v>
      </c>
      <c r="M75" s="33" t="s">
        <v>36</v>
      </c>
      <c r="N75" s="33" t="s">
        <v>26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8">
        <v>46237</v>
      </c>
      <c r="B76" s="25">
        <f t="shared" si="16"/>
        <v>1.1249999999999998</v>
      </c>
      <c r="C76" s="33" t="s">
        <v>28</v>
      </c>
      <c r="D76" s="62" t="s">
        <v>317</v>
      </c>
      <c r="E76" s="121" t="s">
        <v>246</v>
      </c>
      <c r="F76" s="122"/>
      <c r="G76" s="114">
        <v>12</v>
      </c>
      <c r="H76" s="122"/>
      <c r="I76" s="129"/>
      <c r="J76" s="145"/>
      <c r="K76" s="28">
        <f t="shared" si="15"/>
        <v>50.400000000000006</v>
      </c>
      <c r="L76" s="26" t="s">
        <v>20</v>
      </c>
      <c r="M76" s="26" t="s">
        <v>29</v>
      </c>
      <c r="N76" s="26" t="s">
        <v>196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259</v>
      </c>
      <c r="S76" s="31"/>
    </row>
    <row r="77" spans="1:20" ht="15" customHeight="1" x14ac:dyDescent="0.3">
      <c r="A77" s="69">
        <v>46237</v>
      </c>
      <c r="B77" s="32">
        <f t="shared" si="16"/>
        <v>1.1666666666666665</v>
      </c>
      <c r="C77" s="33" t="s">
        <v>28</v>
      </c>
      <c r="D77" s="62" t="s">
        <v>317</v>
      </c>
      <c r="E77" s="121" t="s">
        <v>246</v>
      </c>
      <c r="F77" s="122"/>
      <c r="G77" s="114">
        <v>12</v>
      </c>
      <c r="H77" s="122"/>
      <c r="I77" s="129"/>
      <c r="J77" s="145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8">
        <v>46237</v>
      </c>
      <c r="B78" s="25">
        <f t="shared" si="16"/>
        <v>1.2083333333333333</v>
      </c>
      <c r="C78" s="33" t="s">
        <v>28</v>
      </c>
      <c r="D78" s="62" t="s">
        <v>317</v>
      </c>
      <c r="E78" s="121" t="s">
        <v>246</v>
      </c>
      <c r="F78" s="122"/>
      <c r="G78" s="114">
        <v>13</v>
      </c>
      <c r="H78" s="122"/>
      <c r="I78" s="129"/>
      <c r="J78" s="145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9">
        <v>46237</v>
      </c>
      <c r="B79" s="32">
        <f t="shared" si="16"/>
        <v>1.25</v>
      </c>
      <c r="C79" s="33" t="s">
        <v>28</v>
      </c>
      <c r="D79" s="62" t="s">
        <v>316</v>
      </c>
      <c r="E79" s="121" t="s">
        <v>246</v>
      </c>
      <c r="F79" s="122"/>
      <c r="G79" s="114">
        <v>15</v>
      </c>
      <c r="H79" s="122"/>
      <c r="I79" s="129"/>
      <c r="J79" s="145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8">
        <v>46237</v>
      </c>
      <c r="B80" s="25">
        <f t="shared" si="16"/>
        <v>1.2916666666666667</v>
      </c>
      <c r="C80" s="33" t="s">
        <v>28</v>
      </c>
      <c r="D80" s="62" t="s">
        <v>316</v>
      </c>
      <c r="E80" s="121" t="s">
        <v>246</v>
      </c>
      <c r="F80" s="118"/>
      <c r="G80" s="114">
        <v>10</v>
      </c>
      <c r="H80" s="118"/>
      <c r="I80" s="130"/>
      <c r="J80" s="146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68" t="s">
        <v>234</v>
      </c>
      <c r="B81" s="169"/>
      <c r="C81" s="169"/>
      <c r="D81" s="169"/>
      <c r="E81" s="169">
        <f>SUM(E69:E80)</f>
        <v>0</v>
      </c>
      <c r="F81" s="124"/>
      <c r="G81" s="88">
        <f>SUM(G69:G80)</f>
        <v>152</v>
      </c>
      <c r="H81" s="124"/>
      <c r="I81" s="133"/>
      <c r="J81" s="149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232</v>
      </c>
      <c r="S81" s="54">
        <v>634210</v>
      </c>
      <c r="T81" s="139"/>
    </row>
    <row r="82" spans="1:20" ht="18" customHeight="1" x14ac:dyDescent="0.3">
      <c r="A82" s="165" t="s">
        <v>235</v>
      </c>
      <c r="B82" s="166"/>
      <c r="C82" s="166"/>
      <c r="D82" s="166"/>
      <c r="E82" s="166">
        <f>E68+E81</f>
        <v>0</v>
      </c>
      <c r="F82" s="125"/>
      <c r="G82" s="100">
        <f>G68+G81</f>
        <v>288</v>
      </c>
      <c r="H82" s="125"/>
      <c r="I82" s="134"/>
      <c r="J82" s="150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236</v>
      </c>
      <c r="S82" s="81">
        <f>IFERROR(S68+S81,"")</f>
        <v>1199440</v>
      </c>
      <c r="T82" s="137">
        <f>IFERROR(J82,"")</f>
        <v>0</v>
      </c>
    </row>
    <row r="83" spans="1:20" ht="15" customHeight="1" x14ac:dyDescent="0.3">
      <c r="A83" s="68">
        <v>46238</v>
      </c>
      <c r="B83" s="25">
        <v>0.33333333333333298</v>
      </c>
      <c r="C83" s="26" t="s">
        <v>42</v>
      </c>
      <c r="D83" s="20" t="s">
        <v>316</v>
      </c>
      <c r="E83" s="120" t="s">
        <v>246</v>
      </c>
      <c r="F83" s="119"/>
      <c r="G83" s="114">
        <v>12</v>
      </c>
      <c r="H83" s="119"/>
      <c r="I83" s="132"/>
      <c r="J83" s="148"/>
      <c r="K83" s="28">
        <f t="shared" ref="K83:K94" si="18">IF(G83="","",IF(E83="PC 17",G83*4.2,IF(E83="PC 19",G83*5,IF(E83="CB",G83*24,""))))</f>
        <v>50.400000000000006</v>
      </c>
      <c r="L83" s="33" t="s">
        <v>18</v>
      </c>
      <c r="M83" s="33" t="s">
        <v>134</v>
      </c>
      <c r="N83" s="33" t="s">
        <v>206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42</v>
      </c>
      <c r="D84" s="59" t="s">
        <v>316</v>
      </c>
      <c r="E84" s="120" t="s">
        <v>246</v>
      </c>
      <c r="F84" s="122"/>
      <c r="G84" s="114">
        <v>6</v>
      </c>
      <c r="H84" s="122"/>
      <c r="I84" s="129"/>
      <c r="J84" s="145"/>
      <c r="K84" s="34">
        <f t="shared" si="18"/>
        <v>25.200000000000003</v>
      </c>
      <c r="L84" s="26" t="s">
        <v>19</v>
      </c>
      <c r="M84" s="26" t="s">
        <v>36</v>
      </c>
      <c r="N84" s="26" t="s">
        <v>26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8">
        <v>46238</v>
      </c>
      <c r="B85" s="25">
        <f t="shared" si="20"/>
        <v>0.41666666666666635</v>
      </c>
      <c r="C85" s="26" t="s">
        <v>42</v>
      </c>
      <c r="D85" s="59" t="s">
        <v>316</v>
      </c>
      <c r="E85" s="120" t="s">
        <v>246</v>
      </c>
      <c r="F85" s="122"/>
      <c r="G85" s="114">
        <v>15</v>
      </c>
      <c r="H85" s="122"/>
      <c r="I85" s="129"/>
      <c r="J85" s="145"/>
      <c r="K85" s="28">
        <f t="shared" si="18"/>
        <v>63</v>
      </c>
      <c r="L85" s="33" t="s">
        <v>20</v>
      </c>
      <c r="M85" s="33" t="s">
        <v>36</v>
      </c>
      <c r="N85" s="33" t="s">
        <v>34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9">
        <v>46238</v>
      </c>
      <c r="B86" s="32">
        <f t="shared" si="20"/>
        <v>0.45833333333333304</v>
      </c>
      <c r="C86" s="26" t="s">
        <v>42</v>
      </c>
      <c r="D86" s="59" t="s">
        <v>316</v>
      </c>
      <c r="E86" s="120" t="s">
        <v>246</v>
      </c>
      <c r="F86" s="122"/>
      <c r="G86" s="114">
        <v>13</v>
      </c>
      <c r="H86" s="122"/>
      <c r="I86" s="129"/>
      <c r="J86" s="145"/>
      <c r="K86" s="34">
        <f t="shared" si="18"/>
        <v>54.6</v>
      </c>
      <c r="L86" s="26" t="s">
        <v>20</v>
      </c>
      <c r="M86" s="26" t="s">
        <v>36</v>
      </c>
      <c r="N86" s="26" t="s">
        <v>34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8">
        <v>46238</v>
      </c>
      <c r="B87" s="25">
        <f t="shared" si="20"/>
        <v>0.49999999999999972</v>
      </c>
      <c r="C87" s="26" t="s">
        <v>42</v>
      </c>
      <c r="D87" s="59" t="s">
        <v>316</v>
      </c>
      <c r="E87" s="120" t="s">
        <v>246</v>
      </c>
      <c r="F87" s="122"/>
      <c r="G87" s="114">
        <v>14</v>
      </c>
      <c r="H87" s="122"/>
      <c r="I87" s="129"/>
      <c r="J87" s="145"/>
      <c r="K87" s="28">
        <f t="shared" si="18"/>
        <v>58.800000000000004</v>
      </c>
      <c r="L87" s="33" t="s">
        <v>18</v>
      </c>
      <c r="M87" s="33" t="s">
        <v>134</v>
      </c>
      <c r="N87" s="33" t="s">
        <v>114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9">
        <v>46238</v>
      </c>
      <c r="B88" s="32">
        <f t="shared" si="20"/>
        <v>0.54166666666666641</v>
      </c>
      <c r="C88" s="26" t="s">
        <v>42</v>
      </c>
      <c r="D88" s="59" t="s">
        <v>316</v>
      </c>
      <c r="E88" s="120" t="s">
        <v>246</v>
      </c>
      <c r="F88" s="122"/>
      <c r="G88" s="114">
        <v>18</v>
      </c>
      <c r="H88" s="122"/>
      <c r="I88" s="129"/>
      <c r="J88" s="145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8">
        <v>46238</v>
      </c>
      <c r="B89" s="25">
        <f t="shared" si="20"/>
        <v>0.58333333333333304</v>
      </c>
      <c r="C89" s="26" t="s">
        <v>42</v>
      </c>
      <c r="D89" s="59" t="s">
        <v>316</v>
      </c>
      <c r="E89" s="120" t="s">
        <v>246</v>
      </c>
      <c r="F89" s="122"/>
      <c r="G89" s="114">
        <v>12</v>
      </c>
      <c r="H89" s="122"/>
      <c r="I89" s="129"/>
      <c r="J89" s="145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9">
        <v>46238</v>
      </c>
      <c r="B90" s="32">
        <f t="shared" si="20"/>
        <v>0.62499999999999967</v>
      </c>
      <c r="C90" s="26" t="s">
        <v>42</v>
      </c>
      <c r="D90" s="59" t="s">
        <v>316</v>
      </c>
      <c r="E90" s="120" t="s">
        <v>246</v>
      </c>
      <c r="F90" s="122"/>
      <c r="G90" s="114">
        <v>0</v>
      </c>
      <c r="H90" s="122"/>
      <c r="I90" s="129"/>
      <c r="J90" s="145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8">
        <v>46238</v>
      </c>
      <c r="B91" s="25">
        <f t="shared" si="20"/>
        <v>0.6666666666666663</v>
      </c>
      <c r="C91" s="26" t="s">
        <v>42</v>
      </c>
      <c r="D91" s="59" t="s">
        <v>316</v>
      </c>
      <c r="E91" s="120" t="s">
        <v>246</v>
      </c>
      <c r="F91" s="122"/>
      <c r="G91" s="114">
        <v>0</v>
      </c>
      <c r="H91" s="122"/>
      <c r="I91" s="129"/>
      <c r="J91" s="145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9">
        <v>46238</v>
      </c>
      <c r="B92" s="32">
        <f t="shared" si="20"/>
        <v>0.70833333333333293</v>
      </c>
      <c r="C92" s="26" t="s">
        <v>42</v>
      </c>
      <c r="D92" s="59" t="s">
        <v>316</v>
      </c>
      <c r="E92" s="120" t="s">
        <v>246</v>
      </c>
      <c r="F92" s="122"/>
      <c r="G92" s="114">
        <v>0</v>
      </c>
      <c r="H92" s="122"/>
      <c r="I92" s="129"/>
      <c r="J92" s="145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8">
        <v>46238</v>
      </c>
      <c r="B93" s="25">
        <f t="shared" si="20"/>
        <v>0.74999999999999956</v>
      </c>
      <c r="C93" s="26" t="s">
        <v>42</v>
      </c>
      <c r="D93" s="59" t="s">
        <v>316</v>
      </c>
      <c r="E93" s="120" t="s">
        <v>246</v>
      </c>
      <c r="F93" s="122"/>
      <c r="G93" s="114">
        <v>2</v>
      </c>
      <c r="H93" s="122"/>
      <c r="I93" s="129"/>
      <c r="J93" s="145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9">
        <v>46238</v>
      </c>
      <c r="B94" s="32">
        <f t="shared" si="20"/>
        <v>0.79166666666666619</v>
      </c>
      <c r="C94" s="26" t="s">
        <v>42</v>
      </c>
      <c r="D94" s="59" t="s">
        <v>316</v>
      </c>
      <c r="E94" s="120" t="s">
        <v>246</v>
      </c>
      <c r="F94" s="118"/>
      <c r="G94" s="114">
        <v>4</v>
      </c>
      <c r="H94" s="118"/>
      <c r="I94" s="130"/>
      <c r="J94" s="146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68" t="s">
        <v>231</v>
      </c>
      <c r="B95" s="169"/>
      <c r="C95" s="169"/>
      <c r="D95" s="169"/>
      <c r="E95" s="169">
        <f>SUM(E83:E94)</f>
        <v>0</v>
      </c>
      <c r="F95" s="123"/>
      <c r="G95" s="88">
        <f>SUM(G83:G94)</f>
        <v>96</v>
      </c>
      <c r="H95" s="123"/>
      <c r="I95" s="131"/>
      <c r="J95" s="147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232</v>
      </c>
      <c r="S95" s="54">
        <v>449600</v>
      </c>
      <c r="T95" s="139"/>
    </row>
    <row r="96" spans="1:20" ht="15" customHeight="1" x14ac:dyDescent="0.3">
      <c r="A96" s="69">
        <v>46238</v>
      </c>
      <c r="B96" s="32">
        <v>0.83333333333333304</v>
      </c>
      <c r="C96" s="33" t="s">
        <v>28</v>
      </c>
      <c r="D96" s="62" t="s">
        <v>316</v>
      </c>
      <c r="E96" s="121" t="s">
        <v>246</v>
      </c>
      <c r="F96" s="119"/>
      <c r="G96" s="114">
        <v>3</v>
      </c>
      <c r="H96" s="119"/>
      <c r="I96" s="132"/>
      <c r="J96" s="148"/>
      <c r="K96" s="34">
        <f t="shared" ref="K96:K107" si="21">IF(G96="","",IF(E96="PC 17",G96*4.2,IF(E96="PC 19",G96*5,IF(E96="CB",G96*24,""))))</f>
        <v>12.600000000000001</v>
      </c>
      <c r="L96" s="26" t="s">
        <v>18</v>
      </c>
      <c r="M96" s="26" t="s">
        <v>137</v>
      </c>
      <c r="N96" s="26" t="s">
        <v>114</v>
      </c>
      <c r="O96" s="29">
        <v>0.79166666666666663</v>
      </c>
      <c r="P96" s="29" t="s">
        <v>260</v>
      </c>
      <c r="Q96" s="30" t="str">
        <f t="shared" ref="Q96:Q107" ca="1" si="22">IFERROR(IF(O96="","",IF(P96="",MOD(NOW()-O96,1),IF(P96&gt;=O96,P96-O96,P96+1-O96))),"")</f>
        <v/>
      </c>
      <c r="R96" s="46" t="s">
        <v>261</v>
      </c>
      <c r="S96" s="31"/>
    </row>
    <row r="97" spans="1:20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28</v>
      </c>
      <c r="D97" s="62" t="s">
        <v>316</v>
      </c>
      <c r="E97" s="121" t="s">
        <v>246</v>
      </c>
      <c r="F97" s="122"/>
      <c r="G97" s="114">
        <v>0</v>
      </c>
      <c r="H97" s="122"/>
      <c r="I97" s="129"/>
      <c r="J97" s="145"/>
      <c r="K97" s="28">
        <f t="shared" si="21"/>
        <v>0</v>
      </c>
      <c r="L97" s="33" t="s">
        <v>19</v>
      </c>
      <c r="M97" s="33" t="s">
        <v>29</v>
      </c>
      <c r="N97" s="33" t="s">
        <v>46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233</v>
      </c>
      <c r="S97" s="31"/>
    </row>
    <row r="98" spans="1:20" ht="15" customHeight="1" x14ac:dyDescent="0.3">
      <c r="A98" s="69">
        <v>46238</v>
      </c>
      <c r="B98" s="32">
        <f t="shared" si="23"/>
        <v>0.9166666666666663</v>
      </c>
      <c r="C98" s="33" t="s">
        <v>28</v>
      </c>
      <c r="D98" s="62" t="s">
        <v>316</v>
      </c>
      <c r="E98" s="121" t="s">
        <v>246</v>
      </c>
      <c r="F98" s="122"/>
      <c r="G98" s="114">
        <v>0</v>
      </c>
      <c r="H98" s="122"/>
      <c r="I98" s="129"/>
      <c r="J98" s="145"/>
      <c r="K98" s="34">
        <f t="shared" si="21"/>
        <v>0</v>
      </c>
      <c r="L98" s="26" t="s">
        <v>17</v>
      </c>
      <c r="M98" s="26" t="s">
        <v>29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262</v>
      </c>
      <c r="S98" s="31"/>
    </row>
    <row r="99" spans="1:20" ht="15" customHeight="1" x14ac:dyDescent="0.3">
      <c r="A99" s="68">
        <v>46238</v>
      </c>
      <c r="B99" s="25">
        <f t="shared" si="23"/>
        <v>0.95833333333333293</v>
      </c>
      <c r="C99" s="33" t="s">
        <v>28</v>
      </c>
      <c r="D99" s="62" t="s">
        <v>316</v>
      </c>
      <c r="E99" s="121" t="s">
        <v>246</v>
      </c>
      <c r="F99" s="122"/>
      <c r="G99" s="114">
        <v>0</v>
      </c>
      <c r="H99" s="122"/>
      <c r="I99" s="129"/>
      <c r="J99" s="145"/>
      <c r="K99" s="28">
        <f t="shared" si="21"/>
        <v>0</v>
      </c>
      <c r="L99" s="33" t="s">
        <v>20</v>
      </c>
      <c r="M99" s="33" t="s">
        <v>36</v>
      </c>
      <c r="N99" s="33" t="s">
        <v>179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263</v>
      </c>
      <c r="S99" s="31"/>
    </row>
    <row r="100" spans="1:20" ht="15" customHeight="1" x14ac:dyDescent="0.3">
      <c r="A100" s="69">
        <v>46238</v>
      </c>
      <c r="B100" s="32">
        <f t="shared" si="23"/>
        <v>0.99999999999999956</v>
      </c>
      <c r="C100" s="33" t="s">
        <v>28</v>
      </c>
      <c r="D100" s="62" t="s">
        <v>316</v>
      </c>
      <c r="E100" s="121" t="s">
        <v>246</v>
      </c>
      <c r="F100" s="122"/>
      <c r="G100" s="114">
        <v>25</v>
      </c>
      <c r="H100" s="122"/>
      <c r="I100" s="129"/>
      <c r="J100" s="145"/>
      <c r="K100" s="34">
        <f t="shared" si="21"/>
        <v>105</v>
      </c>
      <c r="L100" s="26" t="s">
        <v>19</v>
      </c>
      <c r="M100" s="26" t="s">
        <v>29</v>
      </c>
      <c r="N100" s="26" t="s">
        <v>46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233</v>
      </c>
      <c r="S100" s="31"/>
    </row>
    <row r="101" spans="1:20" ht="15" customHeight="1" x14ac:dyDescent="0.3">
      <c r="A101" s="68">
        <v>46238</v>
      </c>
      <c r="B101" s="25">
        <f t="shared" si="23"/>
        <v>1.0416666666666663</v>
      </c>
      <c r="C101" s="33" t="s">
        <v>28</v>
      </c>
      <c r="D101" s="62" t="s">
        <v>316</v>
      </c>
      <c r="E101" s="121" t="s">
        <v>246</v>
      </c>
      <c r="F101" s="122"/>
      <c r="G101" s="114">
        <v>3</v>
      </c>
      <c r="H101" s="122"/>
      <c r="I101" s="129"/>
      <c r="J101" s="145"/>
      <c r="K101" s="28">
        <f t="shared" si="21"/>
        <v>12.600000000000001</v>
      </c>
      <c r="L101" s="33" t="s">
        <v>20</v>
      </c>
      <c r="M101" s="33" t="s">
        <v>36</v>
      </c>
      <c r="N101" s="33" t="s">
        <v>34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9">
        <v>46238</v>
      </c>
      <c r="B102" s="32">
        <f t="shared" si="23"/>
        <v>1.083333333333333</v>
      </c>
      <c r="C102" s="33" t="s">
        <v>28</v>
      </c>
      <c r="D102" s="62" t="s">
        <v>316</v>
      </c>
      <c r="E102" s="121" t="s">
        <v>246</v>
      </c>
      <c r="F102" s="122"/>
      <c r="G102" s="114">
        <v>11</v>
      </c>
      <c r="H102" s="122"/>
      <c r="I102" s="129"/>
      <c r="J102" s="145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8">
        <v>46238</v>
      </c>
      <c r="B103" s="25">
        <f t="shared" si="23"/>
        <v>1.1249999999999998</v>
      </c>
      <c r="C103" s="33" t="s">
        <v>28</v>
      </c>
      <c r="D103" s="62" t="s">
        <v>316</v>
      </c>
      <c r="E103" s="121" t="s">
        <v>246</v>
      </c>
      <c r="F103" s="122"/>
      <c r="G103" s="114">
        <v>18</v>
      </c>
      <c r="H103" s="122"/>
      <c r="I103" s="129"/>
      <c r="J103" s="145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9">
        <v>46238</v>
      </c>
      <c r="B104" s="32">
        <f t="shared" si="23"/>
        <v>1.1666666666666665</v>
      </c>
      <c r="C104" s="33" t="s">
        <v>28</v>
      </c>
      <c r="D104" s="62" t="s">
        <v>316</v>
      </c>
      <c r="E104" s="121" t="s">
        <v>246</v>
      </c>
      <c r="F104" s="122"/>
      <c r="G104" s="114">
        <v>9</v>
      </c>
      <c r="H104" s="122"/>
      <c r="I104" s="129"/>
      <c r="J104" s="145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8">
        <v>46238</v>
      </c>
      <c r="B105" s="25">
        <f t="shared" si="23"/>
        <v>1.2083333333333333</v>
      </c>
      <c r="C105" s="33" t="s">
        <v>28</v>
      </c>
      <c r="D105" s="62" t="s">
        <v>316</v>
      </c>
      <c r="E105" s="121" t="s">
        <v>246</v>
      </c>
      <c r="F105" s="122"/>
      <c r="G105" s="114">
        <v>12</v>
      </c>
      <c r="H105" s="122"/>
      <c r="I105" s="129"/>
      <c r="J105" s="145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9">
        <v>46238</v>
      </c>
      <c r="B106" s="32">
        <f t="shared" si="23"/>
        <v>1.25</v>
      </c>
      <c r="C106" s="33" t="s">
        <v>28</v>
      </c>
      <c r="D106" s="62" t="s">
        <v>316</v>
      </c>
      <c r="E106" s="121" t="s">
        <v>246</v>
      </c>
      <c r="F106" s="122"/>
      <c r="G106" s="114">
        <v>6</v>
      </c>
      <c r="H106" s="122"/>
      <c r="I106" s="129"/>
      <c r="J106" s="145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8">
        <v>46238</v>
      </c>
      <c r="B107" s="25">
        <f t="shared" si="23"/>
        <v>1.2916666666666667</v>
      </c>
      <c r="C107" s="33" t="s">
        <v>28</v>
      </c>
      <c r="D107" s="62" t="s">
        <v>316</v>
      </c>
      <c r="E107" s="121" t="s">
        <v>246</v>
      </c>
      <c r="F107" s="118"/>
      <c r="G107" s="114">
        <v>10</v>
      </c>
      <c r="H107" s="118"/>
      <c r="I107" s="130"/>
      <c r="J107" s="146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68" t="s">
        <v>234</v>
      </c>
      <c r="B108" s="169"/>
      <c r="C108" s="169"/>
      <c r="D108" s="169"/>
      <c r="E108" s="169">
        <f>SUM(E96:E107)</f>
        <v>0</v>
      </c>
      <c r="F108" s="124"/>
      <c r="G108" s="88">
        <f>SUM(G96:G107)</f>
        <v>97</v>
      </c>
      <c r="H108" s="124"/>
      <c r="I108" s="133"/>
      <c r="J108" s="149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232</v>
      </c>
      <c r="S108" s="54">
        <v>456830</v>
      </c>
      <c r="T108" s="139"/>
    </row>
    <row r="109" spans="1:20" ht="18" customHeight="1" x14ac:dyDescent="0.3">
      <c r="A109" s="165" t="s">
        <v>235</v>
      </c>
      <c r="B109" s="166"/>
      <c r="C109" s="166"/>
      <c r="D109" s="166"/>
      <c r="E109" s="166">
        <f>E95+E108</f>
        <v>0</v>
      </c>
      <c r="F109" s="125"/>
      <c r="G109" s="100">
        <f>G95+G108</f>
        <v>193</v>
      </c>
      <c r="H109" s="125"/>
      <c r="I109" s="134"/>
      <c r="J109" s="150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236</v>
      </c>
      <c r="S109" s="81">
        <f>IFERROR(S95+S108,"")</f>
        <v>906430</v>
      </c>
      <c r="T109" s="137">
        <f>IFERROR(J109,"")</f>
        <v>0</v>
      </c>
    </row>
    <row r="110" spans="1:20" ht="15" customHeight="1" x14ac:dyDescent="0.3">
      <c r="A110" s="68">
        <v>46239</v>
      </c>
      <c r="B110" s="25">
        <v>0.33333333333333298</v>
      </c>
      <c r="C110" s="26" t="s">
        <v>42</v>
      </c>
      <c r="D110" s="59" t="s">
        <v>316</v>
      </c>
      <c r="E110" s="120" t="s">
        <v>246</v>
      </c>
      <c r="F110" s="119"/>
      <c r="G110" s="114">
        <v>25</v>
      </c>
      <c r="H110" s="119"/>
      <c r="I110" s="132"/>
      <c r="J110" s="148"/>
      <c r="K110" s="28">
        <f t="shared" ref="K110:K121" si="24">IF(G110="","",IF(E110="PC 17",G110*4.2,IF(E110="PC 19",G110*5,IF(E110="CB",G110*24,""))))</f>
        <v>105</v>
      </c>
      <c r="L110" s="26" t="s">
        <v>18</v>
      </c>
      <c r="M110" s="26" t="s">
        <v>29</v>
      </c>
      <c r="N110" s="26" t="s">
        <v>152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42</v>
      </c>
      <c r="D111" s="59" t="s">
        <v>316</v>
      </c>
      <c r="E111" s="120" t="s">
        <v>246</v>
      </c>
      <c r="F111" s="122"/>
      <c r="G111" s="114">
        <v>17</v>
      </c>
      <c r="H111" s="122"/>
      <c r="I111" s="129"/>
      <c r="J111" s="145"/>
      <c r="K111" s="34">
        <f t="shared" si="24"/>
        <v>71.400000000000006</v>
      </c>
      <c r="L111" s="33" t="s">
        <v>20</v>
      </c>
      <c r="M111" s="33" t="s">
        <v>36</v>
      </c>
      <c r="N111" s="33" t="s">
        <v>34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264</v>
      </c>
      <c r="S111" s="31"/>
    </row>
    <row r="112" spans="1:20" ht="15" customHeight="1" x14ac:dyDescent="0.3">
      <c r="A112" s="68">
        <v>46239</v>
      </c>
      <c r="B112" s="25">
        <f t="shared" si="26"/>
        <v>0.41666666666666635</v>
      </c>
      <c r="C112" s="26" t="s">
        <v>42</v>
      </c>
      <c r="D112" s="59" t="s">
        <v>316</v>
      </c>
      <c r="E112" s="120" t="s">
        <v>246</v>
      </c>
      <c r="F112" s="122"/>
      <c r="G112" s="114">
        <v>23</v>
      </c>
      <c r="H112" s="122"/>
      <c r="I112" s="129"/>
      <c r="J112" s="145"/>
      <c r="K112" s="28">
        <f t="shared" si="24"/>
        <v>96.600000000000009</v>
      </c>
      <c r="L112" s="26" t="s">
        <v>18</v>
      </c>
      <c r="M112" s="26" t="s">
        <v>36</v>
      </c>
      <c r="N112" s="26" t="s">
        <v>152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9">
        <v>46239</v>
      </c>
      <c r="B113" s="32">
        <f t="shared" si="26"/>
        <v>0.45833333333333304</v>
      </c>
      <c r="C113" s="26" t="s">
        <v>42</v>
      </c>
      <c r="D113" s="59" t="s">
        <v>316</v>
      </c>
      <c r="E113" s="120" t="s">
        <v>246</v>
      </c>
      <c r="F113" s="122"/>
      <c r="G113" s="114">
        <v>11</v>
      </c>
      <c r="H113" s="122"/>
      <c r="I113" s="129"/>
      <c r="J113" s="145"/>
      <c r="K113" s="34">
        <f t="shared" si="24"/>
        <v>46.2</v>
      </c>
      <c r="L113" s="33" t="s">
        <v>20</v>
      </c>
      <c r="M113" s="33" t="s">
        <v>36</v>
      </c>
      <c r="N113" s="33" t="s">
        <v>34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8">
        <v>46239</v>
      </c>
      <c r="B114" s="25">
        <f t="shared" si="26"/>
        <v>0.49999999999999972</v>
      </c>
      <c r="C114" s="26" t="s">
        <v>42</v>
      </c>
      <c r="D114" s="59" t="s">
        <v>316</v>
      </c>
      <c r="E114" s="120" t="s">
        <v>246</v>
      </c>
      <c r="F114" s="122"/>
      <c r="G114" s="114">
        <v>3</v>
      </c>
      <c r="H114" s="122"/>
      <c r="I114" s="129"/>
      <c r="J114" s="145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9">
        <v>46239</v>
      </c>
      <c r="B115" s="32">
        <f t="shared" si="26"/>
        <v>0.54166666666666641</v>
      </c>
      <c r="C115" s="26" t="s">
        <v>42</v>
      </c>
      <c r="D115" s="59" t="s">
        <v>316</v>
      </c>
      <c r="E115" s="120" t="s">
        <v>246</v>
      </c>
      <c r="F115" s="122"/>
      <c r="G115" s="114">
        <v>23</v>
      </c>
      <c r="H115" s="122"/>
      <c r="I115" s="129"/>
      <c r="J115" s="145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8">
        <v>46239</v>
      </c>
      <c r="B116" s="25">
        <f t="shared" si="26"/>
        <v>0.58333333333333304</v>
      </c>
      <c r="C116" s="26" t="s">
        <v>42</v>
      </c>
      <c r="D116" s="59" t="s">
        <v>316</v>
      </c>
      <c r="E116" s="120" t="s">
        <v>246</v>
      </c>
      <c r="F116" s="122"/>
      <c r="G116" s="114">
        <v>1</v>
      </c>
      <c r="H116" s="122"/>
      <c r="I116" s="129"/>
      <c r="J116" s="145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9">
        <v>46239</v>
      </c>
      <c r="B117" s="32">
        <f t="shared" si="26"/>
        <v>0.62499999999999967</v>
      </c>
      <c r="C117" s="26" t="s">
        <v>42</v>
      </c>
      <c r="D117" s="59" t="s">
        <v>316</v>
      </c>
      <c r="E117" s="120" t="s">
        <v>246</v>
      </c>
      <c r="F117" s="122"/>
      <c r="G117" s="114">
        <v>14</v>
      </c>
      <c r="H117" s="122"/>
      <c r="I117" s="129"/>
      <c r="J117" s="145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8">
        <v>46239</v>
      </c>
      <c r="B118" s="25">
        <f t="shared" si="26"/>
        <v>0.6666666666666663</v>
      </c>
      <c r="C118" s="26" t="s">
        <v>42</v>
      </c>
      <c r="D118" s="59" t="s">
        <v>316</v>
      </c>
      <c r="E118" s="120" t="s">
        <v>246</v>
      </c>
      <c r="F118" s="122"/>
      <c r="G118" s="114">
        <v>23</v>
      </c>
      <c r="H118" s="122"/>
      <c r="I118" s="129"/>
      <c r="J118" s="145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9">
        <v>46239</v>
      </c>
      <c r="B119" s="32">
        <f t="shared" si="26"/>
        <v>0.70833333333333293</v>
      </c>
      <c r="C119" s="26" t="s">
        <v>42</v>
      </c>
      <c r="D119" s="59" t="s">
        <v>316</v>
      </c>
      <c r="E119" s="120" t="s">
        <v>246</v>
      </c>
      <c r="F119" s="122"/>
      <c r="G119" s="114">
        <v>21</v>
      </c>
      <c r="H119" s="122"/>
      <c r="I119" s="129"/>
      <c r="J119" s="145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8">
        <v>46239</v>
      </c>
      <c r="B120" s="25">
        <f t="shared" si="26"/>
        <v>0.74999999999999956</v>
      </c>
      <c r="C120" s="26" t="s">
        <v>42</v>
      </c>
      <c r="D120" s="59" t="s">
        <v>316</v>
      </c>
      <c r="E120" s="120" t="s">
        <v>246</v>
      </c>
      <c r="F120" s="122"/>
      <c r="G120" s="114">
        <v>18</v>
      </c>
      <c r="H120" s="122"/>
      <c r="I120" s="129"/>
      <c r="J120" s="145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9">
        <v>46239</v>
      </c>
      <c r="B121" s="32">
        <f t="shared" si="26"/>
        <v>0.79166666666666619</v>
      </c>
      <c r="C121" s="26" t="s">
        <v>42</v>
      </c>
      <c r="D121" s="59" t="s">
        <v>316</v>
      </c>
      <c r="E121" s="120" t="s">
        <v>246</v>
      </c>
      <c r="F121" s="118"/>
      <c r="G121" s="114">
        <v>5</v>
      </c>
      <c r="H121" s="118"/>
      <c r="I121" s="130"/>
      <c r="J121" s="146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68" t="s">
        <v>231</v>
      </c>
      <c r="B122" s="169"/>
      <c r="C122" s="169"/>
      <c r="D122" s="169"/>
      <c r="E122" s="169">
        <f>SUM(E110:E121)</f>
        <v>0</v>
      </c>
      <c r="F122" s="123"/>
      <c r="G122" s="88">
        <f>SUM(G110:G121)</f>
        <v>184</v>
      </c>
      <c r="H122" s="123"/>
      <c r="I122" s="131"/>
      <c r="J122" s="147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232</v>
      </c>
      <c r="S122" s="54">
        <v>791070</v>
      </c>
      <c r="T122" s="139"/>
    </row>
    <row r="123" spans="1:20" ht="15" customHeight="1" x14ac:dyDescent="0.3">
      <c r="A123" s="69">
        <v>46239</v>
      </c>
      <c r="B123" s="32">
        <v>0.83333333333333304</v>
      </c>
      <c r="C123" s="33" t="s">
        <v>28</v>
      </c>
      <c r="D123" s="62" t="s">
        <v>316</v>
      </c>
      <c r="E123" s="121" t="s">
        <v>246</v>
      </c>
      <c r="F123" s="119"/>
      <c r="G123" s="114">
        <v>19</v>
      </c>
      <c r="H123" s="119"/>
      <c r="I123" s="132"/>
      <c r="J123" s="148"/>
      <c r="K123" s="34">
        <f t="shared" ref="K123:K134" si="27">IF(G123="","",IF(E123="PC 17",G123*4.2,IF(E123="PC 19",G123*5,IF(E123="CB",G123*24,""))))</f>
        <v>79.8</v>
      </c>
      <c r="L123" s="33" t="s">
        <v>19</v>
      </c>
      <c r="M123" s="33" t="s">
        <v>155</v>
      </c>
      <c r="N123" s="33" t="s">
        <v>26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28</v>
      </c>
      <c r="D124" s="62" t="s">
        <v>316</v>
      </c>
      <c r="E124" s="121" t="s">
        <v>246</v>
      </c>
      <c r="F124" s="122"/>
      <c r="G124" s="114">
        <v>14</v>
      </c>
      <c r="H124" s="122"/>
      <c r="I124" s="129"/>
      <c r="J124" s="145"/>
      <c r="K124" s="28">
        <f t="shared" si="27"/>
        <v>58.800000000000004</v>
      </c>
      <c r="L124" s="26" t="s">
        <v>18</v>
      </c>
      <c r="M124" s="26" t="s">
        <v>29</v>
      </c>
      <c r="N124" s="26" t="s">
        <v>152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9">
        <v>46239</v>
      </c>
      <c r="B125" s="32">
        <f t="shared" si="29"/>
        <v>0.9166666666666663</v>
      </c>
      <c r="C125" s="33" t="s">
        <v>28</v>
      </c>
      <c r="D125" s="62" t="s">
        <v>316</v>
      </c>
      <c r="E125" s="121" t="s">
        <v>246</v>
      </c>
      <c r="F125" s="122"/>
      <c r="G125" s="114">
        <v>12</v>
      </c>
      <c r="H125" s="122"/>
      <c r="I125" s="129"/>
      <c r="J125" s="145"/>
      <c r="K125" s="34">
        <f t="shared" si="27"/>
        <v>50.400000000000006</v>
      </c>
      <c r="L125" s="33" t="s">
        <v>17</v>
      </c>
      <c r="M125" s="33" t="s">
        <v>131</v>
      </c>
      <c r="N125" s="33" t="s">
        <v>45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8">
        <v>46239</v>
      </c>
      <c r="B126" s="25">
        <f t="shared" si="29"/>
        <v>0.95833333333333293</v>
      </c>
      <c r="C126" s="33" t="s">
        <v>28</v>
      </c>
      <c r="D126" s="62" t="s">
        <v>316</v>
      </c>
      <c r="E126" s="121" t="s">
        <v>246</v>
      </c>
      <c r="F126" s="122"/>
      <c r="G126" s="114">
        <v>20</v>
      </c>
      <c r="H126" s="122"/>
      <c r="I126" s="129"/>
      <c r="J126" s="145"/>
      <c r="K126" s="28">
        <f t="shared" si="27"/>
        <v>84</v>
      </c>
      <c r="L126" s="26" t="s">
        <v>17</v>
      </c>
      <c r="M126" s="26" t="s">
        <v>131</v>
      </c>
      <c r="N126" s="26" t="s">
        <v>45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9">
        <v>46239</v>
      </c>
      <c r="B127" s="32">
        <f t="shared" si="29"/>
        <v>0.99999999999999956</v>
      </c>
      <c r="C127" s="33" t="s">
        <v>28</v>
      </c>
      <c r="D127" s="62" t="s">
        <v>316</v>
      </c>
      <c r="E127" s="121" t="s">
        <v>246</v>
      </c>
      <c r="F127" s="122"/>
      <c r="G127" s="114">
        <v>18</v>
      </c>
      <c r="H127" s="122"/>
      <c r="I127" s="129"/>
      <c r="J127" s="145"/>
      <c r="K127" s="34">
        <f t="shared" si="27"/>
        <v>75.600000000000009</v>
      </c>
      <c r="L127" s="33" t="s">
        <v>20</v>
      </c>
      <c r="M127" s="33" t="s">
        <v>119</v>
      </c>
      <c r="N127" s="33" t="s">
        <v>110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8">
        <v>46239</v>
      </c>
      <c r="B128" s="25">
        <f t="shared" si="29"/>
        <v>1.0416666666666663</v>
      </c>
      <c r="C128" s="33" t="s">
        <v>28</v>
      </c>
      <c r="D128" s="62" t="s">
        <v>316</v>
      </c>
      <c r="E128" s="121" t="s">
        <v>246</v>
      </c>
      <c r="F128" s="122"/>
      <c r="G128" s="114">
        <v>17</v>
      </c>
      <c r="H128" s="122"/>
      <c r="I128" s="129"/>
      <c r="J128" s="145"/>
      <c r="K128" s="28">
        <f t="shared" si="27"/>
        <v>71.400000000000006</v>
      </c>
      <c r="L128" s="26" t="s">
        <v>19</v>
      </c>
      <c r="M128" s="26" t="s">
        <v>36</v>
      </c>
      <c r="N128" s="26" t="s">
        <v>26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84"/>
      <c r="S128" s="31"/>
    </row>
    <row r="129" spans="1:20" ht="15" customHeight="1" x14ac:dyDescent="0.3">
      <c r="A129" s="69">
        <v>46239</v>
      </c>
      <c r="B129" s="32">
        <f t="shared" si="29"/>
        <v>1.083333333333333</v>
      </c>
      <c r="C129" s="33" t="s">
        <v>28</v>
      </c>
      <c r="D129" s="62" t="s">
        <v>316</v>
      </c>
      <c r="E129" s="121" t="s">
        <v>246</v>
      </c>
      <c r="F129" s="122"/>
      <c r="G129" s="114">
        <v>6</v>
      </c>
      <c r="H129" s="122"/>
      <c r="I129" s="129"/>
      <c r="J129" s="145"/>
      <c r="K129" s="34">
        <f t="shared" si="27"/>
        <v>25.200000000000003</v>
      </c>
      <c r="L129" s="33" t="s">
        <v>19</v>
      </c>
      <c r="M129" s="33" t="s">
        <v>29</v>
      </c>
      <c r="N129" s="33" t="s">
        <v>26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8">
        <v>46239</v>
      </c>
      <c r="B130" s="25">
        <f t="shared" si="29"/>
        <v>1.1249999999999998</v>
      </c>
      <c r="C130" s="33" t="s">
        <v>28</v>
      </c>
      <c r="D130" s="62" t="s">
        <v>316</v>
      </c>
      <c r="E130" s="121" t="s">
        <v>246</v>
      </c>
      <c r="F130" s="122"/>
      <c r="G130" s="114">
        <v>6</v>
      </c>
      <c r="H130" s="122"/>
      <c r="I130" s="129"/>
      <c r="J130" s="145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9">
        <v>46239</v>
      </c>
      <c r="B131" s="32">
        <f t="shared" si="29"/>
        <v>1.1666666666666665</v>
      </c>
      <c r="C131" s="33" t="s">
        <v>28</v>
      </c>
      <c r="D131" s="62" t="s">
        <v>316</v>
      </c>
      <c r="E131" s="121" t="s">
        <v>246</v>
      </c>
      <c r="F131" s="122"/>
      <c r="G131" s="114">
        <v>20</v>
      </c>
      <c r="H131" s="122"/>
      <c r="I131" s="129"/>
      <c r="J131" s="145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8">
        <v>46239</v>
      </c>
      <c r="B132" s="25">
        <f t="shared" si="29"/>
        <v>1.2083333333333333</v>
      </c>
      <c r="C132" s="33" t="s">
        <v>28</v>
      </c>
      <c r="D132" s="62" t="s">
        <v>316</v>
      </c>
      <c r="E132" s="121" t="s">
        <v>246</v>
      </c>
      <c r="F132" s="122"/>
      <c r="G132" s="114">
        <v>10</v>
      </c>
      <c r="H132" s="122"/>
      <c r="I132" s="129"/>
      <c r="J132" s="145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9">
        <v>46239</v>
      </c>
      <c r="B133" s="32">
        <f t="shared" si="29"/>
        <v>1.25</v>
      </c>
      <c r="C133" s="33" t="s">
        <v>28</v>
      </c>
      <c r="D133" s="62" t="s">
        <v>316</v>
      </c>
      <c r="E133" s="121" t="s">
        <v>246</v>
      </c>
      <c r="F133" s="122"/>
      <c r="G133" s="114">
        <v>5</v>
      </c>
      <c r="H133" s="122"/>
      <c r="I133" s="129"/>
      <c r="J133" s="145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8">
        <v>46239</v>
      </c>
      <c r="B134" s="25">
        <f t="shared" si="29"/>
        <v>1.2916666666666667</v>
      </c>
      <c r="C134" s="33" t="s">
        <v>28</v>
      </c>
      <c r="D134" s="62" t="s">
        <v>316</v>
      </c>
      <c r="E134" s="121" t="s">
        <v>246</v>
      </c>
      <c r="F134" s="118"/>
      <c r="G134" s="114">
        <v>17</v>
      </c>
      <c r="H134" s="118"/>
      <c r="I134" s="130"/>
      <c r="J134" s="146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68" t="s">
        <v>234</v>
      </c>
      <c r="B135" s="169"/>
      <c r="C135" s="169"/>
      <c r="D135" s="169"/>
      <c r="E135" s="169">
        <f>SUM(E123:E134)</f>
        <v>0</v>
      </c>
      <c r="F135" s="124"/>
      <c r="G135" s="88">
        <f>SUM(G123:G134)</f>
        <v>164</v>
      </c>
      <c r="H135" s="124"/>
      <c r="I135" s="133"/>
      <c r="J135" s="149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232</v>
      </c>
      <c r="S135" s="54">
        <v>756720</v>
      </c>
      <c r="T135" s="139"/>
    </row>
    <row r="136" spans="1:20" ht="18" customHeight="1" x14ac:dyDescent="0.3">
      <c r="A136" s="165" t="s">
        <v>235</v>
      </c>
      <c r="B136" s="166"/>
      <c r="C136" s="166"/>
      <c r="D136" s="166"/>
      <c r="E136" s="166">
        <f>E122+E135</f>
        <v>0</v>
      </c>
      <c r="F136" s="125"/>
      <c r="G136" s="100">
        <f>G122+G135</f>
        <v>348</v>
      </c>
      <c r="H136" s="125"/>
      <c r="I136" s="134"/>
      <c r="J136" s="150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236</v>
      </c>
      <c r="S136" s="81">
        <f>IFERROR(S122+S135,"")</f>
        <v>1547790</v>
      </c>
      <c r="T136" s="137">
        <f>IFERROR(J136,"")</f>
        <v>0</v>
      </c>
    </row>
    <row r="137" spans="1:20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316</v>
      </c>
      <c r="E137" s="121" t="s">
        <v>246</v>
      </c>
      <c r="F137" s="119"/>
      <c r="G137" s="114">
        <v>21</v>
      </c>
      <c r="H137" s="119"/>
      <c r="I137" s="132"/>
      <c r="J137" s="148"/>
      <c r="K137" s="34">
        <f>IF(G137="","",IF(E137="PC 17",G137*4.2,IF(E137="PC 19",G137*5,IF(E137="CB",G137*24,""))))</f>
        <v>88.2</v>
      </c>
      <c r="L137" s="33" t="s">
        <v>17</v>
      </c>
      <c r="M137" s="33"/>
      <c r="N137" s="33" t="s">
        <v>24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316</v>
      </c>
      <c r="E138" s="121" t="s">
        <v>246</v>
      </c>
      <c r="F138" s="122"/>
      <c r="G138" s="114">
        <v>13</v>
      </c>
      <c r="H138" s="122"/>
      <c r="I138" s="129"/>
      <c r="J138" s="145"/>
      <c r="K138" s="28">
        <f t="shared" ref="K138:K148" si="32">IF(G138="","",IF(E138="PC 17",G138*4.2,IF(E138="PC 19",G138*5,IF(E138="CB",G138*24,""))))</f>
        <v>54.6</v>
      </c>
      <c r="L138" s="26" t="s">
        <v>20</v>
      </c>
      <c r="M138" s="26" t="s">
        <v>36</v>
      </c>
      <c r="N138" s="26" t="s">
        <v>47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9">
        <v>46240</v>
      </c>
      <c r="B139" s="32">
        <f t="shared" si="31"/>
        <v>0.41666666666666635</v>
      </c>
      <c r="C139" s="33" t="s">
        <v>21</v>
      </c>
      <c r="D139" s="62" t="s">
        <v>317</v>
      </c>
      <c r="E139" s="121" t="s">
        <v>246</v>
      </c>
      <c r="F139" s="122"/>
      <c r="G139" s="114">
        <v>13</v>
      </c>
      <c r="H139" s="122"/>
      <c r="I139" s="129"/>
      <c r="J139" s="145"/>
      <c r="K139" s="34">
        <f t="shared" si="32"/>
        <v>54.6</v>
      </c>
      <c r="L139" s="33" t="s">
        <v>20</v>
      </c>
      <c r="M139" s="33" t="s">
        <v>36</v>
      </c>
      <c r="N139" s="33" t="s">
        <v>52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265</v>
      </c>
      <c r="S139" s="31"/>
    </row>
    <row r="140" spans="1:20" ht="15" customHeight="1" x14ac:dyDescent="0.3">
      <c r="A140" s="68">
        <v>46240</v>
      </c>
      <c r="B140" s="25">
        <f t="shared" si="31"/>
        <v>0.45833333333333304</v>
      </c>
      <c r="C140" s="33" t="s">
        <v>21</v>
      </c>
      <c r="D140" s="62" t="s">
        <v>317</v>
      </c>
      <c r="E140" s="121" t="s">
        <v>246</v>
      </c>
      <c r="F140" s="122"/>
      <c r="G140" s="114">
        <v>11</v>
      </c>
      <c r="H140" s="122"/>
      <c r="I140" s="129"/>
      <c r="J140" s="145"/>
      <c r="K140" s="28">
        <f t="shared" si="32"/>
        <v>46.2</v>
      </c>
      <c r="L140" s="26" t="s">
        <v>20</v>
      </c>
      <c r="M140" s="26" t="s">
        <v>36</v>
      </c>
      <c r="N140" s="26" t="s">
        <v>34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9">
        <v>46240</v>
      </c>
      <c r="B141" s="32">
        <f t="shared" si="31"/>
        <v>0.49999999999999972</v>
      </c>
      <c r="C141" s="33" t="s">
        <v>21</v>
      </c>
      <c r="D141" s="62" t="s">
        <v>317</v>
      </c>
      <c r="E141" s="121" t="s">
        <v>246</v>
      </c>
      <c r="F141" s="122"/>
      <c r="G141" s="114">
        <v>20</v>
      </c>
      <c r="H141" s="122"/>
      <c r="I141" s="129"/>
      <c r="J141" s="145"/>
      <c r="K141" s="34">
        <f t="shared" si="32"/>
        <v>84</v>
      </c>
      <c r="L141" s="33" t="s">
        <v>20</v>
      </c>
      <c r="M141" s="33" t="s">
        <v>36</v>
      </c>
      <c r="N141" s="33" t="s">
        <v>34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266</v>
      </c>
      <c r="S141" s="31"/>
    </row>
    <row r="142" spans="1:20" ht="15" customHeight="1" x14ac:dyDescent="0.3">
      <c r="A142" s="68">
        <v>46240</v>
      </c>
      <c r="B142" s="25">
        <f t="shared" si="31"/>
        <v>0.54166666666666641</v>
      </c>
      <c r="C142" s="33" t="s">
        <v>21</v>
      </c>
      <c r="D142" s="62" t="s">
        <v>317</v>
      </c>
      <c r="E142" s="121" t="s">
        <v>246</v>
      </c>
      <c r="F142" s="122"/>
      <c r="G142" s="114">
        <v>15</v>
      </c>
      <c r="H142" s="122"/>
      <c r="I142" s="129"/>
      <c r="J142" s="145"/>
      <c r="K142" s="28">
        <f t="shared" si="32"/>
        <v>63</v>
      </c>
      <c r="L142" s="26" t="s">
        <v>18</v>
      </c>
      <c r="M142" s="26"/>
      <c r="N142" s="26" t="s">
        <v>114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9">
        <v>46240</v>
      </c>
      <c r="B143" s="32">
        <f t="shared" si="31"/>
        <v>0.58333333333333304</v>
      </c>
      <c r="C143" s="33" t="s">
        <v>21</v>
      </c>
      <c r="D143" s="62" t="s">
        <v>317</v>
      </c>
      <c r="E143" s="121" t="s">
        <v>246</v>
      </c>
      <c r="F143" s="122"/>
      <c r="G143" s="114">
        <v>0</v>
      </c>
      <c r="H143" s="122"/>
      <c r="I143" s="129"/>
      <c r="J143" s="145"/>
      <c r="K143" s="34">
        <f t="shared" si="32"/>
        <v>0</v>
      </c>
      <c r="L143" s="33" t="s">
        <v>20</v>
      </c>
      <c r="M143" s="33" t="s">
        <v>29</v>
      </c>
      <c r="N143" s="33" t="s">
        <v>34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8">
        <v>46240</v>
      </c>
      <c r="B144" s="25">
        <f t="shared" si="31"/>
        <v>0.62499999999999967</v>
      </c>
      <c r="C144" s="33" t="s">
        <v>21</v>
      </c>
      <c r="D144" s="62" t="s">
        <v>317</v>
      </c>
      <c r="E144" s="121" t="s">
        <v>246</v>
      </c>
      <c r="F144" s="122"/>
      <c r="G144" s="114">
        <v>10</v>
      </c>
      <c r="H144" s="122"/>
      <c r="I144" s="129"/>
      <c r="J144" s="145"/>
      <c r="K144" s="28">
        <f t="shared" si="32"/>
        <v>42</v>
      </c>
      <c r="L144" s="26" t="s">
        <v>16</v>
      </c>
      <c r="M144" s="26" t="s">
        <v>155</v>
      </c>
      <c r="N144" s="26" t="s">
        <v>106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9">
        <v>46240</v>
      </c>
      <c r="B145" s="32">
        <f t="shared" si="31"/>
        <v>0.6666666666666663</v>
      </c>
      <c r="C145" s="33" t="s">
        <v>21</v>
      </c>
      <c r="D145" s="62" t="s">
        <v>317</v>
      </c>
      <c r="E145" s="121" t="s">
        <v>246</v>
      </c>
      <c r="F145" s="122"/>
      <c r="G145" s="114">
        <v>12</v>
      </c>
      <c r="H145" s="122"/>
      <c r="I145" s="129"/>
      <c r="J145" s="145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267</v>
      </c>
      <c r="S145" s="31"/>
    </row>
    <row r="146" spans="1:20" ht="15" customHeight="1" x14ac:dyDescent="0.3">
      <c r="A146" s="68">
        <v>46240</v>
      </c>
      <c r="B146" s="25">
        <f t="shared" si="31"/>
        <v>0.70833333333333293</v>
      </c>
      <c r="C146" s="33" t="s">
        <v>21</v>
      </c>
      <c r="D146" s="62" t="s">
        <v>317</v>
      </c>
      <c r="E146" s="121" t="s">
        <v>246</v>
      </c>
      <c r="F146" s="122"/>
      <c r="G146" s="114">
        <v>10</v>
      </c>
      <c r="H146" s="122"/>
      <c r="I146" s="129"/>
      <c r="J146" s="145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9">
        <v>46240</v>
      </c>
      <c r="B147" s="32">
        <f t="shared" si="31"/>
        <v>0.74999999999999956</v>
      </c>
      <c r="C147" s="33" t="s">
        <v>21</v>
      </c>
      <c r="D147" s="62" t="s">
        <v>317</v>
      </c>
      <c r="E147" s="121" t="s">
        <v>246</v>
      </c>
      <c r="F147" s="122"/>
      <c r="G147" s="114">
        <v>10</v>
      </c>
      <c r="H147" s="122"/>
      <c r="I147" s="129"/>
      <c r="J147" s="145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8">
        <v>46240</v>
      </c>
      <c r="B148" s="25">
        <f t="shared" si="31"/>
        <v>0.79166666666666619</v>
      </c>
      <c r="C148" s="33" t="s">
        <v>21</v>
      </c>
      <c r="D148" s="62" t="s">
        <v>317</v>
      </c>
      <c r="E148" s="121" t="s">
        <v>246</v>
      </c>
      <c r="F148" s="118"/>
      <c r="G148" s="114">
        <v>5</v>
      </c>
      <c r="H148" s="118"/>
      <c r="I148" s="130"/>
      <c r="J148" s="146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68" t="s">
        <v>231</v>
      </c>
      <c r="B149" s="169"/>
      <c r="C149" s="169"/>
      <c r="D149" s="169"/>
      <c r="E149" s="169">
        <f>SUM(E137:E148)</f>
        <v>0</v>
      </c>
      <c r="F149" s="123"/>
      <c r="G149" s="88">
        <f>SUM(G137:G148)</f>
        <v>140</v>
      </c>
      <c r="H149" s="123"/>
      <c r="I149" s="131"/>
      <c r="J149" s="147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232</v>
      </c>
      <c r="S149" s="54">
        <v>533860</v>
      </c>
      <c r="T149" s="139"/>
    </row>
    <row r="150" spans="1:20" ht="15" customHeight="1" x14ac:dyDescent="0.3">
      <c r="A150" s="68">
        <v>46240</v>
      </c>
      <c r="B150" s="25">
        <v>0.83333333333333304</v>
      </c>
      <c r="C150" s="26" t="s">
        <v>42</v>
      </c>
      <c r="D150" s="59" t="s">
        <v>317</v>
      </c>
      <c r="E150" s="120" t="s">
        <v>246</v>
      </c>
      <c r="F150" s="119"/>
      <c r="G150" s="114">
        <v>17</v>
      </c>
      <c r="H150" s="119"/>
      <c r="I150" s="132"/>
      <c r="J150" s="148"/>
      <c r="K150" s="28">
        <f t="shared" ref="K150:K161" si="33">IF(G150="","",IF(E150="PC 17",G150*4.2,IF(E150="PC 19",G150*5,IF(E150="CB",G150*24,""))))</f>
        <v>71.400000000000006</v>
      </c>
      <c r="L150" s="26" t="s">
        <v>20</v>
      </c>
      <c r="M150" s="26" t="s">
        <v>134</v>
      </c>
      <c r="N150" s="26" t="s">
        <v>70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42</v>
      </c>
      <c r="D151" s="59" t="s">
        <v>317</v>
      </c>
      <c r="E151" s="120" t="s">
        <v>246</v>
      </c>
      <c r="F151" s="122"/>
      <c r="G151" s="114">
        <v>7</v>
      </c>
      <c r="H151" s="122"/>
      <c r="I151" s="129"/>
      <c r="J151" s="145"/>
      <c r="K151" s="34">
        <f t="shared" si="33"/>
        <v>29.400000000000002</v>
      </c>
      <c r="L151" s="33" t="s">
        <v>17</v>
      </c>
      <c r="M151" s="33" t="s">
        <v>116</v>
      </c>
      <c r="N151" s="33" t="s">
        <v>83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268</v>
      </c>
      <c r="S151" s="31"/>
    </row>
    <row r="152" spans="1:20" ht="15" customHeight="1" x14ac:dyDescent="0.3">
      <c r="A152" s="68">
        <v>46240</v>
      </c>
      <c r="B152" s="25">
        <f t="shared" si="35"/>
        <v>0.9166666666666663</v>
      </c>
      <c r="C152" s="26" t="s">
        <v>42</v>
      </c>
      <c r="D152" s="59" t="s">
        <v>317</v>
      </c>
      <c r="E152" s="120" t="s">
        <v>246</v>
      </c>
      <c r="F152" s="122"/>
      <c r="G152" s="114">
        <v>14</v>
      </c>
      <c r="H152" s="122"/>
      <c r="I152" s="129"/>
      <c r="J152" s="145"/>
      <c r="K152" s="28">
        <f t="shared" si="33"/>
        <v>58.800000000000004</v>
      </c>
      <c r="L152" s="26" t="s">
        <v>19</v>
      </c>
      <c r="M152" s="26" t="s">
        <v>36</v>
      </c>
      <c r="N152" s="26" t="s">
        <v>26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9">
        <v>46240</v>
      </c>
      <c r="B153" s="32">
        <f t="shared" si="35"/>
        <v>0.95833333333333293</v>
      </c>
      <c r="C153" s="26" t="s">
        <v>42</v>
      </c>
      <c r="D153" s="59" t="s">
        <v>317</v>
      </c>
      <c r="E153" s="120" t="s">
        <v>246</v>
      </c>
      <c r="F153" s="122"/>
      <c r="G153" s="114">
        <v>7</v>
      </c>
      <c r="H153" s="122"/>
      <c r="I153" s="129"/>
      <c r="J153" s="145"/>
      <c r="K153" s="34">
        <f t="shared" si="33"/>
        <v>29.400000000000002</v>
      </c>
      <c r="L153" s="33" t="s">
        <v>18</v>
      </c>
      <c r="M153" s="33" t="s">
        <v>36</v>
      </c>
      <c r="N153" s="33" t="s">
        <v>32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8">
        <v>46240</v>
      </c>
      <c r="B154" s="25">
        <f t="shared" si="35"/>
        <v>0.99999999999999956</v>
      </c>
      <c r="C154" s="26" t="s">
        <v>42</v>
      </c>
      <c r="D154" s="59" t="s">
        <v>317</v>
      </c>
      <c r="E154" s="120" t="s">
        <v>246</v>
      </c>
      <c r="F154" s="122"/>
      <c r="G154" s="114">
        <v>10</v>
      </c>
      <c r="H154" s="122"/>
      <c r="I154" s="129"/>
      <c r="J154" s="145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9">
        <v>46240</v>
      </c>
      <c r="B155" s="32">
        <f t="shared" si="35"/>
        <v>1.0416666666666663</v>
      </c>
      <c r="C155" s="26" t="s">
        <v>42</v>
      </c>
      <c r="D155" s="59" t="s">
        <v>317</v>
      </c>
      <c r="E155" s="120" t="s">
        <v>246</v>
      </c>
      <c r="F155" s="122"/>
      <c r="G155" s="114">
        <v>18</v>
      </c>
      <c r="H155" s="122"/>
      <c r="I155" s="129"/>
      <c r="J155" s="145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8">
        <v>46240</v>
      </c>
      <c r="B156" s="25">
        <f t="shared" si="35"/>
        <v>1.083333333333333</v>
      </c>
      <c r="C156" s="26" t="s">
        <v>42</v>
      </c>
      <c r="D156" s="59" t="s">
        <v>317</v>
      </c>
      <c r="E156" s="120" t="s">
        <v>246</v>
      </c>
      <c r="F156" s="122"/>
      <c r="G156" s="114">
        <v>9</v>
      </c>
      <c r="H156" s="122"/>
      <c r="I156" s="129"/>
      <c r="J156" s="145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9">
        <v>46240</v>
      </c>
      <c r="B157" s="32">
        <f t="shared" si="35"/>
        <v>1.1249999999999998</v>
      </c>
      <c r="C157" s="26" t="s">
        <v>42</v>
      </c>
      <c r="D157" s="59" t="s">
        <v>317</v>
      </c>
      <c r="E157" s="120" t="s">
        <v>246</v>
      </c>
      <c r="F157" s="122"/>
      <c r="G157" s="114">
        <v>15</v>
      </c>
      <c r="H157" s="122"/>
      <c r="I157" s="129"/>
      <c r="J157" s="145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8">
        <v>46240</v>
      </c>
      <c r="B158" s="25">
        <f t="shared" si="35"/>
        <v>1.1666666666666665</v>
      </c>
      <c r="C158" s="26" t="s">
        <v>42</v>
      </c>
      <c r="D158" s="59" t="s">
        <v>317</v>
      </c>
      <c r="E158" s="120" t="s">
        <v>246</v>
      </c>
      <c r="F158" s="122"/>
      <c r="G158" s="114">
        <v>11</v>
      </c>
      <c r="H158" s="122"/>
      <c r="I158" s="129"/>
      <c r="J158" s="145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9">
        <v>46240</v>
      </c>
      <c r="B159" s="32">
        <f t="shared" si="35"/>
        <v>1.2083333333333333</v>
      </c>
      <c r="C159" s="26" t="s">
        <v>42</v>
      </c>
      <c r="D159" s="59" t="s">
        <v>317</v>
      </c>
      <c r="E159" s="120" t="s">
        <v>246</v>
      </c>
      <c r="F159" s="122"/>
      <c r="G159" s="114">
        <v>13</v>
      </c>
      <c r="H159" s="122"/>
      <c r="I159" s="129"/>
      <c r="J159" s="145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8">
        <v>46240</v>
      </c>
      <c r="B160" s="25">
        <f t="shared" si="35"/>
        <v>1.25</v>
      </c>
      <c r="C160" s="26" t="s">
        <v>42</v>
      </c>
      <c r="D160" s="59" t="s">
        <v>317</v>
      </c>
      <c r="E160" s="120" t="s">
        <v>246</v>
      </c>
      <c r="F160" s="122"/>
      <c r="G160" s="114">
        <v>13</v>
      </c>
      <c r="H160" s="122"/>
      <c r="I160" s="129"/>
      <c r="J160" s="145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9">
        <v>46240</v>
      </c>
      <c r="B161" s="32">
        <f t="shared" si="35"/>
        <v>1.2916666666666667</v>
      </c>
      <c r="C161" s="26" t="s">
        <v>42</v>
      </c>
      <c r="D161" s="59" t="s">
        <v>317</v>
      </c>
      <c r="E161" s="120" t="s">
        <v>246</v>
      </c>
      <c r="F161" s="118"/>
      <c r="G161" s="114">
        <v>0</v>
      </c>
      <c r="H161" s="118"/>
      <c r="I161" s="130"/>
      <c r="J161" s="146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68" t="s">
        <v>234</v>
      </c>
      <c r="B162" s="169"/>
      <c r="C162" s="169"/>
      <c r="D162" s="169"/>
      <c r="E162" s="169">
        <f>SUM(E150:E161)</f>
        <v>0</v>
      </c>
      <c r="F162" s="124"/>
      <c r="G162" s="88">
        <f>SUM(G150:G161)</f>
        <v>134</v>
      </c>
      <c r="H162" s="124"/>
      <c r="I162" s="133"/>
      <c r="J162" s="149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232</v>
      </c>
      <c r="S162" s="54">
        <v>501750</v>
      </c>
      <c r="T162" s="139"/>
    </row>
    <row r="163" spans="1:20" ht="18" customHeight="1" x14ac:dyDescent="0.3">
      <c r="A163" s="165" t="s">
        <v>235</v>
      </c>
      <c r="B163" s="166"/>
      <c r="C163" s="166"/>
      <c r="D163" s="166"/>
      <c r="E163" s="166">
        <f>E149+E162</f>
        <v>0</v>
      </c>
      <c r="F163" s="125"/>
      <c r="G163" s="100">
        <f>G149+G162</f>
        <v>274</v>
      </c>
      <c r="H163" s="125"/>
      <c r="I163" s="134"/>
      <c r="J163" s="150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236</v>
      </c>
      <c r="S163" s="81">
        <f>IFERROR(S149+S162,"")</f>
        <v>1035610</v>
      </c>
      <c r="T163" s="137">
        <f>IFERROR(J163,"")</f>
        <v>0</v>
      </c>
    </row>
    <row r="164" spans="1:20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317</v>
      </c>
      <c r="E164" s="120" t="s">
        <v>246</v>
      </c>
      <c r="F164" s="119"/>
      <c r="G164" s="114">
        <v>2</v>
      </c>
      <c r="H164" s="119"/>
      <c r="I164" s="132"/>
      <c r="J164" s="148"/>
      <c r="K164" s="28">
        <f t="shared" ref="K164:K175" si="36">IF(G164="","",IF(E164="PC 17",G164*4.2,IF(E164="PC 19",G164*5,IF(E164="CB",G164*24,""))))</f>
        <v>8.4</v>
      </c>
      <c r="L164" s="26" t="s">
        <v>18</v>
      </c>
      <c r="M164" s="26" t="s">
        <v>36</v>
      </c>
      <c r="N164" s="26" t="s">
        <v>32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317</v>
      </c>
      <c r="E165" s="121" t="s">
        <v>246</v>
      </c>
      <c r="F165" s="122"/>
      <c r="G165" s="114">
        <v>8</v>
      </c>
      <c r="H165" s="122"/>
      <c r="I165" s="129"/>
      <c r="J165" s="145"/>
      <c r="K165" s="34">
        <f t="shared" si="36"/>
        <v>33.6</v>
      </c>
      <c r="L165" s="33" t="s">
        <v>19</v>
      </c>
      <c r="M165" s="33" t="s">
        <v>29</v>
      </c>
      <c r="N165" s="33" t="s">
        <v>26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317</v>
      </c>
      <c r="E166" s="121" t="s">
        <v>246</v>
      </c>
      <c r="F166" s="122"/>
      <c r="G166" s="114">
        <v>2</v>
      </c>
      <c r="H166" s="122"/>
      <c r="I166" s="129"/>
      <c r="J166" s="145"/>
      <c r="K166" s="28">
        <f t="shared" si="36"/>
        <v>8.4</v>
      </c>
      <c r="L166" s="26" t="s">
        <v>20</v>
      </c>
      <c r="M166" s="26" t="s">
        <v>29</v>
      </c>
      <c r="N166" s="26" t="s">
        <v>34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317</v>
      </c>
      <c r="E167" s="121" t="s">
        <v>246</v>
      </c>
      <c r="F167" s="122"/>
      <c r="G167" s="114">
        <v>6</v>
      </c>
      <c r="H167" s="122"/>
      <c r="I167" s="129"/>
      <c r="J167" s="145"/>
      <c r="K167" s="34">
        <f t="shared" si="36"/>
        <v>25.200000000000003</v>
      </c>
      <c r="L167" s="33" t="s">
        <v>20</v>
      </c>
      <c r="M167" s="33" t="s">
        <v>153</v>
      </c>
      <c r="N167" s="33" t="s">
        <v>70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317</v>
      </c>
      <c r="E168" s="121" t="s">
        <v>246</v>
      </c>
      <c r="F168" s="122"/>
      <c r="G168" s="114">
        <v>8</v>
      </c>
      <c r="H168" s="122"/>
      <c r="I168" s="129"/>
      <c r="J168" s="145"/>
      <c r="K168" s="28">
        <f t="shared" si="36"/>
        <v>33.6</v>
      </c>
      <c r="L168" s="26" t="s">
        <v>20</v>
      </c>
      <c r="M168" s="26" t="s">
        <v>153</v>
      </c>
      <c r="N168" s="26" t="s">
        <v>70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317</v>
      </c>
      <c r="E169" s="121" t="s">
        <v>246</v>
      </c>
      <c r="F169" s="122"/>
      <c r="G169" s="114">
        <v>9</v>
      </c>
      <c r="H169" s="122"/>
      <c r="I169" s="129"/>
      <c r="J169" s="145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317</v>
      </c>
      <c r="E170" s="121" t="s">
        <v>246</v>
      </c>
      <c r="F170" s="122"/>
      <c r="G170" s="114">
        <v>6</v>
      </c>
      <c r="H170" s="122"/>
      <c r="I170" s="129"/>
      <c r="J170" s="145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317</v>
      </c>
      <c r="E171" s="121" t="s">
        <v>246</v>
      </c>
      <c r="F171" s="122"/>
      <c r="G171" s="114">
        <v>7</v>
      </c>
      <c r="H171" s="122"/>
      <c r="I171" s="129"/>
      <c r="J171" s="145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317</v>
      </c>
      <c r="E172" s="121" t="s">
        <v>246</v>
      </c>
      <c r="F172" s="122"/>
      <c r="G172" s="114">
        <v>6</v>
      </c>
      <c r="H172" s="122"/>
      <c r="I172" s="129"/>
      <c r="J172" s="145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317</v>
      </c>
      <c r="E173" s="121" t="s">
        <v>246</v>
      </c>
      <c r="F173" s="122"/>
      <c r="G173" s="114">
        <v>8</v>
      </c>
      <c r="H173" s="122"/>
      <c r="I173" s="129"/>
      <c r="J173" s="145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317</v>
      </c>
      <c r="E174" s="121" t="s">
        <v>246</v>
      </c>
      <c r="F174" s="122"/>
      <c r="G174" s="114">
        <v>5</v>
      </c>
      <c r="H174" s="122"/>
      <c r="I174" s="129"/>
      <c r="J174" s="145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9">
        <v>46241</v>
      </c>
      <c r="B175" s="32">
        <f t="shared" si="38"/>
        <v>0.79166666666666619</v>
      </c>
      <c r="C175" s="26" t="s">
        <v>21</v>
      </c>
      <c r="D175" s="59" t="s">
        <v>317</v>
      </c>
      <c r="E175" s="121" t="s">
        <v>246</v>
      </c>
      <c r="F175" s="118"/>
      <c r="G175" s="114">
        <v>2</v>
      </c>
      <c r="H175" s="118"/>
      <c r="I175" s="130"/>
      <c r="J175" s="146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68" t="s">
        <v>231</v>
      </c>
      <c r="B176" s="169"/>
      <c r="C176" s="169"/>
      <c r="D176" s="169"/>
      <c r="E176" s="169">
        <f>SUM(E164:E175)</f>
        <v>0</v>
      </c>
      <c r="F176" s="123"/>
      <c r="G176" s="88">
        <f>SUM(G164:G175)</f>
        <v>69</v>
      </c>
      <c r="H176" s="123"/>
      <c r="I176" s="131"/>
      <c r="J176" s="147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232</v>
      </c>
      <c r="S176" s="76">
        <v>366290</v>
      </c>
      <c r="T176" s="136"/>
    </row>
    <row r="177" spans="1:20" ht="15" customHeight="1" x14ac:dyDescent="0.3">
      <c r="A177" s="69">
        <v>46241</v>
      </c>
      <c r="B177" s="32">
        <v>0.83333333333333304</v>
      </c>
      <c r="C177" s="33" t="s">
        <v>42</v>
      </c>
      <c r="D177" s="62" t="s">
        <v>317</v>
      </c>
      <c r="E177" s="121" t="s">
        <v>246</v>
      </c>
      <c r="F177" s="119"/>
      <c r="G177" s="114">
        <v>2</v>
      </c>
      <c r="H177" s="119"/>
      <c r="I177" s="132"/>
      <c r="J177" s="148"/>
      <c r="K177" s="34">
        <f t="shared" ref="K177:K188" si="39">IF(G177="","",IF(E177="PC 17",G177*4.2,IF(E177="PC 19",G177*5,IF(E177="CB",G177*24,""))))</f>
        <v>8.4</v>
      </c>
      <c r="L177" s="33" t="s">
        <v>19</v>
      </c>
      <c r="M177" s="33" t="s">
        <v>29</v>
      </c>
      <c r="N177" s="33" t="s">
        <v>26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113</v>
      </c>
      <c r="S177" s="31"/>
    </row>
    <row r="178" spans="1:20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42</v>
      </c>
      <c r="D178" s="62" t="s">
        <v>317</v>
      </c>
      <c r="E178" s="120" t="s">
        <v>246</v>
      </c>
      <c r="F178" s="122"/>
      <c r="G178" s="114">
        <v>7</v>
      </c>
      <c r="H178" s="122"/>
      <c r="I178" s="129"/>
      <c r="J178" s="145"/>
      <c r="K178" s="28">
        <f t="shared" si="39"/>
        <v>29.400000000000002</v>
      </c>
      <c r="L178" s="26" t="s">
        <v>20</v>
      </c>
      <c r="M178" s="26" t="s">
        <v>145</v>
      </c>
      <c r="N178" s="26" t="s">
        <v>130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9">
        <v>46241</v>
      </c>
      <c r="B179" s="32">
        <f t="shared" si="41"/>
        <v>0.9166666666666663</v>
      </c>
      <c r="C179" s="33" t="s">
        <v>42</v>
      </c>
      <c r="D179" s="62" t="s">
        <v>317</v>
      </c>
      <c r="E179" s="121" t="s">
        <v>246</v>
      </c>
      <c r="F179" s="122"/>
      <c r="G179" s="114">
        <v>19</v>
      </c>
      <c r="H179" s="122"/>
      <c r="I179" s="129"/>
      <c r="J179" s="145"/>
      <c r="K179" s="34">
        <f t="shared" si="39"/>
        <v>79.8</v>
      </c>
      <c r="L179" s="33" t="s">
        <v>20</v>
      </c>
      <c r="M179" s="33" t="s">
        <v>119</v>
      </c>
      <c r="N179" s="33" t="s">
        <v>110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8">
        <v>46241</v>
      </c>
      <c r="B180" s="25">
        <f t="shared" si="41"/>
        <v>0.95833333333333293</v>
      </c>
      <c r="C180" s="33" t="s">
        <v>42</v>
      </c>
      <c r="D180" s="62" t="s">
        <v>317</v>
      </c>
      <c r="E180" s="120" t="s">
        <v>246</v>
      </c>
      <c r="F180" s="122"/>
      <c r="G180" s="114">
        <v>2</v>
      </c>
      <c r="H180" s="122"/>
      <c r="I180" s="129"/>
      <c r="J180" s="145"/>
      <c r="K180" s="28">
        <f t="shared" si="39"/>
        <v>8.4</v>
      </c>
      <c r="L180" s="26" t="s">
        <v>20</v>
      </c>
      <c r="M180" s="26" t="s">
        <v>145</v>
      </c>
      <c r="N180" s="26" t="s">
        <v>130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9">
        <v>46241</v>
      </c>
      <c r="B181" s="32">
        <f t="shared" si="41"/>
        <v>0.99999999999999956</v>
      </c>
      <c r="C181" s="33" t="s">
        <v>42</v>
      </c>
      <c r="D181" s="62" t="s">
        <v>317</v>
      </c>
      <c r="E181" s="121" t="s">
        <v>246</v>
      </c>
      <c r="F181" s="122"/>
      <c r="G181" s="114">
        <v>22</v>
      </c>
      <c r="H181" s="122"/>
      <c r="I181" s="129"/>
      <c r="J181" s="145"/>
      <c r="K181" s="34">
        <f t="shared" si="39"/>
        <v>92.4</v>
      </c>
      <c r="L181" s="33" t="s">
        <v>20</v>
      </c>
      <c r="M181" s="33"/>
      <c r="N181" s="33" t="s">
        <v>70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269</v>
      </c>
      <c r="S181" s="31"/>
    </row>
    <row r="182" spans="1:20" ht="15" customHeight="1" x14ac:dyDescent="0.3">
      <c r="A182" s="68">
        <v>46241</v>
      </c>
      <c r="B182" s="25">
        <f t="shared" si="41"/>
        <v>1.0416666666666663</v>
      </c>
      <c r="C182" s="33" t="s">
        <v>42</v>
      </c>
      <c r="D182" s="62" t="s">
        <v>317</v>
      </c>
      <c r="E182" s="120" t="s">
        <v>246</v>
      </c>
      <c r="F182" s="122"/>
      <c r="G182" s="114">
        <v>6</v>
      </c>
      <c r="H182" s="122"/>
      <c r="I182" s="129"/>
      <c r="J182" s="145"/>
      <c r="K182" s="28">
        <f t="shared" si="39"/>
        <v>25.200000000000003</v>
      </c>
      <c r="L182" s="26" t="s">
        <v>20</v>
      </c>
      <c r="M182" s="26"/>
      <c r="N182" s="26" t="s">
        <v>70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266</v>
      </c>
      <c r="S182" s="31"/>
    </row>
    <row r="183" spans="1:20" ht="15" customHeight="1" x14ac:dyDescent="0.3">
      <c r="A183" s="69">
        <v>46241</v>
      </c>
      <c r="B183" s="32">
        <f t="shared" si="41"/>
        <v>1.083333333333333</v>
      </c>
      <c r="C183" s="33" t="s">
        <v>42</v>
      </c>
      <c r="D183" s="62" t="s">
        <v>317</v>
      </c>
      <c r="E183" s="121" t="s">
        <v>246</v>
      </c>
      <c r="F183" s="122"/>
      <c r="G183" s="114">
        <v>13</v>
      </c>
      <c r="H183" s="122"/>
      <c r="I183" s="129"/>
      <c r="J183" s="145"/>
      <c r="K183" s="34">
        <f t="shared" si="39"/>
        <v>54.6</v>
      </c>
      <c r="L183" s="33" t="s">
        <v>20</v>
      </c>
      <c r="M183" s="33"/>
      <c r="N183" s="33" t="s">
        <v>70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270</v>
      </c>
      <c r="S183" s="31"/>
    </row>
    <row r="184" spans="1:20" ht="15" customHeight="1" x14ac:dyDescent="0.3">
      <c r="A184" s="68">
        <v>46241</v>
      </c>
      <c r="B184" s="25">
        <f t="shared" si="41"/>
        <v>1.1249999999999998</v>
      </c>
      <c r="C184" s="33" t="s">
        <v>42</v>
      </c>
      <c r="D184" s="62" t="s">
        <v>317</v>
      </c>
      <c r="E184" s="120" t="s">
        <v>246</v>
      </c>
      <c r="F184" s="122"/>
      <c r="G184" s="114">
        <v>0</v>
      </c>
      <c r="H184" s="122"/>
      <c r="I184" s="129"/>
      <c r="J184" s="145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9">
        <v>46241</v>
      </c>
      <c r="B185" s="32">
        <f t="shared" si="41"/>
        <v>1.1666666666666665</v>
      </c>
      <c r="C185" s="33" t="s">
        <v>42</v>
      </c>
      <c r="D185" s="62" t="s">
        <v>317</v>
      </c>
      <c r="E185" s="121" t="s">
        <v>246</v>
      </c>
      <c r="F185" s="122"/>
      <c r="G185" s="114">
        <v>3</v>
      </c>
      <c r="H185" s="122"/>
      <c r="I185" s="129"/>
      <c r="J185" s="145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8">
        <v>46241</v>
      </c>
      <c r="B186" s="25">
        <f t="shared" si="41"/>
        <v>1.2083333333333333</v>
      </c>
      <c r="C186" s="33" t="s">
        <v>42</v>
      </c>
      <c r="D186" s="62" t="s">
        <v>317</v>
      </c>
      <c r="E186" s="120" t="s">
        <v>246</v>
      </c>
      <c r="F186" s="122"/>
      <c r="G186" s="114">
        <v>10</v>
      </c>
      <c r="H186" s="122"/>
      <c r="I186" s="129"/>
      <c r="J186" s="145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9">
        <v>46241</v>
      </c>
      <c r="B187" s="32">
        <f t="shared" si="41"/>
        <v>1.25</v>
      </c>
      <c r="C187" s="33" t="s">
        <v>42</v>
      </c>
      <c r="D187" s="62" t="s">
        <v>317</v>
      </c>
      <c r="E187" s="121" t="s">
        <v>246</v>
      </c>
      <c r="F187" s="122"/>
      <c r="G187" s="114">
        <v>0</v>
      </c>
      <c r="H187" s="122"/>
      <c r="I187" s="129"/>
      <c r="J187" s="145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8">
        <v>46241</v>
      </c>
      <c r="B188" s="25">
        <f t="shared" si="41"/>
        <v>1.2916666666666667</v>
      </c>
      <c r="C188" s="33" t="s">
        <v>42</v>
      </c>
      <c r="D188" s="62" t="s">
        <v>317</v>
      </c>
      <c r="E188" s="120" t="s">
        <v>246</v>
      </c>
      <c r="F188" s="118"/>
      <c r="G188" s="114">
        <v>0</v>
      </c>
      <c r="H188" s="118"/>
      <c r="I188" s="130"/>
      <c r="J188" s="146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68" t="s">
        <v>234</v>
      </c>
      <c r="B189" s="169"/>
      <c r="C189" s="169"/>
      <c r="D189" s="169"/>
      <c r="E189" s="169">
        <f>SUM(E177:E188)</f>
        <v>0</v>
      </c>
      <c r="F189" s="124"/>
      <c r="G189" s="88">
        <f>SUM(G177:G188)</f>
        <v>84</v>
      </c>
      <c r="H189" s="124"/>
      <c r="I189" s="133"/>
      <c r="J189" s="149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232</v>
      </c>
      <c r="S189" s="76">
        <v>362530</v>
      </c>
      <c r="T189" s="136"/>
    </row>
    <row r="190" spans="1:20" ht="18" customHeight="1" x14ac:dyDescent="0.3">
      <c r="A190" s="165" t="s">
        <v>235</v>
      </c>
      <c r="B190" s="166"/>
      <c r="C190" s="166"/>
      <c r="D190" s="166"/>
      <c r="E190" s="166">
        <f>E176+E189</f>
        <v>0</v>
      </c>
      <c r="F190" s="125"/>
      <c r="G190" s="100">
        <f>G176+G189</f>
        <v>153</v>
      </c>
      <c r="H190" s="125"/>
      <c r="I190" s="134"/>
      <c r="J190" s="150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236</v>
      </c>
      <c r="S190" s="81">
        <f>IFERROR(S176+S189,"")</f>
        <v>728820</v>
      </c>
      <c r="T190" s="137">
        <f>IFERROR(J190,"")</f>
        <v>0</v>
      </c>
    </row>
    <row r="191" spans="1:20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317</v>
      </c>
      <c r="E191" s="121" t="s">
        <v>246</v>
      </c>
      <c r="F191" s="119"/>
      <c r="G191" s="114">
        <v>2</v>
      </c>
      <c r="H191" s="119"/>
      <c r="I191" s="132"/>
      <c r="J191" s="148"/>
      <c r="K191" s="34">
        <f t="shared" ref="K191:K202" si="42">IF(G191="","",IF(E191="PC 17",G191*4.2,IF(E191="PC 19",G191*5,IF(E191="CB",G191*24,""))))</f>
        <v>8.4</v>
      </c>
      <c r="L191" s="33" t="s">
        <v>20</v>
      </c>
      <c r="M191" s="33" t="s">
        <v>145</v>
      </c>
      <c r="N191" s="33" t="s">
        <v>178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271</v>
      </c>
      <c r="S191" s="31"/>
    </row>
    <row r="192" spans="1:20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317</v>
      </c>
      <c r="E192" s="121" t="s">
        <v>246</v>
      </c>
      <c r="F192" s="122"/>
      <c r="G192" s="114">
        <v>17</v>
      </c>
      <c r="H192" s="122"/>
      <c r="I192" s="129"/>
      <c r="J192" s="145"/>
      <c r="K192" s="28">
        <f t="shared" si="42"/>
        <v>71.400000000000006</v>
      </c>
      <c r="L192" s="26" t="s">
        <v>20</v>
      </c>
      <c r="M192" s="26" t="s">
        <v>145</v>
      </c>
      <c r="N192" s="26" t="s">
        <v>178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317</v>
      </c>
      <c r="E193" s="121" t="s">
        <v>246</v>
      </c>
      <c r="F193" s="122"/>
      <c r="G193" s="114">
        <v>16</v>
      </c>
      <c r="H193" s="122"/>
      <c r="I193" s="129"/>
      <c r="J193" s="145"/>
      <c r="K193" s="34">
        <f t="shared" si="42"/>
        <v>67.2</v>
      </c>
      <c r="L193" s="33" t="s">
        <v>20</v>
      </c>
      <c r="M193" s="33" t="s">
        <v>145</v>
      </c>
      <c r="N193" s="26" t="s">
        <v>178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317</v>
      </c>
      <c r="E194" s="121" t="s">
        <v>246</v>
      </c>
      <c r="F194" s="122"/>
      <c r="G194" s="114">
        <v>20</v>
      </c>
      <c r="H194" s="122"/>
      <c r="I194" s="129"/>
      <c r="J194" s="145"/>
      <c r="K194" s="28">
        <f t="shared" si="42"/>
        <v>84</v>
      </c>
      <c r="L194" s="26" t="s">
        <v>20</v>
      </c>
      <c r="M194" s="26" t="s">
        <v>36</v>
      </c>
      <c r="N194" s="26" t="s">
        <v>34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317</v>
      </c>
      <c r="E195" s="121" t="s">
        <v>246</v>
      </c>
      <c r="F195" s="122"/>
      <c r="G195" s="114">
        <v>5</v>
      </c>
      <c r="H195" s="122"/>
      <c r="I195" s="129"/>
      <c r="J195" s="145"/>
      <c r="K195" s="34">
        <f t="shared" si="42"/>
        <v>21</v>
      </c>
      <c r="L195" s="33" t="s">
        <v>20</v>
      </c>
      <c r="M195" s="33" t="s">
        <v>36</v>
      </c>
      <c r="N195" s="33" t="s">
        <v>34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264</v>
      </c>
      <c r="S195" s="31"/>
    </row>
    <row r="196" spans="1:20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317</v>
      </c>
      <c r="E196" s="121" t="s">
        <v>246</v>
      </c>
      <c r="F196" s="122"/>
      <c r="G196" s="114">
        <v>13</v>
      </c>
      <c r="H196" s="122"/>
      <c r="I196" s="129"/>
      <c r="J196" s="145"/>
      <c r="K196" s="28">
        <f t="shared" si="42"/>
        <v>54.6</v>
      </c>
      <c r="L196" s="26" t="s">
        <v>18</v>
      </c>
      <c r="M196" s="26" t="s">
        <v>36</v>
      </c>
      <c r="N196" s="26" t="s">
        <v>162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317</v>
      </c>
      <c r="E197" s="121" t="s">
        <v>246</v>
      </c>
      <c r="F197" s="122"/>
      <c r="G197" s="114">
        <v>10</v>
      </c>
      <c r="H197" s="122"/>
      <c r="I197" s="129"/>
      <c r="J197" s="145"/>
      <c r="K197" s="34">
        <f t="shared" si="42"/>
        <v>42</v>
      </c>
      <c r="L197" s="33" t="s">
        <v>20</v>
      </c>
      <c r="M197" s="33" t="s">
        <v>119</v>
      </c>
      <c r="N197" s="33" t="s">
        <v>110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317</v>
      </c>
      <c r="E198" s="121" t="s">
        <v>246</v>
      </c>
      <c r="F198" s="122"/>
      <c r="G198" s="114">
        <v>9</v>
      </c>
      <c r="H198" s="122"/>
      <c r="I198" s="129"/>
      <c r="J198" s="145"/>
      <c r="K198" s="28">
        <f t="shared" si="42"/>
        <v>37.800000000000004</v>
      </c>
      <c r="L198" s="26" t="s">
        <v>20</v>
      </c>
      <c r="M198" s="26" t="s">
        <v>119</v>
      </c>
      <c r="N198" s="33" t="s">
        <v>110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317</v>
      </c>
      <c r="E199" s="121" t="s">
        <v>246</v>
      </c>
      <c r="F199" s="122"/>
      <c r="G199" s="114">
        <v>9</v>
      </c>
      <c r="H199" s="122"/>
      <c r="I199" s="129"/>
      <c r="J199" s="145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317</v>
      </c>
      <c r="E200" s="121" t="s">
        <v>246</v>
      </c>
      <c r="F200" s="122"/>
      <c r="G200" s="114">
        <v>19</v>
      </c>
      <c r="H200" s="122"/>
      <c r="I200" s="129"/>
      <c r="J200" s="145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317</v>
      </c>
      <c r="E201" s="121" t="s">
        <v>246</v>
      </c>
      <c r="F201" s="122"/>
      <c r="G201" s="114">
        <v>6</v>
      </c>
      <c r="H201" s="122"/>
      <c r="I201" s="129"/>
      <c r="J201" s="145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8">
        <v>46242</v>
      </c>
      <c r="B202" s="25">
        <f t="shared" si="44"/>
        <v>0.79166666666666619</v>
      </c>
      <c r="C202" s="33" t="s">
        <v>21</v>
      </c>
      <c r="D202" s="62" t="s">
        <v>317</v>
      </c>
      <c r="E202" s="121" t="s">
        <v>246</v>
      </c>
      <c r="F202" s="118"/>
      <c r="G202" s="114">
        <v>7</v>
      </c>
      <c r="H202" s="118"/>
      <c r="I202" s="130"/>
      <c r="J202" s="146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68" t="s">
        <v>231</v>
      </c>
      <c r="B203" s="169"/>
      <c r="C203" s="169"/>
      <c r="D203" s="169"/>
      <c r="E203" s="169">
        <f>SUM(E191:E202)</f>
        <v>0</v>
      </c>
      <c r="F203" s="123"/>
      <c r="G203" s="88">
        <f>SUM(G191:G202)</f>
        <v>133</v>
      </c>
      <c r="H203" s="123"/>
      <c r="I203" s="131"/>
      <c r="J203" s="147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232</v>
      </c>
      <c r="S203" s="76">
        <v>601390</v>
      </c>
      <c r="T203" s="136"/>
    </row>
    <row r="204" spans="1:20" ht="15" customHeight="1" x14ac:dyDescent="0.3">
      <c r="A204" s="68">
        <v>46242</v>
      </c>
      <c r="B204" s="25">
        <v>0.83333333333333304</v>
      </c>
      <c r="C204" s="26" t="s">
        <v>42</v>
      </c>
      <c r="D204" s="59" t="s">
        <v>317</v>
      </c>
      <c r="E204" s="120" t="s">
        <v>246</v>
      </c>
      <c r="F204" s="119"/>
      <c r="G204" s="114">
        <v>16</v>
      </c>
      <c r="H204" s="119"/>
      <c r="I204" s="132"/>
      <c r="J204" s="148"/>
      <c r="K204" s="28">
        <f t="shared" ref="K204:K215" si="45">IF(G204="","",IF(E204="PC 17",G204*4.2,IF(E204="PC 19",G204*5,IF(E204="CB",G204*24,""))))</f>
        <v>67.2</v>
      </c>
      <c r="L204" s="26" t="s">
        <v>20</v>
      </c>
      <c r="M204" s="26"/>
      <c r="N204" s="26" t="s">
        <v>70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42</v>
      </c>
      <c r="D205" s="59" t="s">
        <v>317</v>
      </c>
      <c r="E205" s="120" t="s">
        <v>246</v>
      </c>
      <c r="F205" s="122"/>
      <c r="G205" s="114">
        <v>11</v>
      </c>
      <c r="H205" s="122"/>
      <c r="I205" s="129"/>
      <c r="J205" s="145"/>
      <c r="K205" s="34">
        <f t="shared" si="45"/>
        <v>46.2</v>
      </c>
      <c r="L205" s="33" t="s">
        <v>19</v>
      </c>
      <c r="M205" s="33" t="s">
        <v>155</v>
      </c>
      <c r="N205" s="33" t="s">
        <v>26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8">
        <v>46242</v>
      </c>
      <c r="B206" s="25">
        <f t="shared" si="47"/>
        <v>0.9166666666666663</v>
      </c>
      <c r="C206" s="26" t="s">
        <v>42</v>
      </c>
      <c r="D206" s="59" t="s">
        <v>317</v>
      </c>
      <c r="E206" s="120" t="s">
        <v>246</v>
      </c>
      <c r="F206" s="122"/>
      <c r="G206" s="114">
        <v>10</v>
      </c>
      <c r="H206" s="122"/>
      <c r="I206" s="129"/>
      <c r="J206" s="145"/>
      <c r="K206" s="28">
        <f t="shared" si="45"/>
        <v>42</v>
      </c>
      <c r="L206" s="26" t="s">
        <v>19</v>
      </c>
      <c r="M206" s="26" t="s">
        <v>155</v>
      </c>
      <c r="N206" s="26" t="s">
        <v>26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9">
        <v>46242</v>
      </c>
      <c r="B207" s="32">
        <f t="shared" si="47"/>
        <v>0.95833333333333293</v>
      </c>
      <c r="C207" s="26" t="s">
        <v>42</v>
      </c>
      <c r="D207" s="59" t="s">
        <v>317</v>
      </c>
      <c r="E207" s="120" t="s">
        <v>246</v>
      </c>
      <c r="F207" s="122"/>
      <c r="G207" s="114">
        <v>8</v>
      </c>
      <c r="H207" s="122"/>
      <c r="I207" s="129"/>
      <c r="J207" s="145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8">
        <v>46242</v>
      </c>
      <c r="B208" s="25">
        <f t="shared" si="47"/>
        <v>0.99999999999999956</v>
      </c>
      <c r="C208" s="26" t="s">
        <v>42</v>
      </c>
      <c r="D208" s="59" t="s">
        <v>317</v>
      </c>
      <c r="E208" s="120" t="s">
        <v>246</v>
      </c>
      <c r="F208" s="122"/>
      <c r="G208" s="114">
        <v>17</v>
      </c>
      <c r="H208" s="122"/>
      <c r="I208" s="129"/>
      <c r="J208" s="145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9">
        <v>46242</v>
      </c>
      <c r="B209" s="32">
        <f t="shared" si="47"/>
        <v>1.0416666666666663</v>
      </c>
      <c r="C209" s="26" t="s">
        <v>42</v>
      </c>
      <c r="D209" s="59" t="s">
        <v>317</v>
      </c>
      <c r="E209" s="120" t="s">
        <v>246</v>
      </c>
      <c r="F209" s="122"/>
      <c r="G209" s="114">
        <v>12</v>
      </c>
      <c r="H209" s="122"/>
      <c r="I209" s="129"/>
      <c r="J209" s="145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8">
        <v>46242</v>
      </c>
      <c r="B210" s="25">
        <f t="shared" si="47"/>
        <v>1.083333333333333</v>
      </c>
      <c r="C210" s="26" t="s">
        <v>42</v>
      </c>
      <c r="D210" s="59" t="s">
        <v>317</v>
      </c>
      <c r="E210" s="120" t="s">
        <v>246</v>
      </c>
      <c r="F210" s="122"/>
      <c r="G210" s="114">
        <v>12</v>
      </c>
      <c r="H210" s="122"/>
      <c r="I210" s="129"/>
      <c r="J210" s="145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9">
        <v>46242</v>
      </c>
      <c r="B211" s="32">
        <f t="shared" si="47"/>
        <v>1.1249999999999998</v>
      </c>
      <c r="C211" s="26" t="s">
        <v>42</v>
      </c>
      <c r="D211" s="59" t="s">
        <v>317</v>
      </c>
      <c r="E211" s="120" t="s">
        <v>246</v>
      </c>
      <c r="F211" s="122"/>
      <c r="G211" s="114">
        <v>15</v>
      </c>
      <c r="H211" s="122"/>
      <c r="I211" s="129"/>
      <c r="J211" s="145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8">
        <v>46242</v>
      </c>
      <c r="B212" s="25">
        <f t="shared" si="47"/>
        <v>1.1666666666666665</v>
      </c>
      <c r="C212" s="26" t="s">
        <v>42</v>
      </c>
      <c r="D212" s="59" t="s">
        <v>317</v>
      </c>
      <c r="E212" s="120" t="s">
        <v>246</v>
      </c>
      <c r="F212" s="122"/>
      <c r="G212" s="114">
        <v>16</v>
      </c>
      <c r="H212" s="122"/>
      <c r="I212" s="129"/>
      <c r="J212" s="145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9">
        <v>46242</v>
      </c>
      <c r="B213" s="32">
        <f t="shared" si="47"/>
        <v>1.2083333333333333</v>
      </c>
      <c r="C213" s="26" t="s">
        <v>42</v>
      </c>
      <c r="D213" s="59" t="s">
        <v>317</v>
      </c>
      <c r="E213" s="120" t="s">
        <v>246</v>
      </c>
      <c r="F213" s="122"/>
      <c r="G213" s="114">
        <v>15</v>
      </c>
      <c r="H213" s="122"/>
      <c r="I213" s="129"/>
      <c r="J213" s="145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8">
        <v>46242</v>
      </c>
      <c r="B214" s="25">
        <f t="shared" si="47"/>
        <v>1.25</v>
      </c>
      <c r="C214" s="26" t="s">
        <v>42</v>
      </c>
      <c r="D214" s="59" t="s">
        <v>317</v>
      </c>
      <c r="E214" s="120" t="s">
        <v>246</v>
      </c>
      <c r="F214" s="122"/>
      <c r="G214" s="114">
        <v>0</v>
      </c>
      <c r="H214" s="122"/>
      <c r="I214" s="129"/>
      <c r="J214" s="145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9">
        <v>46242</v>
      </c>
      <c r="B215" s="32">
        <f t="shared" si="47"/>
        <v>1.2916666666666667</v>
      </c>
      <c r="C215" s="26" t="s">
        <v>42</v>
      </c>
      <c r="D215" s="59" t="s">
        <v>317</v>
      </c>
      <c r="E215" s="120" t="s">
        <v>246</v>
      </c>
      <c r="F215" s="118"/>
      <c r="G215" s="114">
        <v>9</v>
      </c>
      <c r="H215" s="118"/>
      <c r="I215" s="130"/>
      <c r="J215" s="146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68" t="s">
        <v>234</v>
      </c>
      <c r="B216" s="169"/>
      <c r="C216" s="169"/>
      <c r="D216" s="169"/>
      <c r="E216" s="169">
        <f>SUM(E204:E215)</f>
        <v>0</v>
      </c>
      <c r="F216" s="124"/>
      <c r="G216" s="88">
        <f>SUM(G204:G215)</f>
        <v>141</v>
      </c>
      <c r="H216" s="124"/>
      <c r="I216" s="133"/>
      <c r="J216" s="149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232</v>
      </c>
      <c r="S216" s="76">
        <v>609740</v>
      </c>
      <c r="T216" s="136"/>
    </row>
    <row r="217" spans="1:20" ht="18" customHeight="1" x14ac:dyDescent="0.3">
      <c r="A217" s="165" t="s">
        <v>235</v>
      </c>
      <c r="B217" s="166"/>
      <c r="C217" s="166"/>
      <c r="D217" s="166"/>
      <c r="E217" s="166">
        <f>E203+E216</f>
        <v>0</v>
      </c>
      <c r="F217" s="125"/>
      <c r="G217" s="100">
        <f>G203+G216</f>
        <v>274</v>
      </c>
      <c r="H217" s="125"/>
      <c r="I217" s="134"/>
      <c r="J217" s="150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236</v>
      </c>
      <c r="S217" s="82">
        <f>IFERROR(S203+S216,"")</f>
        <v>1211130</v>
      </c>
      <c r="T217" s="140">
        <f>IFERROR(J217,"")</f>
        <v>0</v>
      </c>
    </row>
    <row r="218" spans="1:20" ht="15" customHeight="1" x14ac:dyDescent="0.3">
      <c r="A218" s="68">
        <v>46243</v>
      </c>
      <c r="B218" s="25">
        <v>0.33333333333333298</v>
      </c>
      <c r="C218" s="26" t="s">
        <v>28</v>
      </c>
      <c r="D218" s="59" t="s">
        <v>317</v>
      </c>
      <c r="E218" s="120" t="s">
        <v>246</v>
      </c>
      <c r="F218" s="119"/>
      <c r="G218" s="114">
        <v>18</v>
      </c>
      <c r="H218" s="119"/>
      <c r="I218" s="132"/>
      <c r="J218" s="148"/>
      <c r="K218" s="28">
        <f t="shared" ref="K218:K229" si="48">IF(G218="","",IF(E218="PC 17",G218*4.2,IF(E218="PC 19",G218*5,IF(E218="CB",G218*24,""))))</f>
        <v>75.600000000000009</v>
      </c>
      <c r="L218" s="26" t="s">
        <v>18</v>
      </c>
      <c r="M218" s="26" t="s">
        <v>29</v>
      </c>
      <c r="N218" s="33" t="s">
        <v>167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259</v>
      </c>
      <c r="S218" s="47"/>
    </row>
    <row r="219" spans="1:20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28</v>
      </c>
      <c r="D219" s="59" t="s">
        <v>317</v>
      </c>
      <c r="E219" s="120" t="s">
        <v>246</v>
      </c>
      <c r="F219" s="122"/>
      <c r="G219" s="114">
        <v>8</v>
      </c>
      <c r="H219" s="122"/>
      <c r="I219" s="129"/>
      <c r="J219" s="145"/>
      <c r="K219" s="34">
        <f t="shared" si="48"/>
        <v>33.6</v>
      </c>
      <c r="L219" s="33" t="s">
        <v>19</v>
      </c>
      <c r="M219" s="33" t="s">
        <v>29</v>
      </c>
      <c r="N219" s="33" t="s">
        <v>33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8">
        <v>46243</v>
      </c>
      <c r="B220" s="25">
        <f t="shared" si="50"/>
        <v>0.41666666666666635</v>
      </c>
      <c r="C220" s="26" t="s">
        <v>28</v>
      </c>
      <c r="D220" s="59" t="s">
        <v>317</v>
      </c>
      <c r="E220" s="120" t="s">
        <v>246</v>
      </c>
      <c r="F220" s="122"/>
      <c r="G220" s="114">
        <v>7</v>
      </c>
      <c r="H220" s="122"/>
      <c r="I220" s="129"/>
      <c r="J220" s="145"/>
      <c r="K220" s="28">
        <f t="shared" si="48"/>
        <v>29.400000000000002</v>
      </c>
      <c r="L220" s="26" t="s">
        <v>19</v>
      </c>
      <c r="M220" s="26" t="s">
        <v>29</v>
      </c>
      <c r="N220" s="26" t="s">
        <v>46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233</v>
      </c>
      <c r="S220" s="47"/>
    </row>
    <row r="221" spans="1:20" ht="15" customHeight="1" x14ac:dyDescent="0.3">
      <c r="A221" s="69">
        <v>46243</v>
      </c>
      <c r="B221" s="32">
        <f t="shared" si="50"/>
        <v>0.45833333333333304</v>
      </c>
      <c r="C221" s="26" t="s">
        <v>28</v>
      </c>
      <c r="D221" s="59" t="s">
        <v>317</v>
      </c>
      <c r="E221" s="120" t="s">
        <v>246</v>
      </c>
      <c r="F221" s="122"/>
      <c r="G221" s="114">
        <v>17</v>
      </c>
      <c r="H221" s="122"/>
      <c r="I221" s="129"/>
      <c r="J221" s="145"/>
      <c r="K221" s="34">
        <f t="shared" si="48"/>
        <v>71.400000000000006</v>
      </c>
      <c r="L221" s="33" t="s">
        <v>19</v>
      </c>
      <c r="M221" s="33" t="s">
        <v>29</v>
      </c>
      <c r="N221" s="33" t="s">
        <v>74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272</v>
      </c>
      <c r="S221" s="47"/>
    </row>
    <row r="222" spans="1:20" ht="15" customHeight="1" x14ac:dyDescent="0.3">
      <c r="A222" s="68">
        <v>46243</v>
      </c>
      <c r="B222" s="25">
        <f t="shared" si="50"/>
        <v>0.49999999999999972</v>
      </c>
      <c r="C222" s="26" t="s">
        <v>28</v>
      </c>
      <c r="D222" s="59" t="s">
        <v>317</v>
      </c>
      <c r="E222" s="120" t="s">
        <v>230</v>
      </c>
      <c r="F222" s="122"/>
      <c r="G222" s="114">
        <v>5</v>
      </c>
      <c r="H222" s="122"/>
      <c r="I222" s="129"/>
      <c r="J222" s="145"/>
      <c r="K222" s="28">
        <f t="shared" si="48"/>
        <v>25</v>
      </c>
      <c r="L222" s="26" t="s">
        <v>19</v>
      </c>
      <c r="M222" s="26" t="s">
        <v>36</v>
      </c>
      <c r="N222" s="26" t="s">
        <v>26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9">
        <v>46243</v>
      </c>
      <c r="B223" s="32">
        <f t="shared" si="50"/>
        <v>0.54166666666666641</v>
      </c>
      <c r="C223" s="26" t="s">
        <v>28</v>
      </c>
      <c r="D223" s="59" t="s">
        <v>317</v>
      </c>
      <c r="E223" s="120" t="s">
        <v>246</v>
      </c>
      <c r="F223" s="122"/>
      <c r="G223" s="114">
        <v>13</v>
      </c>
      <c r="H223" s="122"/>
      <c r="I223" s="129"/>
      <c r="J223" s="145"/>
      <c r="K223" s="34">
        <f t="shared" si="48"/>
        <v>54.6</v>
      </c>
      <c r="L223" s="33" t="s">
        <v>18</v>
      </c>
      <c r="M223" s="33" t="s">
        <v>131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273</v>
      </c>
      <c r="S223" s="47"/>
    </row>
    <row r="224" spans="1:20" ht="15" customHeight="1" x14ac:dyDescent="0.3">
      <c r="A224" s="68">
        <v>46243</v>
      </c>
      <c r="B224" s="25">
        <f t="shared" si="50"/>
        <v>0.58333333333333304</v>
      </c>
      <c r="C224" s="26" t="s">
        <v>28</v>
      </c>
      <c r="D224" s="59" t="s">
        <v>317</v>
      </c>
      <c r="E224" s="120" t="s">
        <v>246</v>
      </c>
      <c r="F224" s="122"/>
      <c r="G224" s="114">
        <v>10</v>
      </c>
      <c r="H224" s="122"/>
      <c r="I224" s="129"/>
      <c r="J224" s="145"/>
      <c r="K224" s="28">
        <f t="shared" si="48"/>
        <v>42</v>
      </c>
      <c r="L224" s="26" t="s">
        <v>18</v>
      </c>
      <c r="M224" s="26" t="s">
        <v>131</v>
      </c>
      <c r="N224" s="26" t="s">
        <v>57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274</v>
      </c>
      <c r="S224" s="47"/>
    </row>
    <row r="225" spans="1:20" ht="15" customHeight="1" x14ac:dyDescent="0.3">
      <c r="A225" s="69">
        <v>46243</v>
      </c>
      <c r="B225" s="32">
        <f t="shared" si="50"/>
        <v>0.62499999999999967</v>
      </c>
      <c r="C225" s="26" t="s">
        <v>28</v>
      </c>
      <c r="D225" s="59" t="s">
        <v>317</v>
      </c>
      <c r="E225" s="120" t="s">
        <v>246</v>
      </c>
      <c r="F225" s="122"/>
      <c r="G225" s="114">
        <v>14</v>
      </c>
      <c r="H225" s="122"/>
      <c r="I225" s="129"/>
      <c r="J225" s="145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8">
        <v>46243</v>
      </c>
      <c r="B226" s="25">
        <f t="shared" si="50"/>
        <v>0.6666666666666663</v>
      </c>
      <c r="C226" s="26" t="s">
        <v>28</v>
      </c>
      <c r="D226" s="59" t="s">
        <v>317</v>
      </c>
      <c r="E226" s="120" t="s">
        <v>246</v>
      </c>
      <c r="F226" s="122"/>
      <c r="G226" s="114">
        <v>12</v>
      </c>
      <c r="H226" s="122"/>
      <c r="I226" s="129"/>
      <c r="J226" s="145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9">
        <v>46243</v>
      </c>
      <c r="B227" s="32">
        <f t="shared" si="50"/>
        <v>0.70833333333333293</v>
      </c>
      <c r="C227" s="26" t="s">
        <v>28</v>
      </c>
      <c r="D227" s="59" t="s">
        <v>317</v>
      </c>
      <c r="E227" s="120" t="s">
        <v>246</v>
      </c>
      <c r="F227" s="122"/>
      <c r="G227" s="114">
        <v>10</v>
      </c>
      <c r="H227" s="122"/>
      <c r="I227" s="129"/>
      <c r="J227" s="145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8">
        <v>46243</v>
      </c>
      <c r="B228" s="25">
        <f t="shared" si="50"/>
        <v>0.74999999999999956</v>
      </c>
      <c r="C228" s="26" t="s">
        <v>28</v>
      </c>
      <c r="D228" s="59" t="s">
        <v>317</v>
      </c>
      <c r="E228" s="120" t="s">
        <v>246</v>
      </c>
      <c r="F228" s="122"/>
      <c r="G228" s="114">
        <v>10</v>
      </c>
      <c r="H228" s="122"/>
      <c r="I228" s="129"/>
      <c r="J228" s="145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9">
        <v>46243</v>
      </c>
      <c r="B229" s="32">
        <f t="shared" si="50"/>
        <v>0.79166666666666619</v>
      </c>
      <c r="C229" s="26" t="s">
        <v>28</v>
      </c>
      <c r="D229" s="59" t="s">
        <v>317</v>
      </c>
      <c r="E229" s="120" t="s">
        <v>246</v>
      </c>
      <c r="F229" s="118"/>
      <c r="G229" s="114">
        <v>10</v>
      </c>
      <c r="H229" s="118"/>
      <c r="I229" s="130"/>
      <c r="J229" s="146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59" t="s">
        <v>231</v>
      </c>
      <c r="B230" s="160"/>
      <c r="C230" s="160"/>
      <c r="D230" s="160"/>
      <c r="E230" s="160">
        <f>SUM(E218:E229)</f>
        <v>0</v>
      </c>
      <c r="F230" s="123"/>
      <c r="G230" s="88">
        <f>SUM(G218:G229)</f>
        <v>134</v>
      </c>
      <c r="H230" s="123"/>
      <c r="I230" s="131"/>
      <c r="J230" s="147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232</v>
      </c>
      <c r="S230" s="76">
        <v>503310</v>
      </c>
      <c r="T230" s="136"/>
    </row>
    <row r="231" spans="1:20" ht="15" customHeight="1" x14ac:dyDescent="0.3">
      <c r="A231" s="69">
        <v>46243</v>
      </c>
      <c r="B231" s="32">
        <v>0.83333333333333304</v>
      </c>
      <c r="C231" s="33" t="s">
        <v>42</v>
      </c>
      <c r="D231" s="62" t="s">
        <v>317</v>
      </c>
      <c r="E231" s="121" t="s">
        <v>246</v>
      </c>
      <c r="F231" s="119"/>
      <c r="G231" s="114">
        <v>15</v>
      </c>
      <c r="H231" s="119"/>
      <c r="I231" s="132"/>
      <c r="J231" s="148"/>
      <c r="K231" s="34">
        <f t="shared" ref="K231:K242" si="51">IF(G231="","",IF(E231="PC 17",G231*4.2,IF(E231="PC 19",G231*5,IF(E231="CB",G231*24,""))))</f>
        <v>63</v>
      </c>
      <c r="L231" s="33" t="s">
        <v>20</v>
      </c>
      <c r="M231" s="33" t="s">
        <v>36</v>
      </c>
      <c r="N231" s="33" t="s">
        <v>34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233</v>
      </c>
      <c r="S231" s="47"/>
    </row>
    <row r="232" spans="1:20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42</v>
      </c>
      <c r="D232" s="62" t="s">
        <v>317</v>
      </c>
      <c r="E232" s="121" t="s">
        <v>230</v>
      </c>
      <c r="F232" s="122"/>
      <c r="G232" s="114">
        <v>11</v>
      </c>
      <c r="H232" s="122"/>
      <c r="I232" s="129"/>
      <c r="J232" s="145"/>
      <c r="K232" s="28">
        <f t="shared" si="51"/>
        <v>55</v>
      </c>
      <c r="L232" s="26" t="s">
        <v>19</v>
      </c>
      <c r="M232" s="26" t="s">
        <v>155</v>
      </c>
      <c r="N232" s="26" t="s">
        <v>26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9">
        <v>46243</v>
      </c>
      <c r="B233" s="32">
        <f t="shared" si="53"/>
        <v>0.9166666666666663</v>
      </c>
      <c r="C233" s="33" t="s">
        <v>42</v>
      </c>
      <c r="D233" s="62" t="s">
        <v>317</v>
      </c>
      <c r="E233" s="121" t="s">
        <v>246</v>
      </c>
      <c r="F233" s="122"/>
      <c r="G233" s="114">
        <v>13</v>
      </c>
      <c r="H233" s="122"/>
      <c r="I233" s="129"/>
      <c r="J233" s="145"/>
      <c r="K233" s="34">
        <f t="shared" si="51"/>
        <v>54.6</v>
      </c>
      <c r="L233" s="33" t="s">
        <v>20</v>
      </c>
      <c r="M233" s="33" t="s">
        <v>36</v>
      </c>
      <c r="N233" s="33" t="s">
        <v>34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8">
        <v>46243</v>
      </c>
      <c r="B234" s="25">
        <f t="shared" si="53"/>
        <v>0.95833333333333293</v>
      </c>
      <c r="C234" s="33" t="s">
        <v>42</v>
      </c>
      <c r="D234" s="62" t="s">
        <v>317</v>
      </c>
      <c r="E234" s="121" t="s">
        <v>230</v>
      </c>
      <c r="F234" s="122"/>
      <c r="G234" s="114">
        <v>8</v>
      </c>
      <c r="H234" s="122"/>
      <c r="I234" s="129"/>
      <c r="J234" s="145"/>
      <c r="K234" s="28">
        <f t="shared" si="51"/>
        <v>40</v>
      </c>
      <c r="L234" s="26" t="s">
        <v>19</v>
      </c>
      <c r="M234" s="26" t="s">
        <v>155</v>
      </c>
      <c r="N234" s="26" t="s">
        <v>26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9">
        <v>46243</v>
      </c>
      <c r="B235" s="32">
        <f t="shared" si="53"/>
        <v>0.99999999999999956</v>
      </c>
      <c r="C235" s="33" t="s">
        <v>42</v>
      </c>
      <c r="D235" s="62" t="s">
        <v>317</v>
      </c>
      <c r="E235" s="121" t="s">
        <v>230</v>
      </c>
      <c r="F235" s="122"/>
      <c r="G235" s="114">
        <v>10</v>
      </c>
      <c r="H235" s="122"/>
      <c r="I235" s="129"/>
      <c r="J235" s="145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8">
        <v>46243</v>
      </c>
      <c r="B236" s="25">
        <f t="shared" si="53"/>
        <v>1.0416666666666663</v>
      </c>
      <c r="C236" s="33" t="s">
        <v>42</v>
      </c>
      <c r="D236" s="62" t="s">
        <v>317</v>
      </c>
      <c r="E236" s="121" t="s">
        <v>230</v>
      </c>
      <c r="F236" s="122"/>
      <c r="G236" s="114">
        <v>12</v>
      </c>
      <c r="H236" s="122"/>
      <c r="I236" s="129"/>
      <c r="J236" s="145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9">
        <v>46243</v>
      </c>
      <c r="B237" s="32">
        <f t="shared" si="53"/>
        <v>1.083333333333333</v>
      </c>
      <c r="C237" s="33" t="s">
        <v>42</v>
      </c>
      <c r="D237" s="62" t="s">
        <v>317</v>
      </c>
      <c r="E237" s="121" t="s">
        <v>230</v>
      </c>
      <c r="F237" s="122"/>
      <c r="G237" s="114">
        <v>16</v>
      </c>
      <c r="H237" s="122"/>
      <c r="I237" s="129"/>
      <c r="J237" s="145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8">
        <v>46243</v>
      </c>
      <c r="B238" s="25">
        <f t="shared" si="53"/>
        <v>1.1249999999999998</v>
      </c>
      <c r="C238" s="33" t="s">
        <v>42</v>
      </c>
      <c r="D238" s="62" t="s">
        <v>317</v>
      </c>
      <c r="E238" s="121" t="s">
        <v>230</v>
      </c>
      <c r="F238" s="122"/>
      <c r="G238" s="114">
        <v>18</v>
      </c>
      <c r="H238" s="122"/>
      <c r="I238" s="129"/>
      <c r="J238" s="145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9">
        <v>46243</v>
      </c>
      <c r="B239" s="32">
        <f t="shared" si="53"/>
        <v>1.1666666666666665</v>
      </c>
      <c r="C239" s="33" t="s">
        <v>42</v>
      </c>
      <c r="D239" s="62" t="s">
        <v>317</v>
      </c>
      <c r="E239" s="121" t="s">
        <v>230</v>
      </c>
      <c r="F239" s="122"/>
      <c r="G239" s="114">
        <v>14</v>
      </c>
      <c r="H239" s="122"/>
      <c r="I239" s="129"/>
      <c r="J239" s="145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8">
        <v>46243</v>
      </c>
      <c r="B240" s="25">
        <f t="shared" si="53"/>
        <v>1.2083333333333333</v>
      </c>
      <c r="C240" s="33" t="s">
        <v>42</v>
      </c>
      <c r="D240" s="62" t="s">
        <v>317</v>
      </c>
      <c r="E240" s="121" t="s">
        <v>230</v>
      </c>
      <c r="F240" s="122"/>
      <c r="G240" s="114">
        <v>11</v>
      </c>
      <c r="H240" s="122"/>
      <c r="I240" s="129"/>
      <c r="J240" s="145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9">
        <v>46243</v>
      </c>
      <c r="B241" s="32">
        <f t="shared" si="53"/>
        <v>1.25</v>
      </c>
      <c r="C241" s="33" t="s">
        <v>42</v>
      </c>
      <c r="D241" s="62" t="s">
        <v>317</v>
      </c>
      <c r="E241" s="121" t="s">
        <v>230</v>
      </c>
      <c r="F241" s="122"/>
      <c r="G241" s="114">
        <v>6</v>
      </c>
      <c r="H241" s="122"/>
      <c r="I241" s="129"/>
      <c r="J241" s="145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8">
        <v>46243</v>
      </c>
      <c r="B242" s="25">
        <f t="shared" si="53"/>
        <v>1.2916666666666667</v>
      </c>
      <c r="C242" s="33" t="s">
        <v>42</v>
      </c>
      <c r="D242" s="62" t="s">
        <v>317</v>
      </c>
      <c r="E242" s="121" t="s">
        <v>230</v>
      </c>
      <c r="F242" s="118"/>
      <c r="G242" s="114">
        <v>3</v>
      </c>
      <c r="H242" s="118"/>
      <c r="I242" s="130"/>
      <c r="J242" s="146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68" t="s">
        <v>234</v>
      </c>
      <c r="B243" s="169"/>
      <c r="C243" s="169"/>
      <c r="D243" s="169"/>
      <c r="E243" s="169">
        <f>SUM(E231:E242)</f>
        <v>0</v>
      </c>
      <c r="F243" s="124"/>
      <c r="G243" s="88">
        <f>SUM(G231:G242)</f>
        <v>137</v>
      </c>
      <c r="H243" s="124"/>
      <c r="I243" s="133"/>
      <c r="J243" s="149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232</v>
      </c>
      <c r="S243" s="76">
        <v>825930</v>
      </c>
      <c r="T243" s="136"/>
    </row>
    <row r="244" spans="1:20" ht="18" customHeight="1" x14ac:dyDescent="0.3">
      <c r="A244" s="165" t="s">
        <v>235</v>
      </c>
      <c r="B244" s="166"/>
      <c r="C244" s="166"/>
      <c r="D244" s="166"/>
      <c r="E244" s="166">
        <f>E230+E243</f>
        <v>0</v>
      </c>
      <c r="F244" s="125"/>
      <c r="G244" s="100">
        <f>G230+G243</f>
        <v>271</v>
      </c>
      <c r="H244" s="125"/>
      <c r="I244" s="134"/>
      <c r="J244" s="150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236</v>
      </c>
      <c r="S244" s="82">
        <f>IFERROR(S230+S243,"")</f>
        <v>1329240</v>
      </c>
      <c r="T244" s="140">
        <f>IFERROR(J244,"")</f>
        <v>0</v>
      </c>
    </row>
    <row r="245" spans="1:20" ht="15" customHeight="1" x14ac:dyDescent="0.3">
      <c r="A245" s="68">
        <v>46244</v>
      </c>
      <c r="B245" s="25">
        <v>0.33333333333333298</v>
      </c>
      <c r="C245" s="26" t="s">
        <v>28</v>
      </c>
      <c r="D245" s="59" t="s">
        <v>317</v>
      </c>
      <c r="E245" s="120" t="s">
        <v>230</v>
      </c>
      <c r="F245" s="119"/>
      <c r="G245" s="27">
        <v>23</v>
      </c>
      <c r="H245" s="119"/>
      <c r="I245" s="132"/>
      <c r="J245" s="148"/>
      <c r="K245" s="28">
        <f t="shared" ref="K245:K256" si="54">IF(G245="","",IF(E245="PC 17",G245*4.2,IF(E245="PC 19",G245*5,IF(E245="CB",G245*24,""))))</f>
        <v>115</v>
      </c>
      <c r="L245" s="33" t="s">
        <v>18</v>
      </c>
      <c r="M245" s="33" t="s">
        <v>29</v>
      </c>
      <c r="N245" s="33" t="s">
        <v>162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28</v>
      </c>
      <c r="D246" s="59" t="s">
        <v>317</v>
      </c>
      <c r="E246" s="120" t="s">
        <v>230</v>
      </c>
      <c r="F246" s="122"/>
      <c r="G246" s="27">
        <v>18</v>
      </c>
      <c r="H246" s="122"/>
      <c r="I246" s="129"/>
      <c r="J246" s="145"/>
      <c r="K246" s="34">
        <f t="shared" si="54"/>
        <v>90</v>
      </c>
      <c r="L246" s="33" t="s">
        <v>19</v>
      </c>
      <c r="M246" s="26" t="s">
        <v>36</v>
      </c>
      <c r="N246" s="33" t="s">
        <v>26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8">
        <v>46244</v>
      </c>
      <c r="B247" s="25">
        <f t="shared" si="56"/>
        <v>0.41666666666666635</v>
      </c>
      <c r="C247" s="26" t="s">
        <v>28</v>
      </c>
      <c r="D247" s="59" t="s">
        <v>317</v>
      </c>
      <c r="E247" s="120" t="s">
        <v>230</v>
      </c>
      <c r="F247" s="122"/>
      <c r="G247" s="27">
        <v>16</v>
      </c>
      <c r="H247" s="122"/>
      <c r="I247" s="129"/>
      <c r="J247" s="145"/>
      <c r="K247" s="28">
        <f t="shared" si="54"/>
        <v>80</v>
      </c>
      <c r="L247" s="33" t="s">
        <v>19</v>
      </c>
      <c r="M247" s="33" t="s">
        <v>36</v>
      </c>
      <c r="N247" s="33" t="s">
        <v>26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9">
        <v>46244</v>
      </c>
      <c r="B248" s="32">
        <f t="shared" si="56"/>
        <v>0.45833333333333304</v>
      </c>
      <c r="C248" s="26" t="s">
        <v>28</v>
      </c>
      <c r="D248" s="59" t="s">
        <v>317</v>
      </c>
      <c r="E248" s="120" t="s">
        <v>230</v>
      </c>
      <c r="F248" s="122"/>
      <c r="G248" s="27">
        <v>14</v>
      </c>
      <c r="H248" s="122"/>
      <c r="I248" s="129"/>
      <c r="J248" s="145"/>
      <c r="K248" s="34">
        <f t="shared" si="54"/>
        <v>70</v>
      </c>
      <c r="L248" s="26" t="s">
        <v>19</v>
      </c>
      <c r="M248" s="26" t="s">
        <v>29</v>
      </c>
      <c r="N248" s="26" t="s">
        <v>26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8">
        <v>46244</v>
      </c>
      <c r="B249" s="25">
        <f t="shared" si="56"/>
        <v>0.49999999999999972</v>
      </c>
      <c r="C249" s="26" t="s">
        <v>28</v>
      </c>
      <c r="D249" s="59" t="s">
        <v>316</v>
      </c>
      <c r="E249" s="120" t="s">
        <v>246</v>
      </c>
      <c r="F249" s="122"/>
      <c r="G249" s="27">
        <v>12</v>
      </c>
      <c r="H249" s="122"/>
      <c r="I249" s="129"/>
      <c r="J249" s="145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9">
        <v>46244</v>
      </c>
      <c r="B250" s="32">
        <f t="shared" si="56"/>
        <v>0.54166666666666641</v>
      </c>
      <c r="C250" s="26" t="s">
        <v>28</v>
      </c>
      <c r="D250" s="59" t="s">
        <v>316</v>
      </c>
      <c r="E250" s="120" t="s">
        <v>246</v>
      </c>
      <c r="F250" s="122"/>
      <c r="G250" s="27">
        <v>12</v>
      </c>
      <c r="H250" s="122"/>
      <c r="I250" s="129"/>
      <c r="J250" s="145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8">
        <v>46244</v>
      </c>
      <c r="B251" s="25">
        <f t="shared" si="56"/>
        <v>0.58333333333333304</v>
      </c>
      <c r="C251" s="26" t="s">
        <v>28</v>
      </c>
      <c r="D251" s="59" t="s">
        <v>316</v>
      </c>
      <c r="E251" s="120" t="s">
        <v>246</v>
      </c>
      <c r="F251" s="122"/>
      <c r="G251" s="27">
        <v>7</v>
      </c>
      <c r="H251" s="122"/>
      <c r="I251" s="129"/>
      <c r="J251" s="145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9">
        <v>46244</v>
      </c>
      <c r="B252" s="32">
        <f t="shared" si="56"/>
        <v>0.62499999999999967</v>
      </c>
      <c r="C252" s="26" t="s">
        <v>28</v>
      </c>
      <c r="D252" s="59" t="s">
        <v>316</v>
      </c>
      <c r="E252" s="120" t="s">
        <v>246</v>
      </c>
      <c r="F252" s="122"/>
      <c r="G252" s="27">
        <v>18</v>
      </c>
      <c r="H252" s="122"/>
      <c r="I252" s="129"/>
      <c r="J252" s="145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8">
        <v>46244</v>
      </c>
      <c r="B253" s="25">
        <f t="shared" si="56"/>
        <v>0.6666666666666663</v>
      </c>
      <c r="C253" s="26" t="s">
        <v>28</v>
      </c>
      <c r="D253" s="59" t="s">
        <v>316</v>
      </c>
      <c r="E253" s="120" t="s">
        <v>246</v>
      </c>
      <c r="F253" s="122"/>
      <c r="G253" s="27">
        <v>15</v>
      </c>
      <c r="H253" s="122"/>
      <c r="I253" s="129"/>
      <c r="J253" s="145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9">
        <v>46244</v>
      </c>
      <c r="B254" s="32">
        <f t="shared" si="56"/>
        <v>0.70833333333333293</v>
      </c>
      <c r="C254" s="26" t="s">
        <v>28</v>
      </c>
      <c r="D254" s="59" t="s">
        <v>316</v>
      </c>
      <c r="E254" s="120" t="s">
        <v>246</v>
      </c>
      <c r="F254" s="122"/>
      <c r="G254" s="27">
        <v>15</v>
      </c>
      <c r="H254" s="122"/>
      <c r="I254" s="129"/>
      <c r="J254" s="145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8">
        <v>46244</v>
      </c>
      <c r="B255" s="25">
        <f t="shared" si="56"/>
        <v>0.74999999999999956</v>
      </c>
      <c r="C255" s="26" t="s">
        <v>28</v>
      </c>
      <c r="D255" s="59" t="s">
        <v>316</v>
      </c>
      <c r="E255" s="120" t="s">
        <v>246</v>
      </c>
      <c r="F255" s="122"/>
      <c r="G255" s="27">
        <v>20</v>
      </c>
      <c r="H255" s="122"/>
      <c r="I255" s="129"/>
      <c r="J255" s="145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9">
        <v>46244</v>
      </c>
      <c r="B256" s="32">
        <f t="shared" si="56"/>
        <v>0.79166666666666619</v>
      </c>
      <c r="C256" s="26" t="s">
        <v>28</v>
      </c>
      <c r="D256" s="59" t="s">
        <v>316</v>
      </c>
      <c r="E256" s="120" t="s">
        <v>246</v>
      </c>
      <c r="F256" s="118"/>
      <c r="G256" s="27">
        <v>13</v>
      </c>
      <c r="H256" s="118"/>
      <c r="I256" s="130"/>
      <c r="J256" s="146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68" t="s">
        <v>231</v>
      </c>
      <c r="B257" s="169"/>
      <c r="C257" s="169"/>
      <c r="D257" s="169"/>
      <c r="E257" s="169">
        <f>SUM(E245:E256)</f>
        <v>0</v>
      </c>
      <c r="F257" s="123"/>
      <c r="G257" s="36">
        <f>SUM(G245:G256)</f>
        <v>183</v>
      </c>
      <c r="H257" s="123"/>
      <c r="I257" s="131"/>
      <c r="J257" s="147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232</v>
      </c>
      <c r="S257" s="76">
        <v>898190</v>
      </c>
      <c r="T257" s="136"/>
    </row>
    <row r="258" spans="1:20" ht="15" customHeight="1" x14ac:dyDescent="0.3">
      <c r="A258" s="69">
        <v>46244</v>
      </c>
      <c r="B258" s="32">
        <v>0.83333333333333304</v>
      </c>
      <c r="C258" s="33"/>
      <c r="D258" s="62" t="s">
        <v>316</v>
      </c>
      <c r="E258" s="62" t="s">
        <v>246</v>
      </c>
      <c r="F258" s="119"/>
      <c r="G258" s="27">
        <v>14</v>
      </c>
      <c r="H258" s="119"/>
      <c r="I258" s="132"/>
      <c r="J258" s="148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 t="s">
        <v>316</v>
      </c>
      <c r="E259" s="62" t="s">
        <v>246</v>
      </c>
      <c r="F259" s="122"/>
      <c r="G259" s="27">
        <v>15</v>
      </c>
      <c r="H259" s="122"/>
      <c r="I259" s="129"/>
      <c r="J259" s="145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9">
        <v>46244</v>
      </c>
      <c r="B260" s="32">
        <f t="shared" si="59"/>
        <v>0.9166666666666663</v>
      </c>
      <c r="C260" s="33"/>
      <c r="D260" s="62" t="s">
        <v>316</v>
      </c>
      <c r="E260" s="62" t="s">
        <v>246</v>
      </c>
      <c r="F260" s="122"/>
      <c r="G260" s="27">
        <v>7</v>
      </c>
      <c r="H260" s="122"/>
      <c r="I260" s="129"/>
      <c r="J260" s="145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8">
        <v>46244</v>
      </c>
      <c r="B261" s="25">
        <f t="shared" si="59"/>
        <v>0.95833333333333293</v>
      </c>
      <c r="C261" s="33"/>
      <c r="D261" s="62" t="s">
        <v>316</v>
      </c>
      <c r="E261" s="62" t="s">
        <v>246</v>
      </c>
      <c r="F261" s="122"/>
      <c r="G261" s="27">
        <v>13</v>
      </c>
      <c r="H261" s="122"/>
      <c r="I261" s="129"/>
      <c r="J261" s="145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9">
        <v>46244</v>
      </c>
      <c r="B262" s="32">
        <f t="shared" si="59"/>
        <v>0.99999999999999956</v>
      </c>
      <c r="C262" s="33"/>
      <c r="D262" s="62" t="s">
        <v>316</v>
      </c>
      <c r="E262" s="62" t="s">
        <v>246</v>
      </c>
      <c r="F262" s="122"/>
      <c r="G262" s="27">
        <v>24</v>
      </c>
      <c r="H262" s="122"/>
      <c r="I262" s="129"/>
      <c r="J262" s="145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8">
        <v>46244</v>
      </c>
      <c r="B263" s="25">
        <f t="shared" si="59"/>
        <v>1.0416666666666663</v>
      </c>
      <c r="C263" s="33"/>
      <c r="D263" s="62" t="s">
        <v>316</v>
      </c>
      <c r="E263" s="62" t="s">
        <v>246</v>
      </c>
      <c r="F263" s="122"/>
      <c r="G263" s="27">
        <v>12</v>
      </c>
      <c r="H263" s="122"/>
      <c r="I263" s="129"/>
      <c r="J263" s="145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9">
        <v>46244</v>
      </c>
      <c r="B264" s="32">
        <f t="shared" si="59"/>
        <v>1.083333333333333</v>
      </c>
      <c r="C264" s="33"/>
      <c r="D264" s="62" t="s">
        <v>316</v>
      </c>
      <c r="E264" s="62" t="s">
        <v>246</v>
      </c>
      <c r="F264" s="122"/>
      <c r="G264" s="27">
        <v>22</v>
      </c>
      <c r="H264" s="122"/>
      <c r="I264" s="129"/>
      <c r="J264" s="145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8">
        <v>46244</v>
      </c>
      <c r="B265" s="25">
        <f t="shared" si="59"/>
        <v>1.1249999999999998</v>
      </c>
      <c r="C265" s="33"/>
      <c r="D265" s="62" t="s">
        <v>316</v>
      </c>
      <c r="E265" s="62" t="s">
        <v>246</v>
      </c>
      <c r="F265" s="122"/>
      <c r="G265" s="27">
        <v>0</v>
      </c>
      <c r="H265" s="122"/>
      <c r="I265" s="129"/>
      <c r="J265" s="145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9">
        <v>46244</v>
      </c>
      <c r="B266" s="32">
        <f t="shared" si="59"/>
        <v>1.1666666666666665</v>
      </c>
      <c r="C266" s="33"/>
      <c r="D266" s="62" t="s">
        <v>316</v>
      </c>
      <c r="E266" s="62" t="s">
        <v>246</v>
      </c>
      <c r="F266" s="122"/>
      <c r="G266" s="27">
        <v>23</v>
      </c>
      <c r="H266" s="122"/>
      <c r="I266" s="129"/>
      <c r="J266" s="145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8">
        <v>46244</v>
      </c>
      <c r="B267" s="25">
        <f t="shared" si="59"/>
        <v>1.2083333333333333</v>
      </c>
      <c r="C267" s="33"/>
      <c r="D267" s="62" t="s">
        <v>316</v>
      </c>
      <c r="E267" s="62" t="s">
        <v>246</v>
      </c>
      <c r="F267" s="122"/>
      <c r="G267" s="27">
        <v>13</v>
      </c>
      <c r="H267" s="122"/>
      <c r="I267" s="129"/>
      <c r="J267" s="145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9">
        <v>46244</v>
      </c>
      <c r="B268" s="32">
        <f t="shared" si="59"/>
        <v>1.25</v>
      </c>
      <c r="C268" s="33"/>
      <c r="D268" s="62" t="s">
        <v>316</v>
      </c>
      <c r="E268" s="62" t="s">
        <v>246</v>
      </c>
      <c r="F268" s="122"/>
      <c r="G268" s="27">
        <v>17</v>
      </c>
      <c r="H268" s="122"/>
      <c r="I268" s="129"/>
      <c r="J268" s="145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8">
        <v>46244</v>
      </c>
      <c r="B269" s="25">
        <f t="shared" si="59"/>
        <v>1.2916666666666667</v>
      </c>
      <c r="C269" s="33"/>
      <c r="D269" s="62" t="s">
        <v>316</v>
      </c>
      <c r="E269" s="62" t="s">
        <v>246</v>
      </c>
      <c r="F269" s="118"/>
      <c r="G269" s="27">
        <v>4</v>
      </c>
      <c r="H269" s="118"/>
      <c r="I269" s="130"/>
      <c r="J269" s="146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68" t="s">
        <v>234</v>
      </c>
      <c r="B270" s="169"/>
      <c r="C270" s="169"/>
      <c r="D270" s="169"/>
      <c r="E270" s="169">
        <f>SUM(E258:E269)</f>
        <v>0</v>
      </c>
      <c r="F270" s="124"/>
      <c r="G270" s="88">
        <f>SUM(G258:G269)</f>
        <v>164</v>
      </c>
      <c r="H270" s="124"/>
      <c r="I270" s="133"/>
      <c r="J270" s="149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232</v>
      </c>
      <c r="S270" s="76">
        <v>732130</v>
      </c>
      <c r="T270" s="136"/>
    </row>
    <row r="271" spans="1:20" ht="18" customHeight="1" x14ac:dyDescent="0.3">
      <c r="A271" s="165" t="s">
        <v>235</v>
      </c>
      <c r="B271" s="166"/>
      <c r="C271" s="166"/>
      <c r="D271" s="166"/>
      <c r="E271" s="166">
        <f>E257+E270</f>
        <v>0</v>
      </c>
      <c r="F271" s="125"/>
      <c r="G271" s="100">
        <f>G257+G270</f>
        <v>347</v>
      </c>
      <c r="H271" s="125"/>
      <c r="I271" s="134"/>
      <c r="J271" s="150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236</v>
      </c>
      <c r="S271" s="82">
        <f>IFERROR(S257+S270,"")</f>
        <v>1630320</v>
      </c>
      <c r="T271" s="140">
        <f>IFERROR(J271,"")</f>
        <v>0</v>
      </c>
    </row>
    <row r="272" spans="1:20" ht="15" customHeight="1" x14ac:dyDescent="0.3">
      <c r="A272" s="68">
        <v>46245</v>
      </c>
      <c r="B272" s="25">
        <v>0.33333333333333298</v>
      </c>
      <c r="C272" s="26" t="s">
        <v>28</v>
      </c>
      <c r="D272" s="59" t="s">
        <v>316</v>
      </c>
      <c r="E272" s="59" t="s">
        <v>246</v>
      </c>
      <c r="F272" s="119"/>
      <c r="G272" s="27">
        <v>7</v>
      </c>
      <c r="H272" s="119"/>
      <c r="I272" s="132"/>
      <c r="J272" s="148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28</v>
      </c>
      <c r="D273" s="59" t="s">
        <v>316</v>
      </c>
      <c r="E273" s="59" t="s">
        <v>246</v>
      </c>
      <c r="F273" s="122"/>
      <c r="G273" s="27">
        <v>6</v>
      </c>
      <c r="H273" s="122"/>
      <c r="I273" s="129"/>
      <c r="J273" s="145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8">
        <v>46245</v>
      </c>
      <c r="B274" s="25">
        <f t="shared" si="62"/>
        <v>0.41666666666666635</v>
      </c>
      <c r="C274" s="26" t="s">
        <v>28</v>
      </c>
      <c r="D274" s="59" t="s">
        <v>316</v>
      </c>
      <c r="E274" s="59" t="s">
        <v>246</v>
      </c>
      <c r="F274" s="122"/>
      <c r="G274" s="27">
        <v>10</v>
      </c>
      <c r="H274" s="122"/>
      <c r="I274" s="129"/>
      <c r="J274" s="145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9">
        <v>46245</v>
      </c>
      <c r="B275" s="32">
        <f t="shared" si="62"/>
        <v>0.45833333333333304</v>
      </c>
      <c r="C275" s="26" t="s">
        <v>28</v>
      </c>
      <c r="D275" s="59" t="s">
        <v>316</v>
      </c>
      <c r="E275" s="59" t="s">
        <v>246</v>
      </c>
      <c r="F275" s="122"/>
      <c r="G275" s="27">
        <v>16</v>
      </c>
      <c r="H275" s="122"/>
      <c r="I275" s="129"/>
      <c r="J275" s="145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8">
        <v>46245</v>
      </c>
      <c r="B276" s="25">
        <f t="shared" si="62"/>
        <v>0.49999999999999972</v>
      </c>
      <c r="C276" s="26" t="s">
        <v>28</v>
      </c>
      <c r="D276" s="59" t="s">
        <v>316</v>
      </c>
      <c r="E276" s="59" t="s">
        <v>246</v>
      </c>
      <c r="F276" s="122"/>
      <c r="G276" s="27">
        <v>9</v>
      </c>
      <c r="H276" s="122"/>
      <c r="I276" s="129"/>
      <c r="J276" s="145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9">
        <v>46245</v>
      </c>
      <c r="B277" s="32">
        <f t="shared" si="62"/>
        <v>0.54166666666666641</v>
      </c>
      <c r="C277" s="26" t="s">
        <v>28</v>
      </c>
      <c r="D277" s="59" t="s">
        <v>316</v>
      </c>
      <c r="E277" s="59" t="s">
        <v>246</v>
      </c>
      <c r="F277" s="122"/>
      <c r="G277" s="27">
        <v>6</v>
      </c>
      <c r="H277" s="122"/>
      <c r="I277" s="129"/>
      <c r="J277" s="145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8">
        <v>46245</v>
      </c>
      <c r="B278" s="25">
        <f t="shared" si="62"/>
        <v>0.58333333333333304</v>
      </c>
      <c r="C278" s="26" t="s">
        <v>28</v>
      </c>
      <c r="D278" s="59" t="s">
        <v>317</v>
      </c>
      <c r="E278" s="59" t="s">
        <v>246</v>
      </c>
      <c r="F278" s="122"/>
      <c r="G278" s="27">
        <v>15</v>
      </c>
      <c r="H278" s="122"/>
      <c r="I278" s="129"/>
      <c r="J278" s="145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9">
        <v>46245</v>
      </c>
      <c r="B279" s="32">
        <f t="shared" si="62"/>
        <v>0.62499999999999967</v>
      </c>
      <c r="C279" s="26" t="s">
        <v>28</v>
      </c>
      <c r="D279" s="59" t="s">
        <v>317</v>
      </c>
      <c r="E279" s="59" t="s">
        <v>246</v>
      </c>
      <c r="F279" s="122"/>
      <c r="G279" s="27">
        <v>6</v>
      </c>
      <c r="H279" s="122"/>
      <c r="I279" s="129"/>
      <c r="J279" s="145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8">
        <v>46245</v>
      </c>
      <c r="B280" s="25">
        <f t="shared" si="62"/>
        <v>0.6666666666666663</v>
      </c>
      <c r="C280" s="26" t="s">
        <v>28</v>
      </c>
      <c r="D280" s="59" t="s">
        <v>317</v>
      </c>
      <c r="E280" s="59" t="s">
        <v>246</v>
      </c>
      <c r="F280" s="122"/>
      <c r="G280" s="27">
        <v>7</v>
      </c>
      <c r="H280" s="122"/>
      <c r="I280" s="129"/>
      <c r="J280" s="145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9">
        <v>46245</v>
      </c>
      <c r="B281" s="32">
        <f t="shared" si="62"/>
        <v>0.70833333333333293</v>
      </c>
      <c r="C281" s="26" t="s">
        <v>28</v>
      </c>
      <c r="D281" s="59" t="s">
        <v>317</v>
      </c>
      <c r="E281" s="59" t="s">
        <v>246</v>
      </c>
      <c r="F281" s="122"/>
      <c r="G281" s="27">
        <v>18</v>
      </c>
      <c r="H281" s="122"/>
      <c r="I281" s="129"/>
      <c r="J281" s="145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8">
        <v>46245</v>
      </c>
      <c r="B282" s="25">
        <f t="shared" si="62"/>
        <v>0.74999999999999956</v>
      </c>
      <c r="C282" s="26" t="s">
        <v>28</v>
      </c>
      <c r="D282" s="59" t="s">
        <v>317</v>
      </c>
      <c r="E282" s="59" t="s">
        <v>230</v>
      </c>
      <c r="F282" s="122"/>
      <c r="G282" s="27">
        <v>7</v>
      </c>
      <c r="H282" s="122"/>
      <c r="I282" s="129"/>
      <c r="J282" s="145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9">
        <v>46245</v>
      </c>
      <c r="B283" s="32">
        <f t="shared" si="62"/>
        <v>0.79166666666666619</v>
      </c>
      <c r="C283" s="26" t="s">
        <v>28</v>
      </c>
      <c r="D283" s="59" t="s">
        <v>317</v>
      </c>
      <c r="E283" s="59" t="s">
        <v>246</v>
      </c>
      <c r="F283" s="118"/>
      <c r="G283" s="27">
        <v>15</v>
      </c>
      <c r="H283" s="118"/>
      <c r="I283" s="130"/>
      <c r="J283" s="146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68" t="s">
        <v>231</v>
      </c>
      <c r="B284" s="169"/>
      <c r="C284" s="169"/>
      <c r="D284" s="169"/>
      <c r="E284" s="169">
        <f>SUM(E272:E283)</f>
        <v>0</v>
      </c>
      <c r="F284" s="123"/>
      <c r="G284" s="36">
        <f>SUM(G272:G283)</f>
        <v>122</v>
      </c>
      <c r="H284" s="123"/>
      <c r="I284" s="131"/>
      <c r="J284" s="147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232</v>
      </c>
      <c r="S284" s="76">
        <v>571950</v>
      </c>
      <c r="T284" s="136"/>
    </row>
    <row r="285" spans="1:20" ht="15" customHeight="1" x14ac:dyDescent="0.3">
      <c r="A285" s="69">
        <v>46245</v>
      </c>
      <c r="B285" s="32">
        <v>0.83333333333333304</v>
      </c>
      <c r="C285" s="33" t="s">
        <v>35</v>
      </c>
      <c r="D285" s="62" t="s">
        <v>318</v>
      </c>
      <c r="E285" s="62" t="s">
        <v>230</v>
      </c>
      <c r="F285" s="119"/>
      <c r="G285" s="27">
        <v>8</v>
      </c>
      <c r="H285" s="119"/>
      <c r="I285" s="132"/>
      <c r="J285" s="148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35</v>
      </c>
      <c r="D286" s="62" t="s">
        <v>318</v>
      </c>
      <c r="E286" s="62" t="s">
        <v>230</v>
      </c>
      <c r="F286" s="122"/>
      <c r="G286" s="27">
        <v>12</v>
      </c>
      <c r="H286" s="122"/>
      <c r="I286" s="129"/>
      <c r="J286" s="145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9">
        <v>46245</v>
      </c>
      <c r="B287" s="32">
        <f t="shared" si="65"/>
        <v>0.9166666666666663</v>
      </c>
      <c r="C287" s="33" t="s">
        <v>35</v>
      </c>
      <c r="D287" s="62" t="s">
        <v>316</v>
      </c>
      <c r="E287" s="62" t="s">
        <v>246</v>
      </c>
      <c r="F287" s="122"/>
      <c r="G287" s="27">
        <v>17</v>
      </c>
      <c r="H287" s="122"/>
      <c r="I287" s="129"/>
      <c r="J287" s="145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8">
        <v>46245</v>
      </c>
      <c r="B288" s="25">
        <f t="shared" si="65"/>
        <v>0.95833333333333293</v>
      </c>
      <c r="C288" s="33" t="s">
        <v>35</v>
      </c>
      <c r="D288" s="62" t="s">
        <v>316</v>
      </c>
      <c r="E288" s="62" t="s">
        <v>246</v>
      </c>
      <c r="F288" s="122"/>
      <c r="G288" s="27">
        <v>25</v>
      </c>
      <c r="H288" s="122"/>
      <c r="I288" s="129"/>
      <c r="J288" s="145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9">
        <v>46245</v>
      </c>
      <c r="B289" s="32">
        <f t="shared" si="65"/>
        <v>0.99999999999999956</v>
      </c>
      <c r="C289" s="33" t="s">
        <v>35</v>
      </c>
      <c r="D289" s="62" t="s">
        <v>316</v>
      </c>
      <c r="E289" s="62" t="s">
        <v>230</v>
      </c>
      <c r="F289" s="122"/>
      <c r="G289" s="27">
        <v>10</v>
      </c>
      <c r="H289" s="122"/>
      <c r="I289" s="129"/>
      <c r="J289" s="145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8">
        <v>46245</v>
      </c>
      <c r="B290" s="25">
        <f t="shared" si="65"/>
        <v>1.0416666666666663</v>
      </c>
      <c r="C290" s="33" t="s">
        <v>35</v>
      </c>
      <c r="D290" s="62" t="s">
        <v>316</v>
      </c>
      <c r="E290" s="62" t="s">
        <v>230</v>
      </c>
      <c r="F290" s="122"/>
      <c r="G290" s="154">
        <v>8</v>
      </c>
      <c r="H290" s="122"/>
      <c r="I290" s="129"/>
      <c r="J290" s="145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9">
        <v>46245</v>
      </c>
      <c r="B291" s="32">
        <f t="shared" si="65"/>
        <v>1.083333333333333</v>
      </c>
      <c r="C291" s="33" t="s">
        <v>35</v>
      </c>
      <c r="D291" s="62" t="s">
        <v>316</v>
      </c>
      <c r="E291" s="62" t="s">
        <v>230</v>
      </c>
      <c r="F291" s="122"/>
      <c r="G291" s="27">
        <v>13</v>
      </c>
      <c r="H291" s="122"/>
      <c r="I291" s="129"/>
      <c r="J291" s="145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8">
        <v>46245</v>
      </c>
      <c r="B292" s="25">
        <f t="shared" si="65"/>
        <v>1.1249999999999998</v>
      </c>
      <c r="C292" s="33" t="s">
        <v>35</v>
      </c>
      <c r="D292" s="62" t="s">
        <v>316</v>
      </c>
      <c r="E292" s="62" t="s">
        <v>230</v>
      </c>
      <c r="F292" s="122"/>
      <c r="G292" s="27">
        <v>12</v>
      </c>
      <c r="H292" s="122"/>
      <c r="I292" s="129"/>
      <c r="J292" s="145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9">
        <v>46245</v>
      </c>
      <c r="B293" s="32">
        <f t="shared" si="65"/>
        <v>1.1666666666666665</v>
      </c>
      <c r="C293" s="33" t="s">
        <v>35</v>
      </c>
      <c r="D293" s="62" t="s">
        <v>316</v>
      </c>
      <c r="E293" s="62" t="s">
        <v>230</v>
      </c>
      <c r="F293" s="122"/>
      <c r="G293" s="27">
        <v>9</v>
      </c>
      <c r="H293" s="122"/>
      <c r="I293" s="129"/>
      <c r="J293" s="145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8">
        <v>46245</v>
      </c>
      <c r="B294" s="25">
        <f t="shared" si="65"/>
        <v>1.2083333333333333</v>
      </c>
      <c r="C294" s="33" t="s">
        <v>35</v>
      </c>
      <c r="D294" s="62" t="s">
        <v>316</v>
      </c>
      <c r="E294" s="62" t="s">
        <v>230</v>
      </c>
      <c r="F294" s="122"/>
      <c r="G294" s="27">
        <v>8</v>
      </c>
      <c r="H294" s="122"/>
      <c r="I294" s="129"/>
      <c r="J294" s="145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9">
        <v>46245</v>
      </c>
      <c r="B295" s="32">
        <f t="shared" si="65"/>
        <v>1.25</v>
      </c>
      <c r="C295" s="33" t="s">
        <v>35</v>
      </c>
      <c r="D295" s="62" t="s">
        <v>316</v>
      </c>
      <c r="E295" s="62" t="s">
        <v>230</v>
      </c>
      <c r="F295" s="122"/>
      <c r="G295" s="27">
        <v>16</v>
      </c>
      <c r="H295" s="122"/>
      <c r="I295" s="129"/>
      <c r="J295" s="145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8">
        <v>46245</v>
      </c>
      <c r="B296" s="25">
        <f t="shared" si="65"/>
        <v>1.2916666666666667</v>
      </c>
      <c r="C296" s="33" t="s">
        <v>35</v>
      </c>
      <c r="D296" s="62" t="s">
        <v>316</v>
      </c>
      <c r="E296" s="62" t="s">
        <v>230</v>
      </c>
      <c r="F296" s="118"/>
      <c r="G296" s="27">
        <v>12</v>
      </c>
      <c r="H296" s="118"/>
      <c r="I296" s="130"/>
      <c r="J296" s="146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68" t="s">
        <v>234</v>
      </c>
      <c r="B297" s="169"/>
      <c r="C297" s="169"/>
      <c r="D297" s="169"/>
      <c r="E297" s="169">
        <f>SUM(E285:E296)</f>
        <v>0</v>
      </c>
      <c r="F297" s="124"/>
      <c r="G297" s="88">
        <f>SUM(G285:G296)</f>
        <v>150</v>
      </c>
      <c r="H297" s="124"/>
      <c r="I297" s="133"/>
      <c r="J297" s="149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232</v>
      </c>
      <c r="S297" s="76">
        <v>990260</v>
      </c>
      <c r="T297" s="136"/>
    </row>
    <row r="298" spans="1:20" ht="18" customHeight="1" x14ac:dyDescent="0.3">
      <c r="A298" s="165" t="s">
        <v>235</v>
      </c>
      <c r="B298" s="166"/>
      <c r="C298" s="166"/>
      <c r="D298" s="166"/>
      <c r="E298" s="166">
        <f>E284+E297</f>
        <v>0</v>
      </c>
      <c r="F298" s="125"/>
      <c r="G298" s="100">
        <f>G284+G297</f>
        <v>272</v>
      </c>
      <c r="H298" s="125"/>
      <c r="I298" s="134"/>
      <c r="J298" s="150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236</v>
      </c>
      <c r="S298" s="82">
        <f>IFERROR(S284+S297,"")</f>
        <v>1562210</v>
      </c>
      <c r="T298" s="140">
        <f>IFERROR(J298,"")</f>
        <v>0</v>
      </c>
    </row>
    <row r="299" spans="1:20" ht="15" customHeight="1" x14ac:dyDescent="0.3">
      <c r="A299" s="69">
        <v>46246</v>
      </c>
      <c r="B299" s="32">
        <v>0.33333333333333298</v>
      </c>
      <c r="C299" s="33" t="s">
        <v>28</v>
      </c>
      <c r="D299" s="62" t="s">
        <v>316</v>
      </c>
      <c r="E299" s="62" t="s">
        <v>246</v>
      </c>
      <c r="F299" s="119">
        <f>IFERROR(IF($D299="","",VLOOKUP($D299,Cadastro!$C$4:$E$7,3,FALSE)),"")</f>
        <v>0.23</v>
      </c>
      <c r="G299" s="27">
        <v>9</v>
      </c>
      <c r="H299" s="119">
        <f>IFERROR(IF($G299="","",$G299*$S$311/$G$311/Cadastro!$E$33),"")</f>
        <v>0</v>
      </c>
      <c r="I299" s="132">
        <f>IFERROR(IF($D299="","",VLOOKUP($D299,Cadastro!$C$4:$G$7,5,FALSE)),"")</f>
        <v>0.6</v>
      </c>
      <c r="J299" s="148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17</v>
      </c>
      <c r="M299" s="33" t="s">
        <v>131</v>
      </c>
      <c r="N299" s="33" t="s">
        <v>45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8">
        <v>46246</v>
      </c>
      <c r="B300" s="25">
        <f t="shared" ref="B300:B310" si="69">B299+TIME(0,60,0)</f>
        <v>0.37499999999999967</v>
      </c>
      <c r="C300" s="33" t="s">
        <v>28</v>
      </c>
      <c r="D300" s="62" t="s">
        <v>316</v>
      </c>
      <c r="E300" s="62" t="s">
        <v>246</v>
      </c>
      <c r="F300" s="122">
        <f>IFERROR(IF($D300="","",VLOOKUP($D300,Cadastro!$C$4:$E$7,3,FALSE)),"")</f>
        <v>0.23</v>
      </c>
      <c r="G300" s="27">
        <v>20</v>
      </c>
      <c r="H300" s="122">
        <f>IFERROR(IF($G300="","",$G300*$S$311/$G$311/Cadastro!$E$33),"")</f>
        <v>0</v>
      </c>
      <c r="I300" s="129">
        <f>IFERROR(IF($D300="","",VLOOKUP($D300,Cadastro!$C$4:$G$7,5,FALSE)),"")</f>
        <v>0.6</v>
      </c>
      <c r="J300" s="145">
        <f t="shared" si="66"/>
        <v>0</v>
      </c>
      <c r="K300" s="28">
        <f t="shared" si="67"/>
        <v>84</v>
      </c>
      <c r="L300" s="26" t="s">
        <v>19</v>
      </c>
      <c r="M300" s="26" t="s">
        <v>36</v>
      </c>
      <c r="N300" s="26" t="s">
        <v>74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9">
        <v>46246</v>
      </c>
      <c r="B301" s="32">
        <f t="shared" si="69"/>
        <v>0.41666666666666635</v>
      </c>
      <c r="C301" s="33" t="s">
        <v>28</v>
      </c>
      <c r="D301" s="62" t="s">
        <v>316</v>
      </c>
      <c r="E301" s="62" t="s">
        <v>246</v>
      </c>
      <c r="F301" s="122">
        <f>IFERROR(IF($D301="","",VLOOKUP($D301,Cadastro!$C$4:$E$7,3,FALSE)),"")</f>
        <v>0.23</v>
      </c>
      <c r="G301" s="27">
        <v>20</v>
      </c>
      <c r="H301" s="122">
        <f>IFERROR(IF($G301="","",$G301*$S$311/$G$311/Cadastro!$E$33),"")</f>
        <v>0</v>
      </c>
      <c r="I301" s="129">
        <f>IFERROR(IF($D301="","",VLOOKUP($D301,Cadastro!$C$4:$G$7,5,FALSE)),"")</f>
        <v>0.6</v>
      </c>
      <c r="J301" s="145">
        <f t="shared" si="66"/>
        <v>0</v>
      </c>
      <c r="K301" s="34">
        <f t="shared" si="67"/>
        <v>84</v>
      </c>
      <c r="L301" s="33" t="s">
        <v>19</v>
      </c>
      <c r="M301" s="33" t="s">
        <v>29</v>
      </c>
      <c r="N301" s="33" t="s">
        <v>26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8">
        <v>46246</v>
      </c>
      <c r="B302" s="25">
        <f t="shared" si="69"/>
        <v>0.45833333333333304</v>
      </c>
      <c r="C302" s="33" t="s">
        <v>28</v>
      </c>
      <c r="D302" s="62" t="s">
        <v>316</v>
      </c>
      <c r="E302" s="62" t="s">
        <v>246</v>
      </c>
      <c r="F302" s="122">
        <f>IFERROR(IF($D302="","",VLOOKUP($D302,Cadastro!$C$4:$E$7,3,FALSE)),"")</f>
        <v>0.23</v>
      </c>
      <c r="G302" s="27">
        <v>17</v>
      </c>
      <c r="H302" s="122">
        <f>IFERROR(IF($G302="","",$G302*$S$311/$G$311/Cadastro!$E$33),"")</f>
        <v>0</v>
      </c>
      <c r="I302" s="129">
        <f>IFERROR(IF($D302="","",VLOOKUP($D302,Cadastro!$C$4:$G$7,5,FALSE)),"")</f>
        <v>0.6</v>
      </c>
      <c r="J302" s="145">
        <f t="shared" si="66"/>
        <v>0</v>
      </c>
      <c r="K302" s="28">
        <f t="shared" si="67"/>
        <v>71.400000000000006</v>
      </c>
      <c r="L302" s="26" t="s">
        <v>20</v>
      </c>
      <c r="M302" s="26" t="s">
        <v>29</v>
      </c>
      <c r="N302" s="26" t="s">
        <v>34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9">
        <v>46246</v>
      </c>
      <c r="B303" s="32">
        <f t="shared" si="69"/>
        <v>0.49999999999999972</v>
      </c>
      <c r="C303" s="33" t="s">
        <v>28</v>
      </c>
      <c r="D303" s="62" t="s">
        <v>316</v>
      </c>
      <c r="E303" s="62" t="s">
        <v>246</v>
      </c>
      <c r="F303" s="122">
        <f>IFERROR(IF($D303="","",VLOOKUP($D303,Cadastro!$C$4:$E$7,3,FALSE)),"")</f>
        <v>0.23</v>
      </c>
      <c r="G303" s="27">
        <v>15</v>
      </c>
      <c r="H303" s="122">
        <f>IFERROR(IF($G303="","",$G303*$S$311/$G$311/Cadastro!$E$33),"")</f>
        <v>0</v>
      </c>
      <c r="I303" s="129">
        <f>IFERROR(IF($D303="","",VLOOKUP($D303,Cadastro!$C$4:$G$7,5,FALSE)),"")</f>
        <v>0.6</v>
      </c>
      <c r="J303" s="145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 x14ac:dyDescent="0.3">
      <c r="A304" s="68">
        <v>46246</v>
      </c>
      <c r="B304" s="25">
        <f t="shared" si="69"/>
        <v>0.54166666666666641</v>
      </c>
      <c r="C304" s="33" t="s">
        <v>28</v>
      </c>
      <c r="D304" s="62" t="s">
        <v>316</v>
      </c>
      <c r="E304" s="62" t="s">
        <v>246</v>
      </c>
      <c r="F304" s="122">
        <f>IFERROR(IF($D304="","",VLOOKUP($D304,Cadastro!$C$4:$E$7,3,FALSE)),"")</f>
        <v>0.23</v>
      </c>
      <c r="G304" s="27">
        <v>16</v>
      </c>
      <c r="H304" s="122">
        <f>IFERROR(IF($G304="","",$G304*$S$311/$G$311/Cadastro!$E$33),"")</f>
        <v>0</v>
      </c>
      <c r="I304" s="129">
        <f>IFERROR(IF($D304="","",VLOOKUP($D304,Cadastro!$C$4:$G$7,5,FALSE)),"")</f>
        <v>0.6</v>
      </c>
      <c r="J304" s="145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 x14ac:dyDescent="0.3">
      <c r="A305" s="69">
        <v>46246</v>
      </c>
      <c r="B305" s="32">
        <f t="shared" si="69"/>
        <v>0.58333333333333304</v>
      </c>
      <c r="C305" s="33" t="s">
        <v>28</v>
      </c>
      <c r="D305" s="62" t="s">
        <v>316</v>
      </c>
      <c r="E305" s="62" t="s">
        <v>246</v>
      </c>
      <c r="F305" s="122">
        <f>IFERROR(IF($D305="","",VLOOKUP($D305,Cadastro!$C$4:$E$7,3,FALSE)),"")</f>
        <v>0.23</v>
      </c>
      <c r="G305" s="27">
        <v>13</v>
      </c>
      <c r="H305" s="122">
        <f>IFERROR(IF($G305="","",$G305*$S$311/$G$311/Cadastro!$E$33),"")</f>
        <v>0</v>
      </c>
      <c r="I305" s="129">
        <f>IFERROR(IF($D305="","",VLOOKUP($D305,Cadastro!$C$4:$G$7,5,FALSE)),"")</f>
        <v>0.6</v>
      </c>
      <c r="J305" s="145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8">
        <v>46246</v>
      </c>
      <c r="B306" s="25">
        <f t="shared" si="69"/>
        <v>0.62499999999999967</v>
      </c>
      <c r="C306" s="33" t="s">
        <v>28</v>
      </c>
      <c r="D306" s="62" t="s">
        <v>316</v>
      </c>
      <c r="E306" s="62" t="s">
        <v>246</v>
      </c>
      <c r="F306" s="122">
        <f>IFERROR(IF($D306="","",VLOOKUP($D306,Cadastro!$C$4:$E$7,3,FALSE)),"")</f>
        <v>0.23</v>
      </c>
      <c r="G306" s="27"/>
      <c r="H306" s="122" t="str">
        <f>IFERROR(IF($G306="","",$G306*$S$311/$G$311/Cadastro!$E$33),"")</f>
        <v/>
      </c>
      <c r="I306" s="129">
        <f>IFERROR(IF($D306="","",VLOOKUP($D306,Cadastro!$C$4:$G$7,5,FALSE)),"")</f>
        <v>0.6</v>
      </c>
      <c r="J306" s="145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9">
        <v>46246</v>
      </c>
      <c r="B307" s="32">
        <f t="shared" si="69"/>
        <v>0.6666666666666663</v>
      </c>
      <c r="C307" s="33" t="s">
        <v>28</v>
      </c>
      <c r="D307" s="62" t="s">
        <v>316</v>
      </c>
      <c r="E307" s="62" t="s">
        <v>246</v>
      </c>
      <c r="F307" s="122">
        <f>IFERROR(IF($D307="","",VLOOKUP($D307,Cadastro!$C$4:$E$7,3,FALSE)),"")</f>
        <v>0.23</v>
      </c>
      <c r="G307" s="27"/>
      <c r="H307" s="122" t="str">
        <f>IFERROR(IF($G307="","",$G307*$S$311/$G$311/Cadastro!$E$33),"")</f>
        <v/>
      </c>
      <c r="I307" s="129">
        <f>IFERROR(IF($D307="","",VLOOKUP($D307,Cadastro!$C$4:$G$7,5,FALSE)),"")</f>
        <v>0.6</v>
      </c>
      <c r="J307" s="145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8">
        <v>46246</v>
      </c>
      <c r="B308" s="25">
        <f t="shared" si="69"/>
        <v>0.70833333333333293</v>
      </c>
      <c r="C308" s="33" t="s">
        <v>28</v>
      </c>
      <c r="D308" s="62" t="s">
        <v>316</v>
      </c>
      <c r="E308" s="62" t="s">
        <v>246</v>
      </c>
      <c r="F308" s="122">
        <f>IFERROR(IF($D308="","",VLOOKUP($D308,Cadastro!$C$4:$E$7,3,FALSE)),"")</f>
        <v>0.23</v>
      </c>
      <c r="G308" s="27"/>
      <c r="H308" s="122" t="str">
        <f>IFERROR(IF($G308="","",$G308*$S$311/$G$311/Cadastro!$E$33),"")</f>
        <v/>
      </c>
      <c r="I308" s="129">
        <f>IFERROR(IF($D308="","",VLOOKUP($D308,Cadastro!$C$4:$G$7,5,FALSE)),"")</f>
        <v>0.6</v>
      </c>
      <c r="J308" s="145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9">
        <v>46246</v>
      </c>
      <c r="B309" s="32">
        <f t="shared" si="69"/>
        <v>0.74999999999999956</v>
      </c>
      <c r="C309" s="33" t="s">
        <v>28</v>
      </c>
      <c r="D309" s="62" t="s">
        <v>316</v>
      </c>
      <c r="E309" s="62" t="s">
        <v>246</v>
      </c>
      <c r="F309" s="122">
        <f>IFERROR(IF($D309="","",VLOOKUP($D309,Cadastro!$C$4:$E$7,3,FALSE)),"")</f>
        <v>0.23</v>
      </c>
      <c r="G309" s="27"/>
      <c r="H309" s="122" t="str">
        <f>IFERROR(IF($G309="","",$G309*$S$311/$G$311/Cadastro!$E$33),"")</f>
        <v/>
      </c>
      <c r="I309" s="129">
        <f>IFERROR(IF($D309="","",VLOOKUP($D309,Cadastro!$C$4:$G$7,5,FALSE)),"")</f>
        <v>0.6</v>
      </c>
      <c r="J309" s="145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8">
        <v>46246</v>
      </c>
      <c r="B310" s="25">
        <f t="shared" si="69"/>
        <v>0.79166666666666619</v>
      </c>
      <c r="C310" s="33" t="s">
        <v>28</v>
      </c>
      <c r="D310" s="62" t="s">
        <v>316</v>
      </c>
      <c r="E310" s="62" t="s">
        <v>246</v>
      </c>
      <c r="F310" s="118">
        <f>IFERROR(IF($D310="","",VLOOKUP($D310,Cadastro!$C$4:$E$7,3,FALSE)),"")</f>
        <v>0.23</v>
      </c>
      <c r="G310" s="27"/>
      <c r="H310" s="118" t="str">
        <f>IFERROR(IF($G310="","",$G310*$S$311/$G$311/Cadastro!$E$33),"")</f>
        <v/>
      </c>
      <c r="I310" s="130">
        <f>IFERROR(IF($D310="","",VLOOKUP($D310,Cadastro!$C$4:$G$7,5,FALSE)),"")</f>
        <v>0.6</v>
      </c>
      <c r="J310" s="146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68" t="s">
        <v>231</v>
      </c>
      <c r="B311" s="169"/>
      <c r="C311" s="169"/>
      <c r="D311" s="169"/>
      <c r="E311" s="169">
        <f>SUM(E299:E310)</f>
        <v>0</v>
      </c>
      <c r="F311" s="123"/>
      <c r="G311" s="88">
        <f>SUM(G299:G310)</f>
        <v>110</v>
      </c>
      <c r="H311" s="123">
        <f>IFERROR(SUM(H299:H310),"")</f>
        <v>0</v>
      </c>
      <c r="I311" s="131"/>
      <c r="J311" s="147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232</v>
      </c>
      <c r="S311" s="76"/>
      <c r="T311" s="136">
        <f>IFERROR(J311,"")</f>
        <v>0</v>
      </c>
    </row>
    <row r="312" spans="1:20" ht="15" customHeight="1" x14ac:dyDescent="0.3">
      <c r="A312" s="68">
        <v>46246</v>
      </c>
      <c r="B312" s="25">
        <v>0.83333333333333304</v>
      </c>
      <c r="C312" s="33"/>
      <c r="D312" s="62"/>
      <c r="E312" s="62"/>
      <c r="F312" s="119" t="str">
        <f>IFERROR(IF($D312="","",VLOOKUP($D312,Cadastro!$C$4:$E$7,3,FALSE)),"")</f>
        <v/>
      </c>
      <c r="G312" s="27"/>
      <c r="H312" s="119" t="str">
        <f>IFERROR(IF($G312="","",$G312*$S$324/$G$324/Cadastro!$E$33),"")</f>
        <v/>
      </c>
      <c r="I312" s="132" t="str">
        <f>IFERROR(IF($D312="","",VLOOKUP($D312,Cadastro!$C$4:$G$7,5,FALSE)),"")</f>
        <v/>
      </c>
      <c r="J312" s="148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 x14ac:dyDescent="0.3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22" t="str">
        <f>IFERROR(IF($D313="","",VLOOKUP($D313,Cadastro!$C$4:$E$7,3,FALSE)),"")</f>
        <v/>
      </c>
      <c r="G313" s="27"/>
      <c r="H313" s="122" t="str">
        <f>IFERROR(IF($G313="","",$G313*$S$324/$G$324/Cadastro!$E$33),"")</f>
        <v/>
      </c>
      <c r="I313" s="129" t="str">
        <f>IFERROR(IF($D313="","",VLOOKUP($D313,Cadastro!$C$4:$G$7,5,FALSE)),"")</f>
        <v/>
      </c>
      <c r="J313" s="145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 x14ac:dyDescent="0.3">
      <c r="A314" s="68">
        <v>46246</v>
      </c>
      <c r="B314" s="25">
        <f t="shared" si="73"/>
        <v>0.9166666666666663</v>
      </c>
      <c r="C314" s="33"/>
      <c r="D314" s="62"/>
      <c r="E314" s="62"/>
      <c r="F314" s="122" t="str">
        <f>IFERROR(IF($D314="","",VLOOKUP($D314,Cadastro!$C$4:$E$7,3,FALSE)),"")</f>
        <v/>
      </c>
      <c r="G314" s="27"/>
      <c r="H314" s="122" t="str">
        <f>IFERROR(IF($G314="","",$G314*$S$324/$G$324/Cadastro!$E$33),"")</f>
        <v/>
      </c>
      <c r="I314" s="129" t="str">
        <f>IFERROR(IF($D314="","",VLOOKUP($D314,Cadastro!$C$4:$G$7,5,FALSE)),"")</f>
        <v/>
      </c>
      <c r="J314" s="145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 x14ac:dyDescent="0.3">
      <c r="A315" s="69">
        <v>46246</v>
      </c>
      <c r="B315" s="32">
        <f t="shared" si="73"/>
        <v>0.95833333333333293</v>
      </c>
      <c r="C315" s="33"/>
      <c r="D315" s="62"/>
      <c r="E315" s="62"/>
      <c r="F315" s="122" t="str">
        <f>IFERROR(IF($D315="","",VLOOKUP($D315,Cadastro!$C$4:$E$7,3,FALSE)),"")</f>
        <v/>
      </c>
      <c r="G315" s="27"/>
      <c r="H315" s="122" t="str">
        <f>IFERROR(IF($G315="","",$G315*$S$324/$G$324/Cadastro!$E$33),"")</f>
        <v/>
      </c>
      <c r="I315" s="129" t="str">
        <f>IFERROR(IF($D315="","",VLOOKUP($D315,Cadastro!$C$4:$G$7,5,FALSE)),"")</f>
        <v/>
      </c>
      <c r="J315" s="145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 x14ac:dyDescent="0.3">
      <c r="A316" s="68">
        <v>46246</v>
      </c>
      <c r="B316" s="25">
        <f t="shared" si="73"/>
        <v>0.99999999999999956</v>
      </c>
      <c r="C316" s="33"/>
      <c r="D316" s="62"/>
      <c r="E316" s="62"/>
      <c r="F316" s="122" t="str">
        <f>IFERROR(IF($D316="","",VLOOKUP($D316,Cadastro!$C$4:$E$7,3,FALSE)),"")</f>
        <v/>
      </c>
      <c r="G316" s="27"/>
      <c r="H316" s="122" t="str">
        <f>IFERROR(IF($G316="","",$G316*$S$324/$G$324/Cadastro!$E$33),"")</f>
        <v/>
      </c>
      <c r="I316" s="129" t="str">
        <f>IFERROR(IF($D316="","",VLOOKUP($D316,Cadastro!$C$4:$G$7,5,FALSE)),"")</f>
        <v/>
      </c>
      <c r="J316" s="145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 x14ac:dyDescent="0.3">
      <c r="A317" s="69">
        <v>46246</v>
      </c>
      <c r="B317" s="32">
        <f t="shared" si="73"/>
        <v>1.0416666666666663</v>
      </c>
      <c r="C317" s="33"/>
      <c r="D317" s="62"/>
      <c r="E317" s="62"/>
      <c r="F317" s="122" t="str">
        <f>IFERROR(IF($D317="","",VLOOKUP($D317,Cadastro!$C$4:$E$7,3,FALSE)),"")</f>
        <v/>
      </c>
      <c r="G317" s="154"/>
      <c r="H317" s="122" t="str">
        <f>IFERROR(IF($G317="","",$G317*$S$324/$G$324/Cadastro!$E$33),"")</f>
        <v/>
      </c>
      <c r="I317" s="129" t="str">
        <f>IFERROR(IF($D317="","",VLOOKUP($D317,Cadastro!$C$4:$G$7,5,FALSE)),"")</f>
        <v/>
      </c>
      <c r="J317" s="145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 x14ac:dyDescent="0.3">
      <c r="A318" s="68">
        <v>46246</v>
      </c>
      <c r="B318" s="25">
        <f t="shared" si="73"/>
        <v>1.083333333333333</v>
      </c>
      <c r="C318" s="33"/>
      <c r="D318" s="62"/>
      <c r="E318" s="62"/>
      <c r="F318" s="122" t="str">
        <f>IFERROR(IF($D318="","",VLOOKUP($D318,Cadastro!$C$4:$E$7,3,FALSE)),"")</f>
        <v/>
      </c>
      <c r="G318" s="27"/>
      <c r="H318" s="122" t="str">
        <f>IFERROR(IF($G318="","",$G318*$S$324/$G$324/Cadastro!$E$33),"")</f>
        <v/>
      </c>
      <c r="I318" s="129" t="str">
        <f>IFERROR(IF($D318="","",VLOOKUP($D318,Cadastro!$C$4:$G$7,5,FALSE)),"")</f>
        <v/>
      </c>
      <c r="J318" s="145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 x14ac:dyDescent="0.3">
      <c r="A319" s="69">
        <v>46246</v>
      </c>
      <c r="B319" s="32">
        <f t="shared" si="73"/>
        <v>1.1249999999999998</v>
      </c>
      <c r="C319" s="33"/>
      <c r="D319" s="62"/>
      <c r="E319" s="62"/>
      <c r="F319" s="122" t="str">
        <f>IFERROR(IF($D319="","",VLOOKUP($D319,Cadastro!$C$4:$E$7,3,FALSE)),"")</f>
        <v/>
      </c>
      <c r="G319" s="27"/>
      <c r="H319" s="122" t="str">
        <f>IFERROR(IF($G319="","",$G319*$S$324/$G$324/Cadastro!$E$33),"")</f>
        <v/>
      </c>
      <c r="I319" s="129" t="str">
        <f>IFERROR(IF($D319="","",VLOOKUP($D319,Cadastro!$C$4:$G$7,5,FALSE)),"")</f>
        <v/>
      </c>
      <c r="J319" s="145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 x14ac:dyDescent="0.3">
      <c r="A320" s="68">
        <v>46246</v>
      </c>
      <c r="B320" s="25">
        <f t="shared" si="73"/>
        <v>1.1666666666666665</v>
      </c>
      <c r="C320" s="33"/>
      <c r="D320" s="62"/>
      <c r="E320" s="62"/>
      <c r="F320" s="122" t="str">
        <f>IFERROR(IF($D320="","",VLOOKUP($D320,Cadastro!$C$4:$E$7,3,FALSE)),"")</f>
        <v/>
      </c>
      <c r="G320" s="27"/>
      <c r="H320" s="122" t="str">
        <f>IFERROR(IF($G320="","",$G320*$S$324/$G$324/Cadastro!$E$33),"")</f>
        <v/>
      </c>
      <c r="I320" s="129" t="str">
        <f>IFERROR(IF($D320="","",VLOOKUP($D320,Cadastro!$C$4:$G$7,5,FALSE)),"")</f>
        <v/>
      </c>
      <c r="J320" s="145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 x14ac:dyDescent="0.3">
      <c r="A321" s="69">
        <v>46246</v>
      </c>
      <c r="B321" s="32">
        <f t="shared" si="73"/>
        <v>1.2083333333333333</v>
      </c>
      <c r="C321" s="33"/>
      <c r="D321" s="62"/>
      <c r="E321" s="62"/>
      <c r="F321" s="122" t="str">
        <f>IFERROR(IF($D321="","",VLOOKUP($D321,Cadastro!$C$4:$E$7,3,FALSE)),"")</f>
        <v/>
      </c>
      <c r="G321" s="27"/>
      <c r="H321" s="122" t="str">
        <f>IFERROR(IF($G321="","",$G321*$S$324/$G$324/Cadastro!$E$33),"")</f>
        <v/>
      </c>
      <c r="I321" s="129" t="str">
        <f>IFERROR(IF($D321="","",VLOOKUP($D321,Cadastro!$C$4:$G$7,5,FALSE)),"")</f>
        <v/>
      </c>
      <c r="J321" s="145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 x14ac:dyDescent="0.3">
      <c r="A322" s="68">
        <v>46246</v>
      </c>
      <c r="B322" s="25">
        <f t="shared" si="73"/>
        <v>1.25</v>
      </c>
      <c r="C322" s="33"/>
      <c r="D322" s="62"/>
      <c r="E322" s="62"/>
      <c r="F322" s="122" t="str">
        <f>IFERROR(IF($D322="","",VLOOKUP($D322,Cadastro!$C$4:$E$7,3,FALSE)),"")</f>
        <v/>
      </c>
      <c r="G322" s="27"/>
      <c r="H322" s="122" t="str">
        <f>IFERROR(IF($G322="","",$G322*$S$324/$G$324/Cadastro!$E$33),"")</f>
        <v/>
      </c>
      <c r="I322" s="129" t="str">
        <f>IFERROR(IF($D322="","",VLOOKUP($D322,Cadastro!$C$4:$G$7,5,FALSE)),"")</f>
        <v/>
      </c>
      <c r="J322" s="145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 x14ac:dyDescent="0.35">
      <c r="A323" s="69">
        <v>46246</v>
      </c>
      <c r="B323" s="32">
        <f t="shared" si="73"/>
        <v>1.2916666666666667</v>
      </c>
      <c r="C323" s="33"/>
      <c r="D323" s="62"/>
      <c r="E323" s="62"/>
      <c r="F323" s="118" t="str">
        <f>IFERROR(IF($D323="","",VLOOKUP($D323,Cadastro!$C$4:$E$7,3,FALSE)),"")</f>
        <v/>
      </c>
      <c r="G323" s="27"/>
      <c r="H323" s="118" t="str">
        <f>IFERROR(IF($G323="","",$G323*$S$324/$G$324/Cadastro!$E$33),"")</f>
        <v/>
      </c>
      <c r="I323" s="130" t="str">
        <f>IFERROR(IF($D323="","",VLOOKUP($D323,Cadastro!$C$4:$G$7,5,FALSE)),"")</f>
        <v/>
      </c>
      <c r="J323" s="146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 x14ac:dyDescent="0.35">
      <c r="A324" s="168" t="s">
        <v>234</v>
      </c>
      <c r="B324" s="169"/>
      <c r="C324" s="169"/>
      <c r="D324" s="169"/>
      <c r="E324" s="169">
        <f>SUM(E312:E323)</f>
        <v>0</v>
      </c>
      <c r="F324" s="124"/>
      <c r="G324" s="88">
        <f>SUM(G312:G323)</f>
        <v>0</v>
      </c>
      <c r="H324" s="124">
        <f>IFERROR(SUM(H312:H323),"")</f>
        <v>0</v>
      </c>
      <c r="I324" s="133"/>
      <c r="J324" s="149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232</v>
      </c>
      <c r="S324" s="76"/>
      <c r="T324" s="136">
        <f>IFERROR(J324,"")</f>
        <v>0</v>
      </c>
    </row>
    <row r="325" spans="1:20" ht="18" customHeight="1" x14ac:dyDescent="0.3">
      <c r="A325" s="165" t="s">
        <v>235</v>
      </c>
      <c r="B325" s="166"/>
      <c r="C325" s="166"/>
      <c r="D325" s="166"/>
      <c r="E325" s="166">
        <f>E311+E324</f>
        <v>0</v>
      </c>
      <c r="F325" s="125"/>
      <c r="G325" s="100">
        <f>G311+G324</f>
        <v>110</v>
      </c>
      <c r="H325" s="125">
        <f>IFERROR(H311+H324,"")</f>
        <v>0</v>
      </c>
      <c r="I325" s="134"/>
      <c r="J325" s="150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236</v>
      </c>
      <c r="S325" s="82">
        <f>IFERROR(S311+S324,"")</f>
        <v>0</v>
      </c>
      <c r="T325" s="140">
        <f>IFERROR(J325,"")</f>
        <v>0</v>
      </c>
    </row>
    <row r="326" spans="1:20" ht="15" customHeight="1" x14ac:dyDescent="0.3">
      <c r="A326" s="68">
        <v>46247</v>
      </c>
      <c r="B326" s="25">
        <v>0.33333333333333298</v>
      </c>
      <c r="C326" s="26"/>
      <c r="D326" s="59"/>
      <c r="E326" s="120"/>
      <c r="F326" s="119" t="str">
        <f>IFERROR(IF($D326="","",VLOOKUP($D326,Cadastro!$C$4:$E$7,3,FALSE)),"")</f>
        <v/>
      </c>
      <c r="G326" s="114"/>
      <c r="H326" s="119" t="str">
        <f>IFERROR(IF($G326="","",$G326*$S$338/$G$338/Cadastro!$E$33),"")</f>
        <v/>
      </c>
      <c r="I326" s="132" t="str">
        <f>IFERROR(IF($D326="","",VLOOKUP($D326,Cadastro!$C$4:$G$7,5,FALSE)),"")</f>
        <v/>
      </c>
      <c r="J326" s="148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 x14ac:dyDescent="0.3">
      <c r="A327" s="69">
        <v>46247</v>
      </c>
      <c r="B327" s="32">
        <f t="shared" ref="B327:B337" si="77">B326+TIME(0,60,0)</f>
        <v>0.37499999999999967</v>
      </c>
      <c r="C327" s="26"/>
      <c r="D327" s="59"/>
      <c r="E327" s="120"/>
      <c r="F327" s="122" t="str">
        <f>IFERROR(IF($D327="","",VLOOKUP($D327,Cadastro!$C$4:$E$7,3,FALSE)),"")</f>
        <v/>
      </c>
      <c r="G327" s="114"/>
      <c r="H327" s="122" t="str">
        <f>IFERROR(IF($G327="","",$G327*$S$338/$G$338/Cadastro!$E$33),"")</f>
        <v/>
      </c>
      <c r="I327" s="129" t="str">
        <f>IFERROR(IF($D327="","",VLOOKUP($D327,Cadastro!$C$4:$G$7,5,FALSE)),"")</f>
        <v/>
      </c>
      <c r="J327" s="145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 x14ac:dyDescent="0.3">
      <c r="A328" s="68">
        <v>46247</v>
      </c>
      <c r="B328" s="25">
        <f t="shared" si="77"/>
        <v>0.41666666666666635</v>
      </c>
      <c r="C328" s="26"/>
      <c r="D328" s="59"/>
      <c r="E328" s="120"/>
      <c r="F328" s="122" t="str">
        <f>IFERROR(IF($D328="","",VLOOKUP($D328,Cadastro!$C$4:$E$7,3,FALSE)),"")</f>
        <v/>
      </c>
      <c r="G328" s="114"/>
      <c r="H328" s="122" t="str">
        <f>IFERROR(IF($G328="","",$G328*$S$338/$G$338/Cadastro!$E$33),"")</f>
        <v/>
      </c>
      <c r="I328" s="129" t="str">
        <f>IFERROR(IF($D328="","",VLOOKUP($D328,Cadastro!$C$4:$G$7,5,FALSE)),"")</f>
        <v/>
      </c>
      <c r="J328" s="145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 x14ac:dyDescent="0.3">
      <c r="A329" s="69">
        <v>46247</v>
      </c>
      <c r="B329" s="32">
        <f t="shared" si="77"/>
        <v>0.45833333333333304</v>
      </c>
      <c r="C329" s="26"/>
      <c r="D329" s="59"/>
      <c r="E329" s="120"/>
      <c r="F329" s="122" t="str">
        <f>IFERROR(IF($D329="","",VLOOKUP($D329,Cadastro!$C$4:$E$7,3,FALSE)),"")</f>
        <v/>
      </c>
      <c r="G329" s="114"/>
      <c r="H329" s="122" t="str">
        <f>IFERROR(IF($G329="","",$G329*$S$338/$G$338/Cadastro!$E$33),"")</f>
        <v/>
      </c>
      <c r="I329" s="129" t="str">
        <f>IFERROR(IF($D329="","",VLOOKUP($D329,Cadastro!$C$4:$G$7,5,FALSE)),"")</f>
        <v/>
      </c>
      <c r="J329" s="145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 x14ac:dyDescent="0.3">
      <c r="A330" s="68">
        <v>46247</v>
      </c>
      <c r="B330" s="25">
        <f t="shared" si="77"/>
        <v>0.49999999999999972</v>
      </c>
      <c r="C330" s="26"/>
      <c r="D330" s="59"/>
      <c r="E330" s="120"/>
      <c r="F330" s="122" t="str">
        <f>IFERROR(IF($D330="","",VLOOKUP($D330,Cadastro!$C$4:$E$7,3,FALSE)),"")</f>
        <v/>
      </c>
      <c r="G330" s="114"/>
      <c r="H330" s="122" t="str">
        <f>IFERROR(IF($G330="","",$G330*$S$338/$G$338/Cadastro!$E$33),"")</f>
        <v/>
      </c>
      <c r="I330" s="129" t="str">
        <f>IFERROR(IF($D330="","",VLOOKUP($D330,Cadastro!$C$4:$G$7,5,FALSE)),"")</f>
        <v/>
      </c>
      <c r="J330" s="145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 x14ac:dyDescent="0.3">
      <c r="A331" s="69">
        <v>46247</v>
      </c>
      <c r="B331" s="32">
        <f t="shared" si="77"/>
        <v>0.54166666666666641</v>
      </c>
      <c r="C331" s="26"/>
      <c r="D331" s="59"/>
      <c r="E331" s="120"/>
      <c r="F331" s="122" t="str">
        <f>IFERROR(IF($D331="","",VLOOKUP($D331,Cadastro!$C$4:$E$7,3,FALSE)),"")</f>
        <v/>
      </c>
      <c r="G331" s="114"/>
      <c r="H331" s="122" t="str">
        <f>IFERROR(IF($G331="","",$G331*$S$338/$G$338/Cadastro!$E$33),"")</f>
        <v/>
      </c>
      <c r="I331" s="129" t="str">
        <f>IFERROR(IF($D331="","",VLOOKUP($D331,Cadastro!$C$4:$G$7,5,FALSE)),"")</f>
        <v/>
      </c>
      <c r="J331" s="145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 x14ac:dyDescent="0.3">
      <c r="A332" s="68">
        <v>46247</v>
      </c>
      <c r="B332" s="25">
        <f t="shared" si="77"/>
        <v>0.58333333333333304</v>
      </c>
      <c r="C332" s="26"/>
      <c r="D332" s="59"/>
      <c r="E332" s="120"/>
      <c r="F332" s="122" t="str">
        <f>IFERROR(IF($D332="","",VLOOKUP($D332,Cadastro!$C$4:$E$7,3,FALSE)),"")</f>
        <v/>
      </c>
      <c r="G332" s="114"/>
      <c r="H332" s="122" t="str">
        <f>IFERROR(IF($G332="","",$G332*$S$338/$G$338/Cadastro!$E$33),"")</f>
        <v/>
      </c>
      <c r="I332" s="129" t="str">
        <f>IFERROR(IF($D332="","",VLOOKUP($D332,Cadastro!$C$4:$G$7,5,FALSE)),"")</f>
        <v/>
      </c>
      <c r="J332" s="145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 x14ac:dyDescent="0.3">
      <c r="A333" s="69">
        <v>46247</v>
      </c>
      <c r="B333" s="32">
        <f t="shared" si="77"/>
        <v>0.62499999999999967</v>
      </c>
      <c r="C333" s="26"/>
      <c r="D333" s="59"/>
      <c r="E333" s="120"/>
      <c r="F333" s="122" t="str">
        <f>IFERROR(IF($D333="","",VLOOKUP($D333,Cadastro!$C$4:$E$7,3,FALSE)),"")</f>
        <v/>
      </c>
      <c r="G333" s="114"/>
      <c r="H333" s="122" t="str">
        <f>IFERROR(IF($G333="","",$G333*$S$338/$G$338/Cadastro!$E$33),"")</f>
        <v/>
      </c>
      <c r="I333" s="129" t="str">
        <f>IFERROR(IF($D333="","",VLOOKUP($D333,Cadastro!$C$4:$G$7,5,FALSE)),"")</f>
        <v/>
      </c>
      <c r="J333" s="145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8">
        <v>46247</v>
      </c>
      <c r="B334" s="25">
        <f t="shared" si="77"/>
        <v>0.6666666666666663</v>
      </c>
      <c r="C334" s="26"/>
      <c r="D334" s="59"/>
      <c r="E334" s="120"/>
      <c r="F334" s="122" t="str">
        <f>IFERROR(IF($D334="","",VLOOKUP($D334,Cadastro!$C$4:$E$7,3,FALSE)),"")</f>
        <v/>
      </c>
      <c r="G334" s="114"/>
      <c r="H334" s="122" t="str">
        <f>IFERROR(IF($G334="","",$G334*$S$338/$G$338/Cadastro!$E$33),"")</f>
        <v/>
      </c>
      <c r="I334" s="129" t="str">
        <f>IFERROR(IF($D334="","",VLOOKUP($D334,Cadastro!$C$4:$G$7,5,FALSE)),"")</f>
        <v/>
      </c>
      <c r="J334" s="145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9">
        <v>46247</v>
      </c>
      <c r="B335" s="32">
        <f t="shared" si="77"/>
        <v>0.70833333333333293</v>
      </c>
      <c r="C335" s="26"/>
      <c r="D335" s="59"/>
      <c r="E335" s="120"/>
      <c r="F335" s="122" t="str">
        <f>IFERROR(IF($D335="","",VLOOKUP($D335,Cadastro!$C$4:$E$7,3,FALSE)),"")</f>
        <v/>
      </c>
      <c r="G335" s="114"/>
      <c r="H335" s="122" t="str">
        <f>IFERROR(IF($G335="","",$G335*$S$338/$G$338/Cadastro!$E$33),"")</f>
        <v/>
      </c>
      <c r="I335" s="129" t="str">
        <f>IFERROR(IF($D335="","",VLOOKUP($D335,Cadastro!$C$4:$G$7,5,FALSE)),"")</f>
        <v/>
      </c>
      <c r="J335" s="145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8">
        <v>46247</v>
      </c>
      <c r="B336" s="25">
        <f t="shared" si="77"/>
        <v>0.74999999999999956</v>
      </c>
      <c r="C336" s="26"/>
      <c r="D336" s="59"/>
      <c r="E336" s="120"/>
      <c r="F336" s="122" t="str">
        <f>IFERROR(IF($D336="","",VLOOKUP($D336,Cadastro!$C$4:$E$7,3,FALSE)),"")</f>
        <v/>
      </c>
      <c r="G336" s="114"/>
      <c r="H336" s="122" t="str">
        <f>IFERROR(IF($G336="","",$G336*$S$338/$G$338/Cadastro!$E$33),"")</f>
        <v/>
      </c>
      <c r="I336" s="129" t="str">
        <f>IFERROR(IF($D336="","",VLOOKUP($D336,Cadastro!$C$4:$G$7,5,FALSE)),"")</f>
        <v/>
      </c>
      <c r="J336" s="145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9">
        <v>46247</v>
      </c>
      <c r="B337" s="32">
        <f t="shared" si="77"/>
        <v>0.79166666666666619</v>
      </c>
      <c r="C337" s="26"/>
      <c r="D337" s="59"/>
      <c r="E337" s="120"/>
      <c r="F337" s="118" t="str">
        <f>IFERROR(IF($D337="","",VLOOKUP($D337,Cadastro!$C$4:$E$7,3,FALSE)),"")</f>
        <v/>
      </c>
      <c r="G337" s="114"/>
      <c r="H337" s="118" t="str">
        <f>IFERROR(IF($G337="","",$G337*$S$338/$G$338/Cadastro!$E$33),"")</f>
        <v/>
      </c>
      <c r="I337" s="130" t="str">
        <f>IFERROR(IF($D337="","",VLOOKUP($D337,Cadastro!$C$4:$G$7,5,FALSE)),"")</f>
        <v/>
      </c>
      <c r="J337" s="146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68" t="s">
        <v>231</v>
      </c>
      <c r="B338" s="169"/>
      <c r="C338" s="169"/>
      <c r="D338" s="169"/>
      <c r="E338" s="169">
        <f>SUM(E326:E337)</f>
        <v>0</v>
      </c>
      <c r="F338" s="123"/>
      <c r="G338" s="88">
        <f>SUM(G326:G337)</f>
        <v>0</v>
      </c>
      <c r="H338" s="123">
        <f>IFERROR(SUM(H326:H337),"")</f>
        <v>0</v>
      </c>
      <c r="I338" s="131"/>
      <c r="J338" s="147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232</v>
      </c>
      <c r="S338" s="76"/>
      <c r="T338" s="136">
        <f>IFERROR(J338,"")</f>
        <v>0</v>
      </c>
    </row>
    <row r="339" spans="1:20" ht="15" customHeight="1" x14ac:dyDescent="0.3">
      <c r="A339" s="69">
        <v>46247</v>
      </c>
      <c r="B339" s="32">
        <v>0.83333333333333304</v>
      </c>
      <c r="C339" s="33"/>
      <c r="D339" s="62"/>
      <c r="E339" s="121"/>
      <c r="F339" s="119" t="str">
        <f>IFERROR(IF($D339="","",VLOOKUP($D339,Cadastro!$C$4:$E$7,3,FALSE)),"")</f>
        <v/>
      </c>
      <c r="G339" s="114"/>
      <c r="H339" s="119" t="str">
        <f>IFERROR(IF($G339="","",$G339*$S$351/$G$351/Cadastro!$E$33),"")</f>
        <v/>
      </c>
      <c r="I339" s="132" t="str">
        <f>IFERROR(IF($D339="","",VLOOKUP($D339,Cadastro!$C$4:$G$7,5,FALSE)),"")</f>
        <v/>
      </c>
      <c r="J339" s="148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 x14ac:dyDescent="0.3">
      <c r="A340" s="68">
        <v>46247</v>
      </c>
      <c r="B340" s="25">
        <f t="shared" ref="B340:B350" si="81">B339+TIME(0,60,0)</f>
        <v>0.87499999999999967</v>
      </c>
      <c r="C340" s="33"/>
      <c r="D340" s="62"/>
      <c r="E340" s="121"/>
      <c r="F340" s="122" t="str">
        <f>IFERROR(IF($D340="","",VLOOKUP($D340,Cadastro!$C$4:$E$7,3,FALSE)),"")</f>
        <v/>
      </c>
      <c r="G340" s="114"/>
      <c r="H340" s="122" t="str">
        <f>IFERROR(IF($G340="","",$G340*$S$351/$G$351/Cadastro!$E$33),"")</f>
        <v/>
      </c>
      <c r="I340" s="129" t="str">
        <f>IFERROR(IF($D340="","",VLOOKUP($D340,Cadastro!$C$4:$G$7,5,FALSE)),"")</f>
        <v/>
      </c>
      <c r="J340" s="145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 x14ac:dyDescent="0.3">
      <c r="A341" s="69">
        <v>46247</v>
      </c>
      <c r="B341" s="32">
        <f t="shared" si="81"/>
        <v>0.9166666666666663</v>
      </c>
      <c r="C341" s="33"/>
      <c r="D341" s="62"/>
      <c r="E341" s="121"/>
      <c r="F341" s="122" t="str">
        <f>IFERROR(IF($D341="","",VLOOKUP($D341,Cadastro!$C$4:$E$7,3,FALSE)),"")</f>
        <v/>
      </c>
      <c r="G341" s="114"/>
      <c r="H341" s="122" t="str">
        <f>IFERROR(IF($G341="","",$G341*$S$351/$G$351/Cadastro!$E$33),"")</f>
        <v/>
      </c>
      <c r="I341" s="129" t="str">
        <f>IFERROR(IF($D341="","",VLOOKUP($D341,Cadastro!$C$4:$G$7,5,FALSE)),"")</f>
        <v/>
      </c>
      <c r="J341" s="145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 x14ac:dyDescent="0.3">
      <c r="A342" s="68">
        <v>46247</v>
      </c>
      <c r="B342" s="25">
        <f t="shared" si="81"/>
        <v>0.95833333333333293</v>
      </c>
      <c r="C342" s="33"/>
      <c r="D342" s="62"/>
      <c r="E342" s="121"/>
      <c r="F342" s="122" t="str">
        <f>IFERROR(IF($D342="","",VLOOKUP($D342,Cadastro!$C$4:$E$7,3,FALSE)),"")</f>
        <v/>
      </c>
      <c r="G342" s="114"/>
      <c r="H342" s="122" t="str">
        <f>IFERROR(IF($G342="","",$G342*$S$351/$G$351/Cadastro!$E$33),"")</f>
        <v/>
      </c>
      <c r="I342" s="129" t="str">
        <f>IFERROR(IF($D342="","",VLOOKUP($D342,Cadastro!$C$4:$G$7,5,FALSE)),"")</f>
        <v/>
      </c>
      <c r="J342" s="145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 x14ac:dyDescent="0.3">
      <c r="A343" s="69">
        <v>46247</v>
      </c>
      <c r="B343" s="32">
        <f t="shared" si="81"/>
        <v>0.99999999999999956</v>
      </c>
      <c r="C343" s="33"/>
      <c r="D343" s="62"/>
      <c r="E343" s="121"/>
      <c r="F343" s="122" t="str">
        <f>IFERROR(IF($D343="","",VLOOKUP($D343,Cadastro!$C$4:$E$7,3,FALSE)),"")</f>
        <v/>
      </c>
      <c r="G343" s="114"/>
      <c r="H343" s="122" t="str">
        <f>IFERROR(IF($G343="","",$G343*$S$351/$G$351/Cadastro!$E$33),"")</f>
        <v/>
      </c>
      <c r="I343" s="129" t="str">
        <f>IFERROR(IF($D343="","",VLOOKUP($D343,Cadastro!$C$4:$G$7,5,FALSE)),"")</f>
        <v/>
      </c>
      <c r="J343" s="145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 x14ac:dyDescent="0.3">
      <c r="A344" s="68">
        <v>46247</v>
      </c>
      <c r="B344" s="25">
        <f t="shared" si="81"/>
        <v>1.0416666666666663</v>
      </c>
      <c r="C344" s="33"/>
      <c r="D344" s="62"/>
      <c r="E344" s="121"/>
      <c r="F344" s="122" t="str">
        <f>IFERROR(IF($D344="","",VLOOKUP($D344,Cadastro!$C$4:$E$7,3,FALSE)),"")</f>
        <v/>
      </c>
      <c r="G344" s="114"/>
      <c r="H344" s="122" t="str">
        <f>IFERROR(IF($G344="","",$G344*$S$351/$G$351/Cadastro!$E$33),"")</f>
        <v/>
      </c>
      <c r="I344" s="129" t="str">
        <f>IFERROR(IF($D344="","",VLOOKUP($D344,Cadastro!$C$4:$G$7,5,FALSE)),"")</f>
        <v/>
      </c>
      <c r="J344" s="145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 x14ac:dyDescent="0.3">
      <c r="A345" s="69">
        <v>46247</v>
      </c>
      <c r="B345" s="32">
        <f t="shared" si="81"/>
        <v>1.083333333333333</v>
      </c>
      <c r="C345" s="33"/>
      <c r="D345" s="62"/>
      <c r="E345" s="121"/>
      <c r="F345" s="122" t="str">
        <f>IFERROR(IF($D345="","",VLOOKUP($D345,Cadastro!$C$4:$E$7,3,FALSE)),"")</f>
        <v/>
      </c>
      <c r="G345" s="114"/>
      <c r="H345" s="122" t="str">
        <f>IFERROR(IF($G345="","",$G345*$S$351/$G$351/Cadastro!$E$33),"")</f>
        <v/>
      </c>
      <c r="I345" s="129" t="str">
        <f>IFERROR(IF($D345="","",VLOOKUP($D345,Cadastro!$C$4:$G$7,5,FALSE)),"")</f>
        <v/>
      </c>
      <c r="J345" s="145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 x14ac:dyDescent="0.3">
      <c r="A346" s="68">
        <v>46247</v>
      </c>
      <c r="B346" s="25">
        <f t="shared" si="81"/>
        <v>1.1249999999999998</v>
      </c>
      <c r="C346" s="33"/>
      <c r="D346" s="62"/>
      <c r="E346" s="121"/>
      <c r="F346" s="122" t="str">
        <f>IFERROR(IF($D346="","",VLOOKUP($D346,Cadastro!$C$4:$E$7,3,FALSE)),"")</f>
        <v/>
      </c>
      <c r="G346" s="114"/>
      <c r="H346" s="122" t="str">
        <f>IFERROR(IF($G346="","",$G346*$S$351/$G$351/Cadastro!$E$33),"")</f>
        <v/>
      </c>
      <c r="I346" s="129" t="str">
        <f>IFERROR(IF($D346="","",VLOOKUP($D346,Cadastro!$C$4:$G$7,5,FALSE)),"")</f>
        <v/>
      </c>
      <c r="J346" s="145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 x14ac:dyDescent="0.3">
      <c r="A347" s="69">
        <v>46247</v>
      </c>
      <c r="B347" s="32">
        <f t="shared" si="81"/>
        <v>1.1666666666666665</v>
      </c>
      <c r="C347" s="33"/>
      <c r="D347" s="62"/>
      <c r="E347" s="121"/>
      <c r="F347" s="122" t="str">
        <f>IFERROR(IF($D347="","",VLOOKUP($D347,Cadastro!$C$4:$E$7,3,FALSE)),"")</f>
        <v/>
      </c>
      <c r="G347" s="114"/>
      <c r="H347" s="122" t="str">
        <f>IFERROR(IF($G347="","",$G347*$S$351/$G$351/Cadastro!$E$33),"")</f>
        <v/>
      </c>
      <c r="I347" s="129" t="str">
        <f>IFERROR(IF($D347="","",VLOOKUP($D347,Cadastro!$C$4:$G$7,5,FALSE)),"")</f>
        <v/>
      </c>
      <c r="J347" s="145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 x14ac:dyDescent="0.3">
      <c r="A348" s="68">
        <v>46247</v>
      </c>
      <c r="B348" s="25">
        <f t="shared" si="81"/>
        <v>1.2083333333333333</v>
      </c>
      <c r="C348" s="33"/>
      <c r="D348" s="62"/>
      <c r="E348" s="121"/>
      <c r="F348" s="122" t="str">
        <f>IFERROR(IF($D348="","",VLOOKUP($D348,Cadastro!$C$4:$E$7,3,FALSE)),"")</f>
        <v/>
      </c>
      <c r="G348" s="114"/>
      <c r="H348" s="122" t="str">
        <f>IFERROR(IF($G348="","",$G348*$S$351/$G$351/Cadastro!$E$33),"")</f>
        <v/>
      </c>
      <c r="I348" s="129" t="str">
        <f>IFERROR(IF($D348="","",VLOOKUP($D348,Cadastro!$C$4:$G$7,5,FALSE)),"")</f>
        <v/>
      </c>
      <c r="J348" s="145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9">
        <v>46247</v>
      </c>
      <c r="B349" s="32">
        <f t="shared" si="81"/>
        <v>1.25</v>
      </c>
      <c r="C349" s="33"/>
      <c r="D349" s="62"/>
      <c r="E349" s="121"/>
      <c r="F349" s="122" t="str">
        <f>IFERROR(IF($D349="","",VLOOKUP($D349,Cadastro!$C$4:$E$7,3,FALSE)),"")</f>
        <v/>
      </c>
      <c r="G349" s="114"/>
      <c r="H349" s="122" t="str">
        <f>IFERROR(IF($G349="","",$G349*$S$351/$G$351/Cadastro!$E$33),"")</f>
        <v/>
      </c>
      <c r="I349" s="129" t="str">
        <f>IFERROR(IF($D349="","",VLOOKUP($D349,Cadastro!$C$4:$G$7,5,FALSE)),"")</f>
        <v/>
      </c>
      <c r="J349" s="145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8">
        <v>46247</v>
      </c>
      <c r="B350" s="25">
        <f t="shared" si="81"/>
        <v>1.2916666666666667</v>
      </c>
      <c r="C350" s="33"/>
      <c r="D350" s="62"/>
      <c r="E350" s="121"/>
      <c r="F350" s="118" t="str">
        <f>IFERROR(IF($D350="","",VLOOKUP($D350,Cadastro!$C$4:$E$7,3,FALSE)),"")</f>
        <v/>
      </c>
      <c r="G350" s="114"/>
      <c r="H350" s="118" t="str">
        <f>IFERROR(IF($G350="","",$G350*$S$351/$G$351/Cadastro!$E$33),"")</f>
        <v/>
      </c>
      <c r="I350" s="130" t="str">
        <f>IFERROR(IF($D350="","",VLOOKUP($D350,Cadastro!$C$4:$G$7,5,FALSE)),"")</f>
        <v/>
      </c>
      <c r="J350" s="146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68" t="s">
        <v>234</v>
      </c>
      <c r="B351" s="169"/>
      <c r="C351" s="169"/>
      <c r="D351" s="169"/>
      <c r="E351" s="169">
        <f>SUM(E339:E350)</f>
        <v>0</v>
      </c>
      <c r="F351" s="124"/>
      <c r="G351" s="88">
        <f>SUM(G339:G350)</f>
        <v>0</v>
      </c>
      <c r="H351" s="124">
        <f>IFERROR(SUM(H339:H350),"")</f>
        <v>0</v>
      </c>
      <c r="I351" s="133"/>
      <c r="J351" s="149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232</v>
      </c>
      <c r="S351" s="76"/>
      <c r="T351" s="136">
        <f>IFERROR(J351,"")</f>
        <v>0</v>
      </c>
    </row>
    <row r="352" spans="1:20" ht="18" customHeight="1" x14ac:dyDescent="0.3">
      <c r="A352" s="165" t="s">
        <v>235</v>
      </c>
      <c r="B352" s="166"/>
      <c r="C352" s="166"/>
      <c r="D352" s="166"/>
      <c r="E352" s="166">
        <f>E338+E351</f>
        <v>0</v>
      </c>
      <c r="F352" s="125"/>
      <c r="G352" s="100">
        <f>G338+G351</f>
        <v>0</v>
      </c>
      <c r="H352" s="125">
        <f>IFERROR(H338+H351,"")</f>
        <v>0</v>
      </c>
      <c r="I352" s="134"/>
      <c r="J352" s="150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236</v>
      </c>
      <c r="S352" s="82">
        <f>IFERROR(S338+S351,"")</f>
        <v>0</v>
      </c>
      <c r="T352" s="140">
        <f>IFERROR(J352,"")</f>
        <v>0</v>
      </c>
    </row>
    <row r="353" spans="1:20" ht="15" customHeight="1" x14ac:dyDescent="0.3">
      <c r="A353" s="69">
        <v>46248</v>
      </c>
      <c r="B353" s="32">
        <v>0.33333333333333298</v>
      </c>
      <c r="C353" s="33"/>
      <c r="D353" s="62"/>
      <c r="E353" s="121"/>
      <c r="F353" s="119" t="str">
        <f>IFERROR(IF($D353="","",VLOOKUP($D353,Cadastro!$C$4:$E$7,3,FALSE)),"")</f>
        <v/>
      </c>
      <c r="G353" s="114"/>
      <c r="H353" s="119" t="str">
        <f>IFERROR(IF($G353="","",$G353*$S$365/$G$365/Cadastro!$E$33),"")</f>
        <v/>
      </c>
      <c r="I353" s="132" t="str">
        <f>IFERROR(IF($D353="","",VLOOKUP($D353,Cadastro!$C$4:$G$7,5,FALSE)),"")</f>
        <v/>
      </c>
      <c r="J353" s="148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 x14ac:dyDescent="0.3">
      <c r="A354" s="68">
        <v>46248</v>
      </c>
      <c r="B354" s="25">
        <f t="shared" ref="B354:B364" si="85">B353+TIME(0,60,0)</f>
        <v>0.37499999999999967</v>
      </c>
      <c r="C354" s="33"/>
      <c r="D354" s="62"/>
      <c r="E354" s="121"/>
      <c r="F354" s="122" t="str">
        <f>IFERROR(IF($D354="","",VLOOKUP($D354,Cadastro!$C$4:$E$7,3,FALSE)),"")</f>
        <v/>
      </c>
      <c r="G354" s="114"/>
      <c r="H354" s="122" t="str">
        <f>IFERROR(IF($G354="","",$G354*$S$365/$G$365/Cadastro!$E$33),"")</f>
        <v/>
      </c>
      <c r="I354" s="129" t="str">
        <f>IFERROR(IF($D354="","",VLOOKUP($D354,Cadastro!$C$4:$G$7,5,FALSE)),"")</f>
        <v/>
      </c>
      <c r="J354" s="145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 x14ac:dyDescent="0.3">
      <c r="A355" s="69">
        <v>46248</v>
      </c>
      <c r="B355" s="32">
        <f t="shared" si="85"/>
        <v>0.41666666666666635</v>
      </c>
      <c r="C355" s="33"/>
      <c r="D355" s="62"/>
      <c r="E355" s="121"/>
      <c r="F355" s="122" t="str">
        <f>IFERROR(IF($D355="","",VLOOKUP($D355,Cadastro!$C$4:$E$7,3,FALSE)),"")</f>
        <v/>
      </c>
      <c r="G355" s="114"/>
      <c r="H355" s="122" t="str">
        <f>IFERROR(IF($G355="","",$G355*$S$365/$G$365/Cadastro!$E$33),"")</f>
        <v/>
      </c>
      <c r="I355" s="129" t="str">
        <f>IFERROR(IF($D355="","",VLOOKUP($D355,Cadastro!$C$4:$G$7,5,FALSE)),"")</f>
        <v/>
      </c>
      <c r="J355" s="145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 x14ac:dyDescent="0.3">
      <c r="A356" s="68">
        <v>46248</v>
      </c>
      <c r="B356" s="25">
        <f t="shared" si="85"/>
        <v>0.45833333333333304</v>
      </c>
      <c r="C356" s="33"/>
      <c r="D356" s="62"/>
      <c r="E356" s="121"/>
      <c r="F356" s="122" t="str">
        <f>IFERROR(IF($D356="","",VLOOKUP($D356,Cadastro!$C$4:$E$7,3,FALSE)),"")</f>
        <v/>
      </c>
      <c r="G356" s="114"/>
      <c r="H356" s="122" t="str">
        <f>IFERROR(IF($G356="","",$G356*$S$365/$G$365/Cadastro!$E$33),"")</f>
        <v/>
      </c>
      <c r="I356" s="129" t="str">
        <f>IFERROR(IF($D356="","",VLOOKUP($D356,Cadastro!$C$4:$G$7,5,FALSE)),"")</f>
        <v/>
      </c>
      <c r="J356" s="145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 x14ac:dyDescent="0.3">
      <c r="A357" s="69">
        <v>46248</v>
      </c>
      <c r="B357" s="32">
        <f t="shared" si="85"/>
        <v>0.49999999999999972</v>
      </c>
      <c r="C357" s="33"/>
      <c r="D357" s="62"/>
      <c r="E357" s="121"/>
      <c r="F357" s="122" t="str">
        <f>IFERROR(IF($D357="","",VLOOKUP($D357,Cadastro!$C$4:$E$7,3,FALSE)),"")</f>
        <v/>
      </c>
      <c r="G357" s="114"/>
      <c r="H357" s="122" t="str">
        <f>IFERROR(IF($G357="","",$G357*$S$365/$G$365/Cadastro!$E$33),"")</f>
        <v/>
      </c>
      <c r="I357" s="129" t="str">
        <f>IFERROR(IF($D357="","",VLOOKUP($D357,Cadastro!$C$4:$G$7,5,FALSE)),"")</f>
        <v/>
      </c>
      <c r="J357" s="145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 x14ac:dyDescent="0.3">
      <c r="A358" s="68">
        <v>46248</v>
      </c>
      <c r="B358" s="25">
        <f t="shared" si="85"/>
        <v>0.54166666666666641</v>
      </c>
      <c r="C358" s="33"/>
      <c r="D358" s="62"/>
      <c r="E358" s="121"/>
      <c r="F358" s="122" t="str">
        <f>IFERROR(IF($D358="","",VLOOKUP($D358,Cadastro!$C$4:$E$7,3,FALSE)),"")</f>
        <v/>
      </c>
      <c r="G358" s="114"/>
      <c r="H358" s="122" t="str">
        <f>IFERROR(IF($G358="","",$G358*$S$365/$G$365/Cadastro!$E$33),"")</f>
        <v/>
      </c>
      <c r="I358" s="129" t="str">
        <f>IFERROR(IF($D358="","",VLOOKUP($D358,Cadastro!$C$4:$G$7,5,FALSE)),"")</f>
        <v/>
      </c>
      <c r="J358" s="145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9">
        <v>46248</v>
      </c>
      <c r="B359" s="32">
        <f t="shared" si="85"/>
        <v>0.58333333333333304</v>
      </c>
      <c r="C359" s="33"/>
      <c r="D359" s="62"/>
      <c r="E359" s="121"/>
      <c r="F359" s="122" t="str">
        <f>IFERROR(IF($D359="","",VLOOKUP($D359,Cadastro!$C$4:$E$7,3,FALSE)),"")</f>
        <v/>
      </c>
      <c r="G359" s="114"/>
      <c r="H359" s="122" t="str">
        <f>IFERROR(IF($G359="","",$G359*$S$365/$G$365/Cadastro!$E$33),"")</f>
        <v/>
      </c>
      <c r="I359" s="129" t="str">
        <f>IFERROR(IF($D359="","",VLOOKUP($D359,Cadastro!$C$4:$G$7,5,FALSE)),"")</f>
        <v/>
      </c>
      <c r="J359" s="145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8">
        <v>46248</v>
      </c>
      <c r="B360" s="25">
        <f t="shared" si="85"/>
        <v>0.62499999999999967</v>
      </c>
      <c r="C360" s="33"/>
      <c r="D360" s="62"/>
      <c r="E360" s="121"/>
      <c r="F360" s="122" t="str">
        <f>IFERROR(IF($D360="","",VLOOKUP($D360,Cadastro!$C$4:$E$7,3,FALSE)),"")</f>
        <v/>
      </c>
      <c r="G360" s="114"/>
      <c r="H360" s="122" t="str">
        <f>IFERROR(IF($G360="","",$G360*$S$365/$G$365/Cadastro!$E$33),"")</f>
        <v/>
      </c>
      <c r="I360" s="129" t="str">
        <f>IFERROR(IF($D360="","",VLOOKUP($D360,Cadastro!$C$4:$G$7,5,FALSE)),"")</f>
        <v/>
      </c>
      <c r="J360" s="145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9">
        <v>46248</v>
      </c>
      <c r="B361" s="32">
        <f t="shared" si="85"/>
        <v>0.6666666666666663</v>
      </c>
      <c r="C361" s="33"/>
      <c r="D361" s="62"/>
      <c r="E361" s="121"/>
      <c r="F361" s="122" t="str">
        <f>IFERROR(IF($D361="","",VLOOKUP($D361,Cadastro!$C$4:$E$7,3,FALSE)),"")</f>
        <v/>
      </c>
      <c r="G361" s="114"/>
      <c r="H361" s="122" t="str">
        <f>IFERROR(IF($G361="","",$G361*$S$365/$G$365/Cadastro!$E$33),"")</f>
        <v/>
      </c>
      <c r="I361" s="129" t="str">
        <f>IFERROR(IF($D361="","",VLOOKUP($D361,Cadastro!$C$4:$G$7,5,FALSE)),"")</f>
        <v/>
      </c>
      <c r="J361" s="145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8">
        <v>46248</v>
      </c>
      <c r="B362" s="25">
        <f t="shared" si="85"/>
        <v>0.70833333333333293</v>
      </c>
      <c r="C362" s="33"/>
      <c r="D362" s="62"/>
      <c r="E362" s="121"/>
      <c r="F362" s="122" t="str">
        <f>IFERROR(IF($D362="","",VLOOKUP($D362,Cadastro!$C$4:$E$7,3,FALSE)),"")</f>
        <v/>
      </c>
      <c r="G362" s="114"/>
      <c r="H362" s="122" t="str">
        <f>IFERROR(IF($G362="","",$G362*$S$365/$G$365/Cadastro!$E$33),"")</f>
        <v/>
      </c>
      <c r="I362" s="129" t="str">
        <f>IFERROR(IF($D362="","",VLOOKUP($D362,Cadastro!$C$4:$G$7,5,FALSE)),"")</f>
        <v/>
      </c>
      <c r="J362" s="145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9">
        <v>46248</v>
      </c>
      <c r="B363" s="32">
        <f t="shared" si="85"/>
        <v>0.74999999999999956</v>
      </c>
      <c r="C363" s="33"/>
      <c r="D363" s="62"/>
      <c r="E363" s="121"/>
      <c r="F363" s="122" t="str">
        <f>IFERROR(IF($D363="","",VLOOKUP($D363,Cadastro!$C$4:$E$7,3,FALSE)),"")</f>
        <v/>
      </c>
      <c r="G363" s="114"/>
      <c r="H363" s="122" t="str">
        <f>IFERROR(IF($G363="","",$G363*$S$365/$G$365/Cadastro!$E$33),"")</f>
        <v/>
      </c>
      <c r="I363" s="129" t="str">
        <f>IFERROR(IF($D363="","",VLOOKUP($D363,Cadastro!$C$4:$G$7,5,FALSE)),"")</f>
        <v/>
      </c>
      <c r="J363" s="145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8">
        <v>46248</v>
      </c>
      <c r="B364" s="25">
        <f t="shared" si="85"/>
        <v>0.79166666666666619</v>
      </c>
      <c r="C364" s="33"/>
      <c r="D364" s="62"/>
      <c r="E364" s="121"/>
      <c r="F364" s="118" t="str">
        <f>IFERROR(IF($D364="","",VLOOKUP($D364,Cadastro!$C$4:$E$7,3,FALSE)),"")</f>
        <v/>
      </c>
      <c r="G364" s="114"/>
      <c r="H364" s="118" t="str">
        <f>IFERROR(IF($G364="","",$G364*$S$365/$G$365/Cadastro!$E$33),"")</f>
        <v/>
      </c>
      <c r="I364" s="130" t="str">
        <f>IFERROR(IF($D364="","",VLOOKUP($D364,Cadastro!$C$4:$G$7,5,FALSE)),"")</f>
        <v/>
      </c>
      <c r="J364" s="146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68" t="s">
        <v>231</v>
      </c>
      <c r="B365" s="169"/>
      <c r="C365" s="169"/>
      <c r="D365" s="169"/>
      <c r="E365" s="169">
        <f>SUM(E353:E364)</f>
        <v>0</v>
      </c>
      <c r="F365" s="123"/>
      <c r="G365" s="88">
        <f>SUM(G353:G364)</f>
        <v>0</v>
      </c>
      <c r="H365" s="123">
        <f>IFERROR(SUM(H353:H364),"")</f>
        <v>0</v>
      </c>
      <c r="I365" s="131"/>
      <c r="J365" s="147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232</v>
      </c>
      <c r="S365" s="76"/>
      <c r="T365" s="136">
        <f>IFERROR(J365,"")</f>
        <v>0</v>
      </c>
    </row>
    <row r="366" spans="1:20" ht="15" customHeight="1" x14ac:dyDescent="0.3">
      <c r="A366" s="68">
        <v>46248</v>
      </c>
      <c r="B366" s="25">
        <v>0.83333333333333304</v>
      </c>
      <c r="C366" s="26"/>
      <c r="D366" s="59"/>
      <c r="E366" s="120"/>
      <c r="F366" s="119" t="str">
        <f>IFERROR(IF($D366="","",VLOOKUP($D366,Cadastro!$C$4:$E$7,3,FALSE)),"")</f>
        <v/>
      </c>
      <c r="G366" s="114"/>
      <c r="H366" s="119" t="str">
        <f>IFERROR(IF($G366="","",$G366*$S$378/$G$378/Cadastro!$E$33),"")</f>
        <v/>
      </c>
      <c r="I366" s="132" t="str">
        <f>IFERROR(IF($D366="","",VLOOKUP($D366,Cadastro!$C$4:$G$7,5,FALSE)),"")</f>
        <v/>
      </c>
      <c r="J366" s="148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 x14ac:dyDescent="0.3">
      <c r="A367" s="69">
        <v>46248</v>
      </c>
      <c r="B367" s="32">
        <f t="shared" ref="B367:B377" si="89">B366+TIME(0,60,0)</f>
        <v>0.87499999999999967</v>
      </c>
      <c r="C367" s="26"/>
      <c r="D367" s="59"/>
      <c r="E367" s="120"/>
      <c r="F367" s="122" t="str">
        <f>IFERROR(IF($D367="","",VLOOKUP($D367,Cadastro!$C$4:$E$7,3,FALSE)),"")</f>
        <v/>
      </c>
      <c r="G367" s="114"/>
      <c r="H367" s="122" t="str">
        <f>IFERROR(IF($G367="","",$G367*$S$378/$G$378/Cadastro!$E$33),"")</f>
        <v/>
      </c>
      <c r="I367" s="129" t="str">
        <f>IFERROR(IF($D367="","",VLOOKUP($D367,Cadastro!$C$4:$G$7,5,FALSE)),"")</f>
        <v/>
      </c>
      <c r="J367" s="145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 x14ac:dyDescent="0.3">
      <c r="A368" s="68">
        <v>46248</v>
      </c>
      <c r="B368" s="25">
        <f t="shared" si="89"/>
        <v>0.9166666666666663</v>
      </c>
      <c r="C368" s="26"/>
      <c r="D368" s="59"/>
      <c r="E368" s="120"/>
      <c r="F368" s="122" t="str">
        <f>IFERROR(IF($D368="","",VLOOKUP($D368,Cadastro!$C$4:$E$7,3,FALSE)),"")</f>
        <v/>
      </c>
      <c r="G368" s="114"/>
      <c r="H368" s="122" t="str">
        <f>IFERROR(IF($G368="","",$G368*$S$378/$G$378/Cadastro!$E$33),"")</f>
        <v/>
      </c>
      <c r="I368" s="129" t="str">
        <f>IFERROR(IF($D368="","",VLOOKUP($D368,Cadastro!$C$4:$G$7,5,FALSE)),"")</f>
        <v/>
      </c>
      <c r="J368" s="145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 x14ac:dyDescent="0.3">
      <c r="A369" s="69">
        <v>46248</v>
      </c>
      <c r="B369" s="32">
        <f t="shared" si="89"/>
        <v>0.95833333333333293</v>
      </c>
      <c r="C369" s="26"/>
      <c r="D369" s="59"/>
      <c r="E369" s="120"/>
      <c r="F369" s="122" t="str">
        <f>IFERROR(IF($D369="","",VLOOKUP($D369,Cadastro!$C$4:$E$7,3,FALSE)),"")</f>
        <v/>
      </c>
      <c r="G369" s="114"/>
      <c r="H369" s="122" t="str">
        <f>IFERROR(IF($G369="","",$G369*$S$378/$G$378/Cadastro!$E$33),"")</f>
        <v/>
      </c>
      <c r="I369" s="129" t="str">
        <f>IFERROR(IF($D369="","",VLOOKUP($D369,Cadastro!$C$4:$G$7,5,FALSE)),"")</f>
        <v/>
      </c>
      <c r="J369" s="145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 x14ac:dyDescent="0.3">
      <c r="A370" s="68">
        <v>46248</v>
      </c>
      <c r="B370" s="25">
        <f t="shared" si="89"/>
        <v>0.99999999999999956</v>
      </c>
      <c r="C370" s="26"/>
      <c r="D370" s="59"/>
      <c r="E370" s="120"/>
      <c r="F370" s="122" t="str">
        <f>IFERROR(IF($D370="","",VLOOKUP($D370,Cadastro!$C$4:$E$7,3,FALSE)),"")</f>
        <v/>
      </c>
      <c r="G370" s="114"/>
      <c r="H370" s="122" t="str">
        <f>IFERROR(IF($G370="","",$G370*$S$378/$G$378/Cadastro!$E$33),"")</f>
        <v/>
      </c>
      <c r="I370" s="129" t="str">
        <f>IFERROR(IF($D370="","",VLOOKUP($D370,Cadastro!$C$4:$G$7,5,FALSE)),"")</f>
        <v/>
      </c>
      <c r="J370" s="145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 x14ac:dyDescent="0.3">
      <c r="A371" s="69">
        <v>46248</v>
      </c>
      <c r="B371" s="32">
        <f t="shared" si="89"/>
        <v>1.0416666666666663</v>
      </c>
      <c r="C371" s="26"/>
      <c r="D371" s="59"/>
      <c r="E371" s="120"/>
      <c r="F371" s="122" t="str">
        <f>IFERROR(IF($D371="","",VLOOKUP($D371,Cadastro!$C$4:$E$7,3,FALSE)),"")</f>
        <v/>
      </c>
      <c r="G371" s="114"/>
      <c r="H371" s="122" t="str">
        <f>IFERROR(IF($G371="","",$G371*$S$378/$G$378/Cadastro!$E$33),"")</f>
        <v/>
      </c>
      <c r="I371" s="129" t="str">
        <f>IFERROR(IF($D371="","",VLOOKUP($D371,Cadastro!$C$4:$G$7,5,FALSE)),"")</f>
        <v/>
      </c>
      <c r="J371" s="145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8">
        <v>46248</v>
      </c>
      <c r="B372" s="25">
        <f t="shared" si="89"/>
        <v>1.083333333333333</v>
      </c>
      <c r="C372" s="26"/>
      <c r="D372" s="59"/>
      <c r="E372" s="120"/>
      <c r="F372" s="122" t="str">
        <f>IFERROR(IF($D372="","",VLOOKUP($D372,Cadastro!$C$4:$E$7,3,FALSE)),"")</f>
        <v/>
      </c>
      <c r="G372" s="114"/>
      <c r="H372" s="122" t="str">
        <f>IFERROR(IF($G372="","",$G372*$S$378/$G$378/Cadastro!$E$33),"")</f>
        <v/>
      </c>
      <c r="I372" s="129" t="str">
        <f>IFERROR(IF($D372="","",VLOOKUP($D372,Cadastro!$C$4:$G$7,5,FALSE)),"")</f>
        <v/>
      </c>
      <c r="J372" s="145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9">
        <v>46248</v>
      </c>
      <c r="B373" s="32">
        <f t="shared" si="89"/>
        <v>1.1249999999999998</v>
      </c>
      <c r="C373" s="26"/>
      <c r="D373" s="59"/>
      <c r="E373" s="120"/>
      <c r="F373" s="122" t="str">
        <f>IFERROR(IF($D373="","",VLOOKUP($D373,Cadastro!$C$4:$E$7,3,FALSE)),"")</f>
        <v/>
      </c>
      <c r="G373" s="114"/>
      <c r="H373" s="122" t="str">
        <f>IFERROR(IF($G373="","",$G373*$S$378/$G$378/Cadastro!$E$33),"")</f>
        <v/>
      </c>
      <c r="I373" s="129" t="str">
        <f>IFERROR(IF($D373="","",VLOOKUP($D373,Cadastro!$C$4:$G$7,5,FALSE)),"")</f>
        <v/>
      </c>
      <c r="J373" s="145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8">
        <v>46248</v>
      </c>
      <c r="B374" s="25">
        <f t="shared" si="89"/>
        <v>1.1666666666666665</v>
      </c>
      <c r="C374" s="26"/>
      <c r="D374" s="59"/>
      <c r="E374" s="120"/>
      <c r="F374" s="122" t="str">
        <f>IFERROR(IF($D374="","",VLOOKUP($D374,Cadastro!$C$4:$E$7,3,FALSE)),"")</f>
        <v/>
      </c>
      <c r="G374" s="114"/>
      <c r="H374" s="122" t="str">
        <f>IFERROR(IF($G374="","",$G374*$S$378/$G$378/Cadastro!$E$33),"")</f>
        <v/>
      </c>
      <c r="I374" s="129" t="str">
        <f>IFERROR(IF($D374="","",VLOOKUP($D374,Cadastro!$C$4:$G$7,5,FALSE)),"")</f>
        <v/>
      </c>
      <c r="J374" s="145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9">
        <v>46248</v>
      </c>
      <c r="B375" s="32">
        <f t="shared" si="89"/>
        <v>1.2083333333333333</v>
      </c>
      <c r="C375" s="26"/>
      <c r="D375" s="59"/>
      <c r="E375" s="120"/>
      <c r="F375" s="122" t="str">
        <f>IFERROR(IF($D375="","",VLOOKUP($D375,Cadastro!$C$4:$E$7,3,FALSE)),"")</f>
        <v/>
      </c>
      <c r="G375" s="114"/>
      <c r="H375" s="122" t="str">
        <f>IFERROR(IF($G375="","",$G375*$S$378/$G$378/Cadastro!$E$33),"")</f>
        <v/>
      </c>
      <c r="I375" s="129" t="str">
        <f>IFERROR(IF($D375="","",VLOOKUP($D375,Cadastro!$C$4:$G$7,5,FALSE)),"")</f>
        <v/>
      </c>
      <c r="J375" s="145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8">
        <v>46248</v>
      </c>
      <c r="B376" s="25">
        <f t="shared" si="89"/>
        <v>1.25</v>
      </c>
      <c r="C376" s="26"/>
      <c r="D376" s="59"/>
      <c r="E376" s="120"/>
      <c r="F376" s="122" t="str">
        <f>IFERROR(IF($D376="","",VLOOKUP($D376,Cadastro!$C$4:$E$7,3,FALSE)),"")</f>
        <v/>
      </c>
      <c r="G376" s="114"/>
      <c r="H376" s="122" t="str">
        <f>IFERROR(IF($G376="","",$G376*$S$378/$G$378/Cadastro!$E$33),"")</f>
        <v/>
      </c>
      <c r="I376" s="129" t="str">
        <f>IFERROR(IF($D376="","",VLOOKUP($D376,Cadastro!$C$4:$G$7,5,FALSE)),"")</f>
        <v/>
      </c>
      <c r="J376" s="145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9">
        <v>46248</v>
      </c>
      <c r="B377" s="32">
        <f t="shared" si="89"/>
        <v>1.2916666666666667</v>
      </c>
      <c r="C377" s="26"/>
      <c r="D377" s="59"/>
      <c r="E377" s="120"/>
      <c r="F377" s="118" t="str">
        <f>IFERROR(IF($D377="","",VLOOKUP($D377,Cadastro!$C$4:$E$7,3,FALSE)),"")</f>
        <v/>
      </c>
      <c r="G377" s="114"/>
      <c r="H377" s="118" t="str">
        <f>IFERROR(IF($G377="","",$G377*$S$378/$G$378/Cadastro!$E$33),"")</f>
        <v/>
      </c>
      <c r="I377" s="130" t="str">
        <f>IFERROR(IF($D377="","",VLOOKUP($D377,Cadastro!$C$4:$G$7,5,FALSE)),"")</f>
        <v/>
      </c>
      <c r="J377" s="146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68" t="s">
        <v>234</v>
      </c>
      <c r="B378" s="169"/>
      <c r="C378" s="169"/>
      <c r="D378" s="169"/>
      <c r="E378" s="169">
        <f>SUM(E366:E377)</f>
        <v>0</v>
      </c>
      <c r="F378" s="124"/>
      <c r="G378" s="88">
        <f>SUM(G366:G377)</f>
        <v>0</v>
      </c>
      <c r="H378" s="124">
        <f>IFERROR(SUM(H366:H377),"")</f>
        <v>0</v>
      </c>
      <c r="I378" s="133"/>
      <c r="J378" s="149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232</v>
      </c>
      <c r="S378" s="76"/>
      <c r="T378" s="136">
        <f>IFERROR(J378,"")</f>
        <v>0</v>
      </c>
    </row>
    <row r="379" spans="1:20" ht="18" customHeight="1" x14ac:dyDescent="0.3">
      <c r="A379" s="165" t="s">
        <v>235</v>
      </c>
      <c r="B379" s="166"/>
      <c r="C379" s="166"/>
      <c r="D379" s="166"/>
      <c r="E379" s="166">
        <f>E365+E378</f>
        <v>0</v>
      </c>
      <c r="F379" s="125"/>
      <c r="G379" s="100">
        <f>G365+G378</f>
        <v>0</v>
      </c>
      <c r="H379" s="125">
        <f>IFERROR(H365+H378,"")</f>
        <v>0</v>
      </c>
      <c r="I379" s="134"/>
      <c r="J379" s="150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236</v>
      </c>
      <c r="S379" s="82">
        <f>IFERROR(S365+S378,"")</f>
        <v>0</v>
      </c>
      <c r="T379" s="140">
        <f>IFERROR(J379,"")</f>
        <v>0</v>
      </c>
    </row>
    <row r="380" spans="1:20" ht="15" customHeight="1" x14ac:dyDescent="0.3">
      <c r="A380" s="68">
        <v>46249</v>
      </c>
      <c r="B380" s="25">
        <v>0.33333333333333298</v>
      </c>
      <c r="C380" s="26"/>
      <c r="D380" s="59"/>
      <c r="E380" s="120"/>
      <c r="F380" s="119" t="str">
        <f>IFERROR(IF($D380="","",VLOOKUP($D380,Cadastro!$C$4:$E$7,3,FALSE)),"")</f>
        <v/>
      </c>
      <c r="G380" s="114"/>
      <c r="H380" s="119" t="str">
        <f>IFERROR(IF($G380="","",$G380*$S$392/$G$392/Cadastro!$E$33),"")</f>
        <v/>
      </c>
      <c r="I380" s="132" t="str">
        <f>IFERROR(IF($D380="","",VLOOKUP($D380,Cadastro!$C$4:$G$7,5,FALSE)),"")</f>
        <v/>
      </c>
      <c r="J380" s="148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 x14ac:dyDescent="0.3">
      <c r="A381" s="69">
        <v>46249</v>
      </c>
      <c r="B381" s="32">
        <f t="shared" ref="B381:B391" si="93">B380+TIME(0,60,0)</f>
        <v>0.37499999999999967</v>
      </c>
      <c r="C381" s="26"/>
      <c r="D381" s="59"/>
      <c r="E381" s="120"/>
      <c r="F381" s="122" t="str">
        <f>IFERROR(IF($D381="","",VLOOKUP($D381,Cadastro!$C$4:$E$7,3,FALSE)),"")</f>
        <v/>
      </c>
      <c r="G381" s="114"/>
      <c r="H381" s="122" t="str">
        <f>IFERROR(IF($G381="","",$G381*$S$392/$G$392/Cadastro!$E$33),"")</f>
        <v/>
      </c>
      <c r="I381" s="129" t="str">
        <f>IFERROR(IF($D381="","",VLOOKUP($D381,Cadastro!$C$4:$G$7,5,FALSE)),"")</f>
        <v/>
      </c>
      <c r="J381" s="145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 x14ac:dyDescent="0.3">
      <c r="A382" s="68">
        <v>46249</v>
      </c>
      <c r="B382" s="25">
        <f t="shared" si="93"/>
        <v>0.41666666666666635</v>
      </c>
      <c r="C382" s="26"/>
      <c r="D382" s="59"/>
      <c r="E382" s="120"/>
      <c r="F382" s="122" t="str">
        <f>IFERROR(IF($D382="","",VLOOKUP($D382,Cadastro!$C$4:$E$7,3,FALSE)),"")</f>
        <v/>
      </c>
      <c r="G382" s="114"/>
      <c r="H382" s="122" t="str">
        <f>IFERROR(IF($G382="","",$G382*$S$392/$G$392/Cadastro!$E$33),"")</f>
        <v/>
      </c>
      <c r="I382" s="129" t="str">
        <f>IFERROR(IF($D382="","",VLOOKUP($D382,Cadastro!$C$4:$G$7,5,FALSE)),"")</f>
        <v/>
      </c>
      <c r="J382" s="145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 x14ac:dyDescent="0.3">
      <c r="A383" s="69">
        <v>46249</v>
      </c>
      <c r="B383" s="32">
        <f t="shared" si="93"/>
        <v>0.45833333333333304</v>
      </c>
      <c r="C383" s="26"/>
      <c r="D383" s="59"/>
      <c r="E383" s="120"/>
      <c r="F383" s="122" t="str">
        <f>IFERROR(IF($D383="","",VLOOKUP($D383,Cadastro!$C$4:$E$7,3,FALSE)),"")</f>
        <v/>
      </c>
      <c r="G383" s="114"/>
      <c r="H383" s="122" t="str">
        <f>IFERROR(IF($G383="","",$G383*$S$392/$G$392/Cadastro!$E$33),"")</f>
        <v/>
      </c>
      <c r="I383" s="129" t="str">
        <f>IFERROR(IF($D383="","",VLOOKUP($D383,Cadastro!$C$4:$G$7,5,FALSE)),"")</f>
        <v/>
      </c>
      <c r="J383" s="145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3">
      <c r="A384" s="68">
        <v>46249</v>
      </c>
      <c r="B384" s="25">
        <f t="shared" si="93"/>
        <v>0.49999999999999972</v>
      </c>
      <c r="C384" s="26"/>
      <c r="D384" s="59"/>
      <c r="E384" s="120"/>
      <c r="F384" s="122" t="str">
        <f>IFERROR(IF($D384="","",VLOOKUP($D384,Cadastro!$C$4:$E$7,3,FALSE)),"")</f>
        <v/>
      </c>
      <c r="G384" s="114"/>
      <c r="H384" s="122" t="str">
        <f>IFERROR(IF($G384="","",$G384*$S$392/$G$392/Cadastro!$E$33),"")</f>
        <v/>
      </c>
      <c r="I384" s="129" t="str">
        <f>IFERROR(IF($D384="","",VLOOKUP($D384,Cadastro!$C$4:$G$7,5,FALSE)),"")</f>
        <v/>
      </c>
      <c r="J384" s="145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3">
      <c r="A385" s="69">
        <v>46249</v>
      </c>
      <c r="B385" s="32">
        <f t="shared" si="93"/>
        <v>0.54166666666666641</v>
      </c>
      <c r="C385" s="26"/>
      <c r="D385" s="59"/>
      <c r="E385" s="120"/>
      <c r="F385" s="122" t="str">
        <f>IFERROR(IF($D385="","",VLOOKUP($D385,Cadastro!$C$4:$E$7,3,FALSE)),"")</f>
        <v/>
      </c>
      <c r="G385" s="114"/>
      <c r="H385" s="122" t="str">
        <f>IFERROR(IF($G385="","",$G385*$S$392/$G$392/Cadastro!$E$33),"")</f>
        <v/>
      </c>
      <c r="I385" s="129" t="str">
        <f>IFERROR(IF($D385="","",VLOOKUP($D385,Cadastro!$C$4:$G$7,5,FALSE)),"")</f>
        <v/>
      </c>
      <c r="J385" s="145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3">
      <c r="A386" s="68">
        <v>46249</v>
      </c>
      <c r="B386" s="25">
        <f t="shared" si="93"/>
        <v>0.58333333333333304</v>
      </c>
      <c r="C386" s="26"/>
      <c r="D386" s="59"/>
      <c r="E386" s="120"/>
      <c r="F386" s="122" t="str">
        <f>IFERROR(IF($D386="","",VLOOKUP($D386,Cadastro!$C$4:$E$7,3,FALSE)),"")</f>
        <v/>
      </c>
      <c r="G386" s="114"/>
      <c r="H386" s="122" t="str">
        <f>IFERROR(IF($G386="","",$G386*$S$392/$G$392/Cadastro!$E$33),"")</f>
        <v/>
      </c>
      <c r="I386" s="129" t="str">
        <f>IFERROR(IF($D386="","",VLOOKUP($D386,Cadastro!$C$4:$G$7,5,FALSE)),"")</f>
        <v/>
      </c>
      <c r="J386" s="145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9">
        <v>46249</v>
      </c>
      <c r="B387" s="32">
        <f t="shared" si="93"/>
        <v>0.62499999999999967</v>
      </c>
      <c r="C387" s="26"/>
      <c r="D387" s="59"/>
      <c r="E387" s="120"/>
      <c r="F387" s="122" t="str">
        <f>IFERROR(IF($D387="","",VLOOKUP($D387,Cadastro!$C$4:$E$7,3,FALSE)),"")</f>
        <v/>
      </c>
      <c r="G387" s="114"/>
      <c r="H387" s="122" t="str">
        <f>IFERROR(IF($G387="","",$G387*$S$392/$G$392/Cadastro!$E$33),"")</f>
        <v/>
      </c>
      <c r="I387" s="129" t="str">
        <f>IFERROR(IF($D387="","",VLOOKUP($D387,Cadastro!$C$4:$G$7,5,FALSE)),"")</f>
        <v/>
      </c>
      <c r="J387" s="145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8">
        <v>46249</v>
      </c>
      <c r="B388" s="25">
        <f t="shared" si="93"/>
        <v>0.6666666666666663</v>
      </c>
      <c r="C388" s="26"/>
      <c r="D388" s="59"/>
      <c r="E388" s="120"/>
      <c r="F388" s="122" t="str">
        <f>IFERROR(IF($D388="","",VLOOKUP($D388,Cadastro!$C$4:$E$7,3,FALSE)),"")</f>
        <v/>
      </c>
      <c r="G388" s="114"/>
      <c r="H388" s="122" t="str">
        <f>IFERROR(IF($G388="","",$G388*$S$392/$G$392/Cadastro!$E$33),"")</f>
        <v/>
      </c>
      <c r="I388" s="129" t="str">
        <f>IFERROR(IF($D388="","",VLOOKUP($D388,Cadastro!$C$4:$G$7,5,FALSE)),"")</f>
        <v/>
      </c>
      <c r="J388" s="145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9">
        <v>46249</v>
      </c>
      <c r="B389" s="32">
        <f t="shared" si="93"/>
        <v>0.70833333333333293</v>
      </c>
      <c r="C389" s="26"/>
      <c r="D389" s="59"/>
      <c r="E389" s="120"/>
      <c r="F389" s="122" t="str">
        <f>IFERROR(IF($D389="","",VLOOKUP($D389,Cadastro!$C$4:$E$7,3,FALSE)),"")</f>
        <v/>
      </c>
      <c r="G389" s="114"/>
      <c r="H389" s="122" t="str">
        <f>IFERROR(IF($G389="","",$G389*$S$392/$G$392/Cadastro!$E$33),"")</f>
        <v/>
      </c>
      <c r="I389" s="129" t="str">
        <f>IFERROR(IF($D389="","",VLOOKUP($D389,Cadastro!$C$4:$G$7,5,FALSE)),"")</f>
        <v/>
      </c>
      <c r="J389" s="145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8">
        <v>46249</v>
      </c>
      <c r="B390" s="25">
        <f t="shared" si="93"/>
        <v>0.74999999999999956</v>
      </c>
      <c r="C390" s="26"/>
      <c r="D390" s="59"/>
      <c r="E390" s="120"/>
      <c r="F390" s="122" t="str">
        <f>IFERROR(IF($D390="","",VLOOKUP($D390,Cadastro!$C$4:$E$7,3,FALSE)),"")</f>
        <v/>
      </c>
      <c r="G390" s="114"/>
      <c r="H390" s="122" t="str">
        <f>IFERROR(IF($G390="","",$G390*$S$392/$G$392/Cadastro!$E$33),"")</f>
        <v/>
      </c>
      <c r="I390" s="129" t="str">
        <f>IFERROR(IF($D390="","",VLOOKUP($D390,Cadastro!$C$4:$G$7,5,FALSE)),"")</f>
        <v/>
      </c>
      <c r="J390" s="145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9">
        <v>46249</v>
      </c>
      <c r="B391" s="32">
        <f t="shared" si="93"/>
        <v>0.79166666666666619</v>
      </c>
      <c r="C391" s="26"/>
      <c r="D391" s="59"/>
      <c r="E391" s="120"/>
      <c r="F391" s="118" t="str">
        <f>IFERROR(IF($D391="","",VLOOKUP($D391,Cadastro!$C$4:$E$7,3,FALSE)),"")</f>
        <v/>
      </c>
      <c r="G391" s="114"/>
      <c r="H391" s="118" t="str">
        <f>IFERROR(IF($G391="","",$G391*$S$392/$G$392/Cadastro!$E$33),"")</f>
        <v/>
      </c>
      <c r="I391" s="130" t="str">
        <f>IFERROR(IF($D391="","",VLOOKUP($D391,Cadastro!$C$4:$G$7,5,FALSE)),"")</f>
        <v/>
      </c>
      <c r="J391" s="146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68" t="s">
        <v>231</v>
      </c>
      <c r="B392" s="169"/>
      <c r="C392" s="169"/>
      <c r="D392" s="169"/>
      <c r="E392" s="169">
        <f>SUM(E380:E391)</f>
        <v>0</v>
      </c>
      <c r="F392" s="123"/>
      <c r="G392" s="88">
        <f>SUM(G380:G391)</f>
        <v>0</v>
      </c>
      <c r="H392" s="123">
        <f>IFERROR(SUM(H380:H391),"")</f>
        <v>0</v>
      </c>
      <c r="I392" s="131"/>
      <c r="J392" s="147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232</v>
      </c>
      <c r="S392" s="76"/>
      <c r="T392" s="136">
        <f>IFERROR(J392,"")</f>
        <v>0</v>
      </c>
    </row>
    <row r="393" spans="1:20" ht="15" customHeight="1" x14ac:dyDescent="0.3">
      <c r="A393" s="69">
        <v>46249</v>
      </c>
      <c r="B393" s="32">
        <v>0.83333333333333304</v>
      </c>
      <c r="C393" s="33"/>
      <c r="D393" s="62"/>
      <c r="E393" s="121"/>
      <c r="F393" s="119" t="str">
        <f>IFERROR(IF($D393="","",VLOOKUP($D393,Cadastro!$C$4:$E$7,3,FALSE)),"")</f>
        <v/>
      </c>
      <c r="G393" s="114"/>
      <c r="H393" s="119" t="str">
        <f>IFERROR(IF($G393="","",$G393*$S$405/$G$405/Cadastro!$E$33),"")</f>
        <v/>
      </c>
      <c r="I393" s="132" t="str">
        <f>IFERROR(IF($D393="","",VLOOKUP($D393,Cadastro!$C$4:$G$7,5,FALSE)),"")</f>
        <v/>
      </c>
      <c r="J393" s="148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3">
      <c r="A394" s="68">
        <v>46249</v>
      </c>
      <c r="B394" s="25">
        <f t="shared" ref="B394:B404" si="97">B393+TIME(0,60,0)</f>
        <v>0.87499999999999967</v>
      </c>
      <c r="C394" s="33"/>
      <c r="D394" s="62"/>
      <c r="E394" s="121"/>
      <c r="F394" s="122" t="str">
        <f>IFERROR(IF($D394="","",VLOOKUP($D394,Cadastro!$C$4:$E$7,3,FALSE)),"")</f>
        <v/>
      </c>
      <c r="G394" s="114"/>
      <c r="H394" s="122" t="str">
        <f>IFERROR(IF($G394="","",$G394*$S$405/$G$405/Cadastro!$E$33),"")</f>
        <v/>
      </c>
      <c r="I394" s="129" t="str">
        <f>IFERROR(IF($D394="","",VLOOKUP($D394,Cadastro!$C$4:$G$7,5,FALSE)),"")</f>
        <v/>
      </c>
      <c r="J394" s="145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3">
      <c r="A395" s="69">
        <v>46249</v>
      </c>
      <c r="B395" s="32">
        <f t="shared" si="97"/>
        <v>0.9166666666666663</v>
      </c>
      <c r="C395" s="33"/>
      <c r="D395" s="62"/>
      <c r="E395" s="121"/>
      <c r="F395" s="122" t="str">
        <f>IFERROR(IF($D395="","",VLOOKUP($D395,Cadastro!$C$4:$E$7,3,FALSE)),"")</f>
        <v/>
      </c>
      <c r="G395" s="114"/>
      <c r="H395" s="122" t="str">
        <f>IFERROR(IF($G395="","",$G395*$S$405/$G$405/Cadastro!$E$33),"")</f>
        <v/>
      </c>
      <c r="I395" s="129" t="str">
        <f>IFERROR(IF($D395="","",VLOOKUP($D395,Cadastro!$C$4:$G$7,5,FALSE)),"")</f>
        <v/>
      </c>
      <c r="J395" s="145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3">
      <c r="A396" s="68">
        <v>46249</v>
      </c>
      <c r="B396" s="25">
        <f t="shared" si="97"/>
        <v>0.95833333333333293</v>
      </c>
      <c r="C396" s="33"/>
      <c r="D396" s="62"/>
      <c r="E396" s="121"/>
      <c r="F396" s="122" t="str">
        <f>IFERROR(IF($D396="","",VLOOKUP($D396,Cadastro!$C$4:$E$7,3,FALSE)),"")</f>
        <v/>
      </c>
      <c r="G396" s="114"/>
      <c r="H396" s="122" t="str">
        <f>IFERROR(IF($G396="","",$G396*$S$405/$G$405/Cadastro!$E$33),"")</f>
        <v/>
      </c>
      <c r="I396" s="129" t="str">
        <f>IFERROR(IF($D396="","",VLOOKUP($D396,Cadastro!$C$4:$G$7,5,FALSE)),"")</f>
        <v/>
      </c>
      <c r="J396" s="145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3">
      <c r="A397" s="69">
        <v>46249</v>
      </c>
      <c r="B397" s="32">
        <f t="shared" si="97"/>
        <v>0.99999999999999956</v>
      </c>
      <c r="C397" s="33"/>
      <c r="D397" s="62"/>
      <c r="E397" s="121"/>
      <c r="F397" s="122" t="str">
        <f>IFERROR(IF($D397="","",VLOOKUP($D397,Cadastro!$C$4:$E$7,3,FALSE)),"")</f>
        <v/>
      </c>
      <c r="G397" s="114"/>
      <c r="H397" s="122" t="str">
        <f>IFERROR(IF($G397="","",$G397*$S$405/$G$405/Cadastro!$E$33),"")</f>
        <v/>
      </c>
      <c r="I397" s="129" t="str">
        <f>IFERROR(IF($D397="","",VLOOKUP($D397,Cadastro!$C$4:$G$7,5,FALSE)),"")</f>
        <v/>
      </c>
      <c r="J397" s="145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3">
      <c r="A398" s="68">
        <v>46249</v>
      </c>
      <c r="B398" s="25">
        <f t="shared" si="97"/>
        <v>1.0416666666666663</v>
      </c>
      <c r="C398" s="33"/>
      <c r="D398" s="62"/>
      <c r="E398" s="121"/>
      <c r="F398" s="122" t="str">
        <f>IFERROR(IF($D398="","",VLOOKUP($D398,Cadastro!$C$4:$E$7,3,FALSE)),"")</f>
        <v/>
      </c>
      <c r="G398" s="114"/>
      <c r="H398" s="122" t="str">
        <f>IFERROR(IF($G398="","",$G398*$S$405/$G$405/Cadastro!$E$33),"")</f>
        <v/>
      </c>
      <c r="I398" s="129" t="str">
        <f>IFERROR(IF($D398="","",VLOOKUP($D398,Cadastro!$C$4:$G$7,5,FALSE)),"")</f>
        <v/>
      </c>
      <c r="J398" s="145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3">
      <c r="A399" s="69">
        <v>46249</v>
      </c>
      <c r="B399" s="32">
        <f t="shared" si="97"/>
        <v>1.083333333333333</v>
      </c>
      <c r="C399" s="33"/>
      <c r="D399" s="62"/>
      <c r="E399" s="121"/>
      <c r="F399" s="122" t="str">
        <f>IFERROR(IF($D399="","",VLOOKUP($D399,Cadastro!$C$4:$E$7,3,FALSE)),"")</f>
        <v/>
      </c>
      <c r="G399" s="114"/>
      <c r="H399" s="122" t="str">
        <f>IFERROR(IF($G399="","",$G399*$S$405/$G$405/Cadastro!$E$33),"")</f>
        <v/>
      </c>
      <c r="I399" s="129" t="str">
        <f>IFERROR(IF($D399="","",VLOOKUP($D399,Cadastro!$C$4:$G$7,5,FALSE)),"")</f>
        <v/>
      </c>
      <c r="J399" s="145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3">
      <c r="A400" s="68">
        <v>46249</v>
      </c>
      <c r="B400" s="25">
        <f t="shared" si="97"/>
        <v>1.1249999999999998</v>
      </c>
      <c r="C400" s="33"/>
      <c r="D400" s="62"/>
      <c r="E400" s="121"/>
      <c r="F400" s="122" t="str">
        <f>IFERROR(IF($D400="","",VLOOKUP($D400,Cadastro!$C$4:$E$7,3,FALSE)),"")</f>
        <v/>
      </c>
      <c r="G400" s="114"/>
      <c r="H400" s="122" t="str">
        <f>IFERROR(IF($G400="","",$G400*$S$405/$G$405/Cadastro!$E$33),"")</f>
        <v/>
      </c>
      <c r="I400" s="129" t="str">
        <f>IFERROR(IF($D400="","",VLOOKUP($D400,Cadastro!$C$4:$G$7,5,FALSE)),"")</f>
        <v/>
      </c>
      <c r="J400" s="145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3">
      <c r="A401" s="69">
        <v>46249</v>
      </c>
      <c r="B401" s="32">
        <f t="shared" si="97"/>
        <v>1.1666666666666665</v>
      </c>
      <c r="C401" s="33"/>
      <c r="D401" s="62"/>
      <c r="E401" s="121"/>
      <c r="F401" s="122" t="str">
        <f>IFERROR(IF($D401="","",VLOOKUP($D401,Cadastro!$C$4:$E$7,3,FALSE)),"")</f>
        <v/>
      </c>
      <c r="G401" s="114"/>
      <c r="H401" s="122" t="str">
        <f>IFERROR(IF($G401="","",$G401*$S$405/$G$405/Cadastro!$E$33),"")</f>
        <v/>
      </c>
      <c r="I401" s="129" t="str">
        <f>IFERROR(IF($D401="","",VLOOKUP($D401,Cadastro!$C$4:$G$7,5,FALSE)),"")</f>
        <v/>
      </c>
      <c r="J401" s="145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8">
        <v>46249</v>
      </c>
      <c r="B402" s="25">
        <f t="shared" si="97"/>
        <v>1.2083333333333333</v>
      </c>
      <c r="C402" s="33"/>
      <c r="D402" s="62"/>
      <c r="E402" s="121"/>
      <c r="F402" s="122" t="str">
        <f>IFERROR(IF($D402="","",VLOOKUP($D402,Cadastro!$C$4:$E$7,3,FALSE)),"")</f>
        <v/>
      </c>
      <c r="G402" s="114"/>
      <c r="H402" s="122" t="str">
        <f>IFERROR(IF($G402="","",$G402*$S$405/$G$405/Cadastro!$E$33),"")</f>
        <v/>
      </c>
      <c r="I402" s="129" t="str">
        <f>IFERROR(IF($D402="","",VLOOKUP($D402,Cadastro!$C$4:$G$7,5,FALSE)),"")</f>
        <v/>
      </c>
      <c r="J402" s="145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9">
        <v>46249</v>
      </c>
      <c r="B403" s="32">
        <f t="shared" si="97"/>
        <v>1.25</v>
      </c>
      <c r="C403" s="33"/>
      <c r="D403" s="62"/>
      <c r="E403" s="121"/>
      <c r="F403" s="122" t="str">
        <f>IFERROR(IF($D403="","",VLOOKUP($D403,Cadastro!$C$4:$E$7,3,FALSE)),"")</f>
        <v/>
      </c>
      <c r="G403" s="114"/>
      <c r="H403" s="122" t="str">
        <f>IFERROR(IF($G403="","",$G403*$S$405/$G$405/Cadastro!$E$33),"")</f>
        <v/>
      </c>
      <c r="I403" s="129" t="str">
        <f>IFERROR(IF($D403="","",VLOOKUP($D403,Cadastro!$C$4:$G$7,5,FALSE)),"")</f>
        <v/>
      </c>
      <c r="J403" s="145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8">
        <v>46249</v>
      </c>
      <c r="B404" s="25">
        <f t="shared" si="97"/>
        <v>1.2916666666666667</v>
      </c>
      <c r="C404" s="33"/>
      <c r="D404" s="62"/>
      <c r="E404" s="121"/>
      <c r="F404" s="118" t="str">
        <f>IFERROR(IF($D404="","",VLOOKUP($D404,Cadastro!$C$4:$E$7,3,FALSE)),"")</f>
        <v/>
      </c>
      <c r="G404" s="114"/>
      <c r="H404" s="118" t="str">
        <f>IFERROR(IF($G404="","",$G404*$S$405/$G$405/Cadastro!$E$33),"")</f>
        <v/>
      </c>
      <c r="I404" s="130" t="str">
        <f>IFERROR(IF($D404="","",VLOOKUP($D404,Cadastro!$C$4:$G$7,5,FALSE)),"")</f>
        <v/>
      </c>
      <c r="J404" s="146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68" t="s">
        <v>234</v>
      </c>
      <c r="B405" s="169"/>
      <c r="C405" s="169"/>
      <c r="D405" s="169"/>
      <c r="E405" s="169">
        <f>SUM(E393:E404)</f>
        <v>0</v>
      </c>
      <c r="F405" s="124"/>
      <c r="G405" s="88">
        <f>SUM(G393:G404)</f>
        <v>0</v>
      </c>
      <c r="H405" s="124">
        <f>IFERROR(SUM(H393:H404),"")</f>
        <v>0</v>
      </c>
      <c r="I405" s="133"/>
      <c r="J405" s="149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232</v>
      </c>
      <c r="S405" s="76"/>
      <c r="T405" s="136">
        <f>IFERROR(J405,"")</f>
        <v>0</v>
      </c>
    </row>
    <row r="406" spans="1:20" ht="18" customHeight="1" x14ac:dyDescent="0.3">
      <c r="A406" s="165" t="s">
        <v>235</v>
      </c>
      <c r="B406" s="166"/>
      <c r="C406" s="166"/>
      <c r="D406" s="166"/>
      <c r="E406" s="166">
        <f>E392+E405</f>
        <v>0</v>
      </c>
      <c r="F406" s="125"/>
      <c r="G406" s="100">
        <f>G392+G405</f>
        <v>0</v>
      </c>
      <c r="H406" s="125">
        <f>IFERROR(H392+H405,"")</f>
        <v>0</v>
      </c>
      <c r="I406" s="134"/>
      <c r="J406" s="150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236</v>
      </c>
      <c r="S406" s="82">
        <f>IFERROR(S392+S405,"")</f>
        <v>0</v>
      </c>
      <c r="T406" s="140">
        <f>IFERROR(J406,"")</f>
        <v>0</v>
      </c>
    </row>
    <row r="407" spans="1:20" ht="15" customHeight="1" x14ac:dyDescent="0.3">
      <c r="A407" s="69">
        <v>46250</v>
      </c>
      <c r="B407" s="32">
        <v>0.33333333333333298</v>
      </c>
      <c r="C407" s="33"/>
      <c r="D407" s="62"/>
      <c r="E407" s="121"/>
      <c r="F407" s="119" t="str">
        <f>IFERROR(IF($D407="","",VLOOKUP($D407,Cadastro!$C$4:$E$7,3,FALSE)),"")</f>
        <v/>
      </c>
      <c r="G407" s="114"/>
      <c r="H407" s="119" t="str">
        <f>IFERROR(IF($G407="","",$G407*$S$419/$G$419/Cadastro!$E$33),"")</f>
        <v/>
      </c>
      <c r="I407" s="132" t="str">
        <f>IFERROR(IF($D407="","",VLOOKUP($D407,Cadastro!$C$4:$G$7,5,FALSE)),"")</f>
        <v/>
      </c>
      <c r="J407" s="148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3">
      <c r="A408" s="68">
        <v>46250</v>
      </c>
      <c r="B408" s="25">
        <f t="shared" ref="B408:B418" si="101">B407+TIME(0,60,0)</f>
        <v>0.37499999999999967</v>
      </c>
      <c r="C408" s="33"/>
      <c r="D408" s="62"/>
      <c r="E408" s="121"/>
      <c r="F408" s="122" t="str">
        <f>IFERROR(IF($D408="","",VLOOKUP($D408,Cadastro!$C$4:$E$7,3,FALSE)),"")</f>
        <v/>
      </c>
      <c r="G408" s="114"/>
      <c r="H408" s="122" t="str">
        <f>IFERROR(IF($G408="","",$G408*$S$419/$G$419/Cadastro!$E$33),"")</f>
        <v/>
      </c>
      <c r="I408" s="129" t="str">
        <f>IFERROR(IF($D408="","",VLOOKUP($D408,Cadastro!$C$4:$G$7,5,FALSE)),"")</f>
        <v/>
      </c>
      <c r="J408" s="145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">
      <c r="A409" s="69">
        <v>46250</v>
      </c>
      <c r="B409" s="32">
        <f t="shared" si="101"/>
        <v>0.41666666666666635</v>
      </c>
      <c r="C409" s="33"/>
      <c r="D409" s="62"/>
      <c r="E409" s="121"/>
      <c r="F409" s="122" t="str">
        <f>IFERROR(IF($D409="","",VLOOKUP($D409,Cadastro!$C$4:$E$7,3,FALSE)),"")</f>
        <v/>
      </c>
      <c r="G409" s="114"/>
      <c r="H409" s="122" t="str">
        <f>IFERROR(IF($G409="","",$G409*$S$419/$G$419/Cadastro!$E$33),"")</f>
        <v/>
      </c>
      <c r="I409" s="129" t="str">
        <f>IFERROR(IF($D409="","",VLOOKUP($D409,Cadastro!$C$4:$G$7,5,FALSE)),"")</f>
        <v/>
      </c>
      <c r="J409" s="145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">
      <c r="A410" s="68">
        <v>46250</v>
      </c>
      <c r="B410" s="25">
        <f t="shared" si="101"/>
        <v>0.45833333333333304</v>
      </c>
      <c r="C410" s="33"/>
      <c r="D410" s="62"/>
      <c r="E410" s="121"/>
      <c r="F410" s="122" t="str">
        <f>IFERROR(IF($D410="","",VLOOKUP($D410,Cadastro!$C$4:$E$7,3,FALSE)),"")</f>
        <v/>
      </c>
      <c r="G410" s="114"/>
      <c r="H410" s="122" t="str">
        <f>IFERROR(IF($G410="","",$G410*$S$419/$G$419/Cadastro!$E$33),"")</f>
        <v/>
      </c>
      <c r="I410" s="129" t="str">
        <f>IFERROR(IF($D410="","",VLOOKUP($D410,Cadastro!$C$4:$G$7,5,FALSE)),"")</f>
        <v/>
      </c>
      <c r="J410" s="145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">
      <c r="A411" s="69">
        <v>46250</v>
      </c>
      <c r="B411" s="32">
        <f t="shared" si="101"/>
        <v>0.49999999999999972</v>
      </c>
      <c r="C411" s="33"/>
      <c r="D411" s="62"/>
      <c r="E411" s="121"/>
      <c r="F411" s="122" t="str">
        <f>IFERROR(IF($D411="","",VLOOKUP($D411,Cadastro!$C$4:$E$7,3,FALSE)),"")</f>
        <v/>
      </c>
      <c r="G411" s="114"/>
      <c r="H411" s="122" t="str">
        <f>IFERROR(IF($G411="","",$G411*$S$419/$G$419/Cadastro!$E$33),"")</f>
        <v/>
      </c>
      <c r="I411" s="129" t="str">
        <f>IFERROR(IF($D411="","",VLOOKUP($D411,Cadastro!$C$4:$G$7,5,FALSE)),"")</f>
        <v/>
      </c>
      <c r="J411" s="145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">
      <c r="A412" s="68">
        <v>46250</v>
      </c>
      <c r="B412" s="25">
        <f t="shared" si="101"/>
        <v>0.54166666666666641</v>
      </c>
      <c r="C412" s="33"/>
      <c r="D412" s="62"/>
      <c r="E412" s="121"/>
      <c r="F412" s="122" t="str">
        <f>IFERROR(IF($D412="","",VLOOKUP($D412,Cadastro!$C$4:$E$7,3,FALSE)),"")</f>
        <v/>
      </c>
      <c r="G412" s="114"/>
      <c r="H412" s="122" t="str">
        <f>IFERROR(IF($G412="","",$G412*$S$419/$G$419/Cadastro!$E$33),"")</f>
        <v/>
      </c>
      <c r="I412" s="129" t="str">
        <f>IFERROR(IF($D412="","",VLOOKUP($D412,Cadastro!$C$4:$G$7,5,FALSE)),"")</f>
        <v/>
      </c>
      <c r="J412" s="145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">
      <c r="A413" s="69">
        <v>46250</v>
      </c>
      <c r="B413" s="32">
        <f t="shared" si="101"/>
        <v>0.58333333333333304</v>
      </c>
      <c r="C413" s="33"/>
      <c r="D413" s="62"/>
      <c r="E413" s="121"/>
      <c r="F413" s="122" t="str">
        <f>IFERROR(IF($D413="","",VLOOKUP($D413,Cadastro!$C$4:$E$7,3,FALSE)),"")</f>
        <v/>
      </c>
      <c r="G413" s="114"/>
      <c r="H413" s="122" t="str">
        <f>IFERROR(IF($G413="","",$G413*$S$419/$G$419/Cadastro!$E$33),"")</f>
        <v/>
      </c>
      <c r="I413" s="129" t="str">
        <f>IFERROR(IF($D413="","",VLOOKUP($D413,Cadastro!$C$4:$G$7,5,FALSE)),"")</f>
        <v/>
      </c>
      <c r="J413" s="145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8">
        <v>46250</v>
      </c>
      <c r="B414" s="25">
        <f t="shared" si="101"/>
        <v>0.62499999999999967</v>
      </c>
      <c r="C414" s="33"/>
      <c r="D414" s="62"/>
      <c r="E414" s="121"/>
      <c r="F414" s="122" t="str">
        <f>IFERROR(IF($D414="","",VLOOKUP($D414,Cadastro!$C$4:$E$7,3,FALSE)),"")</f>
        <v/>
      </c>
      <c r="G414" s="114"/>
      <c r="H414" s="122" t="str">
        <f>IFERROR(IF($G414="","",$G414*$S$419/$G$419/Cadastro!$E$33),"")</f>
        <v/>
      </c>
      <c r="I414" s="129" t="str">
        <f>IFERROR(IF($D414="","",VLOOKUP($D414,Cadastro!$C$4:$G$7,5,FALSE)),"")</f>
        <v/>
      </c>
      <c r="J414" s="145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9">
        <v>46250</v>
      </c>
      <c r="B415" s="32">
        <f t="shared" si="101"/>
        <v>0.6666666666666663</v>
      </c>
      <c r="C415" s="33"/>
      <c r="D415" s="62"/>
      <c r="E415" s="121"/>
      <c r="F415" s="122" t="str">
        <f>IFERROR(IF($D415="","",VLOOKUP($D415,Cadastro!$C$4:$E$7,3,FALSE)),"")</f>
        <v/>
      </c>
      <c r="G415" s="114"/>
      <c r="H415" s="122" t="str">
        <f>IFERROR(IF($G415="","",$G415*$S$419/$G$419/Cadastro!$E$33),"")</f>
        <v/>
      </c>
      <c r="I415" s="129" t="str">
        <f>IFERROR(IF($D415="","",VLOOKUP($D415,Cadastro!$C$4:$G$7,5,FALSE)),"")</f>
        <v/>
      </c>
      <c r="J415" s="145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8">
        <v>46250</v>
      </c>
      <c r="B416" s="25">
        <f t="shared" si="101"/>
        <v>0.70833333333333293</v>
      </c>
      <c r="C416" s="33"/>
      <c r="D416" s="62"/>
      <c r="E416" s="121"/>
      <c r="F416" s="122" t="str">
        <f>IFERROR(IF($D416="","",VLOOKUP($D416,Cadastro!$C$4:$E$7,3,FALSE)),"")</f>
        <v/>
      </c>
      <c r="G416" s="114"/>
      <c r="H416" s="122" t="str">
        <f>IFERROR(IF($G416="","",$G416*$S$419/$G$419/Cadastro!$E$33),"")</f>
        <v/>
      </c>
      <c r="I416" s="129" t="str">
        <f>IFERROR(IF($D416="","",VLOOKUP($D416,Cadastro!$C$4:$G$7,5,FALSE)),"")</f>
        <v/>
      </c>
      <c r="J416" s="145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9">
        <v>46250</v>
      </c>
      <c r="B417" s="32">
        <f t="shared" si="101"/>
        <v>0.74999999999999956</v>
      </c>
      <c r="C417" s="33"/>
      <c r="D417" s="62"/>
      <c r="E417" s="121"/>
      <c r="F417" s="122" t="str">
        <f>IFERROR(IF($D417="","",VLOOKUP($D417,Cadastro!$C$4:$E$7,3,FALSE)),"")</f>
        <v/>
      </c>
      <c r="G417" s="114"/>
      <c r="H417" s="122" t="str">
        <f>IFERROR(IF($G417="","",$G417*$S$419/$G$419/Cadastro!$E$33),"")</f>
        <v/>
      </c>
      <c r="I417" s="129" t="str">
        <f>IFERROR(IF($D417="","",VLOOKUP($D417,Cadastro!$C$4:$G$7,5,FALSE)),"")</f>
        <v/>
      </c>
      <c r="J417" s="145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8">
        <v>46250</v>
      </c>
      <c r="B418" s="25">
        <f t="shared" si="101"/>
        <v>0.79166666666666619</v>
      </c>
      <c r="C418" s="33"/>
      <c r="D418" s="62"/>
      <c r="E418" s="121"/>
      <c r="F418" s="118" t="str">
        <f>IFERROR(IF($D418="","",VLOOKUP($D418,Cadastro!$C$4:$E$7,3,FALSE)),"")</f>
        <v/>
      </c>
      <c r="G418" s="114"/>
      <c r="H418" s="118" t="str">
        <f>IFERROR(IF($G418="","",$G418*$S$419/$G$419/Cadastro!$E$33),"")</f>
        <v/>
      </c>
      <c r="I418" s="130" t="str">
        <f>IFERROR(IF($D418="","",VLOOKUP($D418,Cadastro!$C$4:$G$7,5,FALSE)),"")</f>
        <v/>
      </c>
      <c r="J418" s="146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68" t="s">
        <v>231</v>
      </c>
      <c r="B419" s="169"/>
      <c r="C419" s="169"/>
      <c r="D419" s="169"/>
      <c r="E419" s="169">
        <f>SUM(E407:E418)</f>
        <v>0</v>
      </c>
      <c r="F419" s="123"/>
      <c r="G419" s="88">
        <f>SUM(G407:G418)</f>
        <v>0</v>
      </c>
      <c r="H419" s="123">
        <f>IFERROR(SUM(H407:H418),"")</f>
        <v>0</v>
      </c>
      <c r="I419" s="131"/>
      <c r="J419" s="147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232</v>
      </c>
      <c r="S419" s="76"/>
      <c r="T419" s="136">
        <f>IFERROR(J419,"")</f>
        <v>0</v>
      </c>
    </row>
    <row r="420" spans="1:20" ht="15" customHeight="1" x14ac:dyDescent="0.3">
      <c r="A420" s="68">
        <v>46250</v>
      </c>
      <c r="B420" s="25">
        <v>0.83333333333333304</v>
      </c>
      <c r="C420" s="26"/>
      <c r="D420" s="59"/>
      <c r="E420" s="120"/>
      <c r="F420" s="119" t="str">
        <f>IFERROR(IF($D420="","",VLOOKUP($D420,Cadastro!$C$4:$E$7,3,FALSE)),"")</f>
        <v/>
      </c>
      <c r="G420" s="114"/>
      <c r="H420" s="119" t="str">
        <f>IFERROR(IF($G420="","",$G420*$S$432/$G$432/Cadastro!$E$33),"")</f>
        <v/>
      </c>
      <c r="I420" s="132" t="str">
        <f>IFERROR(IF($D420="","",VLOOKUP($D420,Cadastro!$C$4:$G$7,5,FALSE)),"")</f>
        <v/>
      </c>
      <c r="J420" s="148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">
      <c r="A421" s="69">
        <v>46250</v>
      </c>
      <c r="B421" s="32">
        <f t="shared" ref="B421:B431" si="105">B420+TIME(0,60,0)</f>
        <v>0.87499999999999967</v>
      </c>
      <c r="C421" s="26"/>
      <c r="D421" s="59"/>
      <c r="E421" s="120"/>
      <c r="F421" s="122" t="str">
        <f>IFERROR(IF($D421="","",VLOOKUP($D421,Cadastro!$C$4:$E$7,3,FALSE)),"")</f>
        <v/>
      </c>
      <c r="G421" s="114"/>
      <c r="H421" s="122" t="str">
        <f>IFERROR(IF($G421="","",$G421*$S$432/$G$432/Cadastro!$E$33),"")</f>
        <v/>
      </c>
      <c r="I421" s="129" t="str">
        <f>IFERROR(IF($D421="","",VLOOKUP($D421,Cadastro!$C$4:$G$7,5,FALSE)),"")</f>
        <v/>
      </c>
      <c r="J421" s="145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">
      <c r="A422" s="68">
        <v>46250</v>
      </c>
      <c r="B422" s="25">
        <f t="shared" si="105"/>
        <v>0.9166666666666663</v>
      </c>
      <c r="C422" s="26"/>
      <c r="D422" s="59"/>
      <c r="E422" s="120"/>
      <c r="F422" s="122" t="str">
        <f>IFERROR(IF($D422="","",VLOOKUP($D422,Cadastro!$C$4:$E$7,3,FALSE)),"")</f>
        <v/>
      </c>
      <c r="G422" s="114"/>
      <c r="H422" s="122" t="str">
        <f>IFERROR(IF($G422="","",$G422*$S$432/$G$432/Cadastro!$E$33),"")</f>
        <v/>
      </c>
      <c r="I422" s="129" t="str">
        <f>IFERROR(IF($D422="","",VLOOKUP($D422,Cadastro!$C$4:$G$7,5,FALSE)),"")</f>
        <v/>
      </c>
      <c r="J422" s="145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">
      <c r="A423" s="69">
        <v>46250</v>
      </c>
      <c r="B423" s="32">
        <f t="shared" si="105"/>
        <v>0.95833333333333293</v>
      </c>
      <c r="C423" s="26"/>
      <c r="D423" s="59"/>
      <c r="E423" s="120"/>
      <c r="F423" s="122" t="str">
        <f>IFERROR(IF($D423="","",VLOOKUP($D423,Cadastro!$C$4:$E$7,3,FALSE)),"")</f>
        <v/>
      </c>
      <c r="G423" s="114"/>
      <c r="H423" s="122" t="str">
        <f>IFERROR(IF($G423="","",$G423*$S$432/$G$432/Cadastro!$E$33),"")</f>
        <v/>
      </c>
      <c r="I423" s="129" t="str">
        <f>IFERROR(IF($D423="","",VLOOKUP($D423,Cadastro!$C$4:$G$7,5,FALSE)),"")</f>
        <v/>
      </c>
      <c r="J423" s="145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">
      <c r="A424" s="68">
        <v>46250</v>
      </c>
      <c r="B424" s="25">
        <f t="shared" si="105"/>
        <v>0.99999999999999956</v>
      </c>
      <c r="C424" s="26"/>
      <c r="D424" s="59"/>
      <c r="E424" s="120"/>
      <c r="F424" s="122" t="str">
        <f>IFERROR(IF($D424="","",VLOOKUP($D424,Cadastro!$C$4:$E$7,3,FALSE)),"")</f>
        <v/>
      </c>
      <c r="G424" s="114"/>
      <c r="H424" s="122" t="str">
        <f>IFERROR(IF($G424="","",$G424*$S$432/$G$432/Cadastro!$E$33),"")</f>
        <v/>
      </c>
      <c r="I424" s="129" t="str">
        <f>IFERROR(IF($D424="","",VLOOKUP($D424,Cadastro!$C$4:$G$7,5,FALSE)),"")</f>
        <v/>
      </c>
      <c r="J424" s="145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">
      <c r="A425" s="69">
        <v>46250</v>
      </c>
      <c r="B425" s="32">
        <f t="shared" si="105"/>
        <v>1.0416666666666663</v>
      </c>
      <c r="C425" s="26"/>
      <c r="D425" s="59"/>
      <c r="E425" s="120"/>
      <c r="F425" s="122" t="str">
        <f>IFERROR(IF($D425="","",VLOOKUP($D425,Cadastro!$C$4:$E$7,3,FALSE)),"")</f>
        <v/>
      </c>
      <c r="G425" s="114"/>
      <c r="H425" s="122" t="str">
        <f>IFERROR(IF($G425="","",$G425*$S$432/$G$432/Cadastro!$E$33),"")</f>
        <v/>
      </c>
      <c r="I425" s="129" t="str">
        <f>IFERROR(IF($D425="","",VLOOKUP($D425,Cadastro!$C$4:$G$7,5,FALSE)),"")</f>
        <v/>
      </c>
      <c r="J425" s="145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">
      <c r="A426" s="68">
        <v>46250</v>
      </c>
      <c r="B426" s="25">
        <f t="shared" si="105"/>
        <v>1.083333333333333</v>
      </c>
      <c r="C426" s="26"/>
      <c r="D426" s="59"/>
      <c r="E426" s="120"/>
      <c r="F426" s="122" t="str">
        <f>IFERROR(IF($D426="","",VLOOKUP($D426,Cadastro!$C$4:$E$7,3,FALSE)),"")</f>
        <v/>
      </c>
      <c r="G426" s="114"/>
      <c r="H426" s="122" t="str">
        <f>IFERROR(IF($G426="","",$G426*$S$432/$G$432/Cadastro!$E$33),"")</f>
        <v/>
      </c>
      <c r="I426" s="129" t="str">
        <f>IFERROR(IF($D426="","",VLOOKUP($D426,Cadastro!$C$4:$G$7,5,FALSE)),"")</f>
        <v/>
      </c>
      <c r="J426" s="145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">
      <c r="A427" s="69">
        <v>46250</v>
      </c>
      <c r="B427" s="32">
        <f t="shared" si="105"/>
        <v>1.1249999999999998</v>
      </c>
      <c r="C427" s="26"/>
      <c r="D427" s="59"/>
      <c r="E427" s="120"/>
      <c r="F427" s="122" t="str">
        <f>IFERROR(IF($D427="","",VLOOKUP($D427,Cadastro!$C$4:$E$7,3,FALSE)),"")</f>
        <v/>
      </c>
      <c r="G427" s="114"/>
      <c r="H427" s="122" t="str">
        <f>IFERROR(IF($G427="","",$G427*$S$432/$G$432/Cadastro!$E$33),"")</f>
        <v/>
      </c>
      <c r="I427" s="129" t="str">
        <f>IFERROR(IF($D427="","",VLOOKUP($D427,Cadastro!$C$4:$G$7,5,FALSE)),"")</f>
        <v/>
      </c>
      <c r="J427" s="145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8">
        <v>46250</v>
      </c>
      <c r="B428" s="25">
        <f t="shared" si="105"/>
        <v>1.1666666666666665</v>
      </c>
      <c r="C428" s="26"/>
      <c r="D428" s="59"/>
      <c r="E428" s="120"/>
      <c r="F428" s="122" t="str">
        <f>IFERROR(IF($D428="","",VLOOKUP($D428,Cadastro!$C$4:$E$7,3,FALSE)),"")</f>
        <v/>
      </c>
      <c r="G428" s="114"/>
      <c r="H428" s="122" t="str">
        <f>IFERROR(IF($G428="","",$G428*$S$432/$G$432/Cadastro!$E$33),"")</f>
        <v/>
      </c>
      <c r="I428" s="129" t="str">
        <f>IFERROR(IF($D428="","",VLOOKUP($D428,Cadastro!$C$4:$G$7,5,FALSE)),"")</f>
        <v/>
      </c>
      <c r="J428" s="145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9">
        <v>46250</v>
      </c>
      <c r="B429" s="32">
        <f t="shared" si="105"/>
        <v>1.2083333333333333</v>
      </c>
      <c r="C429" s="26"/>
      <c r="D429" s="59"/>
      <c r="E429" s="120"/>
      <c r="F429" s="122" t="str">
        <f>IFERROR(IF($D429="","",VLOOKUP($D429,Cadastro!$C$4:$E$7,3,FALSE)),"")</f>
        <v/>
      </c>
      <c r="G429" s="114"/>
      <c r="H429" s="122" t="str">
        <f>IFERROR(IF($G429="","",$G429*$S$432/$G$432/Cadastro!$E$33),"")</f>
        <v/>
      </c>
      <c r="I429" s="129" t="str">
        <f>IFERROR(IF($D429="","",VLOOKUP($D429,Cadastro!$C$4:$G$7,5,FALSE)),"")</f>
        <v/>
      </c>
      <c r="J429" s="145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8">
        <v>46250</v>
      </c>
      <c r="B430" s="25">
        <f t="shared" si="105"/>
        <v>1.25</v>
      </c>
      <c r="C430" s="26"/>
      <c r="D430" s="59"/>
      <c r="E430" s="120"/>
      <c r="F430" s="122" t="str">
        <f>IFERROR(IF($D430="","",VLOOKUP($D430,Cadastro!$C$4:$E$7,3,FALSE)),"")</f>
        <v/>
      </c>
      <c r="G430" s="114"/>
      <c r="H430" s="122" t="str">
        <f>IFERROR(IF($G430="","",$G430*$S$432/$G$432/Cadastro!$E$33),"")</f>
        <v/>
      </c>
      <c r="I430" s="129" t="str">
        <f>IFERROR(IF($D430="","",VLOOKUP($D430,Cadastro!$C$4:$G$7,5,FALSE)),"")</f>
        <v/>
      </c>
      <c r="J430" s="145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9">
        <v>46250</v>
      </c>
      <c r="B431" s="32">
        <f t="shared" si="105"/>
        <v>1.2916666666666667</v>
      </c>
      <c r="C431" s="26"/>
      <c r="D431" s="59"/>
      <c r="E431" s="120"/>
      <c r="F431" s="118" t="str">
        <f>IFERROR(IF($D431="","",VLOOKUP($D431,Cadastro!$C$4:$E$7,3,FALSE)),"")</f>
        <v/>
      </c>
      <c r="G431" s="114"/>
      <c r="H431" s="118" t="str">
        <f>IFERROR(IF($G431="","",$G431*$S$432/$G$432/Cadastro!$E$33),"")</f>
        <v/>
      </c>
      <c r="I431" s="130" t="str">
        <f>IFERROR(IF($D431="","",VLOOKUP($D431,Cadastro!$C$4:$G$7,5,FALSE)),"")</f>
        <v/>
      </c>
      <c r="J431" s="146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86" t="s">
        <v>234</v>
      </c>
      <c r="B432" s="87"/>
      <c r="C432" s="87"/>
      <c r="D432" s="87"/>
      <c r="E432" s="87"/>
      <c r="F432" s="124"/>
      <c r="G432" s="88">
        <f>SUM(G420:G431)</f>
        <v>0</v>
      </c>
      <c r="H432" s="124">
        <f>IFERROR(SUM(H420:H431),"")</f>
        <v>0</v>
      </c>
      <c r="I432" s="133"/>
      <c r="J432" s="149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232</v>
      </c>
      <c r="S432" s="76"/>
      <c r="T432" s="136">
        <f>IFERROR(J432,"")</f>
        <v>0</v>
      </c>
    </row>
    <row r="433" spans="1:20" ht="18" customHeight="1" x14ac:dyDescent="0.3">
      <c r="A433" s="91" t="s">
        <v>235</v>
      </c>
      <c r="B433" s="90"/>
      <c r="C433" s="90"/>
      <c r="D433" s="90"/>
      <c r="E433" s="90"/>
      <c r="F433" s="125"/>
      <c r="G433" s="100">
        <f>G419+G432</f>
        <v>0</v>
      </c>
      <c r="H433" s="125">
        <f>IFERROR(H419+H432,"")</f>
        <v>0</v>
      </c>
      <c r="I433" s="134"/>
      <c r="J433" s="150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236</v>
      </c>
      <c r="S433" s="82">
        <f>IFERROR(S419+S432,"")</f>
        <v>0</v>
      </c>
      <c r="T433" s="140">
        <f>IFERROR(J433,"")</f>
        <v>0</v>
      </c>
    </row>
    <row r="434" spans="1:20" ht="15" customHeight="1" x14ac:dyDescent="0.3">
      <c r="A434" s="68">
        <v>46251</v>
      </c>
      <c r="B434" s="25">
        <v>0.33333333333333298</v>
      </c>
      <c r="C434" s="26"/>
      <c r="D434" s="59"/>
      <c r="E434" s="120"/>
      <c r="F434" s="119" t="str">
        <f>IFERROR(IF($D434="","",VLOOKUP($D434,Cadastro!$C$4:$E$7,3,FALSE)),"")</f>
        <v/>
      </c>
      <c r="G434" s="114"/>
      <c r="H434" s="119" t="str">
        <f>IFERROR(IF($G434="","",$G434*$S$446/$G$446/Cadastro!$E$33),"")</f>
        <v/>
      </c>
      <c r="I434" s="132" t="str">
        <f>IFERROR(IF($D434="","",VLOOKUP($D434,Cadastro!$C$4:$G$7,5,FALSE)),"")</f>
        <v/>
      </c>
      <c r="J434" s="148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">
      <c r="A435" s="69">
        <v>46251</v>
      </c>
      <c r="B435" s="32">
        <f t="shared" ref="B435:B445" si="109">B434+TIME(0,60,0)</f>
        <v>0.37499999999999967</v>
      </c>
      <c r="C435" s="26"/>
      <c r="D435" s="59"/>
      <c r="E435" s="120"/>
      <c r="F435" s="122" t="str">
        <f>IFERROR(IF($D435="","",VLOOKUP($D435,Cadastro!$C$4:$E$7,3,FALSE)),"")</f>
        <v/>
      </c>
      <c r="G435" s="114"/>
      <c r="H435" s="122" t="str">
        <f>IFERROR(IF($G435="","",$G435*$S$446/$G$446/Cadastro!$E$33),"")</f>
        <v/>
      </c>
      <c r="I435" s="129" t="str">
        <f>IFERROR(IF($D435="","",VLOOKUP($D435,Cadastro!$C$4:$G$7,5,FALSE)),"")</f>
        <v/>
      </c>
      <c r="J435" s="145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">
      <c r="A436" s="68">
        <v>46251</v>
      </c>
      <c r="B436" s="25">
        <f t="shared" si="109"/>
        <v>0.41666666666666635</v>
      </c>
      <c r="C436" s="26"/>
      <c r="D436" s="59"/>
      <c r="E436" s="120"/>
      <c r="F436" s="122" t="str">
        <f>IFERROR(IF($D436="","",VLOOKUP($D436,Cadastro!$C$4:$E$7,3,FALSE)),"")</f>
        <v/>
      </c>
      <c r="G436" s="114"/>
      <c r="H436" s="122" t="str">
        <f>IFERROR(IF($G436="","",$G436*$S$446/$G$446/Cadastro!$E$33),"")</f>
        <v/>
      </c>
      <c r="I436" s="129" t="str">
        <f>IFERROR(IF($D436="","",VLOOKUP($D436,Cadastro!$C$4:$G$7,5,FALSE)),"")</f>
        <v/>
      </c>
      <c r="J436" s="145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">
      <c r="A437" s="69">
        <v>46251</v>
      </c>
      <c r="B437" s="32">
        <f t="shared" si="109"/>
        <v>0.45833333333333304</v>
      </c>
      <c r="C437" s="26"/>
      <c r="D437" s="59"/>
      <c r="E437" s="120"/>
      <c r="F437" s="122" t="str">
        <f>IFERROR(IF($D437="","",VLOOKUP($D437,Cadastro!$C$4:$E$7,3,FALSE)),"")</f>
        <v/>
      </c>
      <c r="G437" s="114"/>
      <c r="H437" s="122" t="str">
        <f>IFERROR(IF($G437="","",$G437*$S$446/$G$446/Cadastro!$E$33),"")</f>
        <v/>
      </c>
      <c r="I437" s="129" t="str">
        <f>IFERROR(IF($D437="","",VLOOKUP($D437,Cadastro!$C$4:$G$7,5,FALSE)),"")</f>
        <v/>
      </c>
      <c r="J437" s="145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">
      <c r="A438" s="68">
        <v>46251</v>
      </c>
      <c r="B438" s="25">
        <f t="shared" si="109"/>
        <v>0.49999999999999972</v>
      </c>
      <c r="C438" s="26"/>
      <c r="D438" s="59"/>
      <c r="E438" s="120"/>
      <c r="F438" s="122" t="str">
        <f>IFERROR(IF($D438="","",VLOOKUP($D438,Cadastro!$C$4:$E$7,3,FALSE)),"")</f>
        <v/>
      </c>
      <c r="G438" s="114"/>
      <c r="H438" s="122" t="str">
        <f>IFERROR(IF($G438="","",$G438*$S$446/$G$446/Cadastro!$E$33),"")</f>
        <v/>
      </c>
      <c r="I438" s="129" t="str">
        <f>IFERROR(IF($D438="","",VLOOKUP($D438,Cadastro!$C$4:$G$7,5,FALSE)),"")</f>
        <v/>
      </c>
      <c r="J438" s="145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9">
        <v>46251</v>
      </c>
      <c r="B439" s="32">
        <f t="shared" si="109"/>
        <v>0.54166666666666641</v>
      </c>
      <c r="C439" s="26"/>
      <c r="D439" s="59"/>
      <c r="E439" s="120"/>
      <c r="F439" s="122" t="str">
        <f>IFERROR(IF($D439="","",VLOOKUP($D439,Cadastro!$C$4:$E$7,3,FALSE)),"")</f>
        <v/>
      </c>
      <c r="G439" s="114"/>
      <c r="H439" s="122" t="str">
        <f>IFERROR(IF($G439="","",$G439*$S$446/$G$446/Cadastro!$E$33),"")</f>
        <v/>
      </c>
      <c r="I439" s="129" t="str">
        <f>IFERROR(IF($D439="","",VLOOKUP($D439,Cadastro!$C$4:$G$7,5,FALSE)),"")</f>
        <v/>
      </c>
      <c r="J439" s="145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8">
        <v>46251</v>
      </c>
      <c r="B440" s="25">
        <f t="shared" si="109"/>
        <v>0.58333333333333304</v>
      </c>
      <c r="C440" s="26"/>
      <c r="D440" s="59"/>
      <c r="E440" s="120"/>
      <c r="F440" s="122" t="str">
        <f>IFERROR(IF($D440="","",VLOOKUP($D440,Cadastro!$C$4:$E$7,3,FALSE)),"")</f>
        <v/>
      </c>
      <c r="G440" s="114"/>
      <c r="H440" s="122" t="str">
        <f>IFERROR(IF($G440="","",$G440*$S$446/$G$446/Cadastro!$E$33),"")</f>
        <v/>
      </c>
      <c r="I440" s="129" t="str">
        <f>IFERROR(IF($D440="","",VLOOKUP($D440,Cadastro!$C$4:$G$7,5,FALSE)),"")</f>
        <v/>
      </c>
      <c r="J440" s="145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9">
        <v>46251</v>
      </c>
      <c r="B441" s="32">
        <f t="shared" si="109"/>
        <v>0.62499999999999967</v>
      </c>
      <c r="C441" s="26"/>
      <c r="D441" s="59"/>
      <c r="E441" s="120"/>
      <c r="F441" s="122" t="str">
        <f>IFERROR(IF($D441="","",VLOOKUP($D441,Cadastro!$C$4:$E$7,3,FALSE)),"")</f>
        <v/>
      </c>
      <c r="G441" s="114"/>
      <c r="H441" s="122" t="str">
        <f>IFERROR(IF($G441="","",$G441*$S$446/$G$446/Cadastro!$E$33),"")</f>
        <v/>
      </c>
      <c r="I441" s="129" t="str">
        <f>IFERROR(IF($D441="","",VLOOKUP($D441,Cadastro!$C$4:$G$7,5,FALSE)),"")</f>
        <v/>
      </c>
      <c r="J441" s="145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8">
        <v>46251</v>
      </c>
      <c r="B442" s="25">
        <f t="shared" si="109"/>
        <v>0.6666666666666663</v>
      </c>
      <c r="C442" s="26"/>
      <c r="D442" s="59"/>
      <c r="E442" s="120"/>
      <c r="F442" s="122" t="str">
        <f>IFERROR(IF($D442="","",VLOOKUP($D442,Cadastro!$C$4:$E$7,3,FALSE)),"")</f>
        <v/>
      </c>
      <c r="G442" s="114"/>
      <c r="H442" s="122" t="str">
        <f>IFERROR(IF($G442="","",$G442*$S$446/$G$446/Cadastro!$E$33),"")</f>
        <v/>
      </c>
      <c r="I442" s="129" t="str">
        <f>IFERROR(IF($D442="","",VLOOKUP($D442,Cadastro!$C$4:$G$7,5,FALSE)),"")</f>
        <v/>
      </c>
      <c r="J442" s="145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9">
        <v>46251</v>
      </c>
      <c r="B443" s="32">
        <f t="shared" si="109"/>
        <v>0.70833333333333293</v>
      </c>
      <c r="C443" s="26"/>
      <c r="D443" s="59"/>
      <c r="E443" s="120"/>
      <c r="F443" s="122" t="str">
        <f>IFERROR(IF($D443="","",VLOOKUP($D443,Cadastro!$C$4:$E$7,3,FALSE)),"")</f>
        <v/>
      </c>
      <c r="G443" s="114"/>
      <c r="H443" s="122" t="str">
        <f>IFERROR(IF($G443="","",$G443*$S$446/$G$446/Cadastro!$E$33),"")</f>
        <v/>
      </c>
      <c r="I443" s="129" t="str">
        <f>IFERROR(IF($D443="","",VLOOKUP($D443,Cadastro!$C$4:$G$7,5,FALSE)),"")</f>
        <v/>
      </c>
      <c r="J443" s="145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8">
        <v>46251</v>
      </c>
      <c r="B444" s="25">
        <f t="shared" si="109"/>
        <v>0.74999999999999956</v>
      </c>
      <c r="C444" s="26"/>
      <c r="D444" s="59"/>
      <c r="E444" s="120"/>
      <c r="F444" s="122" t="str">
        <f>IFERROR(IF($D444="","",VLOOKUP($D444,Cadastro!$C$4:$E$7,3,FALSE)),"")</f>
        <v/>
      </c>
      <c r="G444" s="114"/>
      <c r="H444" s="122" t="str">
        <f>IFERROR(IF($G444="","",$G444*$S$446/$G$446/Cadastro!$E$33),"")</f>
        <v/>
      </c>
      <c r="I444" s="129" t="str">
        <f>IFERROR(IF($D444="","",VLOOKUP($D444,Cadastro!$C$4:$G$7,5,FALSE)),"")</f>
        <v/>
      </c>
      <c r="J444" s="145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5">
      <c r="A445" s="69">
        <v>46251</v>
      </c>
      <c r="B445" s="32">
        <f t="shared" si="109"/>
        <v>0.79166666666666619</v>
      </c>
      <c r="C445" s="26"/>
      <c r="D445" s="59"/>
      <c r="E445" s="120"/>
      <c r="F445" s="118" t="str">
        <f>IFERROR(IF($D445="","",VLOOKUP($D445,Cadastro!$C$4:$E$7,3,FALSE)),"")</f>
        <v/>
      </c>
      <c r="G445" s="114"/>
      <c r="H445" s="118" t="str">
        <f>IFERROR(IF($G445="","",$G445*$S$446/$G$446/Cadastro!$E$33),"")</f>
        <v/>
      </c>
      <c r="I445" s="130" t="str">
        <f>IFERROR(IF($D445="","",VLOOKUP($D445,Cadastro!$C$4:$G$7,5,FALSE)),"")</f>
        <v/>
      </c>
      <c r="J445" s="146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68" t="s">
        <v>231</v>
      </c>
      <c r="B446" s="169"/>
      <c r="C446" s="169"/>
      <c r="D446" s="169"/>
      <c r="E446" s="169">
        <f>SUM(E434:E445)</f>
        <v>0</v>
      </c>
      <c r="F446" s="123"/>
      <c r="G446" s="88">
        <f>SUM(G434:G445)</f>
        <v>0</v>
      </c>
      <c r="H446" s="123">
        <f>IFERROR(SUM(H434:H445),"")</f>
        <v>0</v>
      </c>
      <c r="I446" s="131"/>
      <c r="J446" s="147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232</v>
      </c>
      <c r="S446" s="76"/>
      <c r="T446" s="136">
        <f>IFERROR(J446,"")</f>
        <v>0</v>
      </c>
    </row>
    <row r="447" spans="1:20" ht="15" customHeight="1" x14ac:dyDescent="0.3">
      <c r="A447" s="69">
        <v>46251</v>
      </c>
      <c r="B447" s="32">
        <v>0.83333333333333304</v>
      </c>
      <c r="C447" s="33"/>
      <c r="D447" s="62"/>
      <c r="E447" s="121"/>
      <c r="F447" s="119" t="str">
        <f>IFERROR(IF($D447="","",VLOOKUP($D447,Cadastro!$C$4:$E$7,3,FALSE)),"")</f>
        <v/>
      </c>
      <c r="G447" s="114"/>
      <c r="H447" s="119" t="str">
        <f>IFERROR(IF($G447="","",$G447*$S$459/$G$459/Cadastro!$E$33),"")</f>
        <v/>
      </c>
      <c r="I447" s="132" t="str">
        <f>IFERROR(IF($D447="","",VLOOKUP($D447,Cadastro!$C$4:$G$7,5,FALSE)),"")</f>
        <v/>
      </c>
      <c r="J447" s="148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">
      <c r="A448" s="68">
        <v>46251</v>
      </c>
      <c r="B448" s="25">
        <f t="shared" ref="B448:B458" si="113">B447+TIME(0,60,0)</f>
        <v>0.87499999999999967</v>
      </c>
      <c r="C448" s="33"/>
      <c r="D448" s="62"/>
      <c r="E448" s="121"/>
      <c r="F448" s="122" t="str">
        <f>IFERROR(IF($D448="","",VLOOKUP($D448,Cadastro!$C$4:$E$7,3,FALSE)),"")</f>
        <v/>
      </c>
      <c r="G448" s="114"/>
      <c r="H448" s="122" t="str">
        <f>IFERROR(IF($G448="","",$G448*$S$459/$G$459/Cadastro!$E$33),"")</f>
        <v/>
      </c>
      <c r="I448" s="129" t="str">
        <f>IFERROR(IF($D448="","",VLOOKUP($D448,Cadastro!$C$4:$G$7,5,FALSE)),"")</f>
        <v/>
      </c>
      <c r="J448" s="145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">
      <c r="A449" s="69">
        <v>46251</v>
      </c>
      <c r="B449" s="32">
        <f t="shared" si="113"/>
        <v>0.9166666666666663</v>
      </c>
      <c r="C449" s="33"/>
      <c r="D449" s="62"/>
      <c r="E449" s="121"/>
      <c r="F449" s="122" t="str">
        <f>IFERROR(IF($D449="","",VLOOKUP($D449,Cadastro!$C$4:$E$7,3,FALSE)),"")</f>
        <v/>
      </c>
      <c r="G449" s="114"/>
      <c r="H449" s="122" t="str">
        <f>IFERROR(IF($G449="","",$G449*$S$459/$G$459/Cadastro!$E$33),"")</f>
        <v/>
      </c>
      <c r="I449" s="129" t="str">
        <f>IFERROR(IF($D449="","",VLOOKUP($D449,Cadastro!$C$4:$G$7,5,FALSE)),"")</f>
        <v/>
      </c>
      <c r="J449" s="145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">
      <c r="A450" s="68">
        <v>46251</v>
      </c>
      <c r="B450" s="25">
        <f t="shared" si="113"/>
        <v>0.95833333333333293</v>
      </c>
      <c r="C450" s="33"/>
      <c r="D450" s="62"/>
      <c r="E450" s="121"/>
      <c r="F450" s="122" t="str">
        <f>IFERROR(IF($D450="","",VLOOKUP($D450,Cadastro!$C$4:$E$7,3,FALSE)),"")</f>
        <v/>
      </c>
      <c r="G450" s="114"/>
      <c r="H450" s="122" t="str">
        <f>IFERROR(IF($G450="","",$G450*$S$459/$G$459/Cadastro!$E$33),"")</f>
        <v/>
      </c>
      <c r="I450" s="129" t="str">
        <f>IFERROR(IF($D450="","",VLOOKUP($D450,Cadastro!$C$4:$G$7,5,FALSE)),"")</f>
        <v/>
      </c>
      <c r="J450" s="145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">
      <c r="A451" s="69">
        <v>46251</v>
      </c>
      <c r="B451" s="32">
        <f t="shared" si="113"/>
        <v>0.99999999999999956</v>
      </c>
      <c r="C451" s="33"/>
      <c r="D451" s="62"/>
      <c r="E451" s="121"/>
      <c r="F451" s="122" t="str">
        <f>IFERROR(IF($D451="","",VLOOKUP($D451,Cadastro!$C$4:$E$7,3,FALSE)),"")</f>
        <v/>
      </c>
      <c r="G451" s="114"/>
      <c r="H451" s="122" t="str">
        <f>IFERROR(IF($G451="","",$G451*$S$459/$G$459/Cadastro!$E$33),"")</f>
        <v/>
      </c>
      <c r="I451" s="129" t="str">
        <f>IFERROR(IF($D451="","",VLOOKUP($D451,Cadastro!$C$4:$G$7,5,FALSE)),"")</f>
        <v/>
      </c>
      <c r="J451" s="145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">
      <c r="A452" s="68">
        <v>46251</v>
      </c>
      <c r="B452" s="25">
        <f t="shared" si="113"/>
        <v>1.0416666666666663</v>
      </c>
      <c r="C452" s="33"/>
      <c r="D452" s="62"/>
      <c r="E452" s="121"/>
      <c r="F452" s="122" t="str">
        <f>IFERROR(IF($D452="","",VLOOKUP($D452,Cadastro!$C$4:$E$7,3,FALSE)),"")</f>
        <v/>
      </c>
      <c r="G452" s="114"/>
      <c r="H452" s="122" t="str">
        <f>IFERROR(IF($G452="","",$G452*$S$459/$G$459/Cadastro!$E$33),"")</f>
        <v/>
      </c>
      <c r="I452" s="129" t="str">
        <f>IFERROR(IF($D452="","",VLOOKUP($D452,Cadastro!$C$4:$G$7,5,FALSE)),"")</f>
        <v/>
      </c>
      <c r="J452" s="145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">
      <c r="A453" s="69">
        <v>46251</v>
      </c>
      <c r="B453" s="32">
        <f t="shared" si="113"/>
        <v>1.083333333333333</v>
      </c>
      <c r="C453" s="33"/>
      <c r="D453" s="62"/>
      <c r="E453" s="121"/>
      <c r="F453" s="122" t="str">
        <f>IFERROR(IF($D453="","",VLOOKUP($D453,Cadastro!$C$4:$E$7,3,FALSE)),"")</f>
        <v/>
      </c>
      <c r="G453" s="114"/>
      <c r="H453" s="122" t="str">
        <f>IFERROR(IF($G453="","",$G453*$S$459/$G$459/Cadastro!$E$33),"")</f>
        <v/>
      </c>
      <c r="I453" s="129" t="str">
        <f>IFERROR(IF($D453="","",VLOOKUP($D453,Cadastro!$C$4:$G$7,5,FALSE)),"")</f>
        <v/>
      </c>
      <c r="J453" s="145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">
      <c r="A454" s="68">
        <v>46251</v>
      </c>
      <c r="B454" s="25">
        <f t="shared" si="113"/>
        <v>1.1249999999999998</v>
      </c>
      <c r="C454" s="33"/>
      <c r="D454" s="62"/>
      <c r="E454" s="121"/>
      <c r="F454" s="122" t="str">
        <f>IFERROR(IF($D454="","",VLOOKUP($D454,Cadastro!$C$4:$E$7,3,FALSE)),"")</f>
        <v/>
      </c>
      <c r="G454" s="114"/>
      <c r="H454" s="122" t="str">
        <f>IFERROR(IF($G454="","",$G454*$S$459/$G$459/Cadastro!$E$33),"")</f>
        <v/>
      </c>
      <c r="I454" s="129" t="str">
        <f>IFERROR(IF($D454="","",VLOOKUP($D454,Cadastro!$C$4:$G$7,5,FALSE)),"")</f>
        <v/>
      </c>
      <c r="J454" s="145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9">
        <v>46251</v>
      </c>
      <c r="B455" s="32">
        <f t="shared" si="113"/>
        <v>1.1666666666666665</v>
      </c>
      <c r="C455" s="33"/>
      <c r="D455" s="62"/>
      <c r="E455" s="121"/>
      <c r="F455" s="122" t="str">
        <f>IFERROR(IF($D455="","",VLOOKUP($D455,Cadastro!$C$4:$E$7,3,FALSE)),"")</f>
        <v/>
      </c>
      <c r="G455" s="114"/>
      <c r="H455" s="122" t="str">
        <f>IFERROR(IF($G455="","",$G455*$S$459/$G$459/Cadastro!$E$33),"")</f>
        <v/>
      </c>
      <c r="I455" s="129" t="str">
        <f>IFERROR(IF($D455="","",VLOOKUP($D455,Cadastro!$C$4:$G$7,5,FALSE)),"")</f>
        <v/>
      </c>
      <c r="J455" s="145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8">
        <v>46251</v>
      </c>
      <c r="B456" s="25">
        <f t="shared" si="113"/>
        <v>1.2083333333333333</v>
      </c>
      <c r="C456" s="33"/>
      <c r="D456" s="62"/>
      <c r="E456" s="121"/>
      <c r="F456" s="122" t="str">
        <f>IFERROR(IF($D456="","",VLOOKUP($D456,Cadastro!$C$4:$E$7,3,FALSE)),"")</f>
        <v/>
      </c>
      <c r="G456" s="114"/>
      <c r="H456" s="122" t="str">
        <f>IFERROR(IF($G456="","",$G456*$S$459/$G$459/Cadastro!$E$33),"")</f>
        <v/>
      </c>
      <c r="I456" s="129" t="str">
        <f>IFERROR(IF($D456="","",VLOOKUP($D456,Cadastro!$C$4:$G$7,5,FALSE)),"")</f>
        <v/>
      </c>
      <c r="J456" s="145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9">
        <v>46251</v>
      </c>
      <c r="B457" s="32">
        <f t="shared" si="113"/>
        <v>1.25</v>
      </c>
      <c r="C457" s="33"/>
      <c r="D457" s="62"/>
      <c r="E457" s="121"/>
      <c r="F457" s="122" t="str">
        <f>IFERROR(IF($D457="","",VLOOKUP($D457,Cadastro!$C$4:$E$7,3,FALSE)),"")</f>
        <v/>
      </c>
      <c r="G457" s="114"/>
      <c r="H457" s="122" t="str">
        <f>IFERROR(IF($G457="","",$G457*$S$459/$G$459/Cadastro!$E$33),"")</f>
        <v/>
      </c>
      <c r="I457" s="129" t="str">
        <f>IFERROR(IF($D457="","",VLOOKUP($D457,Cadastro!$C$4:$G$7,5,FALSE)),"")</f>
        <v/>
      </c>
      <c r="J457" s="145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8">
        <v>46251</v>
      </c>
      <c r="B458" s="25">
        <f t="shared" si="113"/>
        <v>1.2916666666666667</v>
      </c>
      <c r="C458" s="33"/>
      <c r="D458" s="62"/>
      <c r="E458" s="121"/>
      <c r="F458" s="118" t="str">
        <f>IFERROR(IF($D458="","",VLOOKUP($D458,Cadastro!$C$4:$E$7,3,FALSE)),"")</f>
        <v/>
      </c>
      <c r="G458" s="114"/>
      <c r="H458" s="118" t="str">
        <f>IFERROR(IF($G458="","",$G458*$S$459/$G$459/Cadastro!$E$33),"")</f>
        <v/>
      </c>
      <c r="I458" s="130" t="str">
        <f>IFERROR(IF($D458="","",VLOOKUP($D458,Cadastro!$C$4:$G$7,5,FALSE)),"")</f>
        <v/>
      </c>
      <c r="J458" s="146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68" t="s">
        <v>234</v>
      </c>
      <c r="B459" s="169"/>
      <c r="C459" s="169"/>
      <c r="D459" s="169"/>
      <c r="E459" s="169">
        <f>SUM(E447:E458)</f>
        <v>0</v>
      </c>
      <c r="F459" s="124"/>
      <c r="G459" s="88">
        <f>SUM(G447:G458)</f>
        <v>0</v>
      </c>
      <c r="H459" s="124">
        <f>IFERROR(SUM(H447:H458),"")</f>
        <v>0</v>
      </c>
      <c r="I459" s="133"/>
      <c r="J459" s="149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232</v>
      </c>
      <c r="S459" s="76"/>
      <c r="T459" s="136">
        <f>IFERROR(J459,"")</f>
        <v>0</v>
      </c>
    </row>
    <row r="460" spans="1:20" ht="18" customHeight="1" x14ac:dyDescent="0.3">
      <c r="A460" s="165" t="s">
        <v>235</v>
      </c>
      <c r="B460" s="166"/>
      <c r="C460" s="166"/>
      <c r="D460" s="166"/>
      <c r="E460" s="166">
        <f>E446+E459</f>
        <v>0</v>
      </c>
      <c r="F460" s="125"/>
      <c r="G460" s="100">
        <f>G446+G459</f>
        <v>0</v>
      </c>
      <c r="H460" s="125">
        <f>IFERROR(H446+H459,"")</f>
        <v>0</v>
      </c>
      <c r="I460" s="134"/>
      <c r="J460" s="150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236</v>
      </c>
      <c r="S460" s="82">
        <f>IFERROR(S446+S459,"")</f>
        <v>0</v>
      </c>
      <c r="T460" s="140">
        <f>IFERROR(J460,"")</f>
        <v>0</v>
      </c>
    </row>
    <row r="461" spans="1:20" ht="15" customHeight="1" x14ac:dyDescent="0.3">
      <c r="A461" s="69">
        <v>46252</v>
      </c>
      <c r="B461" s="32">
        <v>0.33333333333333298</v>
      </c>
      <c r="C461" s="33"/>
      <c r="D461" s="62"/>
      <c r="E461" s="121"/>
      <c r="F461" s="119" t="str">
        <f>IFERROR(IF($D461="","",VLOOKUP($D461,Cadastro!$C$4:$E$7,3,FALSE)),"")</f>
        <v/>
      </c>
      <c r="G461" s="114"/>
      <c r="H461" s="119" t="str">
        <f>IFERROR(IF($G461="","",$G461*$S$473/$G$473/Cadastro!$E$33),"")</f>
        <v/>
      </c>
      <c r="I461" s="132" t="str">
        <f>IFERROR(IF($D461="","",VLOOKUP($D461,Cadastro!$C$4:$G$7,5,FALSE)),"")</f>
        <v/>
      </c>
      <c r="J461" s="148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">
      <c r="A462" s="68">
        <v>46252</v>
      </c>
      <c r="B462" s="25">
        <f t="shared" ref="B462:B472" si="117">B461+TIME(0,60,0)</f>
        <v>0.37499999999999967</v>
      </c>
      <c r="C462" s="33"/>
      <c r="D462" s="62"/>
      <c r="E462" s="121"/>
      <c r="F462" s="122" t="str">
        <f>IFERROR(IF($D462="","",VLOOKUP($D462,Cadastro!$C$4:$E$7,3,FALSE)),"")</f>
        <v/>
      </c>
      <c r="G462" s="114"/>
      <c r="H462" s="122" t="str">
        <f>IFERROR(IF($G462="","",$G462*$S$473/$G$473/Cadastro!$E$33),"")</f>
        <v/>
      </c>
      <c r="I462" s="129" t="str">
        <f>IFERROR(IF($D462="","",VLOOKUP($D462,Cadastro!$C$4:$G$7,5,FALSE)),"")</f>
        <v/>
      </c>
      <c r="J462" s="145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">
      <c r="A463" s="69">
        <v>46252</v>
      </c>
      <c r="B463" s="32">
        <f t="shared" si="117"/>
        <v>0.41666666666666635</v>
      </c>
      <c r="C463" s="33"/>
      <c r="D463" s="62"/>
      <c r="E463" s="121"/>
      <c r="F463" s="122" t="str">
        <f>IFERROR(IF($D463="","",VLOOKUP($D463,Cadastro!$C$4:$E$7,3,FALSE)),"")</f>
        <v/>
      </c>
      <c r="G463" s="114"/>
      <c r="H463" s="122" t="str">
        <f>IFERROR(IF($G463="","",$G463*$S$473/$G$473/Cadastro!$E$33),"")</f>
        <v/>
      </c>
      <c r="I463" s="129" t="str">
        <f>IFERROR(IF($D463="","",VLOOKUP($D463,Cadastro!$C$4:$G$7,5,FALSE)),"")</f>
        <v/>
      </c>
      <c r="J463" s="145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">
      <c r="A464" s="68">
        <v>46252</v>
      </c>
      <c r="B464" s="25">
        <f t="shared" si="117"/>
        <v>0.45833333333333304</v>
      </c>
      <c r="C464" s="33"/>
      <c r="D464" s="62"/>
      <c r="E464" s="121"/>
      <c r="F464" s="122" t="str">
        <f>IFERROR(IF($D464="","",VLOOKUP($D464,Cadastro!$C$4:$E$7,3,FALSE)),"")</f>
        <v/>
      </c>
      <c r="G464" s="114"/>
      <c r="H464" s="122" t="str">
        <f>IFERROR(IF($G464="","",$G464*$S$473/$G$473/Cadastro!$E$33),"")</f>
        <v/>
      </c>
      <c r="I464" s="129" t="str">
        <f>IFERROR(IF($D464="","",VLOOKUP($D464,Cadastro!$C$4:$G$7,5,FALSE)),"")</f>
        <v/>
      </c>
      <c r="J464" s="145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">
      <c r="A465" s="69">
        <v>46252</v>
      </c>
      <c r="B465" s="32">
        <f t="shared" si="117"/>
        <v>0.49999999999999972</v>
      </c>
      <c r="C465" s="33"/>
      <c r="D465" s="62"/>
      <c r="E465" s="121"/>
      <c r="F465" s="122" t="str">
        <f>IFERROR(IF($D465="","",VLOOKUP($D465,Cadastro!$C$4:$E$7,3,FALSE)),"")</f>
        <v/>
      </c>
      <c r="G465" s="114"/>
      <c r="H465" s="122" t="str">
        <f>IFERROR(IF($G465="","",$G465*$S$473/$G$473/Cadastro!$E$33),"")</f>
        <v/>
      </c>
      <c r="I465" s="129" t="str">
        <f>IFERROR(IF($D465="","",VLOOKUP($D465,Cadastro!$C$4:$G$7,5,FALSE)),"")</f>
        <v/>
      </c>
      <c r="J465" s="145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">
      <c r="A466" s="68">
        <v>46252</v>
      </c>
      <c r="B466" s="25">
        <f t="shared" si="117"/>
        <v>0.54166666666666641</v>
      </c>
      <c r="C466" s="33"/>
      <c r="D466" s="62"/>
      <c r="E466" s="121"/>
      <c r="F466" s="122" t="str">
        <f>IFERROR(IF($D466="","",VLOOKUP($D466,Cadastro!$C$4:$E$7,3,FALSE)),"")</f>
        <v/>
      </c>
      <c r="G466" s="114"/>
      <c r="H466" s="122" t="str">
        <f>IFERROR(IF($G466="","",$G466*$S$473/$G$473/Cadastro!$E$33),"")</f>
        <v/>
      </c>
      <c r="I466" s="129" t="str">
        <f>IFERROR(IF($D466="","",VLOOKUP($D466,Cadastro!$C$4:$G$7,5,FALSE)),"")</f>
        <v/>
      </c>
      <c r="J466" s="145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9">
        <v>46252</v>
      </c>
      <c r="B467" s="32">
        <f t="shared" si="117"/>
        <v>0.58333333333333304</v>
      </c>
      <c r="C467" s="33"/>
      <c r="D467" s="62"/>
      <c r="E467" s="121"/>
      <c r="F467" s="122" t="str">
        <f>IFERROR(IF($D467="","",VLOOKUP($D467,Cadastro!$C$4:$E$7,3,FALSE)),"")</f>
        <v/>
      </c>
      <c r="G467" s="114"/>
      <c r="H467" s="122" t="str">
        <f>IFERROR(IF($G467="","",$G467*$S$473/$G$473/Cadastro!$E$33),"")</f>
        <v/>
      </c>
      <c r="I467" s="129" t="str">
        <f>IFERROR(IF($D467="","",VLOOKUP($D467,Cadastro!$C$4:$G$7,5,FALSE)),"")</f>
        <v/>
      </c>
      <c r="J467" s="145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8">
        <v>46252</v>
      </c>
      <c r="B468" s="25">
        <f t="shared" si="117"/>
        <v>0.62499999999999967</v>
      </c>
      <c r="C468" s="33"/>
      <c r="D468" s="62"/>
      <c r="E468" s="121"/>
      <c r="F468" s="122" t="str">
        <f>IFERROR(IF($D468="","",VLOOKUP($D468,Cadastro!$C$4:$E$7,3,FALSE)),"")</f>
        <v/>
      </c>
      <c r="G468" s="114"/>
      <c r="H468" s="122" t="str">
        <f>IFERROR(IF($G468="","",$G468*$S$473/$G$473/Cadastro!$E$33),"")</f>
        <v/>
      </c>
      <c r="I468" s="129" t="str">
        <f>IFERROR(IF($D468="","",VLOOKUP($D468,Cadastro!$C$4:$G$7,5,FALSE)),"")</f>
        <v/>
      </c>
      <c r="J468" s="145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9">
        <v>46252</v>
      </c>
      <c r="B469" s="32">
        <f t="shared" si="117"/>
        <v>0.6666666666666663</v>
      </c>
      <c r="C469" s="33"/>
      <c r="D469" s="62"/>
      <c r="E469" s="121"/>
      <c r="F469" s="122" t="str">
        <f>IFERROR(IF($D469="","",VLOOKUP($D469,Cadastro!$C$4:$E$7,3,FALSE)),"")</f>
        <v/>
      </c>
      <c r="G469" s="114"/>
      <c r="H469" s="122" t="str">
        <f>IFERROR(IF($G469="","",$G469*$S$473/$G$473/Cadastro!$E$33),"")</f>
        <v/>
      </c>
      <c r="I469" s="129" t="str">
        <f>IFERROR(IF($D469="","",VLOOKUP($D469,Cadastro!$C$4:$G$7,5,FALSE)),"")</f>
        <v/>
      </c>
      <c r="J469" s="145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8">
        <v>46252</v>
      </c>
      <c r="B470" s="25">
        <f t="shared" si="117"/>
        <v>0.70833333333333293</v>
      </c>
      <c r="C470" s="33"/>
      <c r="D470" s="62"/>
      <c r="E470" s="121"/>
      <c r="F470" s="122" t="str">
        <f>IFERROR(IF($D470="","",VLOOKUP($D470,Cadastro!$C$4:$E$7,3,FALSE)),"")</f>
        <v/>
      </c>
      <c r="G470" s="114"/>
      <c r="H470" s="122" t="str">
        <f>IFERROR(IF($G470="","",$G470*$S$473/$G$473/Cadastro!$E$33),"")</f>
        <v/>
      </c>
      <c r="I470" s="129" t="str">
        <f>IFERROR(IF($D470="","",VLOOKUP($D470,Cadastro!$C$4:$G$7,5,FALSE)),"")</f>
        <v/>
      </c>
      <c r="J470" s="145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9">
        <v>46252</v>
      </c>
      <c r="B471" s="32">
        <f t="shared" si="117"/>
        <v>0.74999999999999956</v>
      </c>
      <c r="C471" s="33"/>
      <c r="D471" s="62"/>
      <c r="E471" s="121"/>
      <c r="F471" s="122" t="str">
        <f>IFERROR(IF($D471="","",VLOOKUP($D471,Cadastro!$C$4:$E$7,3,FALSE)),"")</f>
        <v/>
      </c>
      <c r="G471" s="114"/>
      <c r="H471" s="122" t="str">
        <f>IFERROR(IF($G471="","",$G471*$S$473/$G$473/Cadastro!$E$33),"")</f>
        <v/>
      </c>
      <c r="I471" s="129" t="str">
        <f>IFERROR(IF($D471="","",VLOOKUP($D471,Cadastro!$C$4:$G$7,5,FALSE)),"")</f>
        <v/>
      </c>
      <c r="J471" s="145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8">
        <v>46252</v>
      </c>
      <c r="B472" s="25">
        <f t="shared" si="117"/>
        <v>0.79166666666666619</v>
      </c>
      <c r="C472" s="33"/>
      <c r="D472" s="62"/>
      <c r="E472" s="121"/>
      <c r="F472" s="118" t="str">
        <f>IFERROR(IF($D472="","",VLOOKUP($D472,Cadastro!$C$4:$E$7,3,FALSE)),"")</f>
        <v/>
      </c>
      <c r="G472" s="114"/>
      <c r="H472" s="118" t="str">
        <f>IFERROR(IF($G472="","",$G472*$S$473/$G$473/Cadastro!$E$33),"")</f>
        <v/>
      </c>
      <c r="I472" s="130" t="str">
        <f>IFERROR(IF($D472="","",VLOOKUP($D472,Cadastro!$C$4:$G$7,5,FALSE)),"")</f>
        <v/>
      </c>
      <c r="J472" s="146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68" t="s">
        <v>231</v>
      </c>
      <c r="B473" s="169"/>
      <c r="C473" s="169"/>
      <c r="D473" s="169"/>
      <c r="E473" s="169">
        <f>SUM(E461:E472)</f>
        <v>0</v>
      </c>
      <c r="F473" s="123"/>
      <c r="G473" s="88">
        <f>SUM(G461:G472)</f>
        <v>0</v>
      </c>
      <c r="H473" s="123">
        <f>IFERROR(SUM(H461:H472),"")</f>
        <v>0</v>
      </c>
      <c r="I473" s="131"/>
      <c r="J473" s="147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232</v>
      </c>
      <c r="S473" s="76"/>
      <c r="T473" s="136">
        <f>IFERROR(J473,"")</f>
        <v>0</v>
      </c>
    </row>
    <row r="474" spans="1:20" ht="15" customHeight="1" x14ac:dyDescent="0.3">
      <c r="A474" s="68">
        <v>46252</v>
      </c>
      <c r="B474" s="25">
        <v>0.83333333333333304</v>
      </c>
      <c r="C474" s="26"/>
      <c r="D474" s="59"/>
      <c r="E474" s="120"/>
      <c r="F474" s="119" t="str">
        <f>IFERROR(IF($D474="","",VLOOKUP($D474,Cadastro!$C$4:$E$7,3,FALSE)),"")</f>
        <v/>
      </c>
      <c r="G474" s="114"/>
      <c r="H474" s="119" t="str">
        <f>IFERROR(IF($G474="","",$G474*$S$486/$G$486/Cadastro!$E$33),"")</f>
        <v/>
      </c>
      <c r="I474" s="132" t="str">
        <f>IFERROR(IF($D474="","",VLOOKUP($D474,Cadastro!$C$4:$G$7,5,FALSE)),"")</f>
        <v/>
      </c>
      <c r="J474" s="148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">
      <c r="A475" s="69">
        <v>46252</v>
      </c>
      <c r="B475" s="32">
        <f t="shared" ref="B475:B485" si="121">B474+TIME(0,60,0)</f>
        <v>0.87499999999999967</v>
      </c>
      <c r="C475" s="26"/>
      <c r="D475" s="59"/>
      <c r="E475" s="120"/>
      <c r="F475" s="122" t="str">
        <f>IFERROR(IF($D475="","",VLOOKUP($D475,Cadastro!$C$4:$E$7,3,FALSE)),"")</f>
        <v/>
      </c>
      <c r="G475" s="114"/>
      <c r="H475" s="122" t="str">
        <f>IFERROR(IF($G475="","",$G475*$S$486/$G$486/Cadastro!$E$33),"")</f>
        <v/>
      </c>
      <c r="I475" s="129" t="str">
        <f>IFERROR(IF($D475="","",VLOOKUP($D475,Cadastro!$C$4:$G$7,5,FALSE)),"")</f>
        <v/>
      </c>
      <c r="J475" s="145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">
      <c r="A476" s="68">
        <v>46252</v>
      </c>
      <c r="B476" s="25">
        <f t="shared" si="121"/>
        <v>0.9166666666666663</v>
      </c>
      <c r="C476" s="26"/>
      <c r="D476" s="59"/>
      <c r="E476" s="120"/>
      <c r="F476" s="122" t="str">
        <f>IFERROR(IF($D476="","",VLOOKUP($D476,Cadastro!$C$4:$E$7,3,FALSE)),"")</f>
        <v/>
      </c>
      <c r="G476" s="114"/>
      <c r="H476" s="122" t="str">
        <f>IFERROR(IF($G476="","",$G476*$S$486/$G$486/Cadastro!$E$33),"")</f>
        <v/>
      </c>
      <c r="I476" s="129" t="str">
        <f>IFERROR(IF($D476="","",VLOOKUP($D476,Cadastro!$C$4:$G$7,5,FALSE)),"")</f>
        <v/>
      </c>
      <c r="J476" s="145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">
      <c r="A477" s="69">
        <v>46252</v>
      </c>
      <c r="B477" s="32">
        <f t="shared" si="121"/>
        <v>0.95833333333333293</v>
      </c>
      <c r="C477" s="26"/>
      <c r="D477" s="59"/>
      <c r="E477" s="120"/>
      <c r="F477" s="122" t="str">
        <f>IFERROR(IF($D477="","",VLOOKUP($D477,Cadastro!$C$4:$E$7,3,FALSE)),"")</f>
        <v/>
      </c>
      <c r="G477" s="114"/>
      <c r="H477" s="122" t="str">
        <f>IFERROR(IF($G477="","",$G477*$S$486/$G$486/Cadastro!$E$33),"")</f>
        <v/>
      </c>
      <c r="I477" s="129" t="str">
        <f>IFERROR(IF($D477="","",VLOOKUP($D477,Cadastro!$C$4:$G$7,5,FALSE)),"")</f>
        <v/>
      </c>
      <c r="J477" s="145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">
      <c r="A478" s="68">
        <v>46252</v>
      </c>
      <c r="B478" s="25">
        <f t="shared" si="121"/>
        <v>0.99999999999999956</v>
      </c>
      <c r="C478" s="26"/>
      <c r="D478" s="59"/>
      <c r="E478" s="120"/>
      <c r="F478" s="122" t="str">
        <f>IFERROR(IF($D478="","",VLOOKUP($D478,Cadastro!$C$4:$E$7,3,FALSE)),"")</f>
        <v/>
      </c>
      <c r="G478" s="114"/>
      <c r="H478" s="122" t="str">
        <f>IFERROR(IF($G478="","",$G478*$S$486/$G$486/Cadastro!$E$33),"")</f>
        <v/>
      </c>
      <c r="I478" s="129" t="str">
        <f>IFERROR(IF($D478="","",VLOOKUP($D478,Cadastro!$C$4:$G$7,5,FALSE)),"")</f>
        <v/>
      </c>
      <c r="J478" s="145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">
      <c r="A479" s="69">
        <v>46252</v>
      </c>
      <c r="B479" s="32">
        <f t="shared" si="121"/>
        <v>1.0416666666666663</v>
      </c>
      <c r="C479" s="26"/>
      <c r="D479" s="59"/>
      <c r="E479" s="120"/>
      <c r="F479" s="122" t="str">
        <f>IFERROR(IF($D479="","",VLOOKUP($D479,Cadastro!$C$4:$E$7,3,FALSE)),"")</f>
        <v/>
      </c>
      <c r="G479" s="114"/>
      <c r="H479" s="122" t="str">
        <f>IFERROR(IF($G479="","",$G479*$S$486/$G$486/Cadastro!$E$33),"")</f>
        <v/>
      </c>
      <c r="I479" s="129" t="str">
        <f>IFERROR(IF($D479="","",VLOOKUP($D479,Cadastro!$C$4:$G$7,5,FALSE)),"")</f>
        <v/>
      </c>
      <c r="J479" s="145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">
      <c r="A480" s="68">
        <v>46252</v>
      </c>
      <c r="B480" s="25">
        <f t="shared" si="121"/>
        <v>1.083333333333333</v>
      </c>
      <c r="C480" s="26"/>
      <c r="D480" s="59"/>
      <c r="E480" s="120"/>
      <c r="F480" s="122" t="str">
        <f>IFERROR(IF($D480="","",VLOOKUP($D480,Cadastro!$C$4:$E$7,3,FALSE)),"")</f>
        <v/>
      </c>
      <c r="G480" s="114"/>
      <c r="H480" s="122" t="str">
        <f>IFERROR(IF($G480="","",$G480*$S$486/$G$486/Cadastro!$E$33),"")</f>
        <v/>
      </c>
      <c r="I480" s="129" t="str">
        <f>IFERROR(IF($D480="","",VLOOKUP($D480,Cadastro!$C$4:$G$7,5,FALSE)),"")</f>
        <v/>
      </c>
      <c r="J480" s="145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">
      <c r="A481" s="69">
        <v>46252</v>
      </c>
      <c r="B481" s="32">
        <f t="shared" si="121"/>
        <v>1.1249999999999998</v>
      </c>
      <c r="C481" s="26"/>
      <c r="D481" s="59"/>
      <c r="E481" s="120"/>
      <c r="F481" s="122" t="str">
        <f>IFERROR(IF($D481="","",VLOOKUP($D481,Cadastro!$C$4:$E$7,3,FALSE)),"")</f>
        <v/>
      </c>
      <c r="G481" s="114"/>
      <c r="H481" s="122" t="str">
        <f>IFERROR(IF($G481="","",$G481*$S$486/$G$486/Cadastro!$E$33),"")</f>
        <v/>
      </c>
      <c r="I481" s="129" t="str">
        <f>IFERROR(IF($D481="","",VLOOKUP($D481,Cadastro!$C$4:$G$7,5,FALSE)),"")</f>
        <v/>
      </c>
      <c r="J481" s="145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">
      <c r="A482" s="68">
        <v>46252</v>
      </c>
      <c r="B482" s="25">
        <f t="shared" si="121"/>
        <v>1.1666666666666665</v>
      </c>
      <c r="C482" s="26"/>
      <c r="D482" s="59"/>
      <c r="E482" s="120"/>
      <c r="F482" s="122" t="str">
        <f>IFERROR(IF($D482="","",VLOOKUP($D482,Cadastro!$C$4:$E$7,3,FALSE)),"")</f>
        <v/>
      </c>
      <c r="G482" s="114"/>
      <c r="H482" s="122" t="str">
        <f>IFERROR(IF($G482="","",$G482*$S$486/$G$486/Cadastro!$E$33),"")</f>
        <v/>
      </c>
      <c r="I482" s="129" t="str">
        <f>IFERROR(IF($D482="","",VLOOKUP($D482,Cadastro!$C$4:$G$7,5,FALSE)),"")</f>
        <v/>
      </c>
      <c r="J482" s="145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">
      <c r="A483" s="69">
        <v>46252</v>
      </c>
      <c r="B483" s="32">
        <f t="shared" si="121"/>
        <v>1.2083333333333333</v>
      </c>
      <c r="C483" s="26"/>
      <c r="D483" s="59"/>
      <c r="E483" s="120"/>
      <c r="F483" s="122" t="str">
        <f>IFERROR(IF($D483="","",VLOOKUP($D483,Cadastro!$C$4:$E$7,3,FALSE)),"")</f>
        <v/>
      </c>
      <c r="G483" s="114"/>
      <c r="H483" s="122" t="str">
        <f>IFERROR(IF($G483="","",$G483*$S$486/$G$486/Cadastro!$E$33),"")</f>
        <v/>
      </c>
      <c r="I483" s="129" t="str">
        <f>IFERROR(IF($D483="","",VLOOKUP($D483,Cadastro!$C$4:$G$7,5,FALSE)),"")</f>
        <v/>
      </c>
      <c r="J483" s="145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8">
        <v>46252</v>
      </c>
      <c r="B484" s="25">
        <f t="shared" si="121"/>
        <v>1.25</v>
      </c>
      <c r="C484" s="26"/>
      <c r="D484" s="59"/>
      <c r="E484" s="120"/>
      <c r="F484" s="122" t="str">
        <f>IFERROR(IF($D484="","",VLOOKUP($D484,Cadastro!$C$4:$E$7,3,FALSE)),"")</f>
        <v/>
      </c>
      <c r="G484" s="114"/>
      <c r="H484" s="122" t="str">
        <f>IFERROR(IF($G484="","",$G484*$S$486/$G$486/Cadastro!$E$33),"")</f>
        <v/>
      </c>
      <c r="I484" s="129" t="str">
        <f>IFERROR(IF($D484="","",VLOOKUP($D484,Cadastro!$C$4:$G$7,5,FALSE)),"")</f>
        <v/>
      </c>
      <c r="J484" s="145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9">
        <v>46252</v>
      </c>
      <c r="B485" s="32">
        <f t="shared" si="121"/>
        <v>1.2916666666666667</v>
      </c>
      <c r="C485" s="26"/>
      <c r="D485" s="59"/>
      <c r="E485" s="120"/>
      <c r="F485" s="118" t="str">
        <f>IFERROR(IF($D485="","",VLOOKUP($D485,Cadastro!$C$4:$E$7,3,FALSE)),"")</f>
        <v/>
      </c>
      <c r="G485" s="114"/>
      <c r="H485" s="118" t="str">
        <f>IFERROR(IF($G485="","",$G485*$S$486/$G$486/Cadastro!$E$33),"")</f>
        <v/>
      </c>
      <c r="I485" s="130" t="str">
        <f>IFERROR(IF($D485="","",VLOOKUP($D485,Cadastro!$C$4:$G$7,5,FALSE)),"")</f>
        <v/>
      </c>
      <c r="J485" s="146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68" t="s">
        <v>234</v>
      </c>
      <c r="B486" s="169"/>
      <c r="C486" s="169"/>
      <c r="D486" s="169"/>
      <c r="E486" s="169">
        <f>SUM(E474:E485)</f>
        <v>0</v>
      </c>
      <c r="F486" s="124"/>
      <c r="G486" s="88">
        <f>SUM(G474:G485)</f>
        <v>0</v>
      </c>
      <c r="H486" s="124">
        <f>IFERROR(SUM(H474:H485),"")</f>
        <v>0</v>
      </c>
      <c r="I486" s="133"/>
      <c r="J486" s="149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232</v>
      </c>
      <c r="S486" s="76"/>
      <c r="T486" s="136">
        <f>IFERROR(J486,"")</f>
        <v>0</v>
      </c>
    </row>
    <row r="487" spans="1:20" ht="18" customHeight="1" x14ac:dyDescent="0.3">
      <c r="A487" s="165" t="s">
        <v>235</v>
      </c>
      <c r="B487" s="166"/>
      <c r="C487" s="166"/>
      <c r="D487" s="166"/>
      <c r="E487" s="166">
        <f>E473+E486</f>
        <v>0</v>
      </c>
      <c r="F487" s="125"/>
      <c r="G487" s="100">
        <f>G473+G486</f>
        <v>0</v>
      </c>
      <c r="H487" s="125">
        <f>IFERROR(H473+H486,"")</f>
        <v>0</v>
      </c>
      <c r="I487" s="134"/>
      <c r="J487" s="150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236</v>
      </c>
      <c r="S487" s="82">
        <f>IFERROR(S473+S486,"")</f>
        <v>0</v>
      </c>
      <c r="T487" s="140">
        <f>IFERROR(J487,"")</f>
        <v>0</v>
      </c>
    </row>
    <row r="488" spans="1:20" ht="15" customHeight="1" x14ac:dyDescent="0.3">
      <c r="A488" s="68">
        <v>46253</v>
      </c>
      <c r="B488" s="25">
        <v>0.33333333333333298</v>
      </c>
      <c r="C488" s="26"/>
      <c r="D488" s="59"/>
      <c r="E488" s="120"/>
      <c r="F488" s="119" t="str">
        <f>IFERROR(IF($D488="","",VLOOKUP($D488,Cadastro!$C$4:$E$7,3,FALSE)),"")</f>
        <v/>
      </c>
      <c r="G488" s="114"/>
      <c r="H488" s="119" t="str">
        <f>IFERROR(IF($G488="","",$G488*$S$500/$G$500/Cadastro!$E$33),"")</f>
        <v/>
      </c>
      <c r="I488" s="132" t="str">
        <f>IFERROR(IF($D488="","",VLOOKUP($D488,Cadastro!$C$4:$G$7,5,FALSE)),"")</f>
        <v/>
      </c>
      <c r="J488" s="148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9">
        <v>46253</v>
      </c>
      <c r="B489" s="32">
        <f t="shared" ref="B489:B499" si="125">B488+TIME(0,60,0)</f>
        <v>0.37499999999999967</v>
      </c>
      <c r="C489" s="26"/>
      <c r="D489" s="59"/>
      <c r="E489" s="120"/>
      <c r="F489" s="122" t="str">
        <f>IFERROR(IF($D489="","",VLOOKUP($D489,Cadastro!$C$4:$E$7,3,FALSE)),"")</f>
        <v/>
      </c>
      <c r="G489" s="114"/>
      <c r="H489" s="122" t="str">
        <f>IFERROR(IF($G489="","",$G489*$S$500/$G$500/Cadastro!$E$33),"")</f>
        <v/>
      </c>
      <c r="I489" s="129" t="str">
        <f>IFERROR(IF($D489="","",VLOOKUP($D489,Cadastro!$C$4:$G$7,5,FALSE)),"")</f>
        <v/>
      </c>
      <c r="J489" s="145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8">
        <v>46253</v>
      </c>
      <c r="B490" s="25">
        <f t="shared" si="125"/>
        <v>0.41666666666666635</v>
      </c>
      <c r="C490" s="26"/>
      <c r="D490" s="59"/>
      <c r="E490" s="120"/>
      <c r="F490" s="122" t="str">
        <f>IFERROR(IF($D490="","",VLOOKUP($D490,Cadastro!$C$4:$E$7,3,FALSE)),"")</f>
        <v/>
      </c>
      <c r="G490" s="114"/>
      <c r="H490" s="122" t="str">
        <f>IFERROR(IF($G490="","",$G490*$S$500/$G$500/Cadastro!$E$33),"")</f>
        <v/>
      </c>
      <c r="I490" s="129" t="str">
        <f>IFERROR(IF($D490="","",VLOOKUP($D490,Cadastro!$C$4:$G$7,5,FALSE)),"")</f>
        <v/>
      </c>
      <c r="J490" s="145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9">
        <v>46253</v>
      </c>
      <c r="B491" s="32">
        <f t="shared" si="125"/>
        <v>0.45833333333333304</v>
      </c>
      <c r="C491" s="26"/>
      <c r="D491" s="59"/>
      <c r="E491" s="120"/>
      <c r="F491" s="122" t="str">
        <f>IFERROR(IF($D491="","",VLOOKUP($D491,Cadastro!$C$4:$E$7,3,FALSE)),"")</f>
        <v/>
      </c>
      <c r="G491" s="114"/>
      <c r="H491" s="122" t="str">
        <f>IFERROR(IF($G491="","",$G491*$S$500/$G$500/Cadastro!$E$33),"")</f>
        <v/>
      </c>
      <c r="I491" s="129" t="str">
        <f>IFERROR(IF($D491="","",VLOOKUP($D491,Cadastro!$C$4:$G$7,5,FALSE)),"")</f>
        <v/>
      </c>
      <c r="J491" s="145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8">
        <v>46253</v>
      </c>
      <c r="B492" s="25">
        <f t="shared" si="125"/>
        <v>0.49999999999999972</v>
      </c>
      <c r="C492" s="26"/>
      <c r="D492" s="59"/>
      <c r="E492" s="120"/>
      <c r="F492" s="122" t="str">
        <f>IFERROR(IF($D492="","",VLOOKUP($D492,Cadastro!$C$4:$E$7,3,FALSE)),"")</f>
        <v/>
      </c>
      <c r="G492" s="114"/>
      <c r="H492" s="122" t="str">
        <f>IFERROR(IF($G492="","",$G492*$S$500/$G$500/Cadastro!$E$33),"")</f>
        <v/>
      </c>
      <c r="I492" s="129" t="str">
        <f>IFERROR(IF($D492="","",VLOOKUP($D492,Cadastro!$C$4:$G$7,5,FALSE)),"")</f>
        <v/>
      </c>
      <c r="J492" s="145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9">
        <v>46253</v>
      </c>
      <c r="B493" s="32">
        <f t="shared" si="125"/>
        <v>0.54166666666666641</v>
      </c>
      <c r="C493" s="26"/>
      <c r="D493" s="59"/>
      <c r="E493" s="120"/>
      <c r="F493" s="122" t="str">
        <f>IFERROR(IF($D493="","",VLOOKUP($D493,Cadastro!$C$4:$E$7,3,FALSE)),"")</f>
        <v/>
      </c>
      <c r="G493" s="114"/>
      <c r="H493" s="122" t="str">
        <f>IFERROR(IF($G493="","",$G493*$S$500/$G$500/Cadastro!$E$33),"")</f>
        <v/>
      </c>
      <c r="I493" s="129" t="str">
        <f>IFERROR(IF($D493="","",VLOOKUP($D493,Cadastro!$C$4:$G$7,5,FALSE)),"")</f>
        <v/>
      </c>
      <c r="J493" s="145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8">
        <v>46253</v>
      </c>
      <c r="B494" s="25">
        <f t="shared" si="125"/>
        <v>0.58333333333333304</v>
      </c>
      <c r="C494" s="26"/>
      <c r="D494" s="59"/>
      <c r="E494" s="120"/>
      <c r="F494" s="122" t="str">
        <f>IFERROR(IF($D494="","",VLOOKUP($D494,Cadastro!$C$4:$E$7,3,FALSE)),"")</f>
        <v/>
      </c>
      <c r="G494" s="114"/>
      <c r="H494" s="122" t="str">
        <f>IFERROR(IF($G494="","",$G494*$S$500/$G$500/Cadastro!$E$33),"")</f>
        <v/>
      </c>
      <c r="I494" s="129" t="str">
        <f>IFERROR(IF($D494="","",VLOOKUP($D494,Cadastro!$C$4:$G$7,5,FALSE)),"")</f>
        <v/>
      </c>
      <c r="J494" s="145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9">
        <v>46253</v>
      </c>
      <c r="B495" s="32">
        <f t="shared" si="125"/>
        <v>0.62499999999999967</v>
      </c>
      <c r="C495" s="26"/>
      <c r="D495" s="59"/>
      <c r="E495" s="120"/>
      <c r="F495" s="122" t="str">
        <f>IFERROR(IF($D495="","",VLOOKUP($D495,Cadastro!$C$4:$E$7,3,FALSE)),"")</f>
        <v/>
      </c>
      <c r="G495" s="114"/>
      <c r="H495" s="122" t="str">
        <f>IFERROR(IF($G495="","",$G495*$S$500/$G$500/Cadastro!$E$33),"")</f>
        <v/>
      </c>
      <c r="I495" s="129" t="str">
        <f>IFERROR(IF($D495="","",VLOOKUP($D495,Cadastro!$C$4:$G$7,5,FALSE)),"")</f>
        <v/>
      </c>
      <c r="J495" s="145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8">
        <v>46253</v>
      </c>
      <c r="B496" s="25">
        <f t="shared" si="125"/>
        <v>0.6666666666666663</v>
      </c>
      <c r="C496" s="26"/>
      <c r="D496" s="59"/>
      <c r="E496" s="120"/>
      <c r="F496" s="122" t="str">
        <f>IFERROR(IF($D496="","",VLOOKUP($D496,Cadastro!$C$4:$E$7,3,FALSE)),"")</f>
        <v/>
      </c>
      <c r="G496" s="114"/>
      <c r="H496" s="122" t="str">
        <f>IFERROR(IF($G496="","",$G496*$S$500/$G$500/Cadastro!$E$33),"")</f>
        <v/>
      </c>
      <c r="I496" s="129" t="str">
        <f>IFERROR(IF($D496="","",VLOOKUP($D496,Cadastro!$C$4:$G$7,5,FALSE)),"")</f>
        <v/>
      </c>
      <c r="J496" s="145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9">
        <v>46253</v>
      </c>
      <c r="B497" s="32">
        <f t="shared" si="125"/>
        <v>0.70833333333333293</v>
      </c>
      <c r="C497" s="26"/>
      <c r="D497" s="59"/>
      <c r="E497" s="120"/>
      <c r="F497" s="122" t="str">
        <f>IFERROR(IF($D497="","",VLOOKUP($D497,Cadastro!$C$4:$E$7,3,FALSE)),"")</f>
        <v/>
      </c>
      <c r="G497" s="114"/>
      <c r="H497" s="122" t="str">
        <f>IFERROR(IF($G497="","",$G497*$S$500/$G$500/Cadastro!$E$33),"")</f>
        <v/>
      </c>
      <c r="I497" s="129" t="str">
        <f>IFERROR(IF($D497="","",VLOOKUP($D497,Cadastro!$C$4:$G$7,5,FALSE)),"")</f>
        <v/>
      </c>
      <c r="J497" s="145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8">
        <v>46253</v>
      </c>
      <c r="B498" s="25">
        <f t="shared" si="125"/>
        <v>0.74999999999999956</v>
      </c>
      <c r="C498" s="26"/>
      <c r="D498" s="59"/>
      <c r="E498" s="120"/>
      <c r="F498" s="122" t="str">
        <f>IFERROR(IF($D498="","",VLOOKUP($D498,Cadastro!$C$4:$E$7,3,FALSE)),"")</f>
        <v/>
      </c>
      <c r="G498" s="114"/>
      <c r="H498" s="122" t="str">
        <f>IFERROR(IF($G498="","",$G498*$S$500/$G$500/Cadastro!$E$33),"")</f>
        <v/>
      </c>
      <c r="I498" s="129" t="str">
        <f>IFERROR(IF($D498="","",VLOOKUP($D498,Cadastro!$C$4:$G$7,5,FALSE)),"")</f>
        <v/>
      </c>
      <c r="J498" s="145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9">
        <v>46253</v>
      </c>
      <c r="B499" s="32">
        <f t="shared" si="125"/>
        <v>0.79166666666666619</v>
      </c>
      <c r="C499" s="26"/>
      <c r="D499" s="59"/>
      <c r="E499" s="120"/>
      <c r="F499" s="118" t="str">
        <f>IFERROR(IF($D499="","",VLOOKUP($D499,Cadastro!$C$4:$E$7,3,FALSE)),"")</f>
        <v/>
      </c>
      <c r="G499" s="114"/>
      <c r="H499" s="118" t="str">
        <f>IFERROR(IF($G499="","",$G499*$S$500/$G$500/Cadastro!$E$33),"")</f>
        <v/>
      </c>
      <c r="I499" s="130" t="str">
        <f>IFERROR(IF($D499="","",VLOOKUP($D499,Cadastro!$C$4:$G$7,5,FALSE)),"")</f>
        <v/>
      </c>
      <c r="J499" s="146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68" t="s">
        <v>231</v>
      </c>
      <c r="B500" s="169"/>
      <c r="C500" s="169"/>
      <c r="D500" s="169"/>
      <c r="E500" s="169">
        <f>SUM(E488:E499)</f>
        <v>0</v>
      </c>
      <c r="F500" s="123"/>
      <c r="G500" s="88">
        <f>SUM(G488:G499)</f>
        <v>0</v>
      </c>
      <c r="H500" s="123">
        <f>IFERROR(SUM(H488:H499),"")</f>
        <v>0</v>
      </c>
      <c r="I500" s="131"/>
      <c r="J500" s="147">
        <f>IFERROR(SUM(J488:J499),"")</f>
        <v>0</v>
      </c>
      <c r="K500" s="89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232</v>
      </c>
      <c r="S500" s="76"/>
      <c r="T500" s="136">
        <f>IFERROR(J500,"")</f>
        <v>0</v>
      </c>
    </row>
    <row r="501" spans="1:20" ht="15" customHeight="1" x14ac:dyDescent="0.3">
      <c r="A501" s="69">
        <v>46253</v>
      </c>
      <c r="B501" s="32">
        <v>0.83333333333333304</v>
      </c>
      <c r="C501" s="33"/>
      <c r="D501" s="62"/>
      <c r="E501" s="121"/>
      <c r="F501" s="119" t="str">
        <f>IFERROR(IF($D501="","",VLOOKUP($D501,Cadastro!$C$4:$E$7,3,FALSE)),"")</f>
        <v/>
      </c>
      <c r="G501" s="114"/>
      <c r="H501" s="119" t="str">
        <f>IFERROR(IF($G501="","",$G501*$S$513/$G$513/Cadastro!$E$33),"")</f>
        <v/>
      </c>
      <c r="I501" s="132" t="str">
        <f>IFERROR(IF($D501="","",VLOOKUP($D501,Cadastro!$C$4:$G$7,5,FALSE)),"")</f>
        <v/>
      </c>
      <c r="J501" s="148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8">
        <v>46253</v>
      </c>
      <c r="B502" s="25">
        <f t="shared" ref="B502:B512" si="129">B501+TIME(0,60,0)</f>
        <v>0.87499999999999967</v>
      </c>
      <c r="C502" s="33"/>
      <c r="D502" s="62"/>
      <c r="E502" s="121"/>
      <c r="F502" s="122" t="str">
        <f>IFERROR(IF($D502="","",VLOOKUP($D502,Cadastro!$C$4:$E$7,3,FALSE)),"")</f>
        <v/>
      </c>
      <c r="G502" s="114"/>
      <c r="H502" s="122" t="str">
        <f>IFERROR(IF($G502="","",$G502*$S$513/$G$513/Cadastro!$E$33),"")</f>
        <v/>
      </c>
      <c r="I502" s="129" t="str">
        <f>IFERROR(IF($D502="","",VLOOKUP($D502,Cadastro!$C$4:$G$7,5,FALSE)),"")</f>
        <v/>
      </c>
      <c r="J502" s="145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9">
        <v>46253</v>
      </c>
      <c r="B503" s="32">
        <f t="shared" si="129"/>
        <v>0.9166666666666663</v>
      </c>
      <c r="C503" s="33"/>
      <c r="D503" s="62"/>
      <c r="E503" s="121"/>
      <c r="F503" s="122" t="str">
        <f>IFERROR(IF($D503="","",VLOOKUP($D503,Cadastro!$C$4:$E$7,3,FALSE)),"")</f>
        <v/>
      </c>
      <c r="G503" s="114"/>
      <c r="H503" s="122" t="str">
        <f>IFERROR(IF($G503="","",$G503*$S$513/$G$513/Cadastro!$E$33),"")</f>
        <v/>
      </c>
      <c r="I503" s="129" t="str">
        <f>IFERROR(IF($D503="","",VLOOKUP($D503,Cadastro!$C$4:$G$7,5,FALSE)),"")</f>
        <v/>
      </c>
      <c r="J503" s="145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8">
        <v>46253</v>
      </c>
      <c r="B504" s="25">
        <f t="shared" si="129"/>
        <v>0.95833333333333293</v>
      </c>
      <c r="C504" s="33"/>
      <c r="D504" s="62"/>
      <c r="E504" s="121"/>
      <c r="F504" s="122" t="str">
        <f>IFERROR(IF($D504="","",VLOOKUP($D504,Cadastro!$C$4:$E$7,3,FALSE)),"")</f>
        <v/>
      </c>
      <c r="G504" s="114"/>
      <c r="H504" s="122" t="str">
        <f>IFERROR(IF($G504="","",$G504*$S$513/$G$513/Cadastro!$E$33),"")</f>
        <v/>
      </c>
      <c r="I504" s="129" t="str">
        <f>IFERROR(IF($D504="","",VLOOKUP($D504,Cadastro!$C$4:$G$7,5,FALSE)),"")</f>
        <v/>
      </c>
      <c r="J504" s="145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9">
        <v>46253</v>
      </c>
      <c r="B505" s="32">
        <f t="shared" si="129"/>
        <v>0.99999999999999956</v>
      </c>
      <c r="C505" s="33"/>
      <c r="D505" s="62"/>
      <c r="E505" s="121"/>
      <c r="F505" s="122" t="str">
        <f>IFERROR(IF($D505="","",VLOOKUP($D505,Cadastro!$C$4:$E$7,3,FALSE)),"")</f>
        <v/>
      </c>
      <c r="G505" s="114"/>
      <c r="H505" s="122" t="str">
        <f>IFERROR(IF($G505="","",$G505*$S$513/$G$513/Cadastro!$E$33),"")</f>
        <v/>
      </c>
      <c r="I505" s="129" t="str">
        <f>IFERROR(IF($D505="","",VLOOKUP($D505,Cadastro!$C$4:$G$7,5,FALSE)),"")</f>
        <v/>
      </c>
      <c r="J505" s="145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8">
        <v>46253</v>
      </c>
      <c r="B506" s="25">
        <f t="shared" si="129"/>
        <v>1.0416666666666663</v>
      </c>
      <c r="C506" s="33"/>
      <c r="D506" s="62"/>
      <c r="E506" s="121"/>
      <c r="F506" s="122" t="str">
        <f>IFERROR(IF($D506="","",VLOOKUP($D506,Cadastro!$C$4:$E$7,3,FALSE)),"")</f>
        <v/>
      </c>
      <c r="G506" s="114"/>
      <c r="H506" s="122" t="str">
        <f>IFERROR(IF($G506="","",$G506*$S$513/$G$513/Cadastro!$E$33),"")</f>
        <v/>
      </c>
      <c r="I506" s="129" t="str">
        <f>IFERROR(IF($D506="","",VLOOKUP($D506,Cadastro!$C$4:$G$7,5,FALSE)),"")</f>
        <v/>
      </c>
      <c r="J506" s="145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9">
        <v>46253</v>
      </c>
      <c r="B507" s="32">
        <f t="shared" si="129"/>
        <v>1.083333333333333</v>
      </c>
      <c r="C507" s="33"/>
      <c r="D507" s="62"/>
      <c r="E507" s="121"/>
      <c r="F507" s="122" t="str">
        <f>IFERROR(IF($D507="","",VLOOKUP($D507,Cadastro!$C$4:$E$7,3,FALSE)),"")</f>
        <v/>
      </c>
      <c r="G507" s="114"/>
      <c r="H507" s="122" t="str">
        <f>IFERROR(IF($G507="","",$G507*$S$513/$G$513/Cadastro!$E$33),"")</f>
        <v/>
      </c>
      <c r="I507" s="129" t="str">
        <f>IFERROR(IF($D507="","",VLOOKUP($D507,Cadastro!$C$4:$G$7,5,FALSE)),"")</f>
        <v/>
      </c>
      <c r="J507" s="145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8">
        <v>46253</v>
      </c>
      <c r="B508" s="25">
        <f t="shared" si="129"/>
        <v>1.1249999999999998</v>
      </c>
      <c r="C508" s="33"/>
      <c r="D508" s="62"/>
      <c r="E508" s="121"/>
      <c r="F508" s="122" t="str">
        <f>IFERROR(IF($D508="","",VLOOKUP($D508,Cadastro!$C$4:$E$7,3,FALSE)),"")</f>
        <v/>
      </c>
      <c r="G508" s="114"/>
      <c r="H508" s="122" t="str">
        <f>IFERROR(IF($G508="","",$G508*$S$513/$G$513/Cadastro!$E$33),"")</f>
        <v/>
      </c>
      <c r="I508" s="129" t="str">
        <f>IFERROR(IF($D508="","",VLOOKUP($D508,Cadastro!$C$4:$G$7,5,FALSE)),"")</f>
        <v/>
      </c>
      <c r="J508" s="145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9">
        <v>46253</v>
      </c>
      <c r="B509" s="32">
        <f t="shared" si="129"/>
        <v>1.1666666666666665</v>
      </c>
      <c r="C509" s="33"/>
      <c r="D509" s="62"/>
      <c r="E509" s="121"/>
      <c r="F509" s="122" t="str">
        <f>IFERROR(IF($D509="","",VLOOKUP($D509,Cadastro!$C$4:$E$7,3,FALSE)),"")</f>
        <v/>
      </c>
      <c r="G509" s="114"/>
      <c r="H509" s="122" t="str">
        <f>IFERROR(IF($G509="","",$G509*$S$513/$G$513/Cadastro!$E$33),"")</f>
        <v/>
      </c>
      <c r="I509" s="129" t="str">
        <f>IFERROR(IF($D509="","",VLOOKUP($D509,Cadastro!$C$4:$G$7,5,FALSE)),"")</f>
        <v/>
      </c>
      <c r="J509" s="145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8">
        <v>46253</v>
      </c>
      <c r="B510" s="25">
        <f t="shared" si="129"/>
        <v>1.2083333333333333</v>
      </c>
      <c r="C510" s="33"/>
      <c r="D510" s="62"/>
      <c r="E510" s="121"/>
      <c r="F510" s="122" t="str">
        <f>IFERROR(IF($D510="","",VLOOKUP($D510,Cadastro!$C$4:$E$7,3,FALSE)),"")</f>
        <v/>
      </c>
      <c r="G510" s="114"/>
      <c r="H510" s="122" t="str">
        <f>IFERROR(IF($G510="","",$G510*$S$513/$G$513/Cadastro!$E$33),"")</f>
        <v/>
      </c>
      <c r="I510" s="129" t="str">
        <f>IFERROR(IF($D510="","",VLOOKUP($D510,Cadastro!$C$4:$G$7,5,FALSE)),"")</f>
        <v/>
      </c>
      <c r="J510" s="145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9">
        <v>46253</v>
      </c>
      <c r="B511" s="32">
        <f t="shared" si="129"/>
        <v>1.25</v>
      </c>
      <c r="C511" s="33"/>
      <c r="D511" s="62"/>
      <c r="E511" s="121"/>
      <c r="F511" s="122" t="str">
        <f>IFERROR(IF($D511="","",VLOOKUP($D511,Cadastro!$C$4:$E$7,3,FALSE)),"")</f>
        <v/>
      </c>
      <c r="G511" s="114"/>
      <c r="H511" s="122" t="str">
        <f>IFERROR(IF($G511="","",$G511*$S$513/$G$513/Cadastro!$E$33),"")</f>
        <v/>
      </c>
      <c r="I511" s="129" t="str">
        <f>IFERROR(IF($D511="","",VLOOKUP($D511,Cadastro!$C$4:$G$7,5,FALSE)),"")</f>
        <v/>
      </c>
      <c r="J511" s="145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8">
        <v>46253</v>
      </c>
      <c r="B512" s="25">
        <f t="shared" si="129"/>
        <v>1.2916666666666667</v>
      </c>
      <c r="C512" s="33"/>
      <c r="D512" s="62"/>
      <c r="E512" s="121"/>
      <c r="F512" s="118" t="str">
        <f>IFERROR(IF($D512="","",VLOOKUP($D512,Cadastro!$C$4:$E$7,3,FALSE)),"")</f>
        <v/>
      </c>
      <c r="G512" s="114"/>
      <c r="H512" s="118" t="str">
        <f>IFERROR(IF($G512="","",$G512*$S$513/$G$513/Cadastro!$E$33),"")</f>
        <v/>
      </c>
      <c r="I512" s="130" t="str">
        <f>IFERROR(IF($D512="","",VLOOKUP($D512,Cadastro!$C$4:$G$7,5,FALSE)),"")</f>
        <v/>
      </c>
      <c r="J512" s="146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86" t="s">
        <v>234</v>
      </c>
      <c r="B513" s="87"/>
      <c r="C513" s="87"/>
      <c r="D513" s="87"/>
      <c r="E513" s="87"/>
      <c r="F513" s="124"/>
      <c r="G513" s="88">
        <f>SUM(G501:G512)</f>
        <v>0</v>
      </c>
      <c r="H513" s="124">
        <f>IFERROR(SUM(H501:H512),"")</f>
        <v>0</v>
      </c>
      <c r="I513" s="133"/>
      <c r="J513" s="149">
        <f>IFERROR(SUM(J501:J512),"")</f>
        <v>0</v>
      </c>
      <c r="K513" s="89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232</v>
      </c>
      <c r="S513" s="76"/>
      <c r="T513" s="136">
        <f>IFERROR(J513,"")</f>
        <v>0</v>
      </c>
    </row>
    <row r="514" spans="1:20" ht="18" customHeight="1" x14ac:dyDescent="0.3">
      <c r="A514" s="91" t="s">
        <v>235</v>
      </c>
      <c r="B514" s="90"/>
      <c r="C514" s="90"/>
      <c r="D514" s="90"/>
      <c r="E514" s="90"/>
      <c r="F514" s="125"/>
      <c r="G514" s="100">
        <f>G500+G513</f>
        <v>0</v>
      </c>
      <c r="H514" s="125">
        <f>IFERROR(H500+H513,"")</f>
        <v>0</v>
      </c>
      <c r="I514" s="134"/>
      <c r="J514" s="150">
        <f>IFERROR(J500+J513,"")</f>
        <v>0</v>
      </c>
      <c r="K514" s="96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236</v>
      </c>
      <c r="S514" s="82">
        <f>IFERROR(S500+S513,"")</f>
        <v>0</v>
      </c>
      <c r="T514" s="140">
        <f>IFERROR(J514,"")</f>
        <v>0</v>
      </c>
    </row>
    <row r="515" spans="1:20" ht="15" customHeight="1" x14ac:dyDescent="0.3">
      <c r="A515" s="69">
        <v>46254</v>
      </c>
      <c r="B515" s="32">
        <v>0.33333333333333298</v>
      </c>
      <c r="C515" s="33"/>
      <c r="D515" s="62"/>
      <c r="E515" s="121"/>
      <c r="F515" s="119" t="str">
        <f>IFERROR(IF($D515="","",VLOOKUP($D515,Cadastro!$C$4:$E$7,3,FALSE)),"")</f>
        <v/>
      </c>
      <c r="G515" s="114"/>
      <c r="H515" s="119" t="str">
        <f>IFERROR(IF($G515="","",$G515*$S$527/$G$527/Cadastro!$E$33),"")</f>
        <v/>
      </c>
      <c r="I515" s="132" t="str">
        <f>IFERROR(IF($D515="","",VLOOKUP($D515,Cadastro!$C$4:$G$7,5,FALSE)),"")</f>
        <v/>
      </c>
      <c r="J515" s="148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8">
        <v>46254</v>
      </c>
      <c r="B516" s="25">
        <f t="shared" ref="B516:B526" si="133">B515+TIME(0,60,0)</f>
        <v>0.37499999999999967</v>
      </c>
      <c r="C516" s="33"/>
      <c r="D516" s="62"/>
      <c r="E516" s="121"/>
      <c r="F516" s="122" t="str">
        <f>IFERROR(IF($D516="","",VLOOKUP($D516,Cadastro!$C$4:$E$7,3,FALSE)),"")</f>
        <v/>
      </c>
      <c r="G516" s="114"/>
      <c r="H516" s="122" t="str">
        <f>IFERROR(IF($G516="","",$G516*$S$527/$G$527/Cadastro!$E$33),"")</f>
        <v/>
      </c>
      <c r="I516" s="129" t="str">
        <f>IFERROR(IF($D516="","",VLOOKUP($D516,Cadastro!$C$4:$G$7,5,FALSE)),"")</f>
        <v/>
      </c>
      <c r="J516" s="145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9">
        <v>46254</v>
      </c>
      <c r="B517" s="32">
        <f t="shared" si="133"/>
        <v>0.41666666666666635</v>
      </c>
      <c r="C517" s="33"/>
      <c r="D517" s="62"/>
      <c r="E517" s="121"/>
      <c r="F517" s="122" t="str">
        <f>IFERROR(IF($D517="","",VLOOKUP($D517,Cadastro!$C$4:$E$7,3,FALSE)),"")</f>
        <v/>
      </c>
      <c r="G517" s="114"/>
      <c r="H517" s="122" t="str">
        <f>IFERROR(IF($G517="","",$G517*$S$527/$G$527/Cadastro!$E$33),"")</f>
        <v/>
      </c>
      <c r="I517" s="129" t="str">
        <f>IFERROR(IF($D517="","",VLOOKUP($D517,Cadastro!$C$4:$G$7,5,FALSE)),"")</f>
        <v/>
      </c>
      <c r="J517" s="145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8">
        <v>46254</v>
      </c>
      <c r="B518" s="25">
        <f t="shared" si="133"/>
        <v>0.45833333333333304</v>
      </c>
      <c r="C518" s="33"/>
      <c r="D518" s="62"/>
      <c r="E518" s="121"/>
      <c r="F518" s="122" t="str">
        <f>IFERROR(IF($D518="","",VLOOKUP($D518,Cadastro!$C$4:$E$7,3,FALSE)),"")</f>
        <v/>
      </c>
      <c r="G518" s="114"/>
      <c r="H518" s="122" t="str">
        <f>IFERROR(IF($G518="","",$G518*$S$527/$G$527/Cadastro!$E$33),"")</f>
        <v/>
      </c>
      <c r="I518" s="129" t="str">
        <f>IFERROR(IF($D518="","",VLOOKUP($D518,Cadastro!$C$4:$G$7,5,FALSE)),"")</f>
        <v/>
      </c>
      <c r="J518" s="145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9">
        <v>46254</v>
      </c>
      <c r="B519" s="32">
        <f t="shared" si="133"/>
        <v>0.49999999999999972</v>
      </c>
      <c r="C519" s="33"/>
      <c r="D519" s="62"/>
      <c r="E519" s="121"/>
      <c r="F519" s="122" t="str">
        <f>IFERROR(IF($D519="","",VLOOKUP($D519,Cadastro!$C$4:$E$7,3,FALSE)),"")</f>
        <v/>
      </c>
      <c r="G519" s="114"/>
      <c r="H519" s="122" t="str">
        <f>IFERROR(IF($G519="","",$G519*$S$527/$G$527/Cadastro!$E$33),"")</f>
        <v/>
      </c>
      <c r="I519" s="129" t="str">
        <f>IFERROR(IF($D519="","",VLOOKUP($D519,Cadastro!$C$4:$G$7,5,FALSE)),"")</f>
        <v/>
      </c>
      <c r="J519" s="145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8">
        <v>46254</v>
      </c>
      <c r="B520" s="25">
        <f t="shared" si="133"/>
        <v>0.54166666666666641</v>
      </c>
      <c r="C520" s="33"/>
      <c r="D520" s="62"/>
      <c r="E520" s="121"/>
      <c r="F520" s="122" t="str">
        <f>IFERROR(IF($D520="","",VLOOKUP($D520,Cadastro!$C$4:$E$7,3,FALSE)),"")</f>
        <v/>
      </c>
      <c r="G520" s="114"/>
      <c r="H520" s="122" t="str">
        <f>IFERROR(IF($G520="","",$G520*$S$527/$G$527/Cadastro!$E$33),"")</f>
        <v/>
      </c>
      <c r="I520" s="129" t="str">
        <f>IFERROR(IF($D520="","",VLOOKUP($D520,Cadastro!$C$4:$G$7,5,FALSE)),"")</f>
        <v/>
      </c>
      <c r="J520" s="145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9">
        <v>46254</v>
      </c>
      <c r="B521" s="32">
        <f t="shared" si="133"/>
        <v>0.58333333333333304</v>
      </c>
      <c r="C521" s="33"/>
      <c r="D521" s="62"/>
      <c r="E521" s="121"/>
      <c r="F521" s="122" t="str">
        <f>IFERROR(IF($D521="","",VLOOKUP($D521,Cadastro!$C$4:$E$7,3,FALSE)),"")</f>
        <v/>
      </c>
      <c r="G521" s="114"/>
      <c r="H521" s="122" t="str">
        <f>IFERROR(IF($G521="","",$G521*$S$527/$G$527/Cadastro!$E$33),"")</f>
        <v/>
      </c>
      <c r="I521" s="129" t="str">
        <f>IFERROR(IF($D521="","",VLOOKUP($D521,Cadastro!$C$4:$G$7,5,FALSE)),"")</f>
        <v/>
      </c>
      <c r="J521" s="145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8">
        <v>46254</v>
      </c>
      <c r="B522" s="25">
        <f t="shared" si="133"/>
        <v>0.62499999999999967</v>
      </c>
      <c r="C522" s="33"/>
      <c r="D522" s="62"/>
      <c r="E522" s="121"/>
      <c r="F522" s="122" t="str">
        <f>IFERROR(IF($D522="","",VLOOKUP($D522,Cadastro!$C$4:$E$7,3,FALSE)),"")</f>
        <v/>
      </c>
      <c r="G522" s="114"/>
      <c r="H522" s="122" t="str">
        <f>IFERROR(IF($G522="","",$G522*$S$527/$G$527/Cadastro!$E$33),"")</f>
        <v/>
      </c>
      <c r="I522" s="129" t="str">
        <f>IFERROR(IF($D522="","",VLOOKUP($D522,Cadastro!$C$4:$G$7,5,FALSE)),"")</f>
        <v/>
      </c>
      <c r="J522" s="145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9">
        <v>46254</v>
      </c>
      <c r="B523" s="32">
        <f t="shared" si="133"/>
        <v>0.6666666666666663</v>
      </c>
      <c r="C523" s="33"/>
      <c r="D523" s="62"/>
      <c r="E523" s="121"/>
      <c r="F523" s="122" t="str">
        <f>IFERROR(IF($D523="","",VLOOKUP($D523,Cadastro!$C$4:$E$7,3,FALSE)),"")</f>
        <v/>
      </c>
      <c r="G523" s="114"/>
      <c r="H523" s="122" t="str">
        <f>IFERROR(IF($G523="","",$G523*$S$527/$G$527/Cadastro!$E$33),"")</f>
        <v/>
      </c>
      <c r="I523" s="129" t="str">
        <f>IFERROR(IF($D523="","",VLOOKUP($D523,Cadastro!$C$4:$G$7,5,FALSE)),"")</f>
        <v/>
      </c>
      <c r="J523" s="145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8">
        <v>46254</v>
      </c>
      <c r="B524" s="25">
        <f t="shared" si="133"/>
        <v>0.70833333333333293</v>
      </c>
      <c r="C524" s="33"/>
      <c r="D524" s="62"/>
      <c r="E524" s="121"/>
      <c r="F524" s="122" t="str">
        <f>IFERROR(IF($D524="","",VLOOKUP($D524,Cadastro!$C$4:$E$7,3,FALSE)),"")</f>
        <v/>
      </c>
      <c r="G524" s="114"/>
      <c r="H524" s="122" t="str">
        <f>IFERROR(IF($G524="","",$G524*$S$527/$G$527/Cadastro!$E$33),"")</f>
        <v/>
      </c>
      <c r="I524" s="129" t="str">
        <f>IFERROR(IF($D524="","",VLOOKUP($D524,Cadastro!$C$4:$G$7,5,FALSE)),"")</f>
        <v/>
      </c>
      <c r="J524" s="145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9">
        <v>46254</v>
      </c>
      <c r="B525" s="32">
        <f t="shared" si="133"/>
        <v>0.74999999999999956</v>
      </c>
      <c r="C525" s="33"/>
      <c r="D525" s="62"/>
      <c r="E525" s="121"/>
      <c r="F525" s="122" t="str">
        <f>IFERROR(IF($D525="","",VLOOKUP($D525,Cadastro!$C$4:$E$7,3,FALSE)),"")</f>
        <v/>
      </c>
      <c r="G525" s="114"/>
      <c r="H525" s="122" t="str">
        <f>IFERROR(IF($G525="","",$G525*$S$527/$G$527/Cadastro!$E$33),"")</f>
        <v/>
      </c>
      <c r="I525" s="129" t="str">
        <f>IFERROR(IF($D525="","",VLOOKUP($D525,Cadastro!$C$4:$G$7,5,FALSE)),"")</f>
        <v/>
      </c>
      <c r="J525" s="145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8">
        <v>46254</v>
      </c>
      <c r="B526" s="25">
        <f t="shared" si="133"/>
        <v>0.79166666666666619</v>
      </c>
      <c r="C526" s="33"/>
      <c r="D526" s="62"/>
      <c r="E526" s="121"/>
      <c r="F526" s="118" t="str">
        <f>IFERROR(IF($D526="","",VLOOKUP($D526,Cadastro!$C$4:$E$7,3,FALSE)),"")</f>
        <v/>
      </c>
      <c r="G526" s="114"/>
      <c r="H526" s="118" t="str">
        <f>IFERROR(IF($G526="","",$G526*$S$527/$G$527/Cadastro!$E$33),"")</f>
        <v/>
      </c>
      <c r="I526" s="130" t="str">
        <f>IFERROR(IF($D526="","",VLOOKUP($D526,Cadastro!$C$4:$G$7,5,FALSE)),"")</f>
        <v/>
      </c>
      <c r="J526" s="146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68" t="s">
        <v>231</v>
      </c>
      <c r="B527" s="169"/>
      <c r="C527" s="169"/>
      <c r="D527" s="169"/>
      <c r="E527" s="169">
        <f>SUM(E515:E526)</f>
        <v>0</v>
      </c>
      <c r="F527" s="123"/>
      <c r="G527" s="88">
        <f>SUM(G515:G526)</f>
        <v>0</v>
      </c>
      <c r="H527" s="123">
        <f>IFERROR(SUM(H515:H526),"")</f>
        <v>0</v>
      </c>
      <c r="I527" s="131"/>
      <c r="J527" s="147">
        <f>IFERROR(SUM(J515:J526),"")</f>
        <v>0</v>
      </c>
      <c r="K527" s="89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232</v>
      </c>
      <c r="S527" s="76"/>
      <c r="T527" s="136">
        <f>IFERROR(J527,"")</f>
        <v>0</v>
      </c>
    </row>
    <row r="528" spans="1:20" ht="15" customHeight="1" x14ac:dyDescent="0.3">
      <c r="A528" s="68">
        <v>46254</v>
      </c>
      <c r="B528" s="25">
        <v>0.83333333333333304</v>
      </c>
      <c r="C528" s="26"/>
      <c r="D528" s="59"/>
      <c r="E528" s="120"/>
      <c r="F528" s="119" t="str">
        <f>IFERROR(IF($D528="","",VLOOKUP($D528,Cadastro!$C$4:$E$7,3,FALSE)),"")</f>
        <v/>
      </c>
      <c r="G528" s="114"/>
      <c r="H528" s="119" t="str">
        <f>IFERROR(IF($G528="","",$G528*$S$540/$G$540/Cadastro!$E$33),"")</f>
        <v/>
      </c>
      <c r="I528" s="132" t="str">
        <f>IFERROR(IF($D528="","",VLOOKUP($D528,Cadastro!$C$4:$G$7,5,FALSE)),"")</f>
        <v/>
      </c>
      <c r="J528" s="148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9">
        <v>46254</v>
      </c>
      <c r="B529" s="32">
        <f t="shared" ref="B529:B539" si="137">B528+TIME(0,60,0)</f>
        <v>0.87499999999999967</v>
      </c>
      <c r="C529" s="26"/>
      <c r="D529" s="59"/>
      <c r="E529" s="120"/>
      <c r="F529" s="122" t="str">
        <f>IFERROR(IF($D529="","",VLOOKUP($D529,Cadastro!$C$4:$E$7,3,FALSE)),"")</f>
        <v/>
      </c>
      <c r="G529" s="114"/>
      <c r="H529" s="122" t="str">
        <f>IFERROR(IF($G529="","",$G529*$S$540/$G$540/Cadastro!$E$33),"")</f>
        <v/>
      </c>
      <c r="I529" s="129" t="str">
        <f>IFERROR(IF($D529="","",VLOOKUP($D529,Cadastro!$C$4:$G$7,5,FALSE)),"")</f>
        <v/>
      </c>
      <c r="J529" s="145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8">
        <v>46254</v>
      </c>
      <c r="B530" s="25">
        <f t="shared" si="137"/>
        <v>0.9166666666666663</v>
      </c>
      <c r="C530" s="26"/>
      <c r="D530" s="59"/>
      <c r="E530" s="120"/>
      <c r="F530" s="122" t="str">
        <f>IFERROR(IF($D530="","",VLOOKUP($D530,Cadastro!$C$4:$E$7,3,FALSE)),"")</f>
        <v/>
      </c>
      <c r="G530" s="114"/>
      <c r="H530" s="122" t="str">
        <f>IFERROR(IF($G530="","",$G530*$S$540/$G$540/Cadastro!$E$33),"")</f>
        <v/>
      </c>
      <c r="I530" s="129" t="str">
        <f>IFERROR(IF($D530="","",VLOOKUP($D530,Cadastro!$C$4:$G$7,5,FALSE)),"")</f>
        <v/>
      </c>
      <c r="J530" s="145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9">
        <v>46254</v>
      </c>
      <c r="B531" s="32">
        <f t="shared" si="137"/>
        <v>0.95833333333333293</v>
      </c>
      <c r="C531" s="26"/>
      <c r="D531" s="59"/>
      <c r="E531" s="120"/>
      <c r="F531" s="122" t="str">
        <f>IFERROR(IF($D531="","",VLOOKUP($D531,Cadastro!$C$4:$E$7,3,FALSE)),"")</f>
        <v/>
      </c>
      <c r="G531" s="114"/>
      <c r="H531" s="122" t="str">
        <f>IFERROR(IF($G531="","",$G531*$S$540/$G$540/Cadastro!$E$33),"")</f>
        <v/>
      </c>
      <c r="I531" s="129" t="str">
        <f>IFERROR(IF($D531="","",VLOOKUP($D531,Cadastro!$C$4:$G$7,5,FALSE)),"")</f>
        <v/>
      </c>
      <c r="J531" s="145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8">
        <v>46254</v>
      </c>
      <c r="B532" s="25">
        <f t="shared" si="137"/>
        <v>0.99999999999999956</v>
      </c>
      <c r="C532" s="26"/>
      <c r="D532" s="59"/>
      <c r="E532" s="120"/>
      <c r="F532" s="122" t="str">
        <f>IFERROR(IF($D532="","",VLOOKUP($D532,Cadastro!$C$4:$E$7,3,FALSE)),"")</f>
        <v/>
      </c>
      <c r="G532" s="114"/>
      <c r="H532" s="122" t="str">
        <f>IFERROR(IF($G532="","",$G532*$S$540/$G$540/Cadastro!$E$33),"")</f>
        <v/>
      </c>
      <c r="I532" s="129" t="str">
        <f>IFERROR(IF($D532="","",VLOOKUP($D532,Cadastro!$C$4:$G$7,5,FALSE)),"")</f>
        <v/>
      </c>
      <c r="J532" s="145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9">
        <v>46254</v>
      </c>
      <c r="B533" s="32">
        <f t="shared" si="137"/>
        <v>1.0416666666666663</v>
      </c>
      <c r="C533" s="26"/>
      <c r="D533" s="59"/>
      <c r="E533" s="120"/>
      <c r="F533" s="122" t="str">
        <f>IFERROR(IF($D533="","",VLOOKUP($D533,Cadastro!$C$4:$E$7,3,FALSE)),"")</f>
        <v/>
      </c>
      <c r="G533" s="114"/>
      <c r="H533" s="122" t="str">
        <f>IFERROR(IF($G533="","",$G533*$S$540/$G$540/Cadastro!$E$33),"")</f>
        <v/>
      </c>
      <c r="I533" s="129" t="str">
        <f>IFERROR(IF($D533="","",VLOOKUP($D533,Cadastro!$C$4:$G$7,5,FALSE)),"")</f>
        <v/>
      </c>
      <c r="J533" s="145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8">
        <v>46254</v>
      </c>
      <c r="B534" s="25">
        <f t="shared" si="137"/>
        <v>1.083333333333333</v>
      </c>
      <c r="C534" s="26"/>
      <c r="D534" s="59"/>
      <c r="E534" s="120"/>
      <c r="F534" s="122" t="str">
        <f>IFERROR(IF($D534="","",VLOOKUP($D534,Cadastro!$C$4:$E$7,3,FALSE)),"")</f>
        <v/>
      </c>
      <c r="G534" s="114"/>
      <c r="H534" s="122" t="str">
        <f>IFERROR(IF($G534="","",$G534*$S$540/$G$540/Cadastro!$E$33),"")</f>
        <v/>
      </c>
      <c r="I534" s="129" t="str">
        <f>IFERROR(IF($D534="","",VLOOKUP($D534,Cadastro!$C$4:$G$7,5,FALSE)),"")</f>
        <v/>
      </c>
      <c r="J534" s="145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9">
        <v>46254</v>
      </c>
      <c r="B535" s="32">
        <f t="shared" si="137"/>
        <v>1.1249999999999998</v>
      </c>
      <c r="C535" s="26"/>
      <c r="D535" s="59"/>
      <c r="E535" s="120"/>
      <c r="F535" s="122" t="str">
        <f>IFERROR(IF($D535="","",VLOOKUP($D535,Cadastro!$C$4:$E$7,3,FALSE)),"")</f>
        <v/>
      </c>
      <c r="G535" s="114"/>
      <c r="H535" s="122" t="str">
        <f>IFERROR(IF($G535="","",$G535*$S$540/$G$540/Cadastro!$E$33),"")</f>
        <v/>
      </c>
      <c r="I535" s="129" t="str">
        <f>IFERROR(IF($D535="","",VLOOKUP($D535,Cadastro!$C$4:$G$7,5,FALSE)),"")</f>
        <v/>
      </c>
      <c r="J535" s="145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8">
        <v>46254</v>
      </c>
      <c r="B536" s="25">
        <f t="shared" si="137"/>
        <v>1.1666666666666665</v>
      </c>
      <c r="C536" s="26"/>
      <c r="D536" s="59"/>
      <c r="E536" s="120"/>
      <c r="F536" s="122" t="str">
        <f>IFERROR(IF($D536="","",VLOOKUP($D536,Cadastro!$C$4:$E$7,3,FALSE)),"")</f>
        <v/>
      </c>
      <c r="G536" s="114"/>
      <c r="H536" s="122" t="str">
        <f>IFERROR(IF($G536="","",$G536*$S$540/$G$540/Cadastro!$E$33),"")</f>
        <v/>
      </c>
      <c r="I536" s="129" t="str">
        <f>IFERROR(IF($D536="","",VLOOKUP($D536,Cadastro!$C$4:$G$7,5,FALSE)),"")</f>
        <v/>
      </c>
      <c r="J536" s="145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9">
        <v>46254</v>
      </c>
      <c r="B537" s="32">
        <f t="shared" si="137"/>
        <v>1.2083333333333333</v>
      </c>
      <c r="C537" s="26"/>
      <c r="D537" s="59"/>
      <c r="E537" s="120"/>
      <c r="F537" s="122" t="str">
        <f>IFERROR(IF($D537="","",VLOOKUP($D537,Cadastro!$C$4:$E$7,3,FALSE)),"")</f>
        <v/>
      </c>
      <c r="G537" s="114"/>
      <c r="H537" s="122" t="str">
        <f>IFERROR(IF($G537="","",$G537*$S$540/$G$540/Cadastro!$E$33),"")</f>
        <v/>
      </c>
      <c r="I537" s="129" t="str">
        <f>IFERROR(IF($D537="","",VLOOKUP($D537,Cadastro!$C$4:$G$7,5,FALSE)),"")</f>
        <v/>
      </c>
      <c r="J537" s="145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8">
        <v>46254</v>
      </c>
      <c r="B538" s="25">
        <f t="shared" si="137"/>
        <v>1.25</v>
      </c>
      <c r="C538" s="26"/>
      <c r="D538" s="59"/>
      <c r="E538" s="120"/>
      <c r="F538" s="122" t="str">
        <f>IFERROR(IF($D538="","",VLOOKUP($D538,Cadastro!$C$4:$E$7,3,FALSE)),"")</f>
        <v/>
      </c>
      <c r="G538" s="114"/>
      <c r="H538" s="122" t="str">
        <f>IFERROR(IF($G538="","",$G538*$S$540/$G$540/Cadastro!$E$33),"")</f>
        <v/>
      </c>
      <c r="I538" s="129" t="str">
        <f>IFERROR(IF($D538="","",VLOOKUP($D538,Cadastro!$C$4:$G$7,5,FALSE)),"")</f>
        <v/>
      </c>
      <c r="J538" s="145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9">
        <v>46254</v>
      </c>
      <c r="B539" s="32">
        <f t="shared" si="137"/>
        <v>1.2916666666666667</v>
      </c>
      <c r="C539" s="26"/>
      <c r="D539" s="59"/>
      <c r="E539" s="120"/>
      <c r="F539" s="118" t="str">
        <f>IFERROR(IF($D539="","",VLOOKUP($D539,Cadastro!$C$4:$E$7,3,FALSE)),"")</f>
        <v/>
      </c>
      <c r="G539" s="114"/>
      <c r="H539" s="118" t="str">
        <f>IFERROR(IF($G539="","",$G539*$S$540/$G$540/Cadastro!$E$33),"")</f>
        <v/>
      </c>
      <c r="I539" s="130" t="str">
        <f>IFERROR(IF($D539="","",VLOOKUP($D539,Cadastro!$C$4:$G$7,5,FALSE)),"")</f>
        <v/>
      </c>
      <c r="J539" s="146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68" t="s">
        <v>234</v>
      </c>
      <c r="B540" s="169"/>
      <c r="C540" s="169"/>
      <c r="D540" s="169"/>
      <c r="E540" s="169">
        <f>SUM(E528:E539)</f>
        <v>0</v>
      </c>
      <c r="F540" s="124"/>
      <c r="G540" s="88">
        <f>SUM(G528:G539)</f>
        <v>0</v>
      </c>
      <c r="H540" s="124">
        <f>IFERROR(SUM(H528:H539),"")</f>
        <v>0</v>
      </c>
      <c r="I540" s="133"/>
      <c r="J540" s="149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232</v>
      </c>
      <c r="S540" s="76"/>
      <c r="T540" s="136">
        <f>IFERROR(J540,"")</f>
        <v>0</v>
      </c>
    </row>
    <row r="541" spans="1:20" ht="18" customHeight="1" x14ac:dyDescent="0.3">
      <c r="A541" s="165" t="s">
        <v>235</v>
      </c>
      <c r="B541" s="166"/>
      <c r="C541" s="166"/>
      <c r="D541" s="166"/>
      <c r="E541" s="166">
        <f>E527+E540</f>
        <v>0</v>
      </c>
      <c r="F541" s="125"/>
      <c r="G541" s="100">
        <f>G527+G540</f>
        <v>0</v>
      </c>
      <c r="H541" s="125">
        <f>IFERROR(H527+H540,"")</f>
        <v>0</v>
      </c>
      <c r="I541" s="134"/>
      <c r="J541" s="150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236</v>
      </c>
      <c r="S541" s="82">
        <f>IFERROR(S527+S540,"")</f>
        <v>0</v>
      </c>
      <c r="T541" s="140">
        <f>IFERROR(J541,"")</f>
        <v>0</v>
      </c>
    </row>
    <row r="542" spans="1:20" ht="15" customHeight="1" x14ac:dyDescent="0.3">
      <c r="A542" s="68">
        <v>46255</v>
      </c>
      <c r="B542" s="25">
        <v>0.33333333333333298</v>
      </c>
      <c r="C542" s="26"/>
      <c r="D542" s="59"/>
      <c r="E542" s="120"/>
      <c r="F542" s="119" t="str">
        <f>IFERROR(IF($D542="","",VLOOKUP($D542,Cadastro!$C$4:$E$7,3,FALSE)),"")</f>
        <v/>
      </c>
      <c r="G542" s="114"/>
      <c r="H542" s="119" t="str">
        <f>IFERROR(IF($G542="","",$G542*$S$554/$G$554/Cadastro!$E$33),"")</f>
        <v/>
      </c>
      <c r="I542" s="132" t="str">
        <f>IFERROR(IF($D542="","",VLOOKUP($D542,Cadastro!$C$4:$G$7,5,FALSE)),"")</f>
        <v/>
      </c>
      <c r="J542" s="148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9">
        <v>46255</v>
      </c>
      <c r="B543" s="32">
        <f t="shared" ref="B543:B553" si="141">B542+TIME(0,60,0)</f>
        <v>0.37499999999999967</v>
      </c>
      <c r="C543" s="26"/>
      <c r="D543" s="59"/>
      <c r="E543" s="120"/>
      <c r="F543" s="122" t="str">
        <f>IFERROR(IF($D543="","",VLOOKUP($D543,Cadastro!$C$4:$E$7,3,FALSE)),"")</f>
        <v/>
      </c>
      <c r="G543" s="114"/>
      <c r="H543" s="122" t="str">
        <f>IFERROR(IF($G543="","",$G543*$S$554/$G$554/Cadastro!$E$33),"")</f>
        <v/>
      </c>
      <c r="I543" s="129" t="str">
        <f>IFERROR(IF($D543="","",VLOOKUP($D543,Cadastro!$C$4:$G$7,5,FALSE)),"")</f>
        <v/>
      </c>
      <c r="J543" s="145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8">
        <v>46255</v>
      </c>
      <c r="B544" s="25">
        <f t="shared" si="141"/>
        <v>0.41666666666666635</v>
      </c>
      <c r="C544" s="26"/>
      <c r="D544" s="59"/>
      <c r="E544" s="120"/>
      <c r="F544" s="122" t="str">
        <f>IFERROR(IF($D544="","",VLOOKUP($D544,Cadastro!$C$4:$E$7,3,FALSE)),"")</f>
        <v/>
      </c>
      <c r="G544" s="114"/>
      <c r="H544" s="122" t="str">
        <f>IFERROR(IF($G544="","",$G544*$S$554/$G$554/Cadastro!$E$33),"")</f>
        <v/>
      </c>
      <c r="I544" s="129" t="str">
        <f>IFERROR(IF($D544="","",VLOOKUP($D544,Cadastro!$C$4:$G$7,5,FALSE)),"")</f>
        <v/>
      </c>
      <c r="J544" s="145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9">
        <v>46255</v>
      </c>
      <c r="B545" s="32">
        <f t="shared" si="141"/>
        <v>0.45833333333333304</v>
      </c>
      <c r="C545" s="26"/>
      <c r="D545" s="59"/>
      <c r="E545" s="120"/>
      <c r="F545" s="122" t="str">
        <f>IFERROR(IF($D545="","",VLOOKUP($D545,Cadastro!$C$4:$E$7,3,FALSE)),"")</f>
        <v/>
      </c>
      <c r="G545" s="114"/>
      <c r="H545" s="122" t="str">
        <f>IFERROR(IF($G545="","",$G545*$S$554/$G$554/Cadastro!$E$33),"")</f>
        <v/>
      </c>
      <c r="I545" s="129" t="str">
        <f>IFERROR(IF($D545="","",VLOOKUP($D545,Cadastro!$C$4:$G$7,5,FALSE)),"")</f>
        <v/>
      </c>
      <c r="J545" s="145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8">
        <v>46255</v>
      </c>
      <c r="B546" s="25">
        <f t="shared" si="141"/>
        <v>0.49999999999999972</v>
      </c>
      <c r="C546" s="26"/>
      <c r="D546" s="59"/>
      <c r="E546" s="120"/>
      <c r="F546" s="122" t="str">
        <f>IFERROR(IF($D546="","",VLOOKUP($D546,Cadastro!$C$4:$E$7,3,FALSE)),"")</f>
        <v/>
      </c>
      <c r="G546" s="114"/>
      <c r="H546" s="122" t="str">
        <f>IFERROR(IF($G546="","",$G546*$S$554/$G$554/Cadastro!$E$33),"")</f>
        <v/>
      </c>
      <c r="I546" s="129" t="str">
        <f>IFERROR(IF($D546="","",VLOOKUP($D546,Cadastro!$C$4:$G$7,5,FALSE)),"")</f>
        <v/>
      </c>
      <c r="J546" s="145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9">
        <v>46255</v>
      </c>
      <c r="B547" s="32">
        <f t="shared" si="141"/>
        <v>0.54166666666666641</v>
      </c>
      <c r="C547" s="26"/>
      <c r="D547" s="59"/>
      <c r="E547" s="120"/>
      <c r="F547" s="122" t="str">
        <f>IFERROR(IF($D547="","",VLOOKUP($D547,Cadastro!$C$4:$E$7,3,FALSE)),"")</f>
        <v/>
      </c>
      <c r="G547" s="114"/>
      <c r="H547" s="122" t="str">
        <f>IFERROR(IF($G547="","",$G547*$S$554/$G$554/Cadastro!$E$33),"")</f>
        <v/>
      </c>
      <c r="I547" s="129" t="str">
        <f>IFERROR(IF($D547="","",VLOOKUP($D547,Cadastro!$C$4:$G$7,5,FALSE)),"")</f>
        <v/>
      </c>
      <c r="J547" s="145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8">
        <v>46255</v>
      </c>
      <c r="B548" s="25">
        <f t="shared" si="141"/>
        <v>0.58333333333333304</v>
      </c>
      <c r="C548" s="26"/>
      <c r="D548" s="59"/>
      <c r="E548" s="120"/>
      <c r="F548" s="122" t="str">
        <f>IFERROR(IF($D548="","",VLOOKUP($D548,Cadastro!$C$4:$E$7,3,FALSE)),"")</f>
        <v/>
      </c>
      <c r="G548" s="114"/>
      <c r="H548" s="122" t="str">
        <f>IFERROR(IF($G548="","",$G548*$S$554/$G$554/Cadastro!$E$33),"")</f>
        <v/>
      </c>
      <c r="I548" s="129" t="str">
        <f>IFERROR(IF($D548="","",VLOOKUP($D548,Cadastro!$C$4:$G$7,5,FALSE)),"")</f>
        <v/>
      </c>
      <c r="J548" s="145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9">
        <v>46255</v>
      </c>
      <c r="B549" s="32">
        <f t="shared" si="141"/>
        <v>0.62499999999999967</v>
      </c>
      <c r="C549" s="26"/>
      <c r="D549" s="59"/>
      <c r="E549" s="120"/>
      <c r="F549" s="122" t="str">
        <f>IFERROR(IF($D549="","",VLOOKUP($D549,Cadastro!$C$4:$E$7,3,FALSE)),"")</f>
        <v/>
      </c>
      <c r="G549" s="114"/>
      <c r="H549" s="122" t="str">
        <f>IFERROR(IF($G549="","",$G549*$S$554/$G$554/Cadastro!$E$33),"")</f>
        <v/>
      </c>
      <c r="I549" s="129" t="str">
        <f>IFERROR(IF($D549="","",VLOOKUP($D549,Cadastro!$C$4:$G$7,5,FALSE)),"")</f>
        <v/>
      </c>
      <c r="J549" s="145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8">
        <v>46255</v>
      </c>
      <c r="B550" s="25">
        <f t="shared" si="141"/>
        <v>0.6666666666666663</v>
      </c>
      <c r="C550" s="26"/>
      <c r="D550" s="59"/>
      <c r="E550" s="120"/>
      <c r="F550" s="122" t="str">
        <f>IFERROR(IF($D550="","",VLOOKUP($D550,Cadastro!$C$4:$E$7,3,FALSE)),"")</f>
        <v/>
      </c>
      <c r="G550" s="114"/>
      <c r="H550" s="122" t="str">
        <f>IFERROR(IF($G550="","",$G550*$S$554/$G$554/Cadastro!$E$33),"")</f>
        <v/>
      </c>
      <c r="I550" s="129" t="str">
        <f>IFERROR(IF($D550="","",VLOOKUP($D550,Cadastro!$C$4:$G$7,5,FALSE)),"")</f>
        <v/>
      </c>
      <c r="J550" s="145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9">
        <v>46255</v>
      </c>
      <c r="B551" s="32">
        <f t="shared" si="141"/>
        <v>0.70833333333333293</v>
      </c>
      <c r="C551" s="26"/>
      <c r="D551" s="59"/>
      <c r="E551" s="120"/>
      <c r="F551" s="122" t="str">
        <f>IFERROR(IF($D551="","",VLOOKUP($D551,Cadastro!$C$4:$E$7,3,FALSE)),"")</f>
        <v/>
      </c>
      <c r="G551" s="114"/>
      <c r="H551" s="122" t="str">
        <f>IFERROR(IF($G551="","",$G551*$S$554/$G$554/Cadastro!$E$33),"")</f>
        <v/>
      </c>
      <c r="I551" s="129" t="str">
        <f>IFERROR(IF($D551="","",VLOOKUP($D551,Cadastro!$C$4:$G$7,5,FALSE)),"")</f>
        <v/>
      </c>
      <c r="J551" s="145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8">
        <v>46255</v>
      </c>
      <c r="B552" s="25">
        <f t="shared" si="141"/>
        <v>0.74999999999999956</v>
      </c>
      <c r="C552" s="26"/>
      <c r="D552" s="59"/>
      <c r="E552" s="120"/>
      <c r="F552" s="122" t="str">
        <f>IFERROR(IF($D552="","",VLOOKUP($D552,Cadastro!$C$4:$E$7,3,FALSE)),"")</f>
        <v/>
      </c>
      <c r="G552" s="114"/>
      <c r="H552" s="122" t="str">
        <f>IFERROR(IF($G552="","",$G552*$S$554/$G$554/Cadastro!$E$33),"")</f>
        <v/>
      </c>
      <c r="I552" s="129" t="str">
        <f>IFERROR(IF($D552="","",VLOOKUP($D552,Cadastro!$C$4:$G$7,5,FALSE)),"")</f>
        <v/>
      </c>
      <c r="J552" s="145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9">
        <v>46255</v>
      </c>
      <c r="B553" s="32">
        <f t="shared" si="141"/>
        <v>0.79166666666666619</v>
      </c>
      <c r="C553" s="26"/>
      <c r="D553" s="59"/>
      <c r="E553" s="120"/>
      <c r="F553" s="118" t="str">
        <f>IFERROR(IF($D553="","",VLOOKUP($D553,Cadastro!$C$4:$E$7,3,FALSE)),"")</f>
        <v/>
      </c>
      <c r="G553" s="114"/>
      <c r="H553" s="118" t="str">
        <f>IFERROR(IF($G553="","",$G553*$S$554/$G$554/Cadastro!$E$33),"")</f>
        <v/>
      </c>
      <c r="I553" s="130" t="str">
        <f>IFERROR(IF($D553="","",VLOOKUP($D553,Cadastro!$C$4:$G$7,5,FALSE)),"")</f>
        <v/>
      </c>
      <c r="J553" s="146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68" t="s">
        <v>231</v>
      </c>
      <c r="B554" s="169"/>
      <c r="C554" s="169"/>
      <c r="D554" s="169"/>
      <c r="E554" s="169">
        <f>SUM(E542:E553)</f>
        <v>0</v>
      </c>
      <c r="F554" s="123"/>
      <c r="G554" s="88">
        <f>SUM(G542:G553)</f>
        <v>0</v>
      </c>
      <c r="H554" s="123">
        <f>IFERROR(SUM(H542:H553),"")</f>
        <v>0</v>
      </c>
      <c r="I554" s="131"/>
      <c r="J554" s="147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232</v>
      </c>
      <c r="S554" s="76"/>
      <c r="T554" s="136">
        <f>IFERROR(J554,"")</f>
        <v>0</v>
      </c>
    </row>
    <row r="555" spans="1:20" ht="15" customHeight="1" x14ac:dyDescent="0.3">
      <c r="A555" s="69">
        <v>46255</v>
      </c>
      <c r="B555" s="32">
        <v>0.83333333333333304</v>
      </c>
      <c r="C555" s="33"/>
      <c r="D555" s="62"/>
      <c r="E555" s="121"/>
      <c r="F555" s="119" t="str">
        <f>IFERROR(IF($D555="","",VLOOKUP($D555,Cadastro!$C$4:$E$7,3,FALSE)),"")</f>
        <v/>
      </c>
      <c r="G555" s="114"/>
      <c r="H555" s="119" t="str">
        <f>IFERROR(IF($G555="","",$G555*$S$567/$G$567/Cadastro!$E$33),"")</f>
        <v/>
      </c>
      <c r="I555" s="132" t="str">
        <f>IFERROR(IF($D555="","",VLOOKUP($D555,Cadastro!$C$4:$G$7,5,FALSE)),"")</f>
        <v/>
      </c>
      <c r="J555" s="148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8">
        <v>46255</v>
      </c>
      <c r="B556" s="25">
        <f t="shared" ref="B556:B566" si="145">B555+TIME(0,60,0)</f>
        <v>0.87499999999999967</v>
      </c>
      <c r="C556" s="33"/>
      <c r="D556" s="62"/>
      <c r="E556" s="121"/>
      <c r="F556" s="122" t="str">
        <f>IFERROR(IF($D556="","",VLOOKUP($D556,Cadastro!$C$4:$E$7,3,FALSE)),"")</f>
        <v/>
      </c>
      <c r="G556" s="114"/>
      <c r="H556" s="122" t="str">
        <f>IFERROR(IF($G556="","",$G556*$S$567/$G$567/Cadastro!$E$33),"")</f>
        <v/>
      </c>
      <c r="I556" s="129" t="str">
        <f>IFERROR(IF($D556="","",VLOOKUP($D556,Cadastro!$C$4:$G$7,5,FALSE)),"")</f>
        <v/>
      </c>
      <c r="J556" s="145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9">
        <v>46255</v>
      </c>
      <c r="B557" s="32">
        <f t="shared" si="145"/>
        <v>0.9166666666666663</v>
      </c>
      <c r="C557" s="33"/>
      <c r="D557" s="62"/>
      <c r="E557" s="121"/>
      <c r="F557" s="122" t="str">
        <f>IFERROR(IF($D557="","",VLOOKUP($D557,Cadastro!$C$4:$E$7,3,FALSE)),"")</f>
        <v/>
      </c>
      <c r="G557" s="114"/>
      <c r="H557" s="122" t="str">
        <f>IFERROR(IF($G557="","",$G557*$S$567/$G$567/Cadastro!$E$33),"")</f>
        <v/>
      </c>
      <c r="I557" s="129" t="str">
        <f>IFERROR(IF($D557="","",VLOOKUP($D557,Cadastro!$C$4:$G$7,5,FALSE)),"")</f>
        <v/>
      </c>
      <c r="J557" s="145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8">
        <v>46255</v>
      </c>
      <c r="B558" s="25">
        <f t="shared" si="145"/>
        <v>0.95833333333333293</v>
      </c>
      <c r="C558" s="33"/>
      <c r="D558" s="62"/>
      <c r="E558" s="121"/>
      <c r="F558" s="122" t="str">
        <f>IFERROR(IF($D558="","",VLOOKUP($D558,Cadastro!$C$4:$E$7,3,FALSE)),"")</f>
        <v/>
      </c>
      <c r="G558" s="114"/>
      <c r="H558" s="122" t="str">
        <f>IFERROR(IF($G558="","",$G558*$S$567/$G$567/Cadastro!$E$33),"")</f>
        <v/>
      </c>
      <c r="I558" s="129" t="str">
        <f>IFERROR(IF($D558="","",VLOOKUP($D558,Cadastro!$C$4:$G$7,5,FALSE)),"")</f>
        <v/>
      </c>
      <c r="J558" s="145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9">
        <v>46255</v>
      </c>
      <c r="B559" s="32">
        <f t="shared" si="145"/>
        <v>0.99999999999999956</v>
      </c>
      <c r="C559" s="33"/>
      <c r="D559" s="62"/>
      <c r="E559" s="121"/>
      <c r="F559" s="122" t="str">
        <f>IFERROR(IF($D559="","",VLOOKUP($D559,Cadastro!$C$4:$E$7,3,FALSE)),"")</f>
        <v/>
      </c>
      <c r="G559" s="114"/>
      <c r="H559" s="122" t="str">
        <f>IFERROR(IF($G559="","",$G559*$S$567/$G$567/Cadastro!$E$33),"")</f>
        <v/>
      </c>
      <c r="I559" s="129" t="str">
        <f>IFERROR(IF($D559="","",VLOOKUP($D559,Cadastro!$C$4:$G$7,5,FALSE)),"")</f>
        <v/>
      </c>
      <c r="J559" s="145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8">
        <v>46255</v>
      </c>
      <c r="B560" s="25">
        <f t="shared" si="145"/>
        <v>1.0416666666666663</v>
      </c>
      <c r="C560" s="33"/>
      <c r="D560" s="62"/>
      <c r="E560" s="121"/>
      <c r="F560" s="122" t="str">
        <f>IFERROR(IF($D560="","",VLOOKUP($D560,Cadastro!$C$4:$E$7,3,FALSE)),"")</f>
        <v/>
      </c>
      <c r="G560" s="114"/>
      <c r="H560" s="122" t="str">
        <f>IFERROR(IF($G560="","",$G560*$S$567/$G$567/Cadastro!$E$33),"")</f>
        <v/>
      </c>
      <c r="I560" s="129" t="str">
        <f>IFERROR(IF($D560="","",VLOOKUP($D560,Cadastro!$C$4:$G$7,5,FALSE)),"")</f>
        <v/>
      </c>
      <c r="J560" s="145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9">
        <v>46255</v>
      </c>
      <c r="B561" s="32">
        <f t="shared" si="145"/>
        <v>1.083333333333333</v>
      </c>
      <c r="C561" s="33"/>
      <c r="D561" s="62"/>
      <c r="E561" s="121"/>
      <c r="F561" s="122" t="str">
        <f>IFERROR(IF($D561="","",VLOOKUP($D561,Cadastro!$C$4:$E$7,3,FALSE)),"")</f>
        <v/>
      </c>
      <c r="G561" s="114"/>
      <c r="H561" s="122" t="str">
        <f>IFERROR(IF($G561="","",$G561*$S$567/$G$567/Cadastro!$E$33),"")</f>
        <v/>
      </c>
      <c r="I561" s="129" t="str">
        <f>IFERROR(IF($D561="","",VLOOKUP($D561,Cadastro!$C$4:$G$7,5,FALSE)),"")</f>
        <v/>
      </c>
      <c r="J561" s="145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8">
        <v>46255</v>
      </c>
      <c r="B562" s="25">
        <f t="shared" si="145"/>
        <v>1.1249999999999998</v>
      </c>
      <c r="C562" s="33"/>
      <c r="D562" s="62"/>
      <c r="E562" s="121"/>
      <c r="F562" s="122" t="str">
        <f>IFERROR(IF($D562="","",VLOOKUP($D562,Cadastro!$C$4:$E$7,3,FALSE)),"")</f>
        <v/>
      </c>
      <c r="G562" s="114"/>
      <c r="H562" s="122" t="str">
        <f>IFERROR(IF($G562="","",$G562*$S$567/$G$567/Cadastro!$E$33),"")</f>
        <v/>
      </c>
      <c r="I562" s="129" t="str">
        <f>IFERROR(IF($D562="","",VLOOKUP($D562,Cadastro!$C$4:$G$7,5,FALSE)),"")</f>
        <v/>
      </c>
      <c r="J562" s="145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9">
        <v>46255</v>
      </c>
      <c r="B563" s="32">
        <f t="shared" si="145"/>
        <v>1.1666666666666665</v>
      </c>
      <c r="C563" s="33"/>
      <c r="D563" s="62"/>
      <c r="E563" s="121"/>
      <c r="F563" s="122" t="str">
        <f>IFERROR(IF($D563="","",VLOOKUP($D563,Cadastro!$C$4:$E$7,3,FALSE)),"")</f>
        <v/>
      </c>
      <c r="G563" s="114"/>
      <c r="H563" s="122" t="str">
        <f>IFERROR(IF($G563="","",$G563*$S$567/$G$567/Cadastro!$E$33),"")</f>
        <v/>
      </c>
      <c r="I563" s="129" t="str">
        <f>IFERROR(IF($D563="","",VLOOKUP($D563,Cadastro!$C$4:$G$7,5,FALSE)),"")</f>
        <v/>
      </c>
      <c r="J563" s="145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8">
        <v>46255</v>
      </c>
      <c r="B564" s="25">
        <f t="shared" si="145"/>
        <v>1.2083333333333333</v>
      </c>
      <c r="C564" s="33"/>
      <c r="D564" s="62"/>
      <c r="E564" s="121"/>
      <c r="F564" s="122" t="str">
        <f>IFERROR(IF($D564="","",VLOOKUP($D564,Cadastro!$C$4:$E$7,3,FALSE)),"")</f>
        <v/>
      </c>
      <c r="G564" s="114"/>
      <c r="H564" s="122" t="str">
        <f>IFERROR(IF($G564="","",$G564*$S$567/$G$567/Cadastro!$E$33),"")</f>
        <v/>
      </c>
      <c r="I564" s="129" t="str">
        <f>IFERROR(IF($D564="","",VLOOKUP($D564,Cadastro!$C$4:$G$7,5,FALSE)),"")</f>
        <v/>
      </c>
      <c r="J564" s="145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9">
        <v>46255</v>
      </c>
      <c r="B565" s="32">
        <f t="shared" si="145"/>
        <v>1.25</v>
      </c>
      <c r="C565" s="33"/>
      <c r="D565" s="62"/>
      <c r="E565" s="121"/>
      <c r="F565" s="122" t="str">
        <f>IFERROR(IF($D565="","",VLOOKUP($D565,Cadastro!$C$4:$E$7,3,FALSE)),"")</f>
        <v/>
      </c>
      <c r="G565" s="114"/>
      <c r="H565" s="122" t="str">
        <f>IFERROR(IF($G565="","",$G565*$S$567/$G$567/Cadastro!$E$33),"")</f>
        <v/>
      </c>
      <c r="I565" s="129" t="str">
        <f>IFERROR(IF($D565="","",VLOOKUP($D565,Cadastro!$C$4:$G$7,5,FALSE)),"")</f>
        <v/>
      </c>
      <c r="J565" s="145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8">
        <v>46255</v>
      </c>
      <c r="B566" s="25">
        <f t="shared" si="145"/>
        <v>1.2916666666666667</v>
      </c>
      <c r="C566" s="33"/>
      <c r="D566" s="62"/>
      <c r="E566" s="121"/>
      <c r="F566" s="118" t="str">
        <f>IFERROR(IF($D566="","",VLOOKUP($D566,Cadastro!$C$4:$E$7,3,FALSE)),"")</f>
        <v/>
      </c>
      <c r="G566" s="114"/>
      <c r="H566" s="118" t="str">
        <f>IFERROR(IF($G566="","",$G566*$S$567/$G$567/Cadastro!$E$33),"")</f>
        <v/>
      </c>
      <c r="I566" s="130" t="str">
        <f>IFERROR(IF($D566="","",VLOOKUP($D566,Cadastro!$C$4:$G$7,5,FALSE)),"")</f>
        <v/>
      </c>
      <c r="J566" s="146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68" t="s">
        <v>234</v>
      </c>
      <c r="B567" s="169"/>
      <c r="C567" s="169"/>
      <c r="D567" s="169"/>
      <c r="E567" s="169">
        <f>SUM(E555:E566)</f>
        <v>0</v>
      </c>
      <c r="F567" s="124"/>
      <c r="G567" s="88">
        <f>SUM(G555:G566)</f>
        <v>0</v>
      </c>
      <c r="H567" s="124">
        <f>IFERROR(SUM(H555:H566),"")</f>
        <v>0</v>
      </c>
      <c r="I567" s="133"/>
      <c r="J567" s="149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232</v>
      </c>
      <c r="S567" s="76"/>
      <c r="T567" s="136">
        <f>IFERROR(J567,"")</f>
        <v>0</v>
      </c>
    </row>
    <row r="568" spans="1:20" ht="18" customHeight="1" x14ac:dyDescent="0.3">
      <c r="A568" s="165" t="s">
        <v>235</v>
      </c>
      <c r="B568" s="166"/>
      <c r="C568" s="166"/>
      <c r="D568" s="166"/>
      <c r="E568" s="166">
        <f>E554+E567</f>
        <v>0</v>
      </c>
      <c r="F568" s="125"/>
      <c r="G568" s="100">
        <f>G554+G567</f>
        <v>0</v>
      </c>
      <c r="H568" s="125">
        <f>IFERROR(H554+H567,"")</f>
        <v>0</v>
      </c>
      <c r="I568" s="134"/>
      <c r="J568" s="150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236</v>
      </c>
      <c r="S568" s="82">
        <f>IFERROR(S554+S567,"")</f>
        <v>0</v>
      </c>
      <c r="T568" s="140">
        <f>IFERROR(J568,"")</f>
        <v>0</v>
      </c>
    </row>
    <row r="569" spans="1:20" ht="15" customHeight="1" x14ac:dyDescent="0.3">
      <c r="A569" s="69">
        <v>46256</v>
      </c>
      <c r="B569" s="32">
        <v>0.33333333333333298</v>
      </c>
      <c r="C569" s="33"/>
      <c r="D569" s="62"/>
      <c r="E569" s="121"/>
      <c r="F569" s="119" t="str">
        <f>IFERROR(IF($D569="","",VLOOKUP($D569,Cadastro!$C$4:$E$7,3,FALSE)),"")</f>
        <v/>
      </c>
      <c r="G569" s="114"/>
      <c r="H569" s="119" t="str">
        <f>IFERROR(IF($G569="","",$G569*$S$581/$G$581/Cadastro!$E$33),"")</f>
        <v/>
      </c>
      <c r="I569" s="132" t="str">
        <f>IFERROR(IF($D569="","",VLOOKUP($D569,Cadastro!$C$4:$G$7,5,FALSE)),"")</f>
        <v/>
      </c>
      <c r="J569" s="148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8">
        <v>46256</v>
      </c>
      <c r="B570" s="25">
        <f t="shared" ref="B570:B580" si="149">B569+TIME(0,60,0)</f>
        <v>0.37499999999999967</v>
      </c>
      <c r="C570" s="33"/>
      <c r="D570" s="62"/>
      <c r="E570" s="121"/>
      <c r="F570" s="122" t="str">
        <f>IFERROR(IF($D570="","",VLOOKUP($D570,Cadastro!$C$4:$E$7,3,FALSE)),"")</f>
        <v/>
      </c>
      <c r="G570" s="114"/>
      <c r="H570" s="122" t="str">
        <f>IFERROR(IF($G570="","",$G570*$S$581/$G$581/Cadastro!$E$33),"")</f>
        <v/>
      </c>
      <c r="I570" s="129" t="str">
        <f>IFERROR(IF($D570="","",VLOOKUP($D570,Cadastro!$C$4:$G$7,5,FALSE)),"")</f>
        <v/>
      </c>
      <c r="J570" s="145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9">
        <v>46256</v>
      </c>
      <c r="B571" s="32">
        <f t="shared" si="149"/>
        <v>0.41666666666666635</v>
      </c>
      <c r="C571" s="33"/>
      <c r="D571" s="62"/>
      <c r="E571" s="121"/>
      <c r="F571" s="122" t="str">
        <f>IFERROR(IF($D571="","",VLOOKUP($D571,Cadastro!$C$4:$E$7,3,FALSE)),"")</f>
        <v/>
      </c>
      <c r="G571" s="114"/>
      <c r="H571" s="122" t="str">
        <f>IFERROR(IF($G571="","",$G571*$S$581/$G$581/Cadastro!$E$33),"")</f>
        <v/>
      </c>
      <c r="I571" s="129" t="str">
        <f>IFERROR(IF($D571="","",VLOOKUP($D571,Cadastro!$C$4:$G$7,5,FALSE)),"")</f>
        <v/>
      </c>
      <c r="J571" s="145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8">
        <v>46256</v>
      </c>
      <c r="B572" s="25">
        <f t="shared" si="149"/>
        <v>0.45833333333333304</v>
      </c>
      <c r="C572" s="33"/>
      <c r="D572" s="62"/>
      <c r="E572" s="121"/>
      <c r="F572" s="122" t="str">
        <f>IFERROR(IF($D572="","",VLOOKUP($D572,Cadastro!$C$4:$E$7,3,FALSE)),"")</f>
        <v/>
      </c>
      <c r="G572" s="114"/>
      <c r="H572" s="122" t="str">
        <f>IFERROR(IF($G572="","",$G572*$S$581/$G$581/Cadastro!$E$33),"")</f>
        <v/>
      </c>
      <c r="I572" s="129" t="str">
        <f>IFERROR(IF($D572="","",VLOOKUP($D572,Cadastro!$C$4:$G$7,5,FALSE)),"")</f>
        <v/>
      </c>
      <c r="J572" s="145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9">
        <v>46256</v>
      </c>
      <c r="B573" s="32">
        <f t="shared" si="149"/>
        <v>0.49999999999999972</v>
      </c>
      <c r="C573" s="33"/>
      <c r="D573" s="62"/>
      <c r="E573" s="121"/>
      <c r="F573" s="122" t="str">
        <f>IFERROR(IF($D573="","",VLOOKUP($D573,Cadastro!$C$4:$E$7,3,FALSE)),"")</f>
        <v/>
      </c>
      <c r="G573" s="114"/>
      <c r="H573" s="122" t="str">
        <f>IFERROR(IF($G573="","",$G573*$S$581/$G$581/Cadastro!$E$33),"")</f>
        <v/>
      </c>
      <c r="I573" s="129" t="str">
        <f>IFERROR(IF($D573="","",VLOOKUP($D573,Cadastro!$C$4:$G$7,5,FALSE)),"")</f>
        <v/>
      </c>
      <c r="J573" s="145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8">
        <v>46256</v>
      </c>
      <c r="B574" s="25">
        <f t="shared" si="149"/>
        <v>0.54166666666666641</v>
      </c>
      <c r="C574" s="33"/>
      <c r="D574" s="62"/>
      <c r="E574" s="121"/>
      <c r="F574" s="122" t="str">
        <f>IFERROR(IF($D574="","",VLOOKUP($D574,Cadastro!$C$4:$E$7,3,FALSE)),"")</f>
        <v/>
      </c>
      <c r="G574" s="114"/>
      <c r="H574" s="122" t="str">
        <f>IFERROR(IF($G574="","",$G574*$S$581/$G$581/Cadastro!$E$33),"")</f>
        <v/>
      </c>
      <c r="I574" s="129" t="str">
        <f>IFERROR(IF($D574="","",VLOOKUP($D574,Cadastro!$C$4:$G$7,5,FALSE)),"")</f>
        <v/>
      </c>
      <c r="J574" s="145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9">
        <v>46256</v>
      </c>
      <c r="B575" s="32">
        <f t="shared" si="149"/>
        <v>0.58333333333333304</v>
      </c>
      <c r="C575" s="33"/>
      <c r="D575" s="62"/>
      <c r="E575" s="121"/>
      <c r="F575" s="122" t="str">
        <f>IFERROR(IF($D575="","",VLOOKUP($D575,Cadastro!$C$4:$E$7,3,FALSE)),"")</f>
        <v/>
      </c>
      <c r="G575" s="114"/>
      <c r="H575" s="122" t="str">
        <f>IFERROR(IF($G575="","",$G575*$S$581/$G$581/Cadastro!$E$33),"")</f>
        <v/>
      </c>
      <c r="I575" s="129" t="str">
        <f>IFERROR(IF($D575="","",VLOOKUP($D575,Cadastro!$C$4:$G$7,5,FALSE)),"")</f>
        <v/>
      </c>
      <c r="J575" s="145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8">
        <v>46256</v>
      </c>
      <c r="B576" s="25">
        <f t="shared" si="149"/>
        <v>0.62499999999999967</v>
      </c>
      <c r="C576" s="33"/>
      <c r="D576" s="62"/>
      <c r="E576" s="121"/>
      <c r="F576" s="122" t="str">
        <f>IFERROR(IF($D576="","",VLOOKUP($D576,Cadastro!$C$4:$E$7,3,FALSE)),"")</f>
        <v/>
      </c>
      <c r="G576" s="116"/>
      <c r="H576" s="122" t="str">
        <f>IFERROR(IF($G576="","",$G576*$S$581/$G$581/Cadastro!$E$33),"")</f>
        <v/>
      </c>
      <c r="I576" s="129" t="str">
        <f>IFERROR(IF($D576="","",VLOOKUP($D576,Cadastro!$C$4:$G$7,5,FALSE)),"")</f>
        <v/>
      </c>
      <c r="J576" s="145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9">
        <v>46256</v>
      </c>
      <c r="B577" s="32">
        <f t="shared" si="149"/>
        <v>0.6666666666666663</v>
      </c>
      <c r="C577" s="33"/>
      <c r="D577" s="62"/>
      <c r="E577" s="121"/>
      <c r="F577" s="122" t="str">
        <f>IFERROR(IF($D577="","",VLOOKUP($D577,Cadastro!$C$4:$E$7,3,FALSE)),"")</f>
        <v/>
      </c>
      <c r="G577" s="114"/>
      <c r="H577" s="122" t="str">
        <f>IFERROR(IF($G577="","",$G577*$S$581/$G$581/Cadastro!$E$33),"")</f>
        <v/>
      </c>
      <c r="I577" s="129" t="str">
        <f>IFERROR(IF($D577="","",VLOOKUP($D577,Cadastro!$C$4:$G$7,5,FALSE)),"")</f>
        <v/>
      </c>
      <c r="J577" s="145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8">
        <v>46256</v>
      </c>
      <c r="B578" s="25">
        <f t="shared" si="149"/>
        <v>0.70833333333333293</v>
      </c>
      <c r="C578" s="33"/>
      <c r="D578" s="62"/>
      <c r="E578" s="121"/>
      <c r="F578" s="122" t="str">
        <f>IFERROR(IF($D578="","",VLOOKUP($D578,Cadastro!$C$4:$E$7,3,FALSE)),"")</f>
        <v/>
      </c>
      <c r="G578" s="114"/>
      <c r="H578" s="122" t="str">
        <f>IFERROR(IF($G578="","",$G578*$S$581/$G$581/Cadastro!$E$33),"")</f>
        <v/>
      </c>
      <c r="I578" s="129" t="str">
        <f>IFERROR(IF($D578="","",VLOOKUP($D578,Cadastro!$C$4:$G$7,5,FALSE)),"")</f>
        <v/>
      </c>
      <c r="J578" s="145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9">
        <v>46256</v>
      </c>
      <c r="B579" s="32">
        <f t="shared" si="149"/>
        <v>0.74999999999999956</v>
      </c>
      <c r="C579" s="33"/>
      <c r="D579" s="62"/>
      <c r="E579" s="121"/>
      <c r="F579" s="122" t="str">
        <f>IFERROR(IF($D579="","",VLOOKUP($D579,Cadastro!$C$4:$E$7,3,FALSE)),"")</f>
        <v/>
      </c>
      <c r="G579" s="114"/>
      <c r="H579" s="122" t="str">
        <f>IFERROR(IF($G579="","",$G579*$S$581/$G$581/Cadastro!$E$33),"")</f>
        <v/>
      </c>
      <c r="I579" s="129" t="str">
        <f>IFERROR(IF($D579="","",VLOOKUP($D579,Cadastro!$C$4:$G$7,5,FALSE)),"")</f>
        <v/>
      </c>
      <c r="J579" s="145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8">
        <v>46256</v>
      </c>
      <c r="B580" s="25">
        <f t="shared" si="149"/>
        <v>0.79166666666666619</v>
      </c>
      <c r="C580" s="33"/>
      <c r="D580" s="62"/>
      <c r="E580" s="121"/>
      <c r="F580" s="118" t="str">
        <f>IFERROR(IF($D580="","",VLOOKUP($D580,Cadastro!$C$4:$E$7,3,FALSE)),"")</f>
        <v/>
      </c>
      <c r="G580" s="114"/>
      <c r="H580" s="118" t="str">
        <f>IFERROR(IF($G580="","",$G580*$S$581/$G$581/Cadastro!$E$33),"")</f>
        <v/>
      </c>
      <c r="I580" s="130" t="str">
        <f>IFERROR(IF($D580="","",VLOOKUP($D580,Cadastro!$C$4:$G$7,5,FALSE)),"")</f>
        <v/>
      </c>
      <c r="J580" s="146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68" t="s">
        <v>231</v>
      </c>
      <c r="B581" s="169"/>
      <c r="C581" s="169"/>
      <c r="D581" s="169"/>
      <c r="E581" s="169">
        <f>SUM(E569:E580)</f>
        <v>0</v>
      </c>
      <c r="F581" s="123"/>
      <c r="G581" s="88">
        <f>SUM(G569:G580)</f>
        <v>0</v>
      </c>
      <c r="H581" s="123">
        <f>IFERROR(SUM(H569:H580),"")</f>
        <v>0</v>
      </c>
      <c r="I581" s="131"/>
      <c r="J581" s="147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232</v>
      </c>
      <c r="S581" s="76"/>
      <c r="T581" s="136">
        <f>IFERROR(J581,"")</f>
        <v>0</v>
      </c>
    </row>
    <row r="582" spans="1:20" ht="15" customHeight="1" x14ac:dyDescent="0.3">
      <c r="A582" s="68">
        <v>46256</v>
      </c>
      <c r="B582" s="25">
        <v>0.83333333333333304</v>
      </c>
      <c r="C582" s="26"/>
      <c r="D582" s="59"/>
      <c r="E582" s="120"/>
      <c r="F582" s="119" t="str">
        <f>IFERROR(IF($D582="","",VLOOKUP($D582,Cadastro!$C$4:$E$7,3,FALSE)),"")</f>
        <v/>
      </c>
      <c r="G582" s="114"/>
      <c r="H582" s="119" t="str">
        <f>IFERROR(IF($G582="","",$G582*$S$594/$G$594/Cadastro!$E$33),"")</f>
        <v/>
      </c>
      <c r="I582" s="132" t="str">
        <f>IFERROR(IF($D582="","",VLOOKUP($D582,Cadastro!$C$4:$G$7,5,FALSE)),"")</f>
        <v/>
      </c>
      <c r="J582" s="148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9">
        <v>46256</v>
      </c>
      <c r="B583" s="32">
        <f t="shared" ref="B583:B593" si="153">B582+TIME(0,60,0)</f>
        <v>0.87499999999999967</v>
      </c>
      <c r="C583" s="26"/>
      <c r="D583" s="59"/>
      <c r="E583" s="120"/>
      <c r="F583" s="122" t="str">
        <f>IFERROR(IF($D583="","",VLOOKUP($D583,Cadastro!$C$4:$E$7,3,FALSE)),"")</f>
        <v/>
      </c>
      <c r="G583" s="114"/>
      <c r="H583" s="122" t="str">
        <f>IFERROR(IF($G583="","",$G583*$S$594/$G$594/Cadastro!$E$33),"")</f>
        <v/>
      </c>
      <c r="I583" s="129" t="str">
        <f>IFERROR(IF($D583="","",VLOOKUP($D583,Cadastro!$C$4:$G$7,5,FALSE)),"")</f>
        <v/>
      </c>
      <c r="J583" s="145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8">
        <v>46256</v>
      </c>
      <c r="B584" s="25">
        <f t="shared" si="153"/>
        <v>0.9166666666666663</v>
      </c>
      <c r="C584" s="26"/>
      <c r="D584" s="59"/>
      <c r="E584" s="120"/>
      <c r="F584" s="122" t="str">
        <f>IFERROR(IF($D584="","",VLOOKUP($D584,Cadastro!$C$4:$E$7,3,FALSE)),"")</f>
        <v/>
      </c>
      <c r="G584" s="114"/>
      <c r="H584" s="122" t="str">
        <f>IFERROR(IF($G584="","",$G584*$S$594/$G$594/Cadastro!$E$33),"")</f>
        <v/>
      </c>
      <c r="I584" s="129" t="str">
        <f>IFERROR(IF($D584="","",VLOOKUP($D584,Cadastro!$C$4:$G$7,5,FALSE)),"")</f>
        <v/>
      </c>
      <c r="J584" s="145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9">
        <v>46256</v>
      </c>
      <c r="B585" s="32">
        <f t="shared" si="153"/>
        <v>0.95833333333333293</v>
      </c>
      <c r="C585" s="26"/>
      <c r="D585" s="59"/>
      <c r="E585" s="120"/>
      <c r="F585" s="122" t="str">
        <f>IFERROR(IF($D585="","",VLOOKUP($D585,Cadastro!$C$4:$E$7,3,FALSE)),"")</f>
        <v/>
      </c>
      <c r="G585" s="114"/>
      <c r="H585" s="122" t="str">
        <f>IFERROR(IF($G585="","",$G585*$S$594/$G$594/Cadastro!$E$33),"")</f>
        <v/>
      </c>
      <c r="I585" s="129" t="str">
        <f>IFERROR(IF($D585="","",VLOOKUP($D585,Cadastro!$C$4:$G$7,5,FALSE)),"")</f>
        <v/>
      </c>
      <c r="J585" s="145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8">
        <v>46256</v>
      </c>
      <c r="B586" s="25">
        <f t="shared" si="153"/>
        <v>0.99999999999999956</v>
      </c>
      <c r="C586" s="26"/>
      <c r="D586" s="59"/>
      <c r="E586" s="120"/>
      <c r="F586" s="122" t="str">
        <f>IFERROR(IF($D586="","",VLOOKUP($D586,Cadastro!$C$4:$E$7,3,FALSE)),"")</f>
        <v/>
      </c>
      <c r="G586" s="114"/>
      <c r="H586" s="122" t="str">
        <f>IFERROR(IF($G586="","",$G586*$S$594/$G$594/Cadastro!$E$33),"")</f>
        <v/>
      </c>
      <c r="I586" s="129" t="str">
        <f>IFERROR(IF($D586="","",VLOOKUP($D586,Cadastro!$C$4:$G$7,5,FALSE)),"")</f>
        <v/>
      </c>
      <c r="J586" s="145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9">
        <v>46256</v>
      </c>
      <c r="B587" s="32">
        <f t="shared" si="153"/>
        <v>1.0416666666666663</v>
      </c>
      <c r="C587" s="26"/>
      <c r="D587" s="59"/>
      <c r="E587" s="120"/>
      <c r="F587" s="122" t="str">
        <f>IFERROR(IF($D587="","",VLOOKUP($D587,Cadastro!$C$4:$E$7,3,FALSE)),"")</f>
        <v/>
      </c>
      <c r="G587" s="114"/>
      <c r="H587" s="122" t="str">
        <f>IFERROR(IF($G587="","",$G587*$S$594/$G$594/Cadastro!$E$33),"")</f>
        <v/>
      </c>
      <c r="I587" s="129" t="str">
        <f>IFERROR(IF($D587="","",VLOOKUP($D587,Cadastro!$C$4:$G$7,5,FALSE)),"")</f>
        <v/>
      </c>
      <c r="J587" s="145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8">
        <v>46256</v>
      </c>
      <c r="B588" s="25">
        <f t="shared" si="153"/>
        <v>1.083333333333333</v>
      </c>
      <c r="C588" s="26"/>
      <c r="D588" s="59"/>
      <c r="E588" s="120"/>
      <c r="F588" s="122" t="str">
        <f>IFERROR(IF($D588="","",VLOOKUP($D588,Cadastro!$C$4:$E$7,3,FALSE)),"")</f>
        <v/>
      </c>
      <c r="G588" s="114"/>
      <c r="H588" s="122" t="str">
        <f>IFERROR(IF($G588="","",$G588*$S$594/$G$594/Cadastro!$E$33),"")</f>
        <v/>
      </c>
      <c r="I588" s="129" t="str">
        <f>IFERROR(IF($D588="","",VLOOKUP($D588,Cadastro!$C$4:$G$7,5,FALSE)),"")</f>
        <v/>
      </c>
      <c r="J588" s="145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9">
        <v>46256</v>
      </c>
      <c r="B589" s="32">
        <f t="shared" si="153"/>
        <v>1.1249999999999998</v>
      </c>
      <c r="C589" s="26"/>
      <c r="D589" s="59"/>
      <c r="E589" s="120"/>
      <c r="F589" s="122" t="str">
        <f>IFERROR(IF($D589="","",VLOOKUP($D589,Cadastro!$C$4:$E$7,3,FALSE)),"")</f>
        <v/>
      </c>
      <c r="G589" s="114"/>
      <c r="H589" s="122" t="str">
        <f>IFERROR(IF($G589="","",$G589*$S$594/$G$594/Cadastro!$E$33),"")</f>
        <v/>
      </c>
      <c r="I589" s="129" t="str">
        <f>IFERROR(IF($D589="","",VLOOKUP($D589,Cadastro!$C$4:$G$7,5,FALSE)),"")</f>
        <v/>
      </c>
      <c r="J589" s="145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8">
        <v>46256</v>
      </c>
      <c r="B590" s="25">
        <f t="shared" si="153"/>
        <v>1.1666666666666665</v>
      </c>
      <c r="C590" s="26"/>
      <c r="D590" s="59"/>
      <c r="E590" s="120"/>
      <c r="F590" s="122" t="str">
        <f>IFERROR(IF($D590="","",VLOOKUP($D590,Cadastro!$C$4:$E$7,3,FALSE)),"")</f>
        <v/>
      </c>
      <c r="G590" s="114"/>
      <c r="H590" s="122" t="str">
        <f>IFERROR(IF($G590="","",$G590*$S$594/$G$594/Cadastro!$E$33),"")</f>
        <v/>
      </c>
      <c r="I590" s="129" t="str">
        <f>IFERROR(IF($D590="","",VLOOKUP($D590,Cadastro!$C$4:$G$7,5,FALSE)),"")</f>
        <v/>
      </c>
      <c r="J590" s="145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9">
        <v>46256</v>
      </c>
      <c r="B591" s="32">
        <f t="shared" si="153"/>
        <v>1.2083333333333333</v>
      </c>
      <c r="C591" s="26"/>
      <c r="D591" s="59"/>
      <c r="E591" s="120"/>
      <c r="F591" s="122" t="str">
        <f>IFERROR(IF($D591="","",VLOOKUP($D591,Cadastro!$C$4:$E$7,3,FALSE)),"")</f>
        <v/>
      </c>
      <c r="G591" s="114"/>
      <c r="H591" s="122" t="str">
        <f>IFERROR(IF($G591="","",$G591*$S$594/$G$594/Cadastro!$E$33),"")</f>
        <v/>
      </c>
      <c r="I591" s="129" t="str">
        <f>IFERROR(IF($D591="","",VLOOKUP($D591,Cadastro!$C$4:$G$7,5,FALSE)),"")</f>
        <v/>
      </c>
      <c r="J591" s="145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8">
        <v>46256</v>
      </c>
      <c r="B592" s="25">
        <f t="shared" si="153"/>
        <v>1.25</v>
      </c>
      <c r="C592" s="26"/>
      <c r="D592" s="59"/>
      <c r="E592" s="120"/>
      <c r="F592" s="122" t="str">
        <f>IFERROR(IF($D592="","",VLOOKUP($D592,Cadastro!$C$4:$E$7,3,FALSE)),"")</f>
        <v/>
      </c>
      <c r="G592" s="114"/>
      <c r="H592" s="122" t="str">
        <f>IFERROR(IF($G592="","",$G592*$S$594/$G$594/Cadastro!$E$33),"")</f>
        <v/>
      </c>
      <c r="I592" s="129" t="str">
        <f>IFERROR(IF($D592="","",VLOOKUP($D592,Cadastro!$C$4:$G$7,5,FALSE)),"")</f>
        <v/>
      </c>
      <c r="J592" s="145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9">
        <v>46256</v>
      </c>
      <c r="B593" s="32">
        <f t="shared" si="153"/>
        <v>1.2916666666666667</v>
      </c>
      <c r="C593" s="26"/>
      <c r="D593" s="59"/>
      <c r="E593" s="120"/>
      <c r="F593" s="118" t="str">
        <f>IFERROR(IF($D593="","",VLOOKUP($D593,Cadastro!$C$4:$E$7,3,FALSE)),"")</f>
        <v/>
      </c>
      <c r="G593" s="114"/>
      <c r="H593" s="118" t="str">
        <f>IFERROR(IF($G593="","",$G593*$S$594/$G$594/Cadastro!$E$33),"")</f>
        <v/>
      </c>
      <c r="I593" s="130" t="str">
        <f>IFERROR(IF($D593="","",VLOOKUP($D593,Cadastro!$C$4:$G$7,5,FALSE)),"")</f>
        <v/>
      </c>
      <c r="J593" s="146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68" t="s">
        <v>234</v>
      </c>
      <c r="B594" s="169"/>
      <c r="C594" s="169"/>
      <c r="D594" s="169"/>
      <c r="E594" s="169">
        <f>SUM(E582:E593)</f>
        <v>0</v>
      </c>
      <c r="F594" s="124"/>
      <c r="G594" s="88">
        <f>SUM(G582:G593)</f>
        <v>0</v>
      </c>
      <c r="H594" s="124">
        <f>IFERROR(SUM(H582:H593),"")</f>
        <v>0</v>
      </c>
      <c r="I594" s="133"/>
      <c r="J594" s="149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232</v>
      </c>
      <c r="S594" s="76"/>
      <c r="T594" s="136">
        <f>IFERROR(J594,"")</f>
        <v>0</v>
      </c>
    </row>
    <row r="595" spans="1:20" ht="18" customHeight="1" x14ac:dyDescent="0.3">
      <c r="A595" s="165" t="s">
        <v>235</v>
      </c>
      <c r="B595" s="166"/>
      <c r="C595" s="166"/>
      <c r="D595" s="166"/>
      <c r="E595" s="166">
        <f>E581+E594</f>
        <v>0</v>
      </c>
      <c r="F595" s="125"/>
      <c r="G595" s="100">
        <f>G581+G594</f>
        <v>0</v>
      </c>
      <c r="H595" s="125">
        <f>IFERROR(H581+H594,"")</f>
        <v>0</v>
      </c>
      <c r="I595" s="134"/>
      <c r="J595" s="150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236</v>
      </c>
      <c r="S595" s="82">
        <f>IFERROR(S581+S594,"")</f>
        <v>0</v>
      </c>
      <c r="T595" s="140">
        <f>IFERROR(J595,"")</f>
        <v>0</v>
      </c>
    </row>
    <row r="596" spans="1:20" ht="15" customHeight="1" x14ac:dyDescent="0.3">
      <c r="A596" s="68">
        <v>46257</v>
      </c>
      <c r="B596" s="25">
        <v>0.33333333333333298</v>
      </c>
      <c r="C596" s="26"/>
      <c r="D596" s="59"/>
      <c r="E596" s="120"/>
      <c r="F596" s="119" t="str">
        <f>IFERROR(IF($D596="","",VLOOKUP($D596,Cadastro!$C$4:$E$7,3,FALSE)),"")</f>
        <v/>
      </c>
      <c r="G596" s="114"/>
      <c r="H596" s="119" t="str">
        <f>IFERROR(IF($G596="","",$G596*$S$608/$G$608/Cadastro!$E$33),"")</f>
        <v/>
      </c>
      <c r="I596" s="132" t="str">
        <f>IFERROR(IF($D596="","",VLOOKUP($D596,Cadastro!$C$4:$G$7,5,FALSE)),"")</f>
        <v/>
      </c>
      <c r="J596" s="148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9">
        <v>46257</v>
      </c>
      <c r="B597" s="32">
        <f t="shared" ref="B597:B607" si="157">B596+TIME(0,60,0)</f>
        <v>0.37499999999999967</v>
      </c>
      <c r="C597" s="26"/>
      <c r="D597" s="59"/>
      <c r="E597" s="120"/>
      <c r="F597" s="122" t="str">
        <f>IFERROR(IF($D597="","",VLOOKUP($D597,Cadastro!$C$4:$E$7,3,FALSE)),"")</f>
        <v/>
      </c>
      <c r="G597" s="114"/>
      <c r="H597" s="122" t="str">
        <f>IFERROR(IF($G597="","",$G597*$S$608/$G$608/Cadastro!$E$33),"")</f>
        <v/>
      </c>
      <c r="I597" s="129" t="str">
        <f>IFERROR(IF($D597="","",VLOOKUP($D597,Cadastro!$C$4:$G$7,5,FALSE)),"")</f>
        <v/>
      </c>
      <c r="J597" s="145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8">
        <v>46257</v>
      </c>
      <c r="B598" s="25">
        <f t="shared" si="157"/>
        <v>0.41666666666666635</v>
      </c>
      <c r="C598" s="26"/>
      <c r="D598" s="59"/>
      <c r="E598" s="120"/>
      <c r="F598" s="122" t="str">
        <f>IFERROR(IF($D598="","",VLOOKUP($D598,Cadastro!$C$4:$E$7,3,FALSE)),"")</f>
        <v/>
      </c>
      <c r="G598" s="114"/>
      <c r="H598" s="122" t="str">
        <f>IFERROR(IF($G598="","",$G598*$S$608/$G$608/Cadastro!$E$33),"")</f>
        <v/>
      </c>
      <c r="I598" s="129" t="str">
        <f>IFERROR(IF($D598="","",VLOOKUP($D598,Cadastro!$C$4:$G$7,5,FALSE)),"")</f>
        <v/>
      </c>
      <c r="J598" s="145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9">
        <v>46257</v>
      </c>
      <c r="B599" s="32">
        <f t="shared" si="157"/>
        <v>0.45833333333333304</v>
      </c>
      <c r="C599" s="26"/>
      <c r="D599" s="59"/>
      <c r="E599" s="120"/>
      <c r="F599" s="122" t="str">
        <f>IFERROR(IF($D599="","",VLOOKUP($D599,Cadastro!$C$4:$E$7,3,FALSE)),"")</f>
        <v/>
      </c>
      <c r="G599" s="114"/>
      <c r="H599" s="122" t="str">
        <f>IFERROR(IF($G599="","",$G599*$S$608/$G$608/Cadastro!$E$33),"")</f>
        <v/>
      </c>
      <c r="I599" s="129" t="str">
        <f>IFERROR(IF($D599="","",VLOOKUP($D599,Cadastro!$C$4:$G$7,5,FALSE)),"")</f>
        <v/>
      </c>
      <c r="J599" s="145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8">
        <v>46257</v>
      </c>
      <c r="B600" s="25">
        <f t="shared" si="157"/>
        <v>0.49999999999999972</v>
      </c>
      <c r="C600" s="26"/>
      <c r="D600" s="59"/>
      <c r="E600" s="120"/>
      <c r="F600" s="122" t="str">
        <f>IFERROR(IF($D600="","",VLOOKUP($D600,Cadastro!$C$4:$E$7,3,FALSE)),"")</f>
        <v/>
      </c>
      <c r="G600" s="114"/>
      <c r="H600" s="122" t="str">
        <f>IFERROR(IF($G600="","",$G600*$S$608/$G$608/Cadastro!$E$33),"")</f>
        <v/>
      </c>
      <c r="I600" s="129" t="str">
        <f>IFERROR(IF($D600="","",VLOOKUP($D600,Cadastro!$C$4:$G$7,5,FALSE)),"")</f>
        <v/>
      </c>
      <c r="J600" s="145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9">
        <v>46257</v>
      </c>
      <c r="B601" s="32">
        <f t="shared" si="157"/>
        <v>0.54166666666666641</v>
      </c>
      <c r="C601" s="26"/>
      <c r="D601" s="59"/>
      <c r="E601" s="120"/>
      <c r="F601" s="122" t="str">
        <f>IFERROR(IF($D601="","",VLOOKUP($D601,Cadastro!$C$4:$E$7,3,FALSE)),"")</f>
        <v/>
      </c>
      <c r="G601" s="114"/>
      <c r="H601" s="122" t="str">
        <f>IFERROR(IF($G601="","",$G601*$S$608/$G$608/Cadastro!$E$33),"")</f>
        <v/>
      </c>
      <c r="I601" s="129" t="str">
        <f>IFERROR(IF($D601="","",VLOOKUP($D601,Cadastro!$C$4:$G$7,5,FALSE)),"")</f>
        <v/>
      </c>
      <c r="J601" s="145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8">
        <v>46257</v>
      </c>
      <c r="B602" s="25">
        <f t="shared" si="157"/>
        <v>0.58333333333333304</v>
      </c>
      <c r="C602" s="26"/>
      <c r="D602" s="59"/>
      <c r="E602" s="120"/>
      <c r="F602" s="122" t="str">
        <f>IFERROR(IF($D602="","",VLOOKUP($D602,Cadastro!$C$4:$E$7,3,FALSE)),"")</f>
        <v/>
      </c>
      <c r="G602" s="114"/>
      <c r="H602" s="122" t="str">
        <f>IFERROR(IF($G602="","",$G602*$S$608/$G$608/Cadastro!$E$33),"")</f>
        <v/>
      </c>
      <c r="I602" s="129" t="str">
        <f>IFERROR(IF($D602="","",VLOOKUP($D602,Cadastro!$C$4:$G$7,5,FALSE)),"")</f>
        <v/>
      </c>
      <c r="J602" s="145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9">
        <v>46257</v>
      </c>
      <c r="B603" s="32">
        <f t="shared" si="157"/>
        <v>0.62499999999999967</v>
      </c>
      <c r="C603" s="26"/>
      <c r="D603" s="59"/>
      <c r="E603" s="120"/>
      <c r="F603" s="122" t="str">
        <f>IFERROR(IF($D603="","",VLOOKUP($D603,Cadastro!$C$4:$E$7,3,FALSE)),"")</f>
        <v/>
      </c>
      <c r="G603" s="114"/>
      <c r="H603" s="122" t="str">
        <f>IFERROR(IF($G603="","",$G603*$S$608/$G$608/Cadastro!$E$33),"")</f>
        <v/>
      </c>
      <c r="I603" s="129" t="str">
        <f>IFERROR(IF($D603="","",VLOOKUP($D603,Cadastro!$C$4:$G$7,5,FALSE)),"")</f>
        <v/>
      </c>
      <c r="J603" s="145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8">
        <v>46257</v>
      </c>
      <c r="B604" s="25">
        <f t="shared" si="157"/>
        <v>0.6666666666666663</v>
      </c>
      <c r="C604" s="26"/>
      <c r="D604" s="59"/>
      <c r="E604" s="120"/>
      <c r="F604" s="122" t="str">
        <f>IFERROR(IF($D604="","",VLOOKUP($D604,Cadastro!$C$4:$E$7,3,FALSE)),"")</f>
        <v/>
      </c>
      <c r="G604" s="114"/>
      <c r="H604" s="122" t="str">
        <f>IFERROR(IF($G604="","",$G604*$S$608/$G$608/Cadastro!$E$33),"")</f>
        <v/>
      </c>
      <c r="I604" s="129" t="str">
        <f>IFERROR(IF($D604="","",VLOOKUP($D604,Cadastro!$C$4:$G$7,5,FALSE)),"")</f>
        <v/>
      </c>
      <c r="J604" s="145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9">
        <v>46257</v>
      </c>
      <c r="B605" s="32">
        <f t="shared" si="157"/>
        <v>0.70833333333333293</v>
      </c>
      <c r="C605" s="26"/>
      <c r="D605" s="59"/>
      <c r="E605" s="120"/>
      <c r="F605" s="122" t="str">
        <f>IFERROR(IF($D605="","",VLOOKUP($D605,Cadastro!$C$4:$E$7,3,FALSE)),"")</f>
        <v/>
      </c>
      <c r="G605" s="114"/>
      <c r="H605" s="122" t="str">
        <f>IFERROR(IF($G605="","",$G605*$S$608/$G$608/Cadastro!$E$33),"")</f>
        <v/>
      </c>
      <c r="I605" s="129" t="str">
        <f>IFERROR(IF($D605="","",VLOOKUP($D605,Cadastro!$C$4:$G$7,5,FALSE)),"")</f>
        <v/>
      </c>
      <c r="J605" s="145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8">
        <v>46257</v>
      </c>
      <c r="B606" s="25">
        <f t="shared" si="157"/>
        <v>0.74999999999999956</v>
      </c>
      <c r="C606" s="26"/>
      <c r="D606" s="59"/>
      <c r="E606" s="120"/>
      <c r="F606" s="122" t="str">
        <f>IFERROR(IF($D606="","",VLOOKUP($D606,Cadastro!$C$4:$E$7,3,FALSE)),"")</f>
        <v/>
      </c>
      <c r="G606" s="114"/>
      <c r="H606" s="122" t="str">
        <f>IFERROR(IF($G606="","",$G606*$S$608/$G$608/Cadastro!$E$33),"")</f>
        <v/>
      </c>
      <c r="I606" s="129" t="str">
        <f>IFERROR(IF($D606="","",VLOOKUP($D606,Cadastro!$C$4:$G$7,5,FALSE)),"")</f>
        <v/>
      </c>
      <c r="J606" s="145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9">
        <v>46257</v>
      </c>
      <c r="B607" s="32">
        <f t="shared" si="157"/>
        <v>0.79166666666666619</v>
      </c>
      <c r="C607" s="26"/>
      <c r="D607" s="59"/>
      <c r="E607" s="120"/>
      <c r="F607" s="118" t="str">
        <f>IFERROR(IF($D607="","",VLOOKUP($D607,Cadastro!$C$4:$E$7,3,FALSE)),"")</f>
        <v/>
      </c>
      <c r="G607" s="114"/>
      <c r="H607" s="118" t="str">
        <f>IFERROR(IF($G607="","",$G607*$S$608/$G$608/Cadastro!$E$33),"")</f>
        <v/>
      </c>
      <c r="I607" s="130" t="str">
        <f>IFERROR(IF($D607="","",VLOOKUP($D607,Cadastro!$C$4:$G$7,5,FALSE)),"")</f>
        <v/>
      </c>
      <c r="J607" s="146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68" t="s">
        <v>231</v>
      </c>
      <c r="B608" s="169"/>
      <c r="C608" s="169"/>
      <c r="D608" s="169"/>
      <c r="E608" s="169">
        <f>SUM(E596:E607)</f>
        <v>0</v>
      </c>
      <c r="F608" s="123"/>
      <c r="G608" s="88">
        <f>SUM(G596:G607)</f>
        <v>0</v>
      </c>
      <c r="H608" s="123">
        <f>IFERROR(SUM(H596:H607),"")</f>
        <v>0</v>
      </c>
      <c r="I608" s="131"/>
      <c r="J608" s="147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232</v>
      </c>
      <c r="S608" s="76"/>
      <c r="T608" s="136">
        <f>IFERROR(J608,"")</f>
        <v>0</v>
      </c>
    </row>
    <row r="609" spans="1:20" ht="15" customHeight="1" x14ac:dyDescent="0.3">
      <c r="A609" s="69">
        <v>46257</v>
      </c>
      <c r="B609" s="32">
        <v>0.83333333333333304</v>
      </c>
      <c r="C609" s="33"/>
      <c r="D609" s="62"/>
      <c r="E609" s="121"/>
      <c r="F609" s="119" t="str">
        <f>IFERROR(IF($D609="","",VLOOKUP($D609,Cadastro!$C$4:$E$7,3,FALSE)),"")</f>
        <v/>
      </c>
      <c r="G609" s="114"/>
      <c r="H609" s="119" t="str">
        <f>IFERROR(IF($G609="","",$G609*$S$621/$G$621/Cadastro!$E$33),"")</f>
        <v/>
      </c>
      <c r="I609" s="132" t="str">
        <f>IFERROR(IF($D609="","",VLOOKUP($D609,Cadastro!$C$4:$G$7,5,FALSE)),"")</f>
        <v/>
      </c>
      <c r="J609" s="148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8">
        <v>46257</v>
      </c>
      <c r="B610" s="25">
        <f t="shared" ref="B610:B620" si="161">B609+TIME(0,60,0)</f>
        <v>0.87499999999999967</v>
      </c>
      <c r="C610" s="33"/>
      <c r="D610" s="62"/>
      <c r="E610" s="121"/>
      <c r="F610" s="122" t="str">
        <f>IFERROR(IF($D610="","",VLOOKUP($D610,Cadastro!$C$4:$E$7,3,FALSE)),"")</f>
        <v/>
      </c>
      <c r="G610" s="114"/>
      <c r="H610" s="122" t="str">
        <f>IFERROR(IF($G610="","",$G610*$S$621/$G$621/Cadastro!$E$33),"")</f>
        <v/>
      </c>
      <c r="I610" s="129" t="str">
        <f>IFERROR(IF($D610="","",VLOOKUP($D610,Cadastro!$C$4:$G$7,5,FALSE)),"")</f>
        <v/>
      </c>
      <c r="J610" s="145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9">
        <v>46257</v>
      </c>
      <c r="B611" s="32">
        <f t="shared" si="161"/>
        <v>0.9166666666666663</v>
      </c>
      <c r="C611" s="33"/>
      <c r="D611" s="62"/>
      <c r="E611" s="121"/>
      <c r="F611" s="122" t="str">
        <f>IFERROR(IF($D611="","",VLOOKUP($D611,Cadastro!$C$4:$E$7,3,FALSE)),"")</f>
        <v/>
      </c>
      <c r="G611" s="114"/>
      <c r="H611" s="122" t="str">
        <f>IFERROR(IF($G611="","",$G611*$S$621/$G$621/Cadastro!$E$33),"")</f>
        <v/>
      </c>
      <c r="I611" s="129" t="str">
        <f>IFERROR(IF($D611="","",VLOOKUP($D611,Cadastro!$C$4:$G$7,5,FALSE)),"")</f>
        <v/>
      </c>
      <c r="J611" s="145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8">
        <v>46257</v>
      </c>
      <c r="B612" s="25">
        <f t="shared" si="161"/>
        <v>0.95833333333333293</v>
      </c>
      <c r="C612" s="33"/>
      <c r="D612" s="62"/>
      <c r="E612" s="121"/>
      <c r="F612" s="122" t="str">
        <f>IFERROR(IF($D612="","",VLOOKUP($D612,Cadastro!$C$4:$E$7,3,FALSE)),"")</f>
        <v/>
      </c>
      <c r="G612" s="114"/>
      <c r="H612" s="122" t="str">
        <f>IFERROR(IF($G612="","",$G612*$S$621/$G$621/Cadastro!$E$33),"")</f>
        <v/>
      </c>
      <c r="I612" s="129" t="str">
        <f>IFERROR(IF($D612="","",VLOOKUP($D612,Cadastro!$C$4:$G$7,5,FALSE)),"")</f>
        <v/>
      </c>
      <c r="J612" s="145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9">
        <v>46257</v>
      </c>
      <c r="B613" s="32">
        <f t="shared" si="161"/>
        <v>0.99999999999999956</v>
      </c>
      <c r="C613" s="33"/>
      <c r="D613" s="62"/>
      <c r="E613" s="121"/>
      <c r="F613" s="122" t="str">
        <f>IFERROR(IF($D613="","",VLOOKUP($D613,Cadastro!$C$4:$E$7,3,FALSE)),"")</f>
        <v/>
      </c>
      <c r="G613" s="114"/>
      <c r="H613" s="122" t="str">
        <f>IFERROR(IF($G613="","",$G613*$S$621/$G$621/Cadastro!$E$33),"")</f>
        <v/>
      </c>
      <c r="I613" s="129" t="str">
        <f>IFERROR(IF($D613="","",VLOOKUP($D613,Cadastro!$C$4:$G$7,5,FALSE)),"")</f>
        <v/>
      </c>
      <c r="J613" s="145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8">
        <v>46257</v>
      </c>
      <c r="B614" s="25">
        <f t="shared" si="161"/>
        <v>1.0416666666666663</v>
      </c>
      <c r="C614" s="33"/>
      <c r="D614" s="62"/>
      <c r="E614" s="121"/>
      <c r="F614" s="122" t="str">
        <f>IFERROR(IF($D614="","",VLOOKUP($D614,Cadastro!$C$4:$E$7,3,FALSE)),"")</f>
        <v/>
      </c>
      <c r="G614" s="114"/>
      <c r="H614" s="122" t="str">
        <f>IFERROR(IF($G614="","",$G614*$S$621/$G$621/Cadastro!$E$33),"")</f>
        <v/>
      </c>
      <c r="I614" s="129" t="str">
        <f>IFERROR(IF($D614="","",VLOOKUP($D614,Cadastro!$C$4:$G$7,5,FALSE)),"")</f>
        <v/>
      </c>
      <c r="J614" s="145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9">
        <v>46257</v>
      </c>
      <c r="B615" s="32">
        <f t="shared" si="161"/>
        <v>1.083333333333333</v>
      </c>
      <c r="C615" s="33"/>
      <c r="D615" s="62"/>
      <c r="E615" s="121"/>
      <c r="F615" s="122" t="str">
        <f>IFERROR(IF($D615="","",VLOOKUP($D615,Cadastro!$C$4:$E$7,3,FALSE)),"")</f>
        <v/>
      </c>
      <c r="G615" s="114"/>
      <c r="H615" s="122" t="str">
        <f>IFERROR(IF($G615="","",$G615*$S$621/$G$621/Cadastro!$E$33),"")</f>
        <v/>
      </c>
      <c r="I615" s="129" t="str">
        <f>IFERROR(IF($D615="","",VLOOKUP($D615,Cadastro!$C$4:$G$7,5,FALSE)),"")</f>
        <v/>
      </c>
      <c r="J615" s="145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8">
        <v>46257</v>
      </c>
      <c r="B616" s="25">
        <f t="shared" si="161"/>
        <v>1.1249999999999998</v>
      </c>
      <c r="C616" s="33"/>
      <c r="D616" s="62"/>
      <c r="E616" s="121"/>
      <c r="F616" s="122" t="str">
        <f>IFERROR(IF($D616="","",VLOOKUP($D616,Cadastro!$C$4:$E$7,3,FALSE)),"")</f>
        <v/>
      </c>
      <c r="G616" s="114"/>
      <c r="H616" s="122" t="str">
        <f>IFERROR(IF($G616="","",$G616*$S$621/$G$621/Cadastro!$E$33),"")</f>
        <v/>
      </c>
      <c r="I616" s="129" t="str">
        <f>IFERROR(IF($D616="","",VLOOKUP($D616,Cadastro!$C$4:$G$7,5,FALSE)),"")</f>
        <v/>
      </c>
      <c r="J616" s="145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9">
        <v>46257</v>
      </c>
      <c r="B617" s="32">
        <f t="shared" si="161"/>
        <v>1.1666666666666665</v>
      </c>
      <c r="C617" s="33"/>
      <c r="D617" s="62"/>
      <c r="E617" s="121"/>
      <c r="F617" s="122" t="str">
        <f>IFERROR(IF($D617="","",VLOOKUP($D617,Cadastro!$C$4:$E$7,3,FALSE)),"")</f>
        <v/>
      </c>
      <c r="G617" s="114"/>
      <c r="H617" s="122" t="str">
        <f>IFERROR(IF($G617="","",$G617*$S$621/$G$621/Cadastro!$E$33),"")</f>
        <v/>
      </c>
      <c r="I617" s="129" t="str">
        <f>IFERROR(IF($D617="","",VLOOKUP($D617,Cadastro!$C$4:$G$7,5,FALSE)),"")</f>
        <v/>
      </c>
      <c r="J617" s="145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8">
        <v>46257</v>
      </c>
      <c r="B618" s="25">
        <f t="shared" si="161"/>
        <v>1.2083333333333333</v>
      </c>
      <c r="C618" s="33"/>
      <c r="D618" s="62"/>
      <c r="E618" s="121"/>
      <c r="F618" s="122" t="str">
        <f>IFERROR(IF($D618="","",VLOOKUP($D618,Cadastro!$C$4:$E$7,3,FALSE)),"")</f>
        <v/>
      </c>
      <c r="G618" s="114"/>
      <c r="H618" s="122" t="str">
        <f>IFERROR(IF($G618="","",$G618*$S$621/$G$621/Cadastro!$E$33),"")</f>
        <v/>
      </c>
      <c r="I618" s="129" t="str">
        <f>IFERROR(IF($D618="","",VLOOKUP($D618,Cadastro!$C$4:$G$7,5,FALSE)),"")</f>
        <v/>
      </c>
      <c r="J618" s="145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9">
        <v>46257</v>
      </c>
      <c r="B619" s="32">
        <f t="shared" si="161"/>
        <v>1.25</v>
      </c>
      <c r="C619" s="33"/>
      <c r="D619" s="62"/>
      <c r="E619" s="121"/>
      <c r="F619" s="122" t="str">
        <f>IFERROR(IF($D619="","",VLOOKUP($D619,Cadastro!$C$4:$E$7,3,FALSE)),"")</f>
        <v/>
      </c>
      <c r="G619" s="114"/>
      <c r="H619" s="122" t="str">
        <f>IFERROR(IF($G619="","",$G619*$S$621/$G$621/Cadastro!$E$33),"")</f>
        <v/>
      </c>
      <c r="I619" s="129" t="str">
        <f>IFERROR(IF($D619="","",VLOOKUP($D619,Cadastro!$C$4:$G$7,5,FALSE)),"")</f>
        <v/>
      </c>
      <c r="J619" s="145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8">
        <v>46257</v>
      </c>
      <c r="B620" s="25">
        <f t="shared" si="161"/>
        <v>1.2916666666666667</v>
      </c>
      <c r="C620" s="33"/>
      <c r="D620" s="62"/>
      <c r="E620" s="121"/>
      <c r="F620" s="118" t="str">
        <f>IFERROR(IF($D620="","",VLOOKUP($D620,Cadastro!$C$4:$E$7,3,FALSE)),"")</f>
        <v/>
      </c>
      <c r="G620" s="114"/>
      <c r="H620" s="118" t="str">
        <f>IFERROR(IF($G620="","",$G620*$S$621/$G$621/Cadastro!$E$33),"")</f>
        <v/>
      </c>
      <c r="I620" s="130" t="str">
        <f>IFERROR(IF($D620="","",VLOOKUP($D620,Cadastro!$C$4:$G$7,5,FALSE)),"")</f>
        <v/>
      </c>
      <c r="J620" s="146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68" t="s">
        <v>234</v>
      </c>
      <c r="B621" s="169"/>
      <c r="C621" s="169"/>
      <c r="D621" s="169"/>
      <c r="E621" s="169">
        <f>SUM(E609:E620)</f>
        <v>0</v>
      </c>
      <c r="F621" s="124"/>
      <c r="G621" s="88">
        <f>SUM(G609:G620)</f>
        <v>0</v>
      </c>
      <c r="H621" s="124">
        <f>IFERROR(SUM(H609:H620),"")</f>
        <v>0</v>
      </c>
      <c r="I621" s="133"/>
      <c r="J621" s="149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232</v>
      </c>
      <c r="S621" s="76"/>
      <c r="T621" s="136">
        <f>IFERROR(J621,"")</f>
        <v>0</v>
      </c>
    </row>
    <row r="622" spans="1:20" ht="18" customHeight="1" x14ac:dyDescent="0.3">
      <c r="A622" s="165" t="s">
        <v>235</v>
      </c>
      <c r="B622" s="166"/>
      <c r="C622" s="166"/>
      <c r="D622" s="166"/>
      <c r="E622" s="166">
        <f>E608+E621</f>
        <v>0</v>
      </c>
      <c r="F622" s="125"/>
      <c r="G622" s="100">
        <f>G608+G621</f>
        <v>0</v>
      </c>
      <c r="H622" s="125">
        <f>IFERROR(H608+H621,"")</f>
        <v>0</v>
      </c>
      <c r="I622" s="134"/>
      <c r="J622" s="150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236</v>
      </c>
      <c r="S622" s="82">
        <f>S608+S621</f>
        <v>0</v>
      </c>
      <c r="T622" s="140">
        <f>IFERROR(J622,"")</f>
        <v>0</v>
      </c>
    </row>
    <row r="623" spans="1:20" ht="15" customHeight="1" x14ac:dyDescent="0.3">
      <c r="A623" s="69">
        <v>46258</v>
      </c>
      <c r="B623" s="32">
        <v>0.33333333333333298</v>
      </c>
      <c r="C623" s="33"/>
      <c r="D623" s="62"/>
      <c r="E623" s="121"/>
      <c r="F623" s="119" t="str">
        <f>IFERROR(IF($D623="","",VLOOKUP($D623,Cadastro!$C$4:$E$7,3,FALSE)),"")</f>
        <v/>
      </c>
      <c r="G623" s="114"/>
      <c r="H623" s="119" t="str">
        <f>IFERROR(IF($G623="","",$G623*$S$635/$G$635/Cadastro!$E$33),"")</f>
        <v/>
      </c>
      <c r="I623" s="132" t="str">
        <f>IFERROR(IF($D623="","",VLOOKUP($D623,Cadastro!$C$4:$G$7,5,FALSE)),"")</f>
        <v/>
      </c>
      <c r="J623" s="148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8">
        <v>46258</v>
      </c>
      <c r="B624" s="25">
        <f t="shared" ref="B624:B634" si="165">B623+TIME(0,60,0)</f>
        <v>0.37499999999999967</v>
      </c>
      <c r="C624" s="33"/>
      <c r="D624" s="62"/>
      <c r="E624" s="121"/>
      <c r="F624" s="122" t="str">
        <f>IFERROR(IF($D624="","",VLOOKUP($D624,Cadastro!$C$4:$E$7,3,FALSE)),"")</f>
        <v/>
      </c>
      <c r="G624" s="114"/>
      <c r="H624" s="122" t="str">
        <f>IFERROR(IF($G624="","",$G624*$S$635/$G$635/Cadastro!$E$33),"")</f>
        <v/>
      </c>
      <c r="I624" s="129" t="str">
        <f>IFERROR(IF($D624="","",VLOOKUP($D624,Cadastro!$C$4:$G$7,5,FALSE)),"")</f>
        <v/>
      </c>
      <c r="J624" s="145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9">
        <v>46258</v>
      </c>
      <c r="B625" s="32">
        <f t="shared" si="165"/>
        <v>0.41666666666666635</v>
      </c>
      <c r="C625" s="33"/>
      <c r="D625" s="62"/>
      <c r="E625" s="121"/>
      <c r="F625" s="122" t="str">
        <f>IFERROR(IF($D625="","",VLOOKUP($D625,Cadastro!$C$4:$E$7,3,FALSE)),"")</f>
        <v/>
      </c>
      <c r="G625" s="114"/>
      <c r="H625" s="122" t="str">
        <f>IFERROR(IF($G625="","",$G625*$S$635/$G$635/Cadastro!$E$33),"")</f>
        <v/>
      </c>
      <c r="I625" s="129" t="str">
        <f>IFERROR(IF($D625="","",VLOOKUP($D625,Cadastro!$C$4:$G$7,5,FALSE)),"")</f>
        <v/>
      </c>
      <c r="J625" s="145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8">
        <v>46258</v>
      </c>
      <c r="B626" s="25">
        <f t="shared" si="165"/>
        <v>0.45833333333333304</v>
      </c>
      <c r="C626" s="33"/>
      <c r="D626" s="62"/>
      <c r="E626" s="121"/>
      <c r="F626" s="122" t="str">
        <f>IFERROR(IF($D626="","",VLOOKUP($D626,Cadastro!$C$4:$E$7,3,FALSE)),"")</f>
        <v/>
      </c>
      <c r="G626" s="114"/>
      <c r="H626" s="122" t="str">
        <f>IFERROR(IF($G626="","",$G626*$S$635/$G$635/Cadastro!$E$33),"")</f>
        <v/>
      </c>
      <c r="I626" s="129" t="str">
        <f>IFERROR(IF($D626="","",VLOOKUP($D626,Cadastro!$C$4:$G$7,5,FALSE)),"")</f>
        <v/>
      </c>
      <c r="J626" s="145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9">
        <v>46258</v>
      </c>
      <c r="B627" s="32">
        <f t="shared" si="165"/>
        <v>0.49999999999999972</v>
      </c>
      <c r="C627" s="33"/>
      <c r="D627" s="62"/>
      <c r="E627" s="121"/>
      <c r="F627" s="122" t="str">
        <f>IFERROR(IF($D627="","",VLOOKUP($D627,Cadastro!$C$4:$E$7,3,FALSE)),"")</f>
        <v/>
      </c>
      <c r="G627" s="114"/>
      <c r="H627" s="122" t="str">
        <f>IFERROR(IF($G627="","",$G627*$S$635/$G$635/Cadastro!$E$33),"")</f>
        <v/>
      </c>
      <c r="I627" s="129" t="str">
        <f>IFERROR(IF($D627="","",VLOOKUP($D627,Cadastro!$C$4:$G$7,5,FALSE)),"")</f>
        <v/>
      </c>
      <c r="J627" s="145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8">
        <v>46258</v>
      </c>
      <c r="B628" s="25">
        <f t="shared" si="165"/>
        <v>0.54166666666666641</v>
      </c>
      <c r="C628" s="33"/>
      <c r="D628" s="62"/>
      <c r="E628" s="121"/>
      <c r="F628" s="122" t="str">
        <f>IFERROR(IF($D628="","",VLOOKUP($D628,Cadastro!$C$4:$E$7,3,FALSE)),"")</f>
        <v/>
      </c>
      <c r="G628" s="114"/>
      <c r="H628" s="122" t="str">
        <f>IFERROR(IF($G628="","",$G628*$S$635/$G$635/Cadastro!$E$33),"")</f>
        <v/>
      </c>
      <c r="I628" s="129" t="str">
        <f>IFERROR(IF($D628="","",VLOOKUP($D628,Cadastro!$C$4:$G$7,5,FALSE)),"")</f>
        <v/>
      </c>
      <c r="J628" s="145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9">
        <v>46258</v>
      </c>
      <c r="B629" s="32">
        <f t="shared" si="165"/>
        <v>0.58333333333333304</v>
      </c>
      <c r="C629" s="33"/>
      <c r="D629" s="62"/>
      <c r="E629" s="121"/>
      <c r="F629" s="122" t="str">
        <f>IFERROR(IF($D629="","",VLOOKUP($D629,Cadastro!$C$4:$E$7,3,FALSE)),"")</f>
        <v/>
      </c>
      <c r="G629" s="114"/>
      <c r="H629" s="122" t="str">
        <f>IFERROR(IF($G629="","",$G629*$S$635/$G$635/Cadastro!$E$33),"")</f>
        <v/>
      </c>
      <c r="I629" s="129" t="str">
        <f>IFERROR(IF($D629="","",VLOOKUP($D629,Cadastro!$C$4:$G$7,5,FALSE)),"")</f>
        <v/>
      </c>
      <c r="J629" s="145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8">
        <v>46258</v>
      </c>
      <c r="B630" s="25">
        <f t="shared" si="165"/>
        <v>0.62499999999999967</v>
      </c>
      <c r="C630" s="33"/>
      <c r="D630" s="62"/>
      <c r="E630" s="121"/>
      <c r="F630" s="122" t="str">
        <f>IFERROR(IF($D630="","",VLOOKUP($D630,Cadastro!$C$4:$E$7,3,FALSE)),"")</f>
        <v/>
      </c>
      <c r="G630" s="114"/>
      <c r="H630" s="122" t="str">
        <f>IFERROR(IF($G630="","",$G630*$S$635/$G$635/Cadastro!$E$33),"")</f>
        <v/>
      </c>
      <c r="I630" s="129" t="str">
        <f>IFERROR(IF($D630="","",VLOOKUP($D630,Cadastro!$C$4:$G$7,5,FALSE)),"")</f>
        <v/>
      </c>
      <c r="J630" s="145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9">
        <v>46258</v>
      </c>
      <c r="B631" s="32">
        <f t="shared" si="165"/>
        <v>0.6666666666666663</v>
      </c>
      <c r="C631" s="33"/>
      <c r="D631" s="62"/>
      <c r="E631" s="121"/>
      <c r="F631" s="122" t="str">
        <f>IFERROR(IF($D631="","",VLOOKUP($D631,Cadastro!$C$4:$E$7,3,FALSE)),"")</f>
        <v/>
      </c>
      <c r="G631" s="114"/>
      <c r="H631" s="122" t="str">
        <f>IFERROR(IF($G631="","",$G631*$S$635/$G$635/Cadastro!$E$33),"")</f>
        <v/>
      </c>
      <c r="I631" s="129" t="str">
        <f>IFERROR(IF($D631="","",VLOOKUP($D631,Cadastro!$C$4:$G$7,5,FALSE)),"")</f>
        <v/>
      </c>
      <c r="J631" s="145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8">
        <v>46258</v>
      </c>
      <c r="B632" s="25">
        <f t="shared" si="165"/>
        <v>0.70833333333333293</v>
      </c>
      <c r="C632" s="33"/>
      <c r="D632" s="62"/>
      <c r="E632" s="121"/>
      <c r="F632" s="122" t="str">
        <f>IFERROR(IF($D632="","",VLOOKUP($D632,Cadastro!$C$4:$E$7,3,FALSE)),"")</f>
        <v/>
      </c>
      <c r="G632" s="114"/>
      <c r="H632" s="122" t="str">
        <f>IFERROR(IF($G632="","",$G632*$S$635/$G$635/Cadastro!$E$33),"")</f>
        <v/>
      </c>
      <c r="I632" s="129" t="str">
        <f>IFERROR(IF($D632="","",VLOOKUP($D632,Cadastro!$C$4:$G$7,5,FALSE)),"")</f>
        <v/>
      </c>
      <c r="J632" s="145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9">
        <v>46258</v>
      </c>
      <c r="B633" s="32">
        <f t="shared" si="165"/>
        <v>0.74999999999999956</v>
      </c>
      <c r="C633" s="33"/>
      <c r="D633" s="62"/>
      <c r="E633" s="121"/>
      <c r="F633" s="122" t="str">
        <f>IFERROR(IF($D633="","",VLOOKUP($D633,Cadastro!$C$4:$E$7,3,FALSE)),"")</f>
        <v/>
      </c>
      <c r="G633" s="114"/>
      <c r="H633" s="122" t="str">
        <f>IFERROR(IF($G633="","",$G633*$S$635/$G$635/Cadastro!$E$33),"")</f>
        <v/>
      </c>
      <c r="I633" s="129" t="str">
        <f>IFERROR(IF($D633="","",VLOOKUP($D633,Cadastro!$C$4:$G$7,5,FALSE)),"")</f>
        <v/>
      </c>
      <c r="J633" s="145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8">
        <v>46258</v>
      </c>
      <c r="B634" s="25">
        <f t="shared" si="165"/>
        <v>0.79166666666666619</v>
      </c>
      <c r="C634" s="33"/>
      <c r="D634" s="62"/>
      <c r="E634" s="121"/>
      <c r="F634" s="118" t="str">
        <f>IFERROR(IF($D634="","",VLOOKUP($D634,Cadastro!$C$4:$E$7,3,FALSE)),"")</f>
        <v/>
      </c>
      <c r="G634" s="114"/>
      <c r="H634" s="118" t="str">
        <f>IFERROR(IF($G634="","",$G634*$S$635/$G$635/Cadastro!$E$33),"")</f>
        <v/>
      </c>
      <c r="I634" s="130" t="str">
        <f>IFERROR(IF($D634="","",VLOOKUP($D634,Cadastro!$C$4:$G$7,5,FALSE)),"")</f>
        <v/>
      </c>
      <c r="J634" s="146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68" t="s">
        <v>231</v>
      </c>
      <c r="B635" s="169"/>
      <c r="C635" s="169"/>
      <c r="D635" s="169"/>
      <c r="E635" s="169">
        <f>SUM(E623:E634)</f>
        <v>0</v>
      </c>
      <c r="F635" s="123"/>
      <c r="G635" s="88">
        <f>SUM(G623:G634)</f>
        <v>0</v>
      </c>
      <c r="H635" s="123">
        <f>IFERROR(SUM(H623:H634),"")</f>
        <v>0</v>
      </c>
      <c r="I635" s="131"/>
      <c r="J635" s="147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232</v>
      </c>
      <c r="S635" s="76"/>
      <c r="T635" s="136">
        <f>IFERROR(J635,"")</f>
        <v>0</v>
      </c>
    </row>
    <row r="636" spans="1:20" ht="15" customHeight="1" x14ac:dyDescent="0.3">
      <c r="A636" s="68">
        <v>46258</v>
      </c>
      <c r="B636" s="25">
        <v>0.83333333333333304</v>
      </c>
      <c r="C636" s="26"/>
      <c r="D636" s="59"/>
      <c r="E636" s="120"/>
      <c r="F636" s="119" t="str">
        <f>IFERROR(IF($D636="","",VLOOKUP($D636,Cadastro!$C$4:$E$7,3,FALSE)),"")</f>
        <v/>
      </c>
      <c r="G636" s="114"/>
      <c r="H636" s="119" t="str">
        <f>IFERROR(IF($G636="","",$G636*$S$648/$G$648/Cadastro!$E$33),"")</f>
        <v/>
      </c>
      <c r="I636" s="132" t="str">
        <f>IFERROR(IF($D636="","",VLOOKUP($D636,Cadastro!$C$4:$G$7,5,FALSE)),"")</f>
        <v/>
      </c>
      <c r="J636" s="148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9">
        <v>46258</v>
      </c>
      <c r="B637" s="32">
        <f t="shared" ref="B637:B647" si="169">B636+TIME(0,60,0)</f>
        <v>0.87499999999999967</v>
      </c>
      <c r="C637" s="26"/>
      <c r="D637" s="59"/>
      <c r="E637" s="120"/>
      <c r="F637" s="122" t="str">
        <f>IFERROR(IF($D637="","",VLOOKUP($D637,Cadastro!$C$4:$E$7,3,FALSE)),"")</f>
        <v/>
      </c>
      <c r="G637" s="114"/>
      <c r="H637" s="122" t="str">
        <f>IFERROR(IF($G637="","",$G637*$S$648/$G$648/Cadastro!$E$33),"")</f>
        <v/>
      </c>
      <c r="I637" s="129" t="str">
        <f>IFERROR(IF($D637="","",VLOOKUP($D637,Cadastro!$C$4:$G$7,5,FALSE)),"")</f>
        <v/>
      </c>
      <c r="J637" s="145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8">
        <v>46258</v>
      </c>
      <c r="B638" s="25">
        <f t="shared" si="169"/>
        <v>0.9166666666666663</v>
      </c>
      <c r="C638" s="26"/>
      <c r="D638" s="59"/>
      <c r="E638" s="120"/>
      <c r="F638" s="122" t="str">
        <f>IFERROR(IF($D638="","",VLOOKUP($D638,Cadastro!$C$4:$E$7,3,FALSE)),"")</f>
        <v/>
      </c>
      <c r="G638" s="114"/>
      <c r="H638" s="122" t="str">
        <f>IFERROR(IF($G638="","",$G638*$S$648/$G$648/Cadastro!$E$33),"")</f>
        <v/>
      </c>
      <c r="I638" s="129" t="str">
        <f>IFERROR(IF($D638="","",VLOOKUP($D638,Cadastro!$C$4:$G$7,5,FALSE)),"")</f>
        <v/>
      </c>
      <c r="J638" s="145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9">
        <v>46258</v>
      </c>
      <c r="B639" s="32">
        <f t="shared" si="169"/>
        <v>0.95833333333333293</v>
      </c>
      <c r="C639" s="26"/>
      <c r="D639" s="59"/>
      <c r="E639" s="120"/>
      <c r="F639" s="122" t="str">
        <f>IFERROR(IF($D639="","",VLOOKUP($D639,Cadastro!$C$4:$E$7,3,FALSE)),"")</f>
        <v/>
      </c>
      <c r="G639" s="114"/>
      <c r="H639" s="122" t="str">
        <f>IFERROR(IF($G639="","",$G639*$S$648/$G$648/Cadastro!$E$33),"")</f>
        <v/>
      </c>
      <c r="I639" s="129" t="str">
        <f>IFERROR(IF($D639="","",VLOOKUP($D639,Cadastro!$C$4:$G$7,5,FALSE)),"")</f>
        <v/>
      </c>
      <c r="J639" s="145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8">
        <v>46258</v>
      </c>
      <c r="B640" s="25">
        <f t="shared" si="169"/>
        <v>0.99999999999999956</v>
      </c>
      <c r="C640" s="26"/>
      <c r="D640" s="59"/>
      <c r="E640" s="120"/>
      <c r="F640" s="122" t="str">
        <f>IFERROR(IF($D640="","",VLOOKUP($D640,Cadastro!$C$4:$E$7,3,FALSE)),"")</f>
        <v/>
      </c>
      <c r="G640" s="114"/>
      <c r="H640" s="122" t="str">
        <f>IFERROR(IF($G640="","",$G640*$S$648/$G$648/Cadastro!$E$33),"")</f>
        <v/>
      </c>
      <c r="I640" s="129" t="str">
        <f>IFERROR(IF($D640="","",VLOOKUP($D640,Cadastro!$C$4:$G$7,5,FALSE)),"")</f>
        <v/>
      </c>
      <c r="J640" s="145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9">
        <v>46258</v>
      </c>
      <c r="B641" s="32">
        <f t="shared" si="169"/>
        <v>1.0416666666666663</v>
      </c>
      <c r="C641" s="26"/>
      <c r="D641" s="59"/>
      <c r="E641" s="120"/>
      <c r="F641" s="122" t="str">
        <f>IFERROR(IF($D641="","",VLOOKUP($D641,Cadastro!$C$4:$E$7,3,FALSE)),"")</f>
        <v/>
      </c>
      <c r="G641" s="114"/>
      <c r="H641" s="122" t="str">
        <f>IFERROR(IF($G641="","",$G641*$S$648/$G$648/Cadastro!$E$33),"")</f>
        <v/>
      </c>
      <c r="I641" s="129" t="str">
        <f>IFERROR(IF($D641="","",VLOOKUP($D641,Cadastro!$C$4:$G$7,5,FALSE)),"")</f>
        <v/>
      </c>
      <c r="J641" s="145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8">
        <v>46258</v>
      </c>
      <c r="B642" s="25">
        <f t="shared" si="169"/>
        <v>1.083333333333333</v>
      </c>
      <c r="C642" s="26"/>
      <c r="D642" s="59"/>
      <c r="E642" s="120"/>
      <c r="F642" s="122" t="str">
        <f>IFERROR(IF($D642="","",VLOOKUP($D642,Cadastro!$C$4:$E$7,3,FALSE)),"")</f>
        <v/>
      </c>
      <c r="G642" s="114"/>
      <c r="H642" s="122" t="str">
        <f>IFERROR(IF($G642="","",$G642*$S$648/$G$648/Cadastro!$E$33),"")</f>
        <v/>
      </c>
      <c r="I642" s="129" t="str">
        <f>IFERROR(IF($D642="","",VLOOKUP($D642,Cadastro!$C$4:$G$7,5,FALSE)),"")</f>
        <v/>
      </c>
      <c r="J642" s="145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9">
        <v>46258</v>
      </c>
      <c r="B643" s="32">
        <f t="shared" si="169"/>
        <v>1.1249999999999998</v>
      </c>
      <c r="C643" s="26"/>
      <c r="D643" s="59"/>
      <c r="E643" s="120"/>
      <c r="F643" s="122" t="str">
        <f>IFERROR(IF($D643="","",VLOOKUP($D643,Cadastro!$C$4:$E$7,3,FALSE)),"")</f>
        <v/>
      </c>
      <c r="G643" s="114"/>
      <c r="H643" s="122" t="str">
        <f>IFERROR(IF($G643="","",$G643*$S$648/$G$648/Cadastro!$E$33),"")</f>
        <v/>
      </c>
      <c r="I643" s="129" t="str">
        <f>IFERROR(IF($D643="","",VLOOKUP($D643,Cadastro!$C$4:$G$7,5,FALSE)),"")</f>
        <v/>
      </c>
      <c r="J643" s="145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8">
        <v>46258</v>
      </c>
      <c r="B644" s="25">
        <f t="shared" si="169"/>
        <v>1.1666666666666665</v>
      </c>
      <c r="C644" s="26"/>
      <c r="D644" s="59"/>
      <c r="E644" s="120"/>
      <c r="F644" s="122" t="str">
        <f>IFERROR(IF($D644="","",VLOOKUP($D644,Cadastro!$C$4:$E$7,3,FALSE)),"")</f>
        <v/>
      </c>
      <c r="G644" s="114"/>
      <c r="H644" s="122" t="str">
        <f>IFERROR(IF($G644="","",$G644*$S$648/$G$648/Cadastro!$E$33),"")</f>
        <v/>
      </c>
      <c r="I644" s="129" t="str">
        <f>IFERROR(IF($D644="","",VLOOKUP($D644,Cadastro!$C$4:$G$7,5,FALSE)),"")</f>
        <v/>
      </c>
      <c r="J644" s="145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9">
        <v>46258</v>
      </c>
      <c r="B645" s="32">
        <f t="shared" si="169"/>
        <v>1.2083333333333333</v>
      </c>
      <c r="C645" s="26"/>
      <c r="D645" s="59"/>
      <c r="E645" s="120"/>
      <c r="F645" s="122" t="str">
        <f>IFERROR(IF($D645="","",VLOOKUP($D645,Cadastro!$C$4:$E$7,3,FALSE)),"")</f>
        <v/>
      </c>
      <c r="G645" s="114"/>
      <c r="H645" s="122" t="str">
        <f>IFERROR(IF($G645="","",$G645*$S$648/$G$648/Cadastro!$E$33),"")</f>
        <v/>
      </c>
      <c r="I645" s="129" t="str">
        <f>IFERROR(IF($D645="","",VLOOKUP($D645,Cadastro!$C$4:$G$7,5,FALSE)),"")</f>
        <v/>
      </c>
      <c r="J645" s="145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8">
        <v>46258</v>
      </c>
      <c r="B646" s="25">
        <f t="shared" si="169"/>
        <v>1.25</v>
      </c>
      <c r="C646" s="26"/>
      <c r="D646" s="59"/>
      <c r="E646" s="120"/>
      <c r="F646" s="122" t="str">
        <f>IFERROR(IF($D646="","",VLOOKUP($D646,Cadastro!$C$4:$E$7,3,FALSE)),"")</f>
        <v/>
      </c>
      <c r="G646" s="114"/>
      <c r="H646" s="122" t="str">
        <f>IFERROR(IF($G646="","",$G646*$S$648/$G$648/Cadastro!$E$33),"")</f>
        <v/>
      </c>
      <c r="I646" s="129" t="str">
        <f>IFERROR(IF($D646="","",VLOOKUP($D646,Cadastro!$C$4:$G$7,5,FALSE)),"")</f>
        <v/>
      </c>
      <c r="J646" s="145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9">
        <v>46258</v>
      </c>
      <c r="B647" s="32">
        <f t="shared" si="169"/>
        <v>1.2916666666666667</v>
      </c>
      <c r="C647" s="26"/>
      <c r="D647" s="59"/>
      <c r="E647" s="120"/>
      <c r="F647" s="118" t="str">
        <f>IFERROR(IF($D647="","",VLOOKUP($D647,Cadastro!$C$4:$E$7,3,FALSE)),"")</f>
        <v/>
      </c>
      <c r="G647" s="114"/>
      <c r="H647" s="118" t="str">
        <f>IFERROR(IF($G647="","",$G647*$S$648/$G$648/Cadastro!$E$33),"")</f>
        <v/>
      </c>
      <c r="I647" s="130" t="str">
        <f>IFERROR(IF($D647="","",VLOOKUP($D647,Cadastro!$C$4:$G$7,5,FALSE)),"")</f>
        <v/>
      </c>
      <c r="J647" s="146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68" t="s">
        <v>234</v>
      </c>
      <c r="B648" s="169"/>
      <c r="C648" s="169"/>
      <c r="D648" s="169"/>
      <c r="E648" s="169">
        <f>SUM(E636:E647)</f>
        <v>0</v>
      </c>
      <c r="F648" s="124"/>
      <c r="G648" s="88">
        <f>SUM(G636:G647)</f>
        <v>0</v>
      </c>
      <c r="H648" s="124">
        <f>IFERROR(SUM(H636:H647),"")</f>
        <v>0</v>
      </c>
      <c r="I648" s="133"/>
      <c r="J648" s="149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232</v>
      </c>
      <c r="S648" s="76"/>
      <c r="T648" s="136">
        <f>IFERROR(J648,"")</f>
        <v>0</v>
      </c>
    </row>
    <row r="649" spans="1:20" ht="18" customHeight="1" x14ac:dyDescent="0.3">
      <c r="A649" s="165" t="s">
        <v>235</v>
      </c>
      <c r="B649" s="166"/>
      <c r="C649" s="166"/>
      <c r="D649" s="166"/>
      <c r="E649" s="166">
        <f>E635+E648</f>
        <v>0</v>
      </c>
      <c r="F649" s="125"/>
      <c r="G649" s="100">
        <f>G635+G648</f>
        <v>0</v>
      </c>
      <c r="H649" s="125">
        <f>IFERROR(H635+H648,"")</f>
        <v>0</v>
      </c>
      <c r="I649" s="134"/>
      <c r="J649" s="150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236</v>
      </c>
      <c r="S649" s="82">
        <f>S635+S648</f>
        <v>0</v>
      </c>
      <c r="T649" s="140">
        <f>IFERROR(J649,"")</f>
        <v>0</v>
      </c>
    </row>
    <row r="650" spans="1:20" ht="15" customHeight="1" x14ac:dyDescent="0.3">
      <c r="A650" s="68">
        <v>46259</v>
      </c>
      <c r="B650" s="25">
        <v>0.33333333333333298</v>
      </c>
      <c r="C650" s="26"/>
      <c r="D650" s="59"/>
      <c r="E650" s="120"/>
      <c r="F650" s="119" t="str">
        <f>IFERROR(IF($D650="","",VLOOKUP($D650,Cadastro!$C$4:$E$7,3,FALSE)),"")</f>
        <v/>
      </c>
      <c r="G650" s="114"/>
      <c r="H650" s="119" t="str">
        <f>IFERROR(IF($G650="","",$G650*$S$662/$G$662/Cadastro!$E$33),"")</f>
        <v/>
      </c>
      <c r="I650" s="132" t="str">
        <f>IFERROR(IF($D650="","",VLOOKUP($D650,Cadastro!$C$4:$G$7,5,FALSE)),"")</f>
        <v/>
      </c>
      <c r="J650" s="148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9">
        <v>46259</v>
      </c>
      <c r="B651" s="32">
        <f t="shared" ref="B651:B661" si="173">B650+TIME(0,60,0)</f>
        <v>0.37499999999999967</v>
      </c>
      <c r="C651" s="26"/>
      <c r="D651" s="59"/>
      <c r="E651" s="120"/>
      <c r="F651" s="122" t="str">
        <f>IFERROR(IF($D651="","",VLOOKUP($D651,Cadastro!$C$4:$E$7,3,FALSE)),"")</f>
        <v/>
      </c>
      <c r="G651" s="114"/>
      <c r="H651" s="122" t="str">
        <f>IFERROR(IF($G651="","",$G651*$S$662/$G$662/Cadastro!$E$33),"")</f>
        <v/>
      </c>
      <c r="I651" s="129" t="str">
        <f>IFERROR(IF($D651="","",VLOOKUP($D651,Cadastro!$C$4:$G$7,5,FALSE)),"")</f>
        <v/>
      </c>
      <c r="J651" s="145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8">
        <v>46259</v>
      </c>
      <c r="B652" s="25">
        <f t="shared" si="173"/>
        <v>0.41666666666666635</v>
      </c>
      <c r="C652" s="26"/>
      <c r="D652" s="59"/>
      <c r="E652" s="120"/>
      <c r="F652" s="122" t="str">
        <f>IFERROR(IF($D652="","",VLOOKUP($D652,Cadastro!$C$4:$E$7,3,FALSE)),"")</f>
        <v/>
      </c>
      <c r="G652" s="114"/>
      <c r="H652" s="122" t="str">
        <f>IFERROR(IF($G652="","",$G652*$S$662/$G$662/Cadastro!$E$33),"")</f>
        <v/>
      </c>
      <c r="I652" s="129" t="str">
        <f>IFERROR(IF($D652="","",VLOOKUP($D652,Cadastro!$C$4:$G$7,5,FALSE)),"")</f>
        <v/>
      </c>
      <c r="J652" s="145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9">
        <v>46259</v>
      </c>
      <c r="B653" s="32">
        <f t="shared" si="173"/>
        <v>0.45833333333333304</v>
      </c>
      <c r="C653" s="26"/>
      <c r="D653" s="59"/>
      <c r="E653" s="120"/>
      <c r="F653" s="122" t="str">
        <f>IFERROR(IF($D653="","",VLOOKUP($D653,Cadastro!$C$4:$E$7,3,FALSE)),"")</f>
        <v/>
      </c>
      <c r="G653" s="114"/>
      <c r="H653" s="122" t="str">
        <f>IFERROR(IF($G653="","",$G653*$S$662/$G$662/Cadastro!$E$33),"")</f>
        <v/>
      </c>
      <c r="I653" s="129" t="str">
        <f>IFERROR(IF($D653="","",VLOOKUP($D653,Cadastro!$C$4:$G$7,5,FALSE)),"")</f>
        <v/>
      </c>
      <c r="J653" s="145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8">
        <v>46259</v>
      </c>
      <c r="B654" s="25">
        <f t="shared" si="173"/>
        <v>0.49999999999999972</v>
      </c>
      <c r="C654" s="26"/>
      <c r="D654" s="59"/>
      <c r="E654" s="120"/>
      <c r="F654" s="122" t="str">
        <f>IFERROR(IF($D654="","",VLOOKUP($D654,Cadastro!$C$4:$E$7,3,FALSE)),"")</f>
        <v/>
      </c>
      <c r="G654" s="114"/>
      <c r="H654" s="122" t="str">
        <f>IFERROR(IF($G654="","",$G654*$S$662/$G$662/Cadastro!$E$33),"")</f>
        <v/>
      </c>
      <c r="I654" s="129" t="str">
        <f>IFERROR(IF($D654="","",VLOOKUP($D654,Cadastro!$C$4:$G$7,5,FALSE)),"")</f>
        <v/>
      </c>
      <c r="J654" s="145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9">
        <v>46259</v>
      </c>
      <c r="B655" s="32">
        <f t="shared" si="173"/>
        <v>0.54166666666666641</v>
      </c>
      <c r="C655" s="26"/>
      <c r="D655" s="59"/>
      <c r="E655" s="120"/>
      <c r="F655" s="122" t="str">
        <f>IFERROR(IF($D655="","",VLOOKUP($D655,Cadastro!$C$4:$E$7,3,FALSE)),"")</f>
        <v/>
      </c>
      <c r="G655" s="114"/>
      <c r="H655" s="122" t="str">
        <f>IFERROR(IF($G655="","",$G655*$S$662/$G$662/Cadastro!$E$33),"")</f>
        <v/>
      </c>
      <c r="I655" s="129" t="str">
        <f>IFERROR(IF($D655="","",VLOOKUP($D655,Cadastro!$C$4:$G$7,5,FALSE)),"")</f>
        <v/>
      </c>
      <c r="J655" s="145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8">
        <v>46259</v>
      </c>
      <c r="B656" s="25">
        <f t="shared" si="173"/>
        <v>0.58333333333333304</v>
      </c>
      <c r="C656" s="26"/>
      <c r="D656" s="59"/>
      <c r="E656" s="120"/>
      <c r="F656" s="122" t="str">
        <f>IFERROR(IF($D656="","",VLOOKUP($D656,Cadastro!$C$4:$E$7,3,FALSE)),"")</f>
        <v/>
      </c>
      <c r="G656" s="114"/>
      <c r="H656" s="122" t="str">
        <f>IFERROR(IF($G656="","",$G656*$S$662/$G$662/Cadastro!$E$33),"")</f>
        <v/>
      </c>
      <c r="I656" s="129" t="str">
        <f>IFERROR(IF($D656="","",VLOOKUP($D656,Cadastro!$C$4:$G$7,5,FALSE)),"")</f>
        <v/>
      </c>
      <c r="J656" s="145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9">
        <v>46259</v>
      </c>
      <c r="B657" s="32">
        <f t="shared" si="173"/>
        <v>0.62499999999999967</v>
      </c>
      <c r="C657" s="26"/>
      <c r="D657" s="59"/>
      <c r="E657" s="120"/>
      <c r="F657" s="122" t="str">
        <f>IFERROR(IF($D657="","",VLOOKUP($D657,Cadastro!$C$4:$E$7,3,FALSE)),"")</f>
        <v/>
      </c>
      <c r="G657" s="114"/>
      <c r="H657" s="122" t="str">
        <f>IFERROR(IF($G657="","",$G657*$S$662/$G$662/Cadastro!$E$33),"")</f>
        <v/>
      </c>
      <c r="I657" s="129" t="str">
        <f>IFERROR(IF($D657="","",VLOOKUP($D657,Cadastro!$C$4:$G$7,5,FALSE)),"")</f>
        <v/>
      </c>
      <c r="J657" s="145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8">
        <v>46259</v>
      </c>
      <c r="B658" s="25">
        <f t="shared" si="173"/>
        <v>0.6666666666666663</v>
      </c>
      <c r="C658" s="26"/>
      <c r="D658" s="59"/>
      <c r="E658" s="120"/>
      <c r="F658" s="122" t="str">
        <f>IFERROR(IF($D658="","",VLOOKUP($D658,Cadastro!$C$4:$E$7,3,FALSE)),"")</f>
        <v/>
      </c>
      <c r="G658" s="114"/>
      <c r="H658" s="122" t="str">
        <f>IFERROR(IF($G658="","",$G658*$S$662/$G$662/Cadastro!$E$33),"")</f>
        <v/>
      </c>
      <c r="I658" s="129" t="str">
        <f>IFERROR(IF($D658="","",VLOOKUP($D658,Cadastro!$C$4:$G$7,5,FALSE)),"")</f>
        <v/>
      </c>
      <c r="J658" s="145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9">
        <v>46259</v>
      </c>
      <c r="B659" s="32">
        <f t="shared" si="173"/>
        <v>0.70833333333333293</v>
      </c>
      <c r="C659" s="26"/>
      <c r="D659" s="59"/>
      <c r="E659" s="120"/>
      <c r="F659" s="122" t="str">
        <f>IFERROR(IF($D659="","",VLOOKUP($D659,Cadastro!$C$4:$E$7,3,FALSE)),"")</f>
        <v/>
      </c>
      <c r="G659" s="114"/>
      <c r="H659" s="122" t="str">
        <f>IFERROR(IF($G659="","",$G659*$S$662/$G$662/Cadastro!$E$33),"")</f>
        <v/>
      </c>
      <c r="I659" s="129" t="str">
        <f>IFERROR(IF($D659="","",VLOOKUP($D659,Cadastro!$C$4:$G$7,5,FALSE)),"")</f>
        <v/>
      </c>
      <c r="J659" s="145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8">
        <v>46259</v>
      </c>
      <c r="B660" s="25">
        <f t="shared" si="173"/>
        <v>0.74999999999999956</v>
      </c>
      <c r="C660" s="26"/>
      <c r="D660" s="59"/>
      <c r="E660" s="120"/>
      <c r="F660" s="122" t="str">
        <f>IFERROR(IF($D660="","",VLOOKUP($D660,Cadastro!$C$4:$E$7,3,FALSE)),"")</f>
        <v/>
      </c>
      <c r="G660" s="114"/>
      <c r="H660" s="122" t="str">
        <f>IFERROR(IF($G660="","",$G660*$S$662/$G$662/Cadastro!$E$33),"")</f>
        <v/>
      </c>
      <c r="I660" s="129" t="str">
        <f>IFERROR(IF($D660="","",VLOOKUP($D660,Cadastro!$C$4:$G$7,5,FALSE)),"")</f>
        <v/>
      </c>
      <c r="J660" s="145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9">
        <v>46259</v>
      </c>
      <c r="B661" s="32">
        <f t="shared" si="173"/>
        <v>0.79166666666666619</v>
      </c>
      <c r="C661" s="26"/>
      <c r="D661" s="59"/>
      <c r="E661" s="120"/>
      <c r="F661" s="118" t="str">
        <f>IFERROR(IF($D661="","",VLOOKUP($D661,Cadastro!$C$4:$E$7,3,FALSE)),"")</f>
        <v/>
      </c>
      <c r="G661" s="114"/>
      <c r="H661" s="118" t="str">
        <f>IFERROR(IF($G661="","",$G661*$S$662/$G$662/Cadastro!$E$33),"")</f>
        <v/>
      </c>
      <c r="I661" s="130" t="str">
        <f>IFERROR(IF($D661="","",VLOOKUP($D661,Cadastro!$C$4:$G$7,5,FALSE)),"")</f>
        <v/>
      </c>
      <c r="J661" s="146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68" t="s">
        <v>231</v>
      </c>
      <c r="B662" s="169"/>
      <c r="C662" s="169"/>
      <c r="D662" s="169"/>
      <c r="E662" s="169">
        <f>SUM(E650:E661)</f>
        <v>0</v>
      </c>
      <c r="F662" s="123"/>
      <c r="G662" s="88">
        <f>SUM(G650:G661)</f>
        <v>0</v>
      </c>
      <c r="H662" s="123">
        <f>IFERROR(SUM(H650:H661),"")</f>
        <v>0</v>
      </c>
      <c r="I662" s="131"/>
      <c r="J662" s="147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232</v>
      </c>
      <c r="S662" s="76"/>
      <c r="T662" s="136">
        <f>IFERROR(J662,"")</f>
        <v>0</v>
      </c>
    </row>
    <row r="663" spans="1:20" ht="15" customHeight="1" x14ac:dyDescent="0.3">
      <c r="A663" s="69">
        <v>46259</v>
      </c>
      <c r="B663" s="32">
        <v>0.83333333333333304</v>
      </c>
      <c r="C663" s="33"/>
      <c r="D663" s="62"/>
      <c r="E663" s="121"/>
      <c r="F663" s="119" t="str">
        <f>IFERROR(IF($D663="","",VLOOKUP($D663,Cadastro!$C$4:$E$7,3,FALSE)),"")</f>
        <v/>
      </c>
      <c r="G663" s="114"/>
      <c r="H663" s="119" t="str">
        <f>IFERROR(IF($G663="","",$G663*$S$675/$G$675/Cadastro!$E$33),"")</f>
        <v/>
      </c>
      <c r="I663" s="132" t="str">
        <f>IFERROR(IF($D663="","",VLOOKUP($D663,Cadastro!$C$4:$G$7,5,FALSE)),"")</f>
        <v/>
      </c>
      <c r="J663" s="148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8">
        <v>46259</v>
      </c>
      <c r="B664" s="25">
        <f t="shared" ref="B664:B674" si="177">B663+TIME(0,60,0)</f>
        <v>0.87499999999999967</v>
      </c>
      <c r="C664" s="33"/>
      <c r="D664" s="62"/>
      <c r="E664" s="121"/>
      <c r="F664" s="122" t="str">
        <f>IFERROR(IF($D664="","",VLOOKUP($D664,Cadastro!$C$4:$E$7,3,FALSE)),"")</f>
        <v/>
      </c>
      <c r="G664" s="114"/>
      <c r="H664" s="122" t="str">
        <f>IFERROR(IF($G664="","",$G664*$S$675/$G$675/Cadastro!$E$33),"")</f>
        <v/>
      </c>
      <c r="I664" s="129" t="str">
        <f>IFERROR(IF($D664="","",VLOOKUP($D664,Cadastro!$C$4:$G$7,5,FALSE)),"")</f>
        <v/>
      </c>
      <c r="J664" s="145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9">
        <v>46259</v>
      </c>
      <c r="B665" s="32">
        <f t="shared" si="177"/>
        <v>0.9166666666666663</v>
      </c>
      <c r="C665" s="33"/>
      <c r="D665" s="62"/>
      <c r="E665" s="121"/>
      <c r="F665" s="122" t="str">
        <f>IFERROR(IF($D665="","",VLOOKUP($D665,Cadastro!$C$4:$E$7,3,FALSE)),"")</f>
        <v/>
      </c>
      <c r="G665" s="114"/>
      <c r="H665" s="122" t="str">
        <f>IFERROR(IF($G665="","",$G665*$S$675/$G$675/Cadastro!$E$33),"")</f>
        <v/>
      </c>
      <c r="I665" s="129" t="str">
        <f>IFERROR(IF($D665="","",VLOOKUP($D665,Cadastro!$C$4:$G$7,5,FALSE)),"")</f>
        <v/>
      </c>
      <c r="J665" s="145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8">
        <v>46259</v>
      </c>
      <c r="B666" s="25">
        <f t="shared" si="177"/>
        <v>0.95833333333333293</v>
      </c>
      <c r="C666" s="33"/>
      <c r="D666" s="62"/>
      <c r="E666" s="121"/>
      <c r="F666" s="122" t="str">
        <f>IFERROR(IF($D666="","",VLOOKUP($D666,Cadastro!$C$4:$E$7,3,FALSE)),"")</f>
        <v/>
      </c>
      <c r="G666" s="114"/>
      <c r="H666" s="122" t="str">
        <f>IFERROR(IF($G666="","",$G666*$S$675/$G$675/Cadastro!$E$33),"")</f>
        <v/>
      </c>
      <c r="I666" s="129" t="str">
        <f>IFERROR(IF($D666="","",VLOOKUP($D666,Cadastro!$C$4:$G$7,5,FALSE)),"")</f>
        <v/>
      </c>
      <c r="J666" s="145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9">
        <v>46259</v>
      </c>
      <c r="B667" s="32">
        <f t="shared" si="177"/>
        <v>0.99999999999999956</v>
      </c>
      <c r="C667" s="33"/>
      <c r="D667" s="62"/>
      <c r="E667" s="121"/>
      <c r="F667" s="122" t="str">
        <f>IFERROR(IF($D667="","",VLOOKUP($D667,Cadastro!$C$4:$E$7,3,FALSE)),"")</f>
        <v/>
      </c>
      <c r="G667" s="114"/>
      <c r="H667" s="122" t="str">
        <f>IFERROR(IF($G667="","",$G667*$S$675/$G$675/Cadastro!$E$33),"")</f>
        <v/>
      </c>
      <c r="I667" s="129" t="str">
        <f>IFERROR(IF($D667="","",VLOOKUP($D667,Cadastro!$C$4:$G$7,5,FALSE)),"")</f>
        <v/>
      </c>
      <c r="J667" s="145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8">
        <v>46259</v>
      </c>
      <c r="B668" s="25">
        <f t="shared" si="177"/>
        <v>1.0416666666666663</v>
      </c>
      <c r="C668" s="33"/>
      <c r="D668" s="62"/>
      <c r="E668" s="121"/>
      <c r="F668" s="122" t="str">
        <f>IFERROR(IF($D668="","",VLOOKUP($D668,Cadastro!$C$4:$E$7,3,FALSE)),"")</f>
        <v/>
      </c>
      <c r="G668" s="114"/>
      <c r="H668" s="122" t="str">
        <f>IFERROR(IF($G668="","",$G668*$S$675/$G$675/Cadastro!$E$33),"")</f>
        <v/>
      </c>
      <c r="I668" s="129" t="str">
        <f>IFERROR(IF($D668="","",VLOOKUP($D668,Cadastro!$C$4:$G$7,5,FALSE)),"")</f>
        <v/>
      </c>
      <c r="J668" s="145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9">
        <v>46259</v>
      </c>
      <c r="B669" s="32">
        <f t="shared" si="177"/>
        <v>1.083333333333333</v>
      </c>
      <c r="C669" s="33"/>
      <c r="D669" s="62"/>
      <c r="E669" s="121"/>
      <c r="F669" s="122" t="str">
        <f>IFERROR(IF($D669="","",VLOOKUP($D669,Cadastro!$C$4:$E$7,3,FALSE)),"")</f>
        <v/>
      </c>
      <c r="G669" s="114"/>
      <c r="H669" s="122" t="str">
        <f>IFERROR(IF($G669="","",$G669*$S$675/$G$675/Cadastro!$E$33),"")</f>
        <v/>
      </c>
      <c r="I669" s="129" t="str">
        <f>IFERROR(IF($D669="","",VLOOKUP($D669,Cadastro!$C$4:$G$7,5,FALSE)),"")</f>
        <v/>
      </c>
      <c r="J669" s="145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8">
        <v>46259</v>
      </c>
      <c r="B670" s="25">
        <f t="shared" si="177"/>
        <v>1.1249999999999998</v>
      </c>
      <c r="C670" s="33"/>
      <c r="D670" s="62"/>
      <c r="E670" s="121"/>
      <c r="F670" s="122" t="str">
        <f>IFERROR(IF($D670="","",VLOOKUP($D670,Cadastro!$C$4:$E$7,3,FALSE)),"")</f>
        <v/>
      </c>
      <c r="G670" s="114"/>
      <c r="H670" s="122" t="str">
        <f>IFERROR(IF($G670="","",$G670*$S$675/$G$675/Cadastro!$E$33),"")</f>
        <v/>
      </c>
      <c r="I670" s="129" t="str">
        <f>IFERROR(IF($D670="","",VLOOKUP($D670,Cadastro!$C$4:$G$7,5,FALSE)),"")</f>
        <v/>
      </c>
      <c r="J670" s="145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9">
        <v>46259</v>
      </c>
      <c r="B671" s="32">
        <f t="shared" si="177"/>
        <v>1.1666666666666665</v>
      </c>
      <c r="C671" s="33"/>
      <c r="D671" s="62"/>
      <c r="E671" s="121"/>
      <c r="F671" s="122" t="str">
        <f>IFERROR(IF($D671="","",VLOOKUP($D671,Cadastro!$C$4:$E$7,3,FALSE)),"")</f>
        <v/>
      </c>
      <c r="G671" s="114"/>
      <c r="H671" s="122" t="str">
        <f>IFERROR(IF($G671="","",$G671*$S$675/$G$675/Cadastro!$E$33),"")</f>
        <v/>
      </c>
      <c r="I671" s="129" t="str">
        <f>IFERROR(IF($D671="","",VLOOKUP($D671,Cadastro!$C$4:$G$7,5,FALSE)),"")</f>
        <v/>
      </c>
      <c r="J671" s="145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8">
        <v>46259</v>
      </c>
      <c r="B672" s="25">
        <f t="shared" si="177"/>
        <v>1.2083333333333333</v>
      </c>
      <c r="C672" s="33"/>
      <c r="D672" s="62"/>
      <c r="E672" s="121"/>
      <c r="F672" s="122" t="str">
        <f>IFERROR(IF($D672="","",VLOOKUP($D672,Cadastro!$C$4:$E$7,3,FALSE)),"")</f>
        <v/>
      </c>
      <c r="G672" s="114"/>
      <c r="H672" s="122" t="str">
        <f>IFERROR(IF($G672="","",$G672*$S$675/$G$675/Cadastro!$E$33),"")</f>
        <v/>
      </c>
      <c r="I672" s="129" t="str">
        <f>IFERROR(IF($D672="","",VLOOKUP($D672,Cadastro!$C$4:$G$7,5,FALSE)),"")</f>
        <v/>
      </c>
      <c r="J672" s="145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9">
        <v>46259</v>
      </c>
      <c r="B673" s="32">
        <f t="shared" si="177"/>
        <v>1.25</v>
      </c>
      <c r="C673" s="33"/>
      <c r="D673" s="62"/>
      <c r="E673" s="121"/>
      <c r="F673" s="122" t="str">
        <f>IFERROR(IF($D673="","",VLOOKUP($D673,Cadastro!$C$4:$E$7,3,FALSE)),"")</f>
        <v/>
      </c>
      <c r="G673" s="114"/>
      <c r="H673" s="122" t="str">
        <f>IFERROR(IF($G673="","",$G673*$S$675/$G$675/Cadastro!$E$33),"")</f>
        <v/>
      </c>
      <c r="I673" s="129" t="str">
        <f>IFERROR(IF($D673="","",VLOOKUP($D673,Cadastro!$C$4:$G$7,5,FALSE)),"")</f>
        <v/>
      </c>
      <c r="J673" s="145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8">
        <v>46259</v>
      </c>
      <c r="B674" s="25">
        <f t="shared" si="177"/>
        <v>1.2916666666666667</v>
      </c>
      <c r="C674" s="26"/>
      <c r="D674" s="59"/>
      <c r="E674" s="120"/>
      <c r="F674" s="118" t="str">
        <f>IFERROR(IF($D674="","",VLOOKUP($D674,Cadastro!$C$4:$E$7,3,FALSE)),"")</f>
        <v/>
      </c>
      <c r="G674" s="114"/>
      <c r="H674" s="118" t="str">
        <f>IFERROR(IF($G674="","",$G674*$S$675/$G$675/Cadastro!$E$33),"")</f>
        <v/>
      </c>
      <c r="I674" s="130" t="str">
        <f>IFERROR(IF($D674="","",VLOOKUP($D674,Cadastro!$C$4:$G$7,5,FALSE)),"")</f>
        <v/>
      </c>
      <c r="J674" s="146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68" t="s">
        <v>234</v>
      </c>
      <c r="B675" s="169"/>
      <c r="C675" s="169"/>
      <c r="D675" s="169"/>
      <c r="E675" s="169">
        <f>SUM(E663:E674)</f>
        <v>0</v>
      </c>
      <c r="F675" s="124"/>
      <c r="G675" s="88">
        <f>SUM(G663:G674)</f>
        <v>0</v>
      </c>
      <c r="H675" s="124">
        <f>IFERROR(SUM(H663:H674),"")</f>
        <v>0</v>
      </c>
      <c r="I675" s="133"/>
      <c r="J675" s="149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232</v>
      </c>
      <c r="S675" s="76"/>
      <c r="T675" s="136">
        <f>IFERROR(J675,"")</f>
        <v>0</v>
      </c>
    </row>
    <row r="676" spans="1:20" ht="18" customHeight="1" x14ac:dyDescent="0.3">
      <c r="A676" s="165" t="s">
        <v>235</v>
      </c>
      <c r="B676" s="166"/>
      <c r="C676" s="166"/>
      <c r="D676" s="166"/>
      <c r="E676" s="166">
        <f>E662+E675</f>
        <v>0</v>
      </c>
      <c r="F676" s="125"/>
      <c r="G676" s="100">
        <f>G662+G675</f>
        <v>0</v>
      </c>
      <c r="H676" s="125">
        <f>IFERROR(H662+H675,"")</f>
        <v>0</v>
      </c>
      <c r="I676" s="134"/>
      <c r="J676" s="150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236</v>
      </c>
      <c r="S676" s="82">
        <f>IFERROR(S662+S675,"")</f>
        <v>0</v>
      </c>
      <c r="T676" s="140">
        <f>IFERROR(J676,"")</f>
        <v>0</v>
      </c>
    </row>
    <row r="677" spans="1:20" ht="15" customHeight="1" x14ac:dyDescent="0.3">
      <c r="A677" s="69">
        <v>46260</v>
      </c>
      <c r="B677" s="32">
        <v>0.33333333333333298</v>
      </c>
      <c r="C677" s="33"/>
      <c r="D677" s="62"/>
      <c r="E677" s="121"/>
      <c r="F677" s="119" t="str">
        <f>IFERROR(IF($D677="","",VLOOKUP($D677,Cadastro!$C$4:$E$7,3,FALSE)),"")</f>
        <v/>
      </c>
      <c r="G677" s="114"/>
      <c r="H677" s="119" t="str">
        <f>IFERROR(IF($G677="","",$G677*$S$689/$G$689/Cadastro!$E$33),"")</f>
        <v/>
      </c>
      <c r="I677" s="132" t="str">
        <f>IFERROR(IF($D677="","",VLOOKUP($D677,Cadastro!$C$4:$G$7,5,FALSE)),"")</f>
        <v/>
      </c>
      <c r="J677" s="148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8">
        <v>46260</v>
      </c>
      <c r="B678" s="25">
        <f t="shared" ref="B678:B688" si="181">B677+TIME(0,60,0)</f>
        <v>0.37499999999999967</v>
      </c>
      <c r="C678" s="33"/>
      <c r="D678" s="62"/>
      <c r="E678" s="121"/>
      <c r="F678" s="122" t="str">
        <f>IFERROR(IF($D678="","",VLOOKUP($D678,Cadastro!$C$4:$E$7,3,FALSE)),"")</f>
        <v/>
      </c>
      <c r="G678" s="114"/>
      <c r="H678" s="122" t="str">
        <f>IFERROR(IF($G678="","",$G678*$S$689/$G$689/Cadastro!$E$33),"")</f>
        <v/>
      </c>
      <c r="I678" s="129" t="str">
        <f>IFERROR(IF($D678="","",VLOOKUP($D678,Cadastro!$C$4:$G$7,5,FALSE)),"")</f>
        <v/>
      </c>
      <c r="J678" s="145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9">
        <v>46260</v>
      </c>
      <c r="B679" s="32">
        <f t="shared" si="181"/>
        <v>0.41666666666666635</v>
      </c>
      <c r="C679" s="33"/>
      <c r="D679" s="62"/>
      <c r="E679" s="121"/>
      <c r="F679" s="122" t="str">
        <f>IFERROR(IF($D679="","",VLOOKUP($D679,Cadastro!$C$4:$E$7,3,FALSE)),"")</f>
        <v/>
      </c>
      <c r="G679" s="114"/>
      <c r="H679" s="122" t="str">
        <f>IFERROR(IF($G679="","",$G679*$S$689/$G$689/Cadastro!$E$33),"")</f>
        <v/>
      </c>
      <c r="I679" s="129" t="str">
        <f>IFERROR(IF($D679="","",VLOOKUP($D679,Cadastro!$C$4:$G$7,5,FALSE)),"")</f>
        <v/>
      </c>
      <c r="J679" s="145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8">
        <v>46260</v>
      </c>
      <c r="B680" s="25">
        <f t="shared" si="181"/>
        <v>0.45833333333333304</v>
      </c>
      <c r="C680" s="33"/>
      <c r="D680" s="62"/>
      <c r="E680" s="121"/>
      <c r="F680" s="122" t="str">
        <f>IFERROR(IF($D680="","",VLOOKUP($D680,Cadastro!$C$4:$E$7,3,FALSE)),"")</f>
        <v/>
      </c>
      <c r="G680" s="114"/>
      <c r="H680" s="122" t="str">
        <f>IFERROR(IF($G680="","",$G680*$S$689/$G$689/Cadastro!$E$33),"")</f>
        <v/>
      </c>
      <c r="I680" s="129" t="str">
        <f>IFERROR(IF($D680="","",VLOOKUP($D680,Cadastro!$C$4:$G$7,5,FALSE)),"")</f>
        <v/>
      </c>
      <c r="J680" s="145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9">
        <v>46260</v>
      </c>
      <c r="B681" s="32">
        <f t="shared" si="181"/>
        <v>0.49999999999999972</v>
      </c>
      <c r="C681" s="33"/>
      <c r="D681" s="62"/>
      <c r="E681" s="121"/>
      <c r="F681" s="122" t="str">
        <f>IFERROR(IF($D681="","",VLOOKUP($D681,Cadastro!$C$4:$E$7,3,FALSE)),"")</f>
        <v/>
      </c>
      <c r="G681" s="114"/>
      <c r="H681" s="122" t="str">
        <f>IFERROR(IF($G681="","",$G681*$S$689/$G$689/Cadastro!$E$33),"")</f>
        <v/>
      </c>
      <c r="I681" s="129" t="str">
        <f>IFERROR(IF($D681="","",VLOOKUP($D681,Cadastro!$C$4:$G$7,5,FALSE)),"")</f>
        <v/>
      </c>
      <c r="J681" s="145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8">
        <v>46260</v>
      </c>
      <c r="B682" s="25">
        <f t="shared" si="181"/>
        <v>0.54166666666666641</v>
      </c>
      <c r="C682" s="33"/>
      <c r="D682" s="62"/>
      <c r="E682" s="121"/>
      <c r="F682" s="122" t="str">
        <f>IFERROR(IF($D682="","",VLOOKUP($D682,Cadastro!$C$4:$E$7,3,FALSE)),"")</f>
        <v/>
      </c>
      <c r="G682" s="114"/>
      <c r="H682" s="122" t="str">
        <f>IFERROR(IF($G682="","",$G682*$S$689/$G$689/Cadastro!$E$33),"")</f>
        <v/>
      </c>
      <c r="I682" s="129" t="str">
        <f>IFERROR(IF($D682="","",VLOOKUP($D682,Cadastro!$C$4:$G$7,5,FALSE)),"")</f>
        <v/>
      </c>
      <c r="J682" s="145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9">
        <v>46260</v>
      </c>
      <c r="B683" s="32">
        <f t="shared" si="181"/>
        <v>0.58333333333333304</v>
      </c>
      <c r="C683" s="33"/>
      <c r="D683" s="62"/>
      <c r="E683" s="121"/>
      <c r="F683" s="122" t="str">
        <f>IFERROR(IF($D683="","",VLOOKUP($D683,Cadastro!$C$4:$E$7,3,FALSE)),"")</f>
        <v/>
      </c>
      <c r="G683" s="114"/>
      <c r="H683" s="122" t="str">
        <f>IFERROR(IF($G683="","",$G683*$S$689/$G$689/Cadastro!$E$33),"")</f>
        <v/>
      </c>
      <c r="I683" s="129" t="str">
        <f>IFERROR(IF($D683="","",VLOOKUP($D683,Cadastro!$C$4:$G$7,5,FALSE)),"")</f>
        <v/>
      </c>
      <c r="J683" s="145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8">
        <v>46260</v>
      </c>
      <c r="B684" s="25">
        <f t="shared" si="181"/>
        <v>0.62499999999999967</v>
      </c>
      <c r="C684" s="33"/>
      <c r="D684" s="62"/>
      <c r="E684" s="121"/>
      <c r="F684" s="122" t="str">
        <f>IFERROR(IF($D684="","",VLOOKUP($D684,Cadastro!$C$4:$E$7,3,FALSE)),"")</f>
        <v/>
      </c>
      <c r="G684" s="114"/>
      <c r="H684" s="122" t="str">
        <f>IFERROR(IF($G684="","",$G684*$S$689/$G$689/Cadastro!$E$33),"")</f>
        <v/>
      </c>
      <c r="I684" s="129" t="str">
        <f>IFERROR(IF($D684="","",VLOOKUP($D684,Cadastro!$C$4:$G$7,5,FALSE)),"")</f>
        <v/>
      </c>
      <c r="J684" s="145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9">
        <v>46260</v>
      </c>
      <c r="B685" s="32">
        <f t="shared" si="181"/>
        <v>0.6666666666666663</v>
      </c>
      <c r="C685" s="33"/>
      <c r="D685" s="62"/>
      <c r="E685" s="121"/>
      <c r="F685" s="122" t="str">
        <f>IFERROR(IF($D685="","",VLOOKUP($D685,Cadastro!$C$4:$E$7,3,FALSE)),"")</f>
        <v/>
      </c>
      <c r="G685" s="114"/>
      <c r="H685" s="122" t="str">
        <f>IFERROR(IF($G685="","",$G685*$S$689/$G$689/Cadastro!$E$33),"")</f>
        <v/>
      </c>
      <c r="I685" s="129" t="str">
        <f>IFERROR(IF($D685="","",VLOOKUP($D685,Cadastro!$C$4:$G$7,5,FALSE)),"")</f>
        <v/>
      </c>
      <c r="J685" s="145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8">
        <v>46260</v>
      </c>
      <c r="B686" s="25">
        <f t="shared" si="181"/>
        <v>0.70833333333333293</v>
      </c>
      <c r="C686" s="33"/>
      <c r="D686" s="62"/>
      <c r="E686" s="121"/>
      <c r="F686" s="122" t="str">
        <f>IFERROR(IF($D686="","",VLOOKUP($D686,Cadastro!$C$4:$E$7,3,FALSE)),"")</f>
        <v/>
      </c>
      <c r="G686" s="114"/>
      <c r="H686" s="122" t="str">
        <f>IFERROR(IF($G686="","",$G686*$S$689/$G$689/Cadastro!$E$33),"")</f>
        <v/>
      </c>
      <c r="I686" s="129" t="str">
        <f>IFERROR(IF($D686="","",VLOOKUP($D686,Cadastro!$C$4:$G$7,5,FALSE)),"")</f>
        <v/>
      </c>
      <c r="J686" s="145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9">
        <v>46260</v>
      </c>
      <c r="B687" s="32">
        <f t="shared" si="181"/>
        <v>0.74999999999999956</v>
      </c>
      <c r="C687" s="33"/>
      <c r="D687" s="62"/>
      <c r="E687" s="121"/>
      <c r="F687" s="122" t="str">
        <f>IFERROR(IF($D687="","",VLOOKUP($D687,Cadastro!$C$4:$E$7,3,FALSE)),"")</f>
        <v/>
      </c>
      <c r="G687" s="114"/>
      <c r="H687" s="122" t="str">
        <f>IFERROR(IF($G687="","",$G687*$S$689/$G$689/Cadastro!$E$33),"")</f>
        <v/>
      </c>
      <c r="I687" s="129" t="str">
        <f>IFERROR(IF($D687="","",VLOOKUP($D687,Cadastro!$C$4:$G$7,5,FALSE)),"")</f>
        <v/>
      </c>
      <c r="J687" s="145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8">
        <v>46260</v>
      </c>
      <c r="B688" s="25">
        <f t="shared" si="181"/>
        <v>0.79166666666666619</v>
      </c>
      <c r="C688" s="33"/>
      <c r="D688" s="62"/>
      <c r="E688" s="121"/>
      <c r="F688" s="118" t="str">
        <f>IFERROR(IF($D688="","",VLOOKUP($D688,Cadastro!$C$4:$E$7,3,FALSE)),"")</f>
        <v/>
      </c>
      <c r="G688" s="114"/>
      <c r="H688" s="118" t="str">
        <f>IFERROR(IF($G688="","",$G688*$S$689/$G$689/Cadastro!$E$33),"")</f>
        <v/>
      </c>
      <c r="I688" s="130" t="str">
        <f>IFERROR(IF($D688="","",VLOOKUP($D688,Cadastro!$C$4:$G$7,5,FALSE)),"")</f>
        <v/>
      </c>
      <c r="J688" s="146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68" t="s">
        <v>231</v>
      </c>
      <c r="B689" s="169"/>
      <c r="C689" s="169"/>
      <c r="D689" s="169"/>
      <c r="E689" s="169">
        <f>SUM(E677:E688)</f>
        <v>0</v>
      </c>
      <c r="F689" s="123"/>
      <c r="G689" s="88">
        <f>SUM(G677:G688)</f>
        <v>0</v>
      </c>
      <c r="H689" s="123">
        <f>IFERROR(SUM(H677:H688),"")</f>
        <v>0</v>
      </c>
      <c r="I689" s="131"/>
      <c r="J689" s="147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232</v>
      </c>
      <c r="S689" s="76"/>
      <c r="T689" s="136">
        <f>IFERROR(J689,"")</f>
        <v>0</v>
      </c>
    </row>
    <row r="690" spans="1:20" ht="15" customHeight="1" x14ac:dyDescent="0.3">
      <c r="A690" s="68">
        <v>46260</v>
      </c>
      <c r="B690" s="25">
        <v>0.83333333333333304</v>
      </c>
      <c r="C690" s="26"/>
      <c r="D690" s="59"/>
      <c r="E690" s="120"/>
      <c r="F690" s="119" t="str">
        <f>IFERROR(IF($D690="","",VLOOKUP($D690,Cadastro!$C$4:$E$7,3,FALSE)),"")</f>
        <v/>
      </c>
      <c r="G690" s="114"/>
      <c r="H690" s="119" t="str">
        <f>IFERROR(IF($G690="","",$G690*$S$702/$G$702/Cadastro!$E$33),"")</f>
        <v/>
      </c>
      <c r="I690" s="132" t="str">
        <f>IFERROR(IF($D690="","",VLOOKUP($D690,Cadastro!$C$4:$G$7,5,FALSE)),"")</f>
        <v/>
      </c>
      <c r="J690" s="148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9">
        <v>46260</v>
      </c>
      <c r="B691" s="32">
        <f t="shared" ref="B691:B701" si="185">B690+TIME(0,60,0)</f>
        <v>0.87499999999999967</v>
      </c>
      <c r="C691" s="26"/>
      <c r="D691" s="59"/>
      <c r="E691" s="120"/>
      <c r="F691" s="122" t="str">
        <f>IFERROR(IF($D691="","",VLOOKUP($D691,Cadastro!$C$4:$E$7,3,FALSE)),"")</f>
        <v/>
      </c>
      <c r="G691" s="114"/>
      <c r="H691" s="122" t="str">
        <f>IFERROR(IF($G691="","",$G691*$S$702/$G$702/Cadastro!$E$33),"")</f>
        <v/>
      </c>
      <c r="I691" s="129" t="str">
        <f>IFERROR(IF($D691="","",VLOOKUP($D691,Cadastro!$C$4:$G$7,5,FALSE)),"")</f>
        <v/>
      </c>
      <c r="J691" s="145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8">
        <v>46260</v>
      </c>
      <c r="B692" s="25">
        <f t="shared" si="185"/>
        <v>0.9166666666666663</v>
      </c>
      <c r="C692" s="26"/>
      <c r="D692" s="59"/>
      <c r="E692" s="120"/>
      <c r="F692" s="122" t="str">
        <f>IFERROR(IF($D692="","",VLOOKUP($D692,Cadastro!$C$4:$E$7,3,FALSE)),"")</f>
        <v/>
      </c>
      <c r="G692" s="114"/>
      <c r="H692" s="122" t="str">
        <f>IFERROR(IF($G692="","",$G692*$S$702/$G$702/Cadastro!$E$33),"")</f>
        <v/>
      </c>
      <c r="I692" s="129" t="str">
        <f>IFERROR(IF($D692="","",VLOOKUP($D692,Cadastro!$C$4:$G$7,5,FALSE)),"")</f>
        <v/>
      </c>
      <c r="J692" s="145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9">
        <v>46260</v>
      </c>
      <c r="B693" s="32">
        <f t="shared" si="185"/>
        <v>0.95833333333333293</v>
      </c>
      <c r="C693" s="26"/>
      <c r="D693" s="59"/>
      <c r="E693" s="120"/>
      <c r="F693" s="122" t="str">
        <f>IFERROR(IF($D693="","",VLOOKUP($D693,Cadastro!$C$4:$E$7,3,FALSE)),"")</f>
        <v/>
      </c>
      <c r="G693" s="114"/>
      <c r="H693" s="122" t="str">
        <f>IFERROR(IF($G693="","",$G693*$S$702/$G$702/Cadastro!$E$33),"")</f>
        <v/>
      </c>
      <c r="I693" s="129" t="str">
        <f>IFERROR(IF($D693="","",VLOOKUP($D693,Cadastro!$C$4:$G$7,5,FALSE)),"")</f>
        <v/>
      </c>
      <c r="J693" s="145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8">
        <v>46260</v>
      </c>
      <c r="B694" s="25">
        <f t="shared" si="185"/>
        <v>0.99999999999999956</v>
      </c>
      <c r="C694" s="26"/>
      <c r="D694" s="59"/>
      <c r="E694" s="120"/>
      <c r="F694" s="122" t="str">
        <f>IFERROR(IF($D694="","",VLOOKUP($D694,Cadastro!$C$4:$E$7,3,FALSE)),"")</f>
        <v/>
      </c>
      <c r="G694" s="114"/>
      <c r="H694" s="122" t="str">
        <f>IFERROR(IF($G694="","",$G694*$S$702/$G$702/Cadastro!$E$33),"")</f>
        <v/>
      </c>
      <c r="I694" s="129" t="str">
        <f>IFERROR(IF($D694="","",VLOOKUP($D694,Cadastro!$C$4:$G$7,5,FALSE)),"")</f>
        <v/>
      </c>
      <c r="J694" s="145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9">
        <v>46260</v>
      </c>
      <c r="B695" s="32">
        <f t="shared" si="185"/>
        <v>1.0416666666666663</v>
      </c>
      <c r="C695" s="26"/>
      <c r="D695" s="59"/>
      <c r="E695" s="120"/>
      <c r="F695" s="122" t="str">
        <f>IFERROR(IF($D695="","",VLOOKUP($D695,Cadastro!$C$4:$E$7,3,FALSE)),"")</f>
        <v/>
      </c>
      <c r="G695" s="114"/>
      <c r="H695" s="122" t="str">
        <f>IFERROR(IF($G695="","",$G695*$S$702/$G$702/Cadastro!$E$33),"")</f>
        <v/>
      </c>
      <c r="I695" s="129" t="str">
        <f>IFERROR(IF($D695="","",VLOOKUP($D695,Cadastro!$C$4:$G$7,5,FALSE)),"")</f>
        <v/>
      </c>
      <c r="J695" s="145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8">
        <v>46260</v>
      </c>
      <c r="B696" s="25">
        <f t="shared" si="185"/>
        <v>1.083333333333333</v>
      </c>
      <c r="C696" s="26"/>
      <c r="D696" s="59"/>
      <c r="E696" s="120"/>
      <c r="F696" s="122" t="str">
        <f>IFERROR(IF($D696="","",VLOOKUP($D696,Cadastro!$C$4:$E$7,3,FALSE)),"")</f>
        <v/>
      </c>
      <c r="G696" s="114"/>
      <c r="H696" s="122" t="str">
        <f>IFERROR(IF($G696="","",$G696*$S$702/$G$702/Cadastro!$E$33),"")</f>
        <v/>
      </c>
      <c r="I696" s="129" t="str">
        <f>IFERROR(IF($D696="","",VLOOKUP($D696,Cadastro!$C$4:$G$7,5,FALSE)),"")</f>
        <v/>
      </c>
      <c r="J696" s="145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9">
        <v>46260</v>
      </c>
      <c r="B697" s="32">
        <f t="shared" si="185"/>
        <v>1.1249999999999998</v>
      </c>
      <c r="C697" s="26"/>
      <c r="D697" s="59"/>
      <c r="E697" s="120"/>
      <c r="F697" s="122" t="str">
        <f>IFERROR(IF($D697="","",VLOOKUP($D697,Cadastro!$C$4:$E$7,3,FALSE)),"")</f>
        <v/>
      </c>
      <c r="G697" s="114"/>
      <c r="H697" s="122" t="str">
        <f>IFERROR(IF($G697="","",$G697*$S$702/$G$702/Cadastro!$E$33),"")</f>
        <v/>
      </c>
      <c r="I697" s="129" t="str">
        <f>IFERROR(IF($D697="","",VLOOKUP($D697,Cadastro!$C$4:$G$7,5,FALSE)),"")</f>
        <v/>
      </c>
      <c r="J697" s="145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8">
        <v>46260</v>
      </c>
      <c r="B698" s="25">
        <f t="shared" si="185"/>
        <v>1.1666666666666665</v>
      </c>
      <c r="C698" s="26"/>
      <c r="D698" s="59"/>
      <c r="E698" s="120"/>
      <c r="F698" s="122" t="str">
        <f>IFERROR(IF($D698="","",VLOOKUP($D698,Cadastro!$C$4:$E$7,3,FALSE)),"")</f>
        <v/>
      </c>
      <c r="G698" s="114"/>
      <c r="H698" s="122" t="str">
        <f>IFERROR(IF($G698="","",$G698*$S$702/$G$702/Cadastro!$E$33),"")</f>
        <v/>
      </c>
      <c r="I698" s="129" t="str">
        <f>IFERROR(IF($D698="","",VLOOKUP($D698,Cadastro!$C$4:$G$7,5,FALSE)),"")</f>
        <v/>
      </c>
      <c r="J698" s="145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9">
        <v>46260</v>
      </c>
      <c r="B699" s="32">
        <f t="shared" si="185"/>
        <v>1.2083333333333333</v>
      </c>
      <c r="C699" s="26"/>
      <c r="D699" s="59"/>
      <c r="E699" s="120"/>
      <c r="F699" s="122" t="str">
        <f>IFERROR(IF($D699="","",VLOOKUP($D699,Cadastro!$C$4:$E$7,3,FALSE)),"")</f>
        <v/>
      </c>
      <c r="G699" s="114"/>
      <c r="H699" s="122" t="str">
        <f>IFERROR(IF($G699="","",$G699*$S$702/$G$702/Cadastro!$E$33),"")</f>
        <v/>
      </c>
      <c r="I699" s="129" t="str">
        <f>IFERROR(IF($D699="","",VLOOKUP($D699,Cadastro!$C$4:$G$7,5,FALSE)),"")</f>
        <v/>
      </c>
      <c r="J699" s="145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8">
        <v>46260</v>
      </c>
      <c r="B700" s="25">
        <f t="shared" si="185"/>
        <v>1.25</v>
      </c>
      <c r="C700" s="26"/>
      <c r="D700" s="59"/>
      <c r="E700" s="120"/>
      <c r="F700" s="122" t="str">
        <f>IFERROR(IF($D700="","",VLOOKUP($D700,Cadastro!$C$4:$E$7,3,FALSE)),"")</f>
        <v/>
      </c>
      <c r="G700" s="114"/>
      <c r="H700" s="122" t="str">
        <f>IFERROR(IF($G700="","",$G700*$S$702/$G$702/Cadastro!$E$33),"")</f>
        <v/>
      </c>
      <c r="I700" s="129" t="str">
        <f>IFERROR(IF($D700="","",VLOOKUP($D700,Cadastro!$C$4:$G$7,5,FALSE)),"")</f>
        <v/>
      </c>
      <c r="J700" s="145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9">
        <v>46260</v>
      </c>
      <c r="B701" s="32">
        <f t="shared" si="185"/>
        <v>1.2916666666666667</v>
      </c>
      <c r="C701" s="26"/>
      <c r="D701" s="59"/>
      <c r="E701" s="120"/>
      <c r="F701" s="118" t="str">
        <f>IFERROR(IF($D701="","",VLOOKUP($D701,Cadastro!$C$4:$E$7,3,FALSE)),"")</f>
        <v/>
      </c>
      <c r="G701" s="114"/>
      <c r="H701" s="118" t="str">
        <f>IFERROR(IF($G701="","",$G701*$S$702/$G$702/Cadastro!$E$33),"")</f>
        <v/>
      </c>
      <c r="I701" s="130" t="str">
        <f>IFERROR(IF($D701="","",VLOOKUP($D701,Cadastro!$C$4:$G$7,5,FALSE)),"")</f>
        <v/>
      </c>
      <c r="J701" s="146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68" t="s">
        <v>234</v>
      </c>
      <c r="B702" s="169"/>
      <c r="C702" s="169"/>
      <c r="D702" s="169"/>
      <c r="E702" s="169">
        <f>SUM(E690:E701)</f>
        <v>0</v>
      </c>
      <c r="F702" s="124"/>
      <c r="G702" s="88">
        <f>SUM(G690:G701)</f>
        <v>0</v>
      </c>
      <c r="H702" s="124">
        <f>IFERROR(SUM(H690:H701),"")</f>
        <v>0</v>
      </c>
      <c r="I702" s="133"/>
      <c r="J702" s="149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232</v>
      </c>
      <c r="S702" s="76"/>
      <c r="T702" s="136">
        <f>IFERROR(J702,"")</f>
        <v>0</v>
      </c>
    </row>
    <row r="703" spans="1:20" ht="18" customHeight="1" x14ac:dyDescent="0.3">
      <c r="A703" s="165" t="s">
        <v>235</v>
      </c>
      <c r="B703" s="166"/>
      <c r="C703" s="166"/>
      <c r="D703" s="166"/>
      <c r="E703" s="166">
        <f>E689+E702</f>
        <v>0</v>
      </c>
      <c r="F703" s="125"/>
      <c r="G703" s="100">
        <f>G689+G702</f>
        <v>0</v>
      </c>
      <c r="H703" s="125">
        <f>IFERROR(H689+H702,"")</f>
        <v>0</v>
      </c>
      <c r="I703" s="134"/>
      <c r="J703" s="150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236</v>
      </c>
      <c r="S703" s="82">
        <f>IFERROR(S689+S702,"")</f>
        <v>0</v>
      </c>
      <c r="T703" s="140">
        <f>IFERROR(J703,"")</f>
        <v>0</v>
      </c>
    </row>
    <row r="704" spans="1:20" ht="15" customHeight="1" x14ac:dyDescent="0.3">
      <c r="A704" s="68">
        <v>46261</v>
      </c>
      <c r="B704" s="25">
        <v>0.33333333333333298</v>
      </c>
      <c r="C704" s="26"/>
      <c r="D704" s="59"/>
      <c r="E704" s="120"/>
      <c r="F704" s="119" t="str">
        <f>IFERROR(IF($D704="","",VLOOKUP($D704,Cadastro!$C$4:$E$7,3,FALSE)),"")</f>
        <v/>
      </c>
      <c r="G704" s="114"/>
      <c r="H704" s="119" t="str">
        <f>IFERROR(IF($G704="","",$G704*$S$716/$G$716/Cadastro!$E$33),"")</f>
        <v/>
      </c>
      <c r="I704" s="132" t="str">
        <f>IFERROR(IF($D704="","",VLOOKUP($D704,Cadastro!$C$4:$G$7,5,FALSE)),"")</f>
        <v/>
      </c>
      <c r="J704" s="148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9">
        <v>46261</v>
      </c>
      <c r="B705" s="32">
        <f t="shared" ref="B705:B715" si="189">B704+TIME(0,60,0)</f>
        <v>0.37499999999999967</v>
      </c>
      <c r="C705" s="26"/>
      <c r="D705" s="59"/>
      <c r="E705" s="120"/>
      <c r="F705" s="122" t="str">
        <f>IFERROR(IF($D705="","",VLOOKUP($D705,Cadastro!$C$4:$E$7,3,FALSE)),"")</f>
        <v/>
      </c>
      <c r="G705" s="114"/>
      <c r="H705" s="122" t="str">
        <f>IFERROR(IF($G705="","",$G705*$S$716/$G$716/Cadastro!$E$33),"")</f>
        <v/>
      </c>
      <c r="I705" s="129" t="str">
        <f>IFERROR(IF($D705="","",VLOOKUP($D705,Cadastro!$C$4:$G$7,5,FALSE)),"")</f>
        <v/>
      </c>
      <c r="J705" s="145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8">
        <v>46261</v>
      </c>
      <c r="B706" s="25">
        <f t="shared" si="189"/>
        <v>0.41666666666666635</v>
      </c>
      <c r="C706" s="26"/>
      <c r="D706" s="59"/>
      <c r="E706" s="120"/>
      <c r="F706" s="122" t="str">
        <f>IFERROR(IF($D706="","",VLOOKUP($D706,Cadastro!$C$4:$E$7,3,FALSE)),"")</f>
        <v/>
      </c>
      <c r="G706" s="114"/>
      <c r="H706" s="122" t="str">
        <f>IFERROR(IF($G706="","",$G706*$S$716/$G$716/Cadastro!$E$33),"")</f>
        <v/>
      </c>
      <c r="I706" s="129" t="str">
        <f>IFERROR(IF($D706="","",VLOOKUP($D706,Cadastro!$C$4:$G$7,5,FALSE)),"")</f>
        <v/>
      </c>
      <c r="J706" s="145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9">
        <v>46261</v>
      </c>
      <c r="B707" s="32">
        <f t="shared" si="189"/>
        <v>0.45833333333333304</v>
      </c>
      <c r="C707" s="26"/>
      <c r="D707" s="59"/>
      <c r="E707" s="120"/>
      <c r="F707" s="122" t="str">
        <f>IFERROR(IF($D707="","",VLOOKUP($D707,Cadastro!$C$4:$E$7,3,FALSE)),"")</f>
        <v/>
      </c>
      <c r="G707" s="114"/>
      <c r="H707" s="122" t="str">
        <f>IFERROR(IF($G707="","",$G707*$S$716/$G$716/Cadastro!$E$33),"")</f>
        <v/>
      </c>
      <c r="I707" s="129" t="str">
        <f>IFERROR(IF($D707="","",VLOOKUP($D707,Cadastro!$C$4:$G$7,5,FALSE)),"")</f>
        <v/>
      </c>
      <c r="J707" s="145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8">
        <v>46261</v>
      </c>
      <c r="B708" s="25">
        <f t="shared" si="189"/>
        <v>0.49999999999999972</v>
      </c>
      <c r="C708" s="26"/>
      <c r="D708" s="59"/>
      <c r="E708" s="120"/>
      <c r="F708" s="122" t="str">
        <f>IFERROR(IF($D708="","",VLOOKUP($D708,Cadastro!$C$4:$E$7,3,FALSE)),"")</f>
        <v/>
      </c>
      <c r="G708" s="114"/>
      <c r="H708" s="122" t="str">
        <f>IFERROR(IF($G708="","",$G708*$S$716/$G$716/Cadastro!$E$33),"")</f>
        <v/>
      </c>
      <c r="I708" s="129" t="str">
        <f>IFERROR(IF($D708="","",VLOOKUP($D708,Cadastro!$C$4:$G$7,5,FALSE)),"")</f>
        <v/>
      </c>
      <c r="J708" s="145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9">
        <v>46261</v>
      </c>
      <c r="B709" s="32">
        <f t="shared" si="189"/>
        <v>0.54166666666666641</v>
      </c>
      <c r="C709" s="26"/>
      <c r="D709" s="59"/>
      <c r="E709" s="120"/>
      <c r="F709" s="122" t="str">
        <f>IFERROR(IF($D709="","",VLOOKUP($D709,Cadastro!$C$4:$E$7,3,FALSE)),"")</f>
        <v/>
      </c>
      <c r="G709" s="114"/>
      <c r="H709" s="122" t="str">
        <f>IFERROR(IF($G709="","",$G709*$S$716/$G$716/Cadastro!$E$33),"")</f>
        <v/>
      </c>
      <c r="I709" s="129" t="str">
        <f>IFERROR(IF($D709="","",VLOOKUP($D709,Cadastro!$C$4:$G$7,5,FALSE)),"")</f>
        <v/>
      </c>
      <c r="J709" s="145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8">
        <v>46261</v>
      </c>
      <c r="B710" s="25">
        <f t="shared" si="189"/>
        <v>0.58333333333333304</v>
      </c>
      <c r="C710" s="26"/>
      <c r="D710" s="59"/>
      <c r="E710" s="120"/>
      <c r="F710" s="122" t="str">
        <f>IFERROR(IF($D710="","",VLOOKUP($D710,Cadastro!$C$4:$E$7,3,FALSE)),"")</f>
        <v/>
      </c>
      <c r="G710" s="114"/>
      <c r="H710" s="122" t="str">
        <f>IFERROR(IF($G710="","",$G710*$S$716/$G$716/Cadastro!$E$33),"")</f>
        <v/>
      </c>
      <c r="I710" s="129" t="str">
        <f>IFERROR(IF($D710="","",VLOOKUP($D710,Cadastro!$C$4:$G$7,5,FALSE)),"")</f>
        <v/>
      </c>
      <c r="J710" s="145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9">
        <v>46261</v>
      </c>
      <c r="B711" s="32">
        <f t="shared" si="189"/>
        <v>0.62499999999999967</v>
      </c>
      <c r="C711" s="26"/>
      <c r="D711" s="59"/>
      <c r="E711" s="120"/>
      <c r="F711" s="122" t="str">
        <f>IFERROR(IF($D711="","",VLOOKUP($D711,Cadastro!$C$4:$E$7,3,FALSE)),"")</f>
        <v/>
      </c>
      <c r="G711" s="114"/>
      <c r="H711" s="122" t="str">
        <f>IFERROR(IF($G711="","",$G711*$S$716/$G$716/Cadastro!$E$33),"")</f>
        <v/>
      </c>
      <c r="I711" s="129" t="str">
        <f>IFERROR(IF($D711="","",VLOOKUP($D711,Cadastro!$C$4:$G$7,5,FALSE)),"")</f>
        <v/>
      </c>
      <c r="J711" s="145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8">
        <v>46261</v>
      </c>
      <c r="B712" s="25">
        <f t="shared" si="189"/>
        <v>0.6666666666666663</v>
      </c>
      <c r="C712" s="26"/>
      <c r="D712" s="59"/>
      <c r="E712" s="120"/>
      <c r="F712" s="122" t="str">
        <f>IFERROR(IF($D712="","",VLOOKUP($D712,Cadastro!$C$4:$E$7,3,FALSE)),"")</f>
        <v/>
      </c>
      <c r="G712" s="114"/>
      <c r="H712" s="122" t="str">
        <f>IFERROR(IF($G712="","",$G712*$S$716/$G$716/Cadastro!$E$33),"")</f>
        <v/>
      </c>
      <c r="I712" s="129" t="str">
        <f>IFERROR(IF($D712="","",VLOOKUP($D712,Cadastro!$C$4:$G$7,5,FALSE)),"")</f>
        <v/>
      </c>
      <c r="J712" s="145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9">
        <v>46261</v>
      </c>
      <c r="B713" s="32">
        <f t="shared" si="189"/>
        <v>0.70833333333333293</v>
      </c>
      <c r="C713" s="26"/>
      <c r="D713" s="59"/>
      <c r="E713" s="120"/>
      <c r="F713" s="122" t="str">
        <f>IFERROR(IF($D713="","",VLOOKUP($D713,Cadastro!$C$4:$E$7,3,FALSE)),"")</f>
        <v/>
      </c>
      <c r="G713" s="114"/>
      <c r="H713" s="122" t="str">
        <f>IFERROR(IF($G713="","",$G713*$S$716/$G$716/Cadastro!$E$33),"")</f>
        <v/>
      </c>
      <c r="I713" s="129" t="str">
        <f>IFERROR(IF($D713="","",VLOOKUP($D713,Cadastro!$C$4:$G$7,5,FALSE)),"")</f>
        <v/>
      </c>
      <c r="J713" s="145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8">
        <v>46261</v>
      </c>
      <c r="B714" s="25">
        <f t="shared" si="189"/>
        <v>0.74999999999999956</v>
      </c>
      <c r="C714" s="26"/>
      <c r="D714" s="59"/>
      <c r="E714" s="120"/>
      <c r="F714" s="122" t="str">
        <f>IFERROR(IF($D714="","",VLOOKUP($D714,Cadastro!$C$4:$E$7,3,FALSE)),"")</f>
        <v/>
      </c>
      <c r="G714" s="114"/>
      <c r="H714" s="122" t="str">
        <f>IFERROR(IF($G714="","",$G714*$S$716/$G$716/Cadastro!$E$33),"")</f>
        <v/>
      </c>
      <c r="I714" s="129" t="str">
        <f>IFERROR(IF($D714="","",VLOOKUP($D714,Cadastro!$C$4:$G$7,5,FALSE)),"")</f>
        <v/>
      </c>
      <c r="J714" s="145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9">
        <v>46261</v>
      </c>
      <c r="B715" s="32">
        <f t="shared" si="189"/>
        <v>0.79166666666666619</v>
      </c>
      <c r="C715" s="26"/>
      <c r="D715" s="59"/>
      <c r="E715" s="120"/>
      <c r="F715" s="118" t="str">
        <f>IFERROR(IF($D715="","",VLOOKUP($D715,Cadastro!$C$4:$E$7,3,FALSE)),"")</f>
        <v/>
      </c>
      <c r="G715" s="114"/>
      <c r="H715" s="118" t="str">
        <f>IFERROR(IF($G715="","",$G715*$S$716/$G$716/Cadastro!$E$33),"")</f>
        <v/>
      </c>
      <c r="I715" s="130" t="str">
        <f>IFERROR(IF($D715="","",VLOOKUP($D715,Cadastro!$C$4:$G$7,5,FALSE)),"")</f>
        <v/>
      </c>
      <c r="J715" s="146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68" t="s">
        <v>231</v>
      </c>
      <c r="B716" s="169"/>
      <c r="C716" s="169"/>
      <c r="D716" s="169"/>
      <c r="E716" s="169">
        <f>SUM(E704:E715)</f>
        <v>0</v>
      </c>
      <c r="F716" s="123"/>
      <c r="G716" s="88">
        <f>SUM(G704:G715)</f>
        <v>0</v>
      </c>
      <c r="H716" s="123">
        <f>IFERROR(SUM(H704:H715),"")</f>
        <v>0</v>
      </c>
      <c r="I716" s="131"/>
      <c r="J716" s="147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232</v>
      </c>
      <c r="S716" s="76"/>
      <c r="T716" s="136">
        <f>IFERROR(J716,"")</f>
        <v>0</v>
      </c>
    </row>
    <row r="717" spans="1:20" ht="15" customHeight="1" x14ac:dyDescent="0.3">
      <c r="A717" s="69">
        <v>46261</v>
      </c>
      <c r="B717" s="32">
        <v>0.83333333333333304</v>
      </c>
      <c r="C717" s="33"/>
      <c r="D717" s="62"/>
      <c r="E717" s="121"/>
      <c r="F717" s="119" t="str">
        <f>IFERROR(IF($D717="","",VLOOKUP($D717,Cadastro!$C$4:$E$7,3,FALSE)),"")</f>
        <v/>
      </c>
      <c r="G717" s="114"/>
      <c r="H717" s="119" t="str">
        <f>IFERROR(IF($G717="","",$G717*$S$729/$G$729/Cadastro!$E$33),"")</f>
        <v/>
      </c>
      <c r="I717" s="132" t="str">
        <f>IFERROR(IF($D717="","",VLOOKUP($D717,Cadastro!$C$4:$G$7,5,FALSE)),"")</f>
        <v/>
      </c>
      <c r="J717" s="148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8">
        <v>46261</v>
      </c>
      <c r="B718" s="25">
        <f t="shared" ref="B718:B728" si="193">B717+TIME(0,60,0)</f>
        <v>0.87499999999999967</v>
      </c>
      <c r="C718" s="26"/>
      <c r="D718" s="59"/>
      <c r="E718" s="120"/>
      <c r="F718" s="122" t="str">
        <f>IFERROR(IF($D718="","",VLOOKUP($D718,Cadastro!$C$4:$E$7,3,FALSE)),"")</f>
        <v/>
      </c>
      <c r="G718" s="114"/>
      <c r="H718" s="122" t="str">
        <f>IFERROR(IF($G718="","",$G718*$S$729/$G$729/Cadastro!$E$33),"")</f>
        <v/>
      </c>
      <c r="I718" s="129" t="str">
        <f>IFERROR(IF($D718="","",VLOOKUP($D718,Cadastro!$C$4:$G$7,5,FALSE)),"")</f>
        <v/>
      </c>
      <c r="J718" s="145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9">
        <v>46261</v>
      </c>
      <c r="B719" s="32">
        <f t="shared" si="193"/>
        <v>0.9166666666666663</v>
      </c>
      <c r="C719" s="33"/>
      <c r="D719" s="62"/>
      <c r="E719" s="121"/>
      <c r="F719" s="122" t="str">
        <f>IFERROR(IF($D719="","",VLOOKUP($D719,Cadastro!$C$4:$E$7,3,FALSE)),"")</f>
        <v/>
      </c>
      <c r="G719" s="114"/>
      <c r="H719" s="122" t="str">
        <f>IFERROR(IF($G719="","",$G719*$S$729/$G$729/Cadastro!$E$33),"")</f>
        <v/>
      </c>
      <c r="I719" s="129" t="str">
        <f>IFERROR(IF($D719="","",VLOOKUP($D719,Cadastro!$C$4:$G$7,5,FALSE)),"")</f>
        <v/>
      </c>
      <c r="J719" s="145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8">
        <v>46261</v>
      </c>
      <c r="B720" s="25">
        <f t="shared" si="193"/>
        <v>0.95833333333333293</v>
      </c>
      <c r="C720" s="26"/>
      <c r="D720" s="59"/>
      <c r="E720" s="120"/>
      <c r="F720" s="122" t="str">
        <f>IFERROR(IF($D720="","",VLOOKUP($D720,Cadastro!$C$4:$E$7,3,FALSE)),"")</f>
        <v/>
      </c>
      <c r="G720" s="114"/>
      <c r="H720" s="122" t="str">
        <f>IFERROR(IF($G720="","",$G720*$S$729/$G$729/Cadastro!$E$33),"")</f>
        <v/>
      </c>
      <c r="I720" s="129" t="str">
        <f>IFERROR(IF($D720="","",VLOOKUP($D720,Cadastro!$C$4:$G$7,5,FALSE)),"")</f>
        <v/>
      </c>
      <c r="J720" s="145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9">
        <v>46261</v>
      </c>
      <c r="B721" s="32">
        <f t="shared" si="193"/>
        <v>0.99999999999999956</v>
      </c>
      <c r="C721" s="33"/>
      <c r="D721" s="62"/>
      <c r="E721" s="121"/>
      <c r="F721" s="122" t="str">
        <f>IFERROR(IF($D721="","",VLOOKUP($D721,Cadastro!$C$4:$E$7,3,FALSE)),"")</f>
        <v/>
      </c>
      <c r="G721" s="114"/>
      <c r="H721" s="122" t="str">
        <f>IFERROR(IF($G721="","",$G721*$S$729/$G$729/Cadastro!$E$33),"")</f>
        <v/>
      </c>
      <c r="I721" s="129" t="str">
        <f>IFERROR(IF($D721="","",VLOOKUP($D721,Cadastro!$C$4:$G$7,5,FALSE)),"")</f>
        <v/>
      </c>
      <c r="J721" s="145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8">
        <v>46261</v>
      </c>
      <c r="B722" s="25">
        <f t="shared" si="193"/>
        <v>1.0416666666666663</v>
      </c>
      <c r="C722" s="26"/>
      <c r="D722" s="59"/>
      <c r="E722" s="120"/>
      <c r="F722" s="122" t="str">
        <f>IFERROR(IF($D722="","",VLOOKUP($D722,Cadastro!$C$4:$E$7,3,FALSE)),"")</f>
        <v/>
      </c>
      <c r="G722" s="114"/>
      <c r="H722" s="122" t="str">
        <f>IFERROR(IF($G722="","",$G722*$S$729/$G$729/Cadastro!$E$33),"")</f>
        <v/>
      </c>
      <c r="I722" s="129" t="str">
        <f>IFERROR(IF($D722="","",VLOOKUP($D722,Cadastro!$C$4:$G$7,5,FALSE)),"")</f>
        <v/>
      </c>
      <c r="J722" s="145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9">
        <v>46261</v>
      </c>
      <c r="B723" s="32">
        <f t="shared" si="193"/>
        <v>1.083333333333333</v>
      </c>
      <c r="C723" s="33"/>
      <c r="D723" s="62"/>
      <c r="E723" s="121"/>
      <c r="F723" s="122" t="str">
        <f>IFERROR(IF($D723="","",VLOOKUP($D723,Cadastro!$C$4:$E$7,3,FALSE)),"")</f>
        <v/>
      </c>
      <c r="G723" s="114"/>
      <c r="H723" s="122" t="str">
        <f>IFERROR(IF($G723="","",$G723*$S$729/$G$729/Cadastro!$E$33),"")</f>
        <v/>
      </c>
      <c r="I723" s="129" t="str">
        <f>IFERROR(IF($D723="","",VLOOKUP($D723,Cadastro!$C$4:$G$7,5,FALSE)),"")</f>
        <v/>
      </c>
      <c r="J723" s="145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8">
        <v>46261</v>
      </c>
      <c r="B724" s="25">
        <f t="shared" si="193"/>
        <v>1.1249999999999998</v>
      </c>
      <c r="C724" s="26"/>
      <c r="D724" s="59"/>
      <c r="E724" s="120"/>
      <c r="F724" s="122" t="str">
        <f>IFERROR(IF($D724="","",VLOOKUP($D724,Cadastro!$C$4:$E$7,3,FALSE)),"")</f>
        <v/>
      </c>
      <c r="G724" s="114"/>
      <c r="H724" s="122" t="str">
        <f>IFERROR(IF($G724="","",$G724*$S$729/$G$729/Cadastro!$E$33),"")</f>
        <v/>
      </c>
      <c r="I724" s="129" t="str">
        <f>IFERROR(IF($D724="","",VLOOKUP($D724,Cadastro!$C$4:$G$7,5,FALSE)),"")</f>
        <v/>
      </c>
      <c r="J724" s="145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9">
        <v>46261</v>
      </c>
      <c r="B725" s="32">
        <f t="shared" si="193"/>
        <v>1.1666666666666665</v>
      </c>
      <c r="C725" s="33"/>
      <c r="D725" s="62"/>
      <c r="E725" s="121"/>
      <c r="F725" s="122" t="str">
        <f>IFERROR(IF($D725="","",VLOOKUP($D725,Cadastro!$C$4:$E$7,3,FALSE)),"")</f>
        <v/>
      </c>
      <c r="G725" s="114"/>
      <c r="H725" s="122" t="str">
        <f>IFERROR(IF($G725="","",$G725*$S$729/$G$729/Cadastro!$E$33),"")</f>
        <v/>
      </c>
      <c r="I725" s="129" t="str">
        <f>IFERROR(IF($D725="","",VLOOKUP($D725,Cadastro!$C$4:$G$7,5,FALSE)),"")</f>
        <v/>
      </c>
      <c r="J725" s="145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8">
        <v>46261</v>
      </c>
      <c r="B726" s="25">
        <f t="shared" si="193"/>
        <v>1.2083333333333333</v>
      </c>
      <c r="C726" s="26"/>
      <c r="D726" s="59"/>
      <c r="E726" s="120"/>
      <c r="F726" s="122" t="str">
        <f>IFERROR(IF($D726="","",VLOOKUP($D726,Cadastro!$C$4:$E$7,3,FALSE)),"")</f>
        <v/>
      </c>
      <c r="G726" s="114"/>
      <c r="H726" s="122" t="str">
        <f>IFERROR(IF($G726="","",$G726*$S$729/$G$729/Cadastro!$E$33),"")</f>
        <v/>
      </c>
      <c r="I726" s="129" t="str">
        <f>IFERROR(IF($D726="","",VLOOKUP($D726,Cadastro!$C$4:$G$7,5,FALSE)),"")</f>
        <v/>
      </c>
      <c r="J726" s="145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9">
        <v>46261</v>
      </c>
      <c r="B727" s="32">
        <f t="shared" si="193"/>
        <v>1.25</v>
      </c>
      <c r="C727" s="33"/>
      <c r="D727" s="62"/>
      <c r="E727" s="121"/>
      <c r="F727" s="122" t="str">
        <f>IFERROR(IF($D727="","",VLOOKUP($D727,Cadastro!$C$4:$E$7,3,FALSE)),"")</f>
        <v/>
      </c>
      <c r="G727" s="114"/>
      <c r="H727" s="122" t="str">
        <f>IFERROR(IF($G727="","",$G727*$S$729/$G$729/Cadastro!$E$33),"")</f>
        <v/>
      </c>
      <c r="I727" s="129" t="str">
        <f>IFERROR(IF($D727="","",VLOOKUP($D727,Cadastro!$C$4:$G$7,5,FALSE)),"")</f>
        <v/>
      </c>
      <c r="J727" s="145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8">
        <v>46261</v>
      </c>
      <c r="B728" s="25">
        <f t="shared" si="193"/>
        <v>1.2916666666666667</v>
      </c>
      <c r="C728" s="26"/>
      <c r="D728" s="59"/>
      <c r="E728" s="120"/>
      <c r="F728" s="118" t="str">
        <f>IFERROR(IF($D728="","",VLOOKUP($D728,Cadastro!$C$4:$E$7,3,FALSE)),"")</f>
        <v/>
      </c>
      <c r="G728" s="114"/>
      <c r="H728" s="118" t="str">
        <f>IFERROR(IF($G728="","",$G728*$S$729/$G$729/Cadastro!$E$33),"")</f>
        <v/>
      </c>
      <c r="I728" s="130" t="str">
        <f>IFERROR(IF($D728="","",VLOOKUP($D728,Cadastro!$C$4:$G$7,5,FALSE)),"")</f>
        <v/>
      </c>
      <c r="J728" s="146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68" t="s">
        <v>234</v>
      </c>
      <c r="B729" s="169"/>
      <c r="C729" s="169"/>
      <c r="D729" s="169"/>
      <c r="E729" s="169">
        <f>SUM(E717:E728)</f>
        <v>0</v>
      </c>
      <c r="F729" s="124"/>
      <c r="G729" s="88">
        <f>SUM(G717:G728)</f>
        <v>0</v>
      </c>
      <c r="H729" s="124">
        <f>IFERROR(SUM(H717:H728),"")</f>
        <v>0</v>
      </c>
      <c r="I729" s="133"/>
      <c r="J729" s="149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232</v>
      </c>
      <c r="S729" s="76"/>
      <c r="T729" s="136">
        <f>IFERROR(J729,"")</f>
        <v>0</v>
      </c>
    </row>
    <row r="730" spans="1:20" ht="18" customHeight="1" x14ac:dyDescent="0.3">
      <c r="A730" s="165" t="s">
        <v>235</v>
      </c>
      <c r="B730" s="166"/>
      <c r="C730" s="166"/>
      <c r="D730" s="166"/>
      <c r="E730" s="166">
        <f>E716+E729</f>
        <v>0</v>
      </c>
      <c r="F730" s="125"/>
      <c r="G730" s="100">
        <f>G716+G729</f>
        <v>0</v>
      </c>
      <c r="H730" s="125">
        <f>IFERROR(H716+H729,"")</f>
        <v>0</v>
      </c>
      <c r="I730" s="134"/>
      <c r="J730" s="150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236</v>
      </c>
      <c r="S730" s="82">
        <f>IFERROR(S716+S729,"")</f>
        <v>0</v>
      </c>
      <c r="T730" s="140">
        <f>IFERROR(J730,"")</f>
        <v>0</v>
      </c>
    </row>
    <row r="731" spans="1:20" ht="15" customHeight="1" x14ac:dyDescent="0.3">
      <c r="A731" s="69">
        <v>46262</v>
      </c>
      <c r="B731" s="32">
        <v>0.33333333333333298</v>
      </c>
      <c r="C731" s="33"/>
      <c r="D731" s="62"/>
      <c r="E731" s="121"/>
      <c r="F731" s="119" t="str">
        <f>IFERROR(IF($D731="","",VLOOKUP($D731,Cadastro!$C$4:$E$7,3,FALSE)),"")</f>
        <v/>
      </c>
      <c r="G731" s="114"/>
      <c r="H731" s="119" t="str">
        <f>IFERROR(IF($G731="","",$G731*$S$743/$G$743/Cadastro!$E$33),"")</f>
        <v/>
      </c>
      <c r="I731" s="132" t="str">
        <f>IFERROR(IF($D731="","",VLOOKUP($D731,Cadastro!$C$4:$G$7,5,FALSE)),"")</f>
        <v/>
      </c>
      <c r="J731" s="148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8">
        <v>46262</v>
      </c>
      <c r="B732" s="25">
        <f t="shared" ref="B732:B742" si="197">B731+TIME(0,60,0)</f>
        <v>0.37499999999999967</v>
      </c>
      <c r="C732" s="26"/>
      <c r="D732" s="59"/>
      <c r="E732" s="120"/>
      <c r="F732" s="122" t="str">
        <f>IFERROR(IF($D732="","",VLOOKUP($D732,Cadastro!$C$4:$E$7,3,FALSE)),"")</f>
        <v/>
      </c>
      <c r="G732" s="114"/>
      <c r="H732" s="122" t="str">
        <f>IFERROR(IF($G732="","",$G732*$S$743/$G$743/Cadastro!$E$33),"")</f>
        <v/>
      </c>
      <c r="I732" s="129" t="str">
        <f>IFERROR(IF($D732="","",VLOOKUP($D732,Cadastro!$C$4:$G$7,5,FALSE)),"")</f>
        <v/>
      </c>
      <c r="J732" s="145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9">
        <v>46262</v>
      </c>
      <c r="B733" s="32">
        <f t="shared" si="197"/>
        <v>0.41666666666666635</v>
      </c>
      <c r="C733" s="33"/>
      <c r="D733" s="62"/>
      <c r="E733" s="121"/>
      <c r="F733" s="122" t="str">
        <f>IFERROR(IF($D733="","",VLOOKUP($D733,Cadastro!$C$4:$E$7,3,FALSE)),"")</f>
        <v/>
      </c>
      <c r="G733" s="114"/>
      <c r="H733" s="122" t="str">
        <f>IFERROR(IF($G733="","",$G733*$S$743/$G$743/Cadastro!$E$33),"")</f>
        <v/>
      </c>
      <c r="I733" s="129" t="str">
        <f>IFERROR(IF($D733="","",VLOOKUP($D733,Cadastro!$C$4:$G$7,5,FALSE)),"")</f>
        <v/>
      </c>
      <c r="J733" s="145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8">
        <v>46262</v>
      </c>
      <c r="B734" s="25">
        <f t="shared" si="197"/>
        <v>0.45833333333333304</v>
      </c>
      <c r="C734" s="26"/>
      <c r="D734" s="59"/>
      <c r="E734" s="120"/>
      <c r="F734" s="122" t="str">
        <f>IFERROR(IF($D734="","",VLOOKUP($D734,Cadastro!$C$4:$E$7,3,FALSE)),"")</f>
        <v/>
      </c>
      <c r="G734" s="114"/>
      <c r="H734" s="122" t="str">
        <f>IFERROR(IF($G734="","",$G734*$S$743/$G$743/Cadastro!$E$33),"")</f>
        <v/>
      </c>
      <c r="I734" s="129" t="str">
        <f>IFERROR(IF($D734="","",VLOOKUP($D734,Cadastro!$C$4:$G$7,5,FALSE)),"")</f>
        <v/>
      </c>
      <c r="J734" s="145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9">
        <v>46262</v>
      </c>
      <c r="B735" s="32">
        <f t="shared" si="197"/>
        <v>0.49999999999999972</v>
      </c>
      <c r="C735" s="33"/>
      <c r="D735" s="62"/>
      <c r="E735" s="121"/>
      <c r="F735" s="122" t="str">
        <f>IFERROR(IF($D735="","",VLOOKUP($D735,Cadastro!$C$4:$E$7,3,FALSE)),"")</f>
        <v/>
      </c>
      <c r="G735" s="114"/>
      <c r="H735" s="122" t="str">
        <f>IFERROR(IF($G735="","",$G735*$S$743/$G$743/Cadastro!$E$33),"")</f>
        <v/>
      </c>
      <c r="I735" s="129" t="str">
        <f>IFERROR(IF($D735="","",VLOOKUP($D735,Cadastro!$C$4:$G$7,5,FALSE)),"")</f>
        <v/>
      </c>
      <c r="J735" s="145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8">
        <v>46262</v>
      </c>
      <c r="B736" s="25">
        <f t="shared" si="197"/>
        <v>0.54166666666666641</v>
      </c>
      <c r="C736" s="26"/>
      <c r="D736" s="59"/>
      <c r="E736" s="120"/>
      <c r="F736" s="122" t="str">
        <f>IFERROR(IF($D736="","",VLOOKUP($D736,Cadastro!$C$4:$E$7,3,FALSE)),"")</f>
        <v/>
      </c>
      <c r="G736" s="114"/>
      <c r="H736" s="122" t="str">
        <f>IFERROR(IF($G736="","",$G736*$S$743/$G$743/Cadastro!$E$33),"")</f>
        <v/>
      </c>
      <c r="I736" s="129" t="str">
        <f>IFERROR(IF($D736="","",VLOOKUP($D736,Cadastro!$C$4:$G$7,5,FALSE)),"")</f>
        <v/>
      </c>
      <c r="J736" s="145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9">
        <v>46262</v>
      </c>
      <c r="B737" s="32">
        <f t="shared" si="197"/>
        <v>0.58333333333333304</v>
      </c>
      <c r="C737" s="33"/>
      <c r="D737" s="62"/>
      <c r="E737" s="121"/>
      <c r="F737" s="122" t="str">
        <f>IFERROR(IF($D737="","",VLOOKUP($D737,Cadastro!$C$4:$E$7,3,FALSE)),"")</f>
        <v/>
      </c>
      <c r="G737" s="114"/>
      <c r="H737" s="122" t="str">
        <f>IFERROR(IF($G737="","",$G737*$S$743/$G$743/Cadastro!$E$33),"")</f>
        <v/>
      </c>
      <c r="I737" s="129" t="str">
        <f>IFERROR(IF($D737="","",VLOOKUP($D737,Cadastro!$C$4:$G$7,5,FALSE)),"")</f>
        <v/>
      </c>
      <c r="J737" s="145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8">
        <v>46262</v>
      </c>
      <c r="B738" s="25">
        <f t="shared" si="197"/>
        <v>0.62499999999999967</v>
      </c>
      <c r="C738" s="26"/>
      <c r="D738" s="59"/>
      <c r="E738" s="120"/>
      <c r="F738" s="122" t="str">
        <f>IFERROR(IF($D738="","",VLOOKUP($D738,Cadastro!$C$4:$E$7,3,FALSE)),"")</f>
        <v/>
      </c>
      <c r="G738" s="114"/>
      <c r="H738" s="122" t="str">
        <f>IFERROR(IF($G738="","",$G738*$S$743/$G$743/Cadastro!$E$33),"")</f>
        <v/>
      </c>
      <c r="I738" s="129" t="str">
        <f>IFERROR(IF($D738="","",VLOOKUP($D738,Cadastro!$C$4:$G$7,5,FALSE)),"")</f>
        <v/>
      </c>
      <c r="J738" s="145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9">
        <v>46262</v>
      </c>
      <c r="B739" s="32">
        <f t="shared" si="197"/>
        <v>0.6666666666666663</v>
      </c>
      <c r="C739" s="33"/>
      <c r="D739" s="62"/>
      <c r="E739" s="121"/>
      <c r="F739" s="122" t="str">
        <f>IFERROR(IF($D739="","",VLOOKUP($D739,Cadastro!$C$4:$E$7,3,FALSE)),"")</f>
        <v/>
      </c>
      <c r="G739" s="114"/>
      <c r="H739" s="122" t="str">
        <f>IFERROR(IF($G739="","",$G739*$S$743/$G$743/Cadastro!$E$33),"")</f>
        <v/>
      </c>
      <c r="I739" s="129" t="str">
        <f>IFERROR(IF($D739="","",VLOOKUP($D739,Cadastro!$C$4:$G$7,5,FALSE)),"")</f>
        <v/>
      </c>
      <c r="J739" s="145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8">
        <v>46262</v>
      </c>
      <c r="B740" s="25">
        <f t="shared" si="197"/>
        <v>0.70833333333333293</v>
      </c>
      <c r="C740" s="26"/>
      <c r="D740" s="59"/>
      <c r="E740" s="120"/>
      <c r="F740" s="122" t="str">
        <f>IFERROR(IF($D740="","",VLOOKUP($D740,Cadastro!$C$4:$E$7,3,FALSE)),"")</f>
        <v/>
      </c>
      <c r="G740" s="114"/>
      <c r="H740" s="122" t="str">
        <f>IFERROR(IF($G740="","",$G740*$S$743/$G$743/Cadastro!$E$33),"")</f>
        <v/>
      </c>
      <c r="I740" s="129" t="str">
        <f>IFERROR(IF($D740="","",VLOOKUP($D740,Cadastro!$C$4:$G$7,5,FALSE)),"")</f>
        <v/>
      </c>
      <c r="J740" s="145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9">
        <v>46262</v>
      </c>
      <c r="B741" s="32">
        <f t="shared" si="197"/>
        <v>0.74999999999999956</v>
      </c>
      <c r="C741" s="33"/>
      <c r="D741" s="62"/>
      <c r="E741" s="121"/>
      <c r="F741" s="122" t="str">
        <f>IFERROR(IF($D741="","",VLOOKUP($D741,Cadastro!$C$4:$E$7,3,FALSE)),"")</f>
        <v/>
      </c>
      <c r="G741" s="114"/>
      <c r="H741" s="122" t="str">
        <f>IFERROR(IF($G741="","",$G741*$S$743/$G$743/Cadastro!$E$33),"")</f>
        <v/>
      </c>
      <c r="I741" s="129" t="str">
        <f>IFERROR(IF($D741="","",VLOOKUP($D741,Cadastro!$C$4:$G$7,5,FALSE)),"")</f>
        <v/>
      </c>
      <c r="J741" s="145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8">
        <v>46262</v>
      </c>
      <c r="B742" s="25">
        <f t="shared" si="197"/>
        <v>0.79166666666666619</v>
      </c>
      <c r="C742" s="26"/>
      <c r="D742" s="59"/>
      <c r="E742" s="120"/>
      <c r="F742" s="118" t="str">
        <f>IFERROR(IF($D742="","",VLOOKUP($D742,Cadastro!$C$4:$E$7,3,FALSE)),"")</f>
        <v/>
      </c>
      <c r="G742" s="114"/>
      <c r="H742" s="118" t="str">
        <f>IFERROR(IF($G742="","",$G742*$S$743/$G$743/Cadastro!$E$33),"")</f>
        <v/>
      </c>
      <c r="I742" s="130" t="str">
        <f>IFERROR(IF($D742="","",VLOOKUP($D742,Cadastro!$C$4:$G$7,5,FALSE)),"")</f>
        <v/>
      </c>
      <c r="J742" s="146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68" t="s">
        <v>231</v>
      </c>
      <c r="B743" s="169"/>
      <c r="C743" s="169"/>
      <c r="D743" s="169"/>
      <c r="E743" s="169">
        <f>SUM(E731:E742)</f>
        <v>0</v>
      </c>
      <c r="F743" s="123"/>
      <c r="G743" s="88">
        <f>SUM(G731:G742)</f>
        <v>0</v>
      </c>
      <c r="H743" s="123">
        <f>IFERROR(SUM(H731:H742),"")</f>
        <v>0</v>
      </c>
      <c r="I743" s="131"/>
      <c r="J743" s="147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232</v>
      </c>
      <c r="S743" s="76"/>
      <c r="T743" s="136">
        <f>IFERROR(J743,"")</f>
        <v>0</v>
      </c>
    </row>
    <row r="744" spans="1:20" ht="15" customHeight="1" x14ac:dyDescent="0.3">
      <c r="A744" s="68">
        <v>46262</v>
      </c>
      <c r="B744" s="25">
        <v>0.83333333333333304</v>
      </c>
      <c r="C744" s="26"/>
      <c r="D744" s="59"/>
      <c r="E744" s="120"/>
      <c r="F744" s="119" t="str">
        <f>IFERROR(IF($D744="","",VLOOKUP($D744,Cadastro!$C$4:$E$7,3,FALSE)),"")</f>
        <v/>
      </c>
      <c r="G744" s="114"/>
      <c r="H744" s="119" t="str">
        <f>IFERROR(IF($G744="","",$G744*$S$756/$G$756/Cadastro!$E$33),"")</f>
        <v/>
      </c>
      <c r="I744" s="132" t="str">
        <f>IFERROR(IF($D744="","",VLOOKUP($D744,Cadastro!$C$4:$G$7,5,FALSE)),"")</f>
        <v/>
      </c>
      <c r="J744" s="148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9">
        <v>46262</v>
      </c>
      <c r="B745" s="32">
        <f t="shared" ref="B745:B755" si="201">B744+TIME(0,60,0)</f>
        <v>0.87499999999999967</v>
      </c>
      <c r="C745" s="33"/>
      <c r="D745" s="62"/>
      <c r="E745" s="121"/>
      <c r="F745" s="122" t="str">
        <f>IFERROR(IF($D745="","",VLOOKUP($D745,Cadastro!$C$4:$E$7,3,FALSE)),"")</f>
        <v/>
      </c>
      <c r="G745" s="114"/>
      <c r="H745" s="122" t="str">
        <f>IFERROR(IF($G745="","",$G745*$S$756/$G$756/Cadastro!$E$33),"")</f>
        <v/>
      </c>
      <c r="I745" s="129" t="str">
        <f>IFERROR(IF($D745="","",VLOOKUP($D745,Cadastro!$C$4:$G$7,5,FALSE)),"")</f>
        <v/>
      </c>
      <c r="J745" s="145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8">
        <v>46262</v>
      </c>
      <c r="B746" s="25">
        <f t="shared" si="201"/>
        <v>0.9166666666666663</v>
      </c>
      <c r="C746" s="26"/>
      <c r="D746" s="59"/>
      <c r="E746" s="120"/>
      <c r="F746" s="122" t="str">
        <f>IFERROR(IF($D746="","",VLOOKUP($D746,Cadastro!$C$4:$E$7,3,FALSE)),"")</f>
        <v/>
      </c>
      <c r="G746" s="114"/>
      <c r="H746" s="122" t="str">
        <f>IFERROR(IF($G746="","",$G746*$S$756/$G$756/Cadastro!$E$33),"")</f>
        <v/>
      </c>
      <c r="I746" s="129" t="str">
        <f>IFERROR(IF($D746="","",VLOOKUP($D746,Cadastro!$C$4:$G$7,5,FALSE)),"")</f>
        <v/>
      </c>
      <c r="J746" s="145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9">
        <v>46262</v>
      </c>
      <c r="B747" s="32">
        <f t="shared" si="201"/>
        <v>0.95833333333333293</v>
      </c>
      <c r="C747" s="33"/>
      <c r="D747" s="62"/>
      <c r="E747" s="121"/>
      <c r="F747" s="122" t="str">
        <f>IFERROR(IF($D747="","",VLOOKUP($D747,Cadastro!$C$4:$E$7,3,FALSE)),"")</f>
        <v/>
      </c>
      <c r="G747" s="114"/>
      <c r="H747" s="122" t="str">
        <f>IFERROR(IF($G747="","",$G747*$S$756/$G$756/Cadastro!$E$33),"")</f>
        <v/>
      </c>
      <c r="I747" s="129" t="str">
        <f>IFERROR(IF($D747="","",VLOOKUP($D747,Cadastro!$C$4:$G$7,5,FALSE)),"")</f>
        <v/>
      </c>
      <c r="J747" s="145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8">
        <v>46262</v>
      </c>
      <c r="B748" s="25">
        <f t="shared" si="201"/>
        <v>0.99999999999999956</v>
      </c>
      <c r="C748" s="26"/>
      <c r="D748" s="59"/>
      <c r="E748" s="120"/>
      <c r="F748" s="122" t="str">
        <f>IFERROR(IF($D748="","",VLOOKUP($D748,Cadastro!$C$4:$E$7,3,FALSE)),"")</f>
        <v/>
      </c>
      <c r="G748" s="114"/>
      <c r="H748" s="122" t="str">
        <f>IFERROR(IF($G748="","",$G748*$S$756/$G$756/Cadastro!$E$33),"")</f>
        <v/>
      </c>
      <c r="I748" s="129" t="str">
        <f>IFERROR(IF($D748="","",VLOOKUP($D748,Cadastro!$C$4:$G$7,5,FALSE)),"")</f>
        <v/>
      </c>
      <c r="J748" s="145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9">
        <v>46262</v>
      </c>
      <c r="B749" s="32">
        <f t="shared" si="201"/>
        <v>1.0416666666666663</v>
      </c>
      <c r="C749" s="33"/>
      <c r="D749" s="62"/>
      <c r="E749" s="121"/>
      <c r="F749" s="122" t="str">
        <f>IFERROR(IF($D749="","",VLOOKUP($D749,Cadastro!$C$4:$E$7,3,FALSE)),"")</f>
        <v/>
      </c>
      <c r="G749" s="114"/>
      <c r="H749" s="122" t="str">
        <f>IFERROR(IF($G749="","",$G749*$S$756/$G$756/Cadastro!$E$33),"")</f>
        <v/>
      </c>
      <c r="I749" s="129" t="str">
        <f>IFERROR(IF($D749="","",VLOOKUP($D749,Cadastro!$C$4:$G$7,5,FALSE)),"")</f>
        <v/>
      </c>
      <c r="J749" s="145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8">
        <v>46262</v>
      </c>
      <c r="B750" s="25">
        <f t="shared" si="201"/>
        <v>1.083333333333333</v>
      </c>
      <c r="C750" s="26"/>
      <c r="D750" s="59"/>
      <c r="E750" s="120"/>
      <c r="F750" s="122" t="str">
        <f>IFERROR(IF($D750="","",VLOOKUP($D750,Cadastro!$C$4:$E$7,3,FALSE)),"")</f>
        <v/>
      </c>
      <c r="G750" s="114"/>
      <c r="H750" s="122" t="str">
        <f>IFERROR(IF($G750="","",$G750*$S$756/$G$756/Cadastro!$E$33),"")</f>
        <v/>
      </c>
      <c r="I750" s="129" t="str">
        <f>IFERROR(IF($D750="","",VLOOKUP($D750,Cadastro!$C$4:$G$7,5,FALSE)),"")</f>
        <v/>
      </c>
      <c r="J750" s="145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9">
        <v>46262</v>
      </c>
      <c r="B751" s="32">
        <f t="shared" si="201"/>
        <v>1.1249999999999998</v>
      </c>
      <c r="C751" s="33"/>
      <c r="D751" s="62"/>
      <c r="E751" s="121"/>
      <c r="F751" s="122" t="str">
        <f>IFERROR(IF($D751="","",VLOOKUP($D751,Cadastro!$C$4:$E$7,3,FALSE)),"")</f>
        <v/>
      </c>
      <c r="G751" s="114"/>
      <c r="H751" s="122" t="str">
        <f>IFERROR(IF($G751="","",$G751*$S$756/$G$756/Cadastro!$E$33),"")</f>
        <v/>
      </c>
      <c r="I751" s="129" t="str">
        <f>IFERROR(IF($D751="","",VLOOKUP($D751,Cadastro!$C$4:$G$7,5,FALSE)),"")</f>
        <v/>
      </c>
      <c r="J751" s="145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8">
        <v>46262</v>
      </c>
      <c r="B752" s="25">
        <f t="shared" si="201"/>
        <v>1.1666666666666665</v>
      </c>
      <c r="C752" s="26"/>
      <c r="D752" s="59"/>
      <c r="E752" s="120"/>
      <c r="F752" s="122" t="str">
        <f>IFERROR(IF($D752="","",VLOOKUP($D752,Cadastro!$C$4:$E$7,3,FALSE)),"")</f>
        <v/>
      </c>
      <c r="G752" s="114"/>
      <c r="H752" s="122" t="str">
        <f>IFERROR(IF($G752="","",$G752*$S$756/$G$756/Cadastro!$E$33),"")</f>
        <v/>
      </c>
      <c r="I752" s="129" t="str">
        <f>IFERROR(IF($D752="","",VLOOKUP($D752,Cadastro!$C$4:$G$7,5,FALSE)),"")</f>
        <v/>
      </c>
      <c r="J752" s="145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9">
        <v>46262</v>
      </c>
      <c r="B753" s="32">
        <f t="shared" si="201"/>
        <v>1.2083333333333333</v>
      </c>
      <c r="C753" s="33"/>
      <c r="D753" s="62"/>
      <c r="E753" s="121"/>
      <c r="F753" s="122" t="str">
        <f>IFERROR(IF($D753="","",VLOOKUP($D753,Cadastro!$C$4:$E$7,3,FALSE)),"")</f>
        <v/>
      </c>
      <c r="G753" s="114"/>
      <c r="H753" s="122" t="str">
        <f>IFERROR(IF($G753="","",$G753*$S$756/$G$756/Cadastro!$E$33),"")</f>
        <v/>
      </c>
      <c r="I753" s="129" t="str">
        <f>IFERROR(IF($D753="","",VLOOKUP($D753,Cadastro!$C$4:$G$7,5,FALSE)),"")</f>
        <v/>
      </c>
      <c r="J753" s="145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8">
        <v>46262</v>
      </c>
      <c r="B754" s="25">
        <f t="shared" si="201"/>
        <v>1.25</v>
      </c>
      <c r="C754" s="26"/>
      <c r="D754" s="59"/>
      <c r="E754" s="120"/>
      <c r="F754" s="122" t="str">
        <f>IFERROR(IF($D754="","",VLOOKUP($D754,Cadastro!$C$4:$E$7,3,FALSE)),"")</f>
        <v/>
      </c>
      <c r="G754" s="114"/>
      <c r="H754" s="122" t="str">
        <f>IFERROR(IF($G754="","",$G754*$S$756/$G$756/Cadastro!$E$33),"")</f>
        <v/>
      </c>
      <c r="I754" s="129" t="str">
        <f>IFERROR(IF($D754="","",VLOOKUP($D754,Cadastro!$C$4:$G$7,5,FALSE)),"")</f>
        <v/>
      </c>
      <c r="J754" s="145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9">
        <v>46262</v>
      </c>
      <c r="B755" s="32">
        <f t="shared" si="201"/>
        <v>1.2916666666666667</v>
      </c>
      <c r="C755" s="33"/>
      <c r="D755" s="62"/>
      <c r="E755" s="121"/>
      <c r="F755" s="118" t="str">
        <f>IFERROR(IF($D755="","",VLOOKUP($D755,Cadastro!$C$4:$E$7,3,FALSE)),"")</f>
        <v/>
      </c>
      <c r="G755" s="114"/>
      <c r="H755" s="118" t="str">
        <f>IFERROR(IF($G755="","",$G755*$S$756/$G$756/Cadastro!$E$33),"")</f>
        <v/>
      </c>
      <c r="I755" s="130" t="str">
        <f>IFERROR(IF($D755="","",VLOOKUP($D755,Cadastro!$C$4:$G$7,5,FALSE)),"")</f>
        <v/>
      </c>
      <c r="J755" s="146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68" t="s">
        <v>234</v>
      </c>
      <c r="B756" s="169"/>
      <c r="C756" s="169"/>
      <c r="D756" s="169"/>
      <c r="E756" s="169">
        <f>SUM(E744:E755)</f>
        <v>0</v>
      </c>
      <c r="F756" s="124"/>
      <c r="G756" s="88">
        <f>SUM(G744:G755)</f>
        <v>0</v>
      </c>
      <c r="H756" s="124">
        <f>IFERROR(SUM(H744:H755),"")</f>
        <v>0</v>
      </c>
      <c r="I756" s="133"/>
      <c r="J756" s="149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232</v>
      </c>
      <c r="S756" s="39"/>
      <c r="T756" s="141">
        <f>IFERROR(J756,"")</f>
        <v>0</v>
      </c>
    </row>
    <row r="757" spans="1:20" ht="18" customHeight="1" x14ac:dyDescent="0.3">
      <c r="A757" s="165" t="s">
        <v>235</v>
      </c>
      <c r="B757" s="166"/>
      <c r="C757" s="166"/>
      <c r="D757" s="166"/>
      <c r="E757" s="166">
        <f>E743+E756</f>
        <v>0</v>
      </c>
      <c r="F757" s="125"/>
      <c r="G757" s="100">
        <f>G743+G756</f>
        <v>0</v>
      </c>
      <c r="H757" s="125">
        <f>IFERROR(H743+H756,"")</f>
        <v>0</v>
      </c>
      <c r="I757" s="134"/>
      <c r="J757" s="150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236</v>
      </c>
      <c r="S757" s="82">
        <f>IFERROR(S743+S756,"")</f>
        <v>0</v>
      </c>
      <c r="T757" s="140">
        <f>IFERROR(J757,"")</f>
        <v>0</v>
      </c>
    </row>
    <row r="758" spans="1:20" ht="15" customHeight="1" x14ac:dyDescent="0.3">
      <c r="A758" s="68">
        <v>46263</v>
      </c>
      <c r="B758" s="25">
        <v>0.33333333333333298</v>
      </c>
      <c r="C758" s="26"/>
      <c r="D758" s="59"/>
      <c r="E758" s="120"/>
      <c r="F758" s="119" t="str">
        <f>IFERROR(IF($D758="","",VLOOKUP($D758,Cadastro!$C$4:$E$7,3,FALSE)),"")</f>
        <v/>
      </c>
      <c r="G758" s="114"/>
      <c r="H758" s="119" t="str">
        <f>IFERROR(IF($G758="","",$G758*$S$770/$G$770/Cadastro!$E$33),"")</f>
        <v/>
      </c>
      <c r="I758" s="132" t="str">
        <f>IFERROR(IF($D758="","",VLOOKUP($D758,Cadastro!$C$4:$G$7,5,FALSE)),"")</f>
        <v/>
      </c>
      <c r="J758" s="148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9">
        <v>46263</v>
      </c>
      <c r="B759" s="32">
        <f t="shared" ref="B759:B769" si="205">B758+TIME(0,60,0)</f>
        <v>0.37499999999999967</v>
      </c>
      <c r="C759" s="33"/>
      <c r="D759" s="62"/>
      <c r="E759" s="121"/>
      <c r="F759" s="122" t="str">
        <f>IFERROR(IF($D759="","",VLOOKUP($D759,Cadastro!$C$4:$E$7,3,FALSE)),"")</f>
        <v/>
      </c>
      <c r="G759" s="114"/>
      <c r="H759" s="122" t="str">
        <f>IFERROR(IF($G759="","",$G759*$S$770/$G$770/Cadastro!$E$33),"")</f>
        <v/>
      </c>
      <c r="I759" s="129" t="str">
        <f>IFERROR(IF($D759="","",VLOOKUP($D759,Cadastro!$C$4:$G$7,5,FALSE)),"")</f>
        <v/>
      </c>
      <c r="J759" s="145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8">
        <v>46263</v>
      </c>
      <c r="B760" s="25">
        <f t="shared" si="205"/>
        <v>0.41666666666666635</v>
      </c>
      <c r="C760" s="26"/>
      <c r="D760" s="59"/>
      <c r="E760" s="120"/>
      <c r="F760" s="122" t="str">
        <f>IFERROR(IF($D760="","",VLOOKUP($D760,Cadastro!$C$4:$E$7,3,FALSE)),"")</f>
        <v/>
      </c>
      <c r="G760" s="114"/>
      <c r="H760" s="122" t="str">
        <f>IFERROR(IF($G760="","",$G760*$S$770/$G$770/Cadastro!$E$33),"")</f>
        <v/>
      </c>
      <c r="I760" s="129" t="str">
        <f>IFERROR(IF($D760="","",VLOOKUP($D760,Cadastro!$C$4:$G$7,5,FALSE)),"")</f>
        <v/>
      </c>
      <c r="J760" s="145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9">
        <v>46263</v>
      </c>
      <c r="B761" s="32">
        <f t="shared" si="205"/>
        <v>0.45833333333333304</v>
      </c>
      <c r="C761" s="33"/>
      <c r="D761" s="62"/>
      <c r="E761" s="121"/>
      <c r="F761" s="122" t="str">
        <f>IFERROR(IF($D761="","",VLOOKUP($D761,Cadastro!$C$4:$E$7,3,FALSE)),"")</f>
        <v/>
      </c>
      <c r="G761" s="114"/>
      <c r="H761" s="122" t="str">
        <f>IFERROR(IF($G761="","",$G761*$S$770/$G$770/Cadastro!$E$33),"")</f>
        <v/>
      </c>
      <c r="I761" s="129" t="str">
        <f>IFERROR(IF($D761="","",VLOOKUP($D761,Cadastro!$C$4:$G$7,5,FALSE)),"")</f>
        <v/>
      </c>
      <c r="J761" s="145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8">
        <v>46263</v>
      </c>
      <c r="B762" s="25">
        <f t="shared" si="205"/>
        <v>0.49999999999999972</v>
      </c>
      <c r="C762" s="26"/>
      <c r="D762" s="59"/>
      <c r="E762" s="120"/>
      <c r="F762" s="122" t="str">
        <f>IFERROR(IF($D762="","",VLOOKUP($D762,Cadastro!$C$4:$E$7,3,FALSE)),"")</f>
        <v/>
      </c>
      <c r="G762" s="114"/>
      <c r="H762" s="122" t="str">
        <f>IFERROR(IF($G762="","",$G762*$S$770/$G$770/Cadastro!$E$33),"")</f>
        <v/>
      </c>
      <c r="I762" s="129" t="str">
        <f>IFERROR(IF($D762="","",VLOOKUP($D762,Cadastro!$C$4:$G$7,5,FALSE)),"")</f>
        <v/>
      </c>
      <c r="J762" s="145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9">
        <v>46263</v>
      </c>
      <c r="B763" s="32">
        <f t="shared" si="205"/>
        <v>0.54166666666666641</v>
      </c>
      <c r="C763" s="33"/>
      <c r="D763" s="62"/>
      <c r="E763" s="121"/>
      <c r="F763" s="122" t="str">
        <f>IFERROR(IF($D763="","",VLOOKUP($D763,Cadastro!$C$4:$E$7,3,FALSE)),"")</f>
        <v/>
      </c>
      <c r="G763" s="114"/>
      <c r="H763" s="122" t="str">
        <f>IFERROR(IF($G763="","",$G763*$S$770/$G$770/Cadastro!$E$33),"")</f>
        <v/>
      </c>
      <c r="I763" s="129" t="str">
        <f>IFERROR(IF($D763="","",VLOOKUP($D763,Cadastro!$C$4:$G$7,5,FALSE)),"")</f>
        <v/>
      </c>
      <c r="J763" s="145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8">
        <v>46263</v>
      </c>
      <c r="B764" s="25">
        <f t="shared" si="205"/>
        <v>0.58333333333333304</v>
      </c>
      <c r="C764" s="26"/>
      <c r="D764" s="59"/>
      <c r="E764" s="120"/>
      <c r="F764" s="122" t="str">
        <f>IFERROR(IF($D764="","",VLOOKUP($D764,Cadastro!$C$4:$E$7,3,FALSE)),"")</f>
        <v/>
      </c>
      <c r="G764" s="114"/>
      <c r="H764" s="122" t="str">
        <f>IFERROR(IF($G764="","",$G764*$S$770/$G$770/Cadastro!$E$33),"")</f>
        <v/>
      </c>
      <c r="I764" s="129" t="str">
        <f>IFERROR(IF($D764="","",VLOOKUP($D764,Cadastro!$C$4:$G$7,5,FALSE)),"")</f>
        <v/>
      </c>
      <c r="J764" s="145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9">
        <v>46263</v>
      </c>
      <c r="B765" s="32">
        <f t="shared" si="205"/>
        <v>0.62499999999999967</v>
      </c>
      <c r="C765" s="33"/>
      <c r="D765" s="62"/>
      <c r="E765" s="121"/>
      <c r="F765" s="122" t="str">
        <f>IFERROR(IF($D765="","",VLOOKUP($D765,Cadastro!$C$4:$E$7,3,FALSE)),"")</f>
        <v/>
      </c>
      <c r="G765" s="114"/>
      <c r="H765" s="122" t="str">
        <f>IFERROR(IF($G765="","",$G765*$S$770/$G$770/Cadastro!$E$33),"")</f>
        <v/>
      </c>
      <c r="I765" s="129" t="str">
        <f>IFERROR(IF($D765="","",VLOOKUP($D765,Cadastro!$C$4:$G$7,5,FALSE)),"")</f>
        <v/>
      </c>
      <c r="J765" s="145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8">
        <v>46263</v>
      </c>
      <c r="B766" s="25">
        <f t="shared" si="205"/>
        <v>0.6666666666666663</v>
      </c>
      <c r="C766" s="26"/>
      <c r="D766" s="59"/>
      <c r="E766" s="120"/>
      <c r="F766" s="122" t="str">
        <f>IFERROR(IF($D766="","",VLOOKUP($D766,Cadastro!$C$4:$E$7,3,FALSE)),"")</f>
        <v/>
      </c>
      <c r="G766" s="114"/>
      <c r="H766" s="122" t="str">
        <f>IFERROR(IF($G766="","",$G766*$S$770/$G$770/Cadastro!$E$33),"")</f>
        <v/>
      </c>
      <c r="I766" s="129" t="str">
        <f>IFERROR(IF($D766="","",VLOOKUP($D766,Cadastro!$C$4:$G$7,5,FALSE)),"")</f>
        <v/>
      </c>
      <c r="J766" s="145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9">
        <v>46263</v>
      </c>
      <c r="B767" s="32">
        <f t="shared" si="205"/>
        <v>0.70833333333333293</v>
      </c>
      <c r="C767" s="33"/>
      <c r="D767" s="62"/>
      <c r="E767" s="121"/>
      <c r="F767" s="122" t="str">
        <f>IFERROR(IF($D767="","",VLOOKUP($D767,Cadastro!$C$4:$E$7,3,FALSE)),"")</f>
        <v/>
      </c>
      <c r="G767" s="114"/>
      <c r="H767" s="122" t="str">
        <f>IFERROR(IF($G767="","",$G767*$S$770/$G$770/Cadastro!$E$33),"")</f>
        <v/>
      </c>
      <c r="I767" s="129" t="str">
        <f>IFERROR(IF($D767="","",VLOOKUP($D767,Cadastro!$C$4:$G$7,5,FALSE)),"")</f>
        <v/>
      </c>
      <c r="J767" s="145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8">
        <v>46263</v>
      </c>
      <c r="B768" s="25">
        <f t="shared" si="205"/>
        <v>0.74999999999999956</v>
      </c>
      <c r="C768" s="26"/>
      <c r="D768" s="59"/>
      <c r="E768" s="120"/>
      <c r="F768" s="122" t="str">
        <f>IFERROR(IF($D768="","",VLOOKUP($D768,Cadastro!$C$4:$E$7,3,FALSE)),"")</f>
        <v/>
      </c>
      <c r="G768" s="114"/>
      <c r="H768" s="122" t="str">
        <f>IFERROR(IF($G768="","",$G768*$S$770/$G$770/Cadastro!$E$33),"")</f>
        <v/>
      </c>
      <c r="I768" s="129" t="str">
        <f>IFERROR(IF($D768="","",VLOOKUP($D768,Cadastro!$C$4:$G$7,5,FALSE)),"")</f>
        <v/>
      </c>
      <c r="J768" s="145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9">
        <v>46263</v>
      </c>
      <c r="B769" s="32">
        <f t="shared" si="205"/>
        <v>0.79166666666666619</v>
      </c>
      <c r="C769" s="33"/>
      <c r="D769" s="62"/>
      <c r="E769" s="121"/>
      <c r="F769" s="118" t="str">
        <f>IFERROR(IF($D769="","",VLOOKUP($D769,Cadastro!$C$4:$E$7,3,FALSE)),"")</f>
        <v/>
      </c>
      <c r="G769" s="114"/>
      <c r="H769" s="118" t="str">
        <f>IFERROR(IF($G769="","",$G769*$S$770/$G$770/Cadastro!$E$33),"")</f>
        <v/>
      </c>
      <c r="I769" s="130" t="str">
        <f>IFERROR(IF($D769="","",VLOOKUP($D769,Cadastro!$C$4:$G$7,5,FALSE)),"")</f>
        <v/>
      </c>
      <c r="J769" s="146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68" t="s">
        <v>231</v>
      </c>
      <c r="B770" s="169"/>
      <c r="C770" s="169"/>
      <c r="D770" s="169"/>
      <c r="E770" s="169">
        <f>SUM(E758:E769)</f>
        <v>0</v>
      </c>
      <c r="F770" s="123"/>
      <c r="G770" s="88">
        <f>SUM(G758:G769)</f>
        <v>0</v>
      </c>
      <c r="H770" s="123">
        <f>IFERROR(SUM(H758:H769),"")</f>
        <v>0</v>
      </c>
      <c r="I770" s="131"/>
      <c r="J770" s="147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232</v>
      </c>
      <c r="S770" s="76"/>
      <c r="T770" s="136">
        <f>IFERROR(J770,"")</f>
        <v>0</v>
      </c>
    </row>
    <row r="771" spans="1:20" ht="15" customHeight="1" x14ac:dyDescent="0.3">
      <c r="A771" s="69">
        <v>46263</v>
      </c>
      <c r="B771" s="32">
        <v>0.83333333333333304</v>
      </c>
      <c r="C771" s="33"/>
      <c r="D771" s="62"/>
      <c r="E771" s="121"/>
      <c r="F771" s="119" t="str">
        <f>IFERROR(IF($D771="","",VLOOKUP($D771,Cadastro!$C$4:$E$7,3,FALSE)),"")</f>
        <v/>
      </c>
      <c r="G771" s="114"/>
      <c r="H771" s="119" t="str">
        <f>IFERROR(IF($G771="","",$G771*$S$783/$G$783/Cadastro!$E$33),"")</f>
        <v/>
      </c>
      <c r="I771" s="132" t="str">
        <f>IFERROR(IF($D771="","",VLOOKUP($D771,Cadastro!$C$4:$G$7,5,FALSE)),"")</f>
        <v/>
      </c>
      <c r="J771" s="148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8">
        <v>46263</v>
      </c>
      <c r="B772" s="25">
        <f t="shared" ref="B772:B782" si="209">B771+TIME(0,60,0)</f>
        <v>0.87499999999999967</v>
      </c>
      <c r="C772" s="26"/>
      <c r="D772" s="59"/>
      <c r="E772" s="120"/>
      <c r="F772" s="122" t="str">
        <f>IFERROR(IF($D772="","",VLOOKUP($D772,Cadastro!$C$4:$E$7,3,FALSE)),"")</f>
        <v/>
      </c>
      <c r="G772" s="114"/>
      <c r="H772" s="122" t="str">
        <f>IFERROR(IF($G772="","",$G772*$S$783/$G$783/Cadastro!$E$33),"")</f>
        <v/>
      </c>
      <c r="I772" s="129" t="str">
        <f>IFERROR(IF($D772="","",VLOOKUP($D772,Cadastro!$C$4:$G$7,5,FALSE)),"")</f>
        <v/>
      </c>
      <c r="J772" s="145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9">
        <v>46263</v>
      </c>
      <c r="B773" s="32">
        <f t="shared" si="209"/>
        <v>0.9166666666666663</v>
      </c>
      <c r="C773" s="33"/>
      <c r="D773" s="62"/>
      <c r="E773" s="121"/>
      <c r="F773" s="122" t="str">
        <f>IFERROR(IF($D773="","",VLOOKUP($D773,Cadastro!$C$4:$E$7,3,FALSE)),"")</f>
        <v/>
      </c>
      <c r="G773" s="114"/>
      <c r="H773" s="122" t="str">
        <f>IFERROR(IF($G773="","",$G773*$S$783/$G$783/Cadastro!$E$33),"")</f>
        <v/>
      </c>
      <c r="I773" s="129" t="str">
        <f>IFERROR(IF($D773="","",VLOOKUP($D773,Cadastro!$C$4:$G$7,5,FALSE)),"")</f>
        <v/>
      </c>
      <c r="J773" s="145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8">
        <v>46263</v>
      </c>
      <c r="B774" s="25">
        <f t="shared" si="209"/>
        <v>0.95833333333333293</v>
      </c>
      <c r="C774" s="26"/>
      <c r="D774" s="59"/>
      <c r="E774" s="120"/>
      <c r="F774" s="122" t="str">
        <f>IFERROR(IF($D774="","",VLOOKUP($D774,Cadastro!$C$4:$E$7,3,FALSE)),"")</f>
        <v/>
      </c>
      <c r="G774" s="114"/>
      <c r="H774" s="122" t="str">
        <f>IFERROR(IF($G774="","",$G774*$S$783/$G$783/Cadastro!$E$33),"")</f>
        <v/>
      </c>
      <c r="I774" s="129" t="str">
        <f>IFERROR(IF($D774="","",VLOOKUP($D774,Cadastro!$C$4:$G$7,5,FALSE)),"")</f>
        <v/>
      </c>
      <c r="J774" s="145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9">
        <v>46263</v>
      </c>
      <c r="B775" s="32">
        <f t="shared" si="209"/>
        <v>0.99999999999999956</v>
      </c>
      <c r="C775" s="33"/>
      <c r="D775" s="62"/>
      <c r="E775" s="121"/>
      <c r="F775" s="122" t="str">
        <f>IFERROR(IF($D775="","",VLOOKUP($D775,Cadastro!$C$4:$E$7,3,FALSE)),"")</f>
        <v/>
      </c>
      <c r="G775" s="114"/>
      <c r="H775" s="122" t="str">
        <f>IFERROR(IF($G775="","",$G775*$S$783/$G$783/Cadastro!$E$33),"")</f>
        <v/>
      </c>
      <c r="I775" s="129" t="str">
        <f>IFERROR(IF($D775="","",VLOOKUP($D775,Cadastro!$C$4:$G$7,5,FALSE)),"")</f>
        <v/>
      </c>
      <c r="J775" s="145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8">
        <v>46263</v>
      </c>
      <c r="B776" s="25">
        <f t="shared" si="209"/>
        <v>1.0416666666666663</v>
      </c>
      <c r="C776" s="26"/>
      <c r="D776" s="59"/>
      <c r="E776" s="120"/>
      <c r="F776" s="122" t="str">
        <f>IFERROR(IF($D776="","",VLOOKUP($D776,Cadastro!$C$4:$E$7,3,FALSE)),"")</f>
        <v/>
      </c>
      <c r="G776" s="114"/>
      <c r="H776" s="122" t="str">
        <f>IFERROR(IF($G776="","",$G776*$S$783/$G$783/Cadastro!$E$33),"")</f>
        <v/>
      </c>
      <c r="I776" s="129" t="str">
        <f>IFERROR(IF($D776="","",VLOOKUP($D776,Cadastro!$C$4:$G$7,5,FALSE)),"")</f>
        <v/>
      </c>
      <c r="J776" s="145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9">
        <v>46263</v>
      </c>
      <c r="B777" s="32">
        <f t="shared" si="209"/>
        <v>1.083333333333333</v>
      </c>
      <c r="C777" s="33"/>
      <c r="D777" s="62"/>
      <c r="E777" s="121"/>
      <c r="F777" s="122" t="str">
        <f>IFERROR(IF($D777="","",VLOOKUP($D777,Cadastro!$C$4:$E$7,3,FALSE)),"")</f>
        <v/>
      </c>
      <c r="G777" s="114"/>
      <c r="H777" s="122" t="str">
        <f>IFERROR(IF($G777="","",$G777*$S$783/$G$783/Cadastro!$E$33),"")</f>
        <v/>
      </c>
      <c r="I777" s="129" t="str">
        <f>IFERROR(IF($D777="","",VLOOKUP($D777,Cadastro!$C$4:$G$7,5,FALSE)),"")</f>
        <v/>
      </c>
      <c r="J777" s="145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8">
        <v>46263</v>
      </c>
      <c r="B778" s="25">
        <f t="shared" si="209"/>
        <v>1.1249999999999998</v>
      </c>
      <c r="C778" s="26"/>
      <c r="D778" s="59"/>
      <c r="E778" s="120"/>
      <c r="F778" s="122" t="str">
        <f>IFERROR(IF($D778="","",VLOOKUP($D778,Cadastro!$C$4:$E$7,3,FALSE)),"")</f>
        <v/>
      </c>
      <c r="G778" s="114"/>
      <c r="H778" s="122" t="str">
        <f>IFERROR(IF($G778="","",$G778*$S$783/$G$783/Cadastro!$E$33),"")</f>
        <v/>
      </c>
      <c r="I778" s="129" t="str">
        <f>IFERROR(IF($D778="","",VLOOKUP($D778,Cadastro!$C$4:$G$7,5,FALSE)),"")</f>
        <v/>
      </c>
      <c r="J778" s="145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9">
        <v>46263</v>
      </c>
      <c r="B779" s="32">
        <f t="shared" si="209"/>
        <v>1.1666666666666665</v>
      </c>
      <c r="C779" s="33"/>
      <c r="D779" s="62"/>
      <c r="E779" s="121"/>
      <c r="F779" s="122" t="str">
        <f>IFERROR(IF($D779="","",VLOOKUP($D779,Cadastro!$C$4:$E$7,3,FALSE)),"")</f>
        <v/>
      </c>
      <c r="G779" s="114"/>
      <c r="H779" s="122" t="str">
        <f>IFERROR(IF($G779="","",$G779*$S$783/$G$783/Cadastro!$E$33),"")</f>
        <v/>
      </c>
      <c r="I779" s="129" t="str">
        <f>IFERROR(IF($D779="","",VLOOKUP($D779,Cadastro!$C$4:$G$7,5,FALSE)),"")</f>
        <v/>
      </c>
      <c r="J779" s="145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8">
        <v>46263</v>
      </c>
      <c r="B780" s="25">
        <f t="shared" si="209"/>
        <v>1.2083333333333333</v>
      </c>
      <c r="C780" s="26"/>
      <c r="D780" s="59"/>
      <c r="E780" s="120"/>
      <c r="F780" s="122" t="str">
        <f>IFERROR(IF($D780="","",VLOOKUP($D780,Cadastro!$C$4:$E$7,3,FALSE)),"")</f>
        <v/>
      </c>
      <c r="G780" s="114"/>
      <c r="H780" s="122" t="str">
        <f>IFERROR(IF($G780="","",$G780*$S$783/$G$783/Cadastro!$E$33),"")</f>
        <v/>
      </c>
      <c r="I780" s="129" t="str">
        <f>IFERROR(IF($D780="","",VLOOKUP($D780,Cadastro!$C$4:$G$7,5,FALSE)),"")</f>
        <v/>
      </c>
      <c r="J780" s="145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9">
        <v>46263</v>
      </c>
      <c r="B781" s="32">
        <f t="shared" si="209"/>
        <v>1.25</v>
      </c>
      <c r="C781" s="33"/>
      <c r="D781" s="62"/>
      <c r="E781" s="121"/>
      <c r="F781" s="122" t="str">
        <f>IFERROR(IF($D781="","",VLOOKUP($D781,Cadastro!$C$4:$E$7,3,FALSE)),"")</f>
        <v/>
      </c>
      <c r="G781" s="114"/>
      <c r="H781" s="122" t="str">
        <f>IFERROR(IF($G781="","",$G781*$S$783/$G$783/Cadastro!$E$33),"")</f>
        <v/>
      </c>
      <c r="I781" s="129" t="str">
        <f>IFERROR(IF($D781="","",VLOOKUP($D781,Cadastro!$C$4:$G$7,5,FALSE)),"")</f>
        <v/>
      </c>
      <c r="J781" s="145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8">
        <v>46263</v>
      </c>
      <c r="B782" s="25">
        <f t="shared" si="209"/>
        <v>1.2916666666666667</v>
      </c>
      <c r="C782" s="26"/>
      <c r="D782" s="59"/>
      <c r="E782" s="120"/>
      <c r="F782" s="118" t="str">
        <f>IFERROR(IF($D782="","",VLOOKUP($D782,Cadastro!$C$4:$E$7,3,FALSE)),"")</f>
        <v/>
      </c>
      <c r="G782" s="114"/>
      <c r="H782" s="118" t="str">
        <f>IFERROR(IF($G782="","",$G782*$S$783/$G$783/Cadastro!$E$33),"")</f>
        <v/>
      </c>
      <c r="I782" s="130" t="str">
        <f>IFERROR(IF($D782="","",VLOOKUP($D782,Cadastro!$C$4:$G$7,5,FALSE)),"")</f>
        <v/>
      </c>
      <c r="J782" s="146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68" t="s">
        <v>234</v>
      </c>
      <c r="B783" s="169"/>
      <c r="C783" s="169"/>
      <c r="D783" s="169"/>
      <c r="E783" s="169">
        <f>SUM(E771:E782)</f>
        <v>0</v>
      </c>
      <c r="F783" s="124"/>
      <c r="G783" s="88">
        <f>SUM(G771:G782)</f>
        <v>0</v>
      </c>
      <c r="H783" s="124">
        <f>IFERROR(SUM(H771:H782),"")</f>
        <v>0</v>
      </c>
      <c r="I783" s="133"/>
      <c r="J783" s="149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232</v>
      </c>
      <c r="S783" s="39"/>
      <c r="T783" s="141">
        <f>IFERROR(J783,"")</f>
        <v>0</v>
      </c>
    </row>
    <row r="784" spans="1:20" ht="18" customHeight="1" x14ac:dyDescent="0.3">
      <c r="A784" s="165" t="s">
        <v>235</v>
      </c>
      <c r="B784" s="166"/>
      <c r="C784" s="166"/>
      <c r="D784" s="166"/>
      <c r="E784" s="166">
        <f>E770+E783</f>
        <v>0</v>
      </c>
      <c r="F784" s="125"/>
      <c r="G784" s="100">
        <f>G770+G783</f>
        <v>0</v>
      </c>
      <c r="H784" s="125">
        <f>IFERROR(H770+H783,"")</f>
        <v>0</v>
      </c>
      <c r="I784" s="134"/>
      <c r="J784" s="150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236</v>
      </c>
      <c r="S784" s="82">
        <f>IFERROR(S770+S783,"")</f>
        <v>0</v>
      </c>
      <c r="T784" s="140">
        <f>IFERROR(J784,"")</f>
        <v>0</v>
      </c>
    </row>
    <row r="785" spans="1:20" ht="15" customHeight="1" x14ac:dyDescent="0.3">
      <c r="A785" s="69">
        <v>46264</v>
      </c>
      <c r="B785" s="32">
        <v>0.33333333333333298</v>
      </c>
      <c r="C785" s="33"/>
      <c r="D785" s="62"/>
      <c r="E785" s="121"/>
      <c r="F785" s="119" t="str">
        <f>IFERROR(IF($D785="","",VLOOKUP($D785,Cadastro!$C$4:$E$7,3,FALSE)),"")</f>
        <v/>
      </c>
      <c r="G785" s="114"/>
      <c r="H785" s="119" t="str">
        <f>IFERROR(IF($G785="","",$G785*$S$797/$G$797/Cadastro!$E$33),"")</f>
        <v/>
      </c>
      <c r="I785" s="132" t="str">
        <f>IFERROR(IF($D785="","",VLOOKUP($D785,Cadastro!$C$4:$G$7,5,FALSE)),"")</f>
        <v/>
      </c>
      <c r="J785" s="148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8">
        <v>46264</v>
      </c>
      <c r="B786" s="25">
        <f t="shared" ref="B786:B796" si="212">B785+TIME(0,60,0)</f>
        <v>0.37499999999999967</v>
      </c>
      <c r="C786" s="26"/>
      <c r="D786" s="59"/>
      <c r="E786" s="120"/>
      <c r="F786" s="122" t="str">
        <f>IFERROR(IF($D786="","",VLOOKUP($D786,Cadastro!$C$4:$E$7,3,FALSE)),"")</f>
        <v/>
      </c>
      <c r="G786" s="114"/>
      <c r="H786" s="122" t="str">
        <f>IFERROR(IF($G786="","",$G786*$S$797/$G$797/Cadastro!$E$33),"")</f>
        <v/>
      </c>
      <c r="I786" s="129" t="str">
        <f>IFERROR(IF($D786="","",VLOOKUP($D786,Cadastro!$C$4:$G$7,5,FALSE)),"")</f>
        <v/>
      </c>
      <c r="J786" s="145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9">
        <v>46264</v>
      </c>
      <c r="B787" s="32">
        <f t="shared" si="212"/>
        <v>0.41666666666666635</v>
      </c>
      <c r="C787" s="33"/>
      <c r="D787" s="62"/>
      <c r="E787" s="121"/>
      <c r="F787" s="122" t="str">
        <f>IFERROR(IF($D787="","",VLOOKUP($D787,Cadastro!$C$4:$E$7,3,FALSE)),"")</f>
        <v/>
      </c>
      <c r="G787" s="114"/>
      <c r="H787" s="122" t="str">
        <f>IFERROR(IF($G787="","",$G787*$S$797/$G$797/Cadastro!$E$33),"")</f>
        <v/>
      </c>
      <c r="I787" s="129" t="str">
        <f>IFERROR(IF($D787="","",VLOOKUP($D787,Cadastro!$C$4:$G$7,5,FALSE)),"")</f>
        <v/>
      </c>
      <c r="J787" s="145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8">
        <v>46264</v>
      </c>
      <c r="B788" s="25">
        <f t="shared" si="212"/>
        <v>0.45833333333333304</v>
      </c>
      <c r="C788" s="26"/>
      <c r="D788" s="59"/>
      <c r="E788" s="120"/>
      <c r="F788" s="122" t="str">
        <f>IFERROR(IF($D788="","",VLOOKUP($D788,Cadastro!$C$4:$E$7,3,FALSE)),"")</f>
        <v/>
      </c>
      <c r="G788" s="114"/>
      <c r="H788" s="122" t="str">
        <f>IFERROR(IF($G788="","",$G788*$S$797/$G$797/Cadastro!$E$33),"")</f>
        <v/>
      </c>
      <c r="I788" s="129" t="str">
        <f>IFERROR(IF($D788="","",VLOOKUP($D788,Cadastro!$C$4:$G$7,5,FALSE)),"")</f>
        <v/>
      </c>
      <c r="J788" s="145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9">
        <v>46264</v>
      </c>
      <c r="B789" s="32">
        <f t="shared" si="212"/>
        <v>0.49999999999999972</v>
      </c>
      <c r="C789" s="33"/>
      <c r="D789" s="62"/>
      <c r="E789" s="121"/>
      <c r="F789" s="122" t="str">
        <f>IFERROR(IF($D789="","",VLOOKUP($D789,Cadastro!$C$4:$E$7,3,FALSE)),"")</f>
        <v/>
      </c>
      <c r="G789" s="114"/>
      <c r="H789" s="122" t="str">
        <f>IFERROR(IF($G789="","",$G789*$S$797/$G$797/Cadastro!$E$33),"")</f>
        <v/>
      </c>
      <c r="I789" s="129" t="str">
        <f>IFERROR(IF($D789="","",VLOOKUP($D789,Cadastro!$C$4:$G$7,5,FALSE)),"")</f>
        <v/>
      </c>
      <c r="J789" s="145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8">
        <v>46264</v>
      </c>
      <c r="B790" s="25">
        <f t="shared" si="212"/>
        <v>0.54166666666666641</v>
      </c>
      <c r="C790" s="26"/>
      <c r="D790" s="59"/>
      <c r="E790" s="120"/>
      <c r="F790" s="122" t="str">
        <f>IFERROR(IF($D790="","",VLOOKUP($D790,Cadastro!$C$4:$E$7,3,FALSE)),"")</f>
        <v/>
      </c>
      <c r="G790" s="114"/>
      <c r="H790" s="122" t="str">
        <f>IFERROR(IF($G790="","",$G790*$S$797/$G$797/Cadastro!$E$33),"")</f>
        <v/>
      </c>
      <c r="I790" s="129" t="str">
        <f>IFERROR(IF($D790="","",VLOOKUP($D790,Cadastro!$C$4:$G$7,5,FALSE)),"")</f>
        <v/>
      </c>
      <c r="J790" s="145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9">
        <v>46264</v>
      </c>
      <c r="B791" s="32">
        <f t="shared" si="212"/>
        <v>0.58333333333333304</v>
      </c>
      <c r="C791" s="33"/>
      <c r="D791" s="62"/>
      <c r="E791" s="121"/>
      <c r="F791" s="122" t="str">
        <f>IFERROR(IF($D791="","",VLOOKUP($D791,Cadastro!$C$4:$E$7,3,FALSE)),"")</f>
        <v/>
      </c>
      <c r="G791" s="114"/>
      <c r="H791" s="122" t="str">
        <f>IFERROR(IF($G791="","",$G791*$S$797/$G$797/Cadastro!$E$33),"")</f>
        <v/>
      </c>
      <c r="I791" s="129" t="str">
        <f>IFERROR(IF($D791="","",VLOOKUP($D791,Cadastro!$C$4:$G$7,5,FALSE)),"")</f>
        <v/>
      </c>
      <c r="J791" s="145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8">
        <v>46264</v>
      </c>
      <c r="B792" s="25">
        <f t="shared" si="212"/>
        <v>0.62499999999999967</v>
      </c>
      <c r="C792" s="26"/>
      <c r="D792" s="59"/>
      <c r="E792" s="120"/>
      <c r="F792" s="122" t="str">
        <f>IFERROR(IF($D792="","",VLOOKUP($D792,Cadastro!$C$4:$E$7,3,FALSE)),"")</f>
        <v/>
      </c>
      <c r="G792" s="114"/>
      <c r="H792" s="122" t="str">
        <f>IFERROR(IF($G792="","",$G792*$S$797/$G$797/Cadastro!$E$33),"")</f>
        <v/>
      </c>
      <c r="I792" s="129" t="str">
        <f>IFERROR(IF($D792="","",VLOOKUP($D792,Cadastro!$C$4:$G$7,5,FALSE)),"")</f>
        <v/>
      </c>
      <c r="J792" s="145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9">
        <v>46264</v>
      </c>
      <c r="B793" s="32">
        <f t="shared" si="212"/>
        <v>0.6666666666666663</v>
      </c>
      <c r="C793" s="33"/>
      <c r="D793" s="62"/>
      <c r="E793" s="121"/>
      <c r="F793" s="122" t="str">
        <f>IFERROR(IF($D793="","",VLOOKUP($D793,Cadastro!$C$4:$E$7,3,FALSE)),"")</f>
        <v/>
      </c>
      <c r="G793" s="114"/>
      <c r="H793" s="122" t="str">
        <f>IFERROR(IF($G793="","",$G793*$S$797/$G$797/Cadastro!$E$33),"")</f>
        <v/>
      </c>
      <c r="I793" s="129" t="str">
        <f>IFERROR(IF($D793="","",VLOOKUP($D793,Cadastro!$C$4:$G$7,5,FALSE)),"")</f>
        <v/>
      </c>
      <c r="J793" s="145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8">
        <v>46264</v>
      </c>
      <c r="B794" s="25">
        <f t="shared" si="212"/>
        <v>0.70833333333333293</v>
      </c>
      <c r="C794" s="26"/>
      <c r="D794" s="59"/>
      <c r="E794" s="120"/>
      <c r="F794" s="122" t="str">
        <f>IFERROR(IF($D794="","",VLOOKUP($D794,Cadastro!$C$4:$E$7,3,FALSE)),"")</f>
        <v/>
      </c>
      <c r="G794" s="114"/>
      <c r="H794" s="122" t="str">
        <f>IFERROR(IF($G794="","",$G794*$S$797/$G$797/Cadastro!$E$33),"")</f>
        <v/>
      </c>
      <c r="I794" s="129" t="str">
        <f>IFERROR(IF($D794="","",VLOOKUP($D794,Cadastro!$C$4:$G$7,5,FALSE)),"")</f>
        <v/>
      </c>
      <c r="J794" s="145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9">
        <v>46264</v>
      </c>
      <c r="B795" s="32">
        <f t="shared" si="212"/>
        <v>0.74999999999999956</v>
      </c>
      <c r="C795" s="33"/>
      <c r="D795" s="62"/>
      <c r="E795" s="121"/>
      <c r="F795" s="122" t="str">
        <f>IFERROR(IF($D795="","",VLOOKUP($D795,Cadastro!$C$4:$E$7,3,FALSE)),"")</f>
        <v/>
      </c>
      <c r="G795" s="114"/>
      <c r="H795" s="122" t="str">
        <f>IFERROR(IF($G795="","",$G795*$S$797/$G$797/Cadastro!$E$33),"")</f>
        <v/>
      </c>
      <c r="I795" s="129" t="str">
        <f>IFERROR(IF($D795="","",VLOOKUP($D795,Cadastro!$C$4:$G$7,5,FALSE)),"")</f>
        <v/>
      </c>
      <c r="J795" s="145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8">
        <v>46264</v>
      </c>
      <c r="B796" s="25">
        <f t="shared" si="212"/>
        <v>0.79166666666666619</v>
      </c>
      <c r="C796" s="26"/>
      <c r="D796" s="59"/>
      <c r="E796" s="120"/>
      <c r="F796" s="118" t="str">
        <f>IFERROR(IF($D796="","",VLOOKUP($D796,Cadastro!$C$4:$E$7,3,FALSE)),"")</f>
        <v/>
      </c>
      <c r="G796" s="114"/>
      <c r="H796" s="118" t="str">
        <f>IFERROR(IF($G796="","",$G796*$S$797/$G$797/Cadastro!$E$33),"")</f>
        <v/>
      </c>
      <c r="I796" s="130" t="str">
        <f>IFERROR(IF($D796="","",VLOOKUP($D796,Cadastro!$C$4:$G$7,5,FALSE)),"")</f>
        <v/>
      </c>
      <c r="J796" s="146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68" t="s">
        <v>231</v>
      </c>
      <c r="B797" s="169"/>
      <c r="C797" s="169"/>
      <c r="D797" s="169"/>
      <c r="E797" s="169">
        <f>SUM(E785:E796)</f>
        <v>0</v>
      </c>
      <c r="F797" s="123"/>
      <c r="G797" s="88">
        <f>SUM(G785:G796)</f>
        <v>0</v>
      </c>
      <c r="H797" s="123">
        <f>IFERROR(SUM(H785:H796),"")</f>
        <v>0</v>
      </c>
      <c r="I797" s="131"/>
      <c r="J797" s="147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232</v>
      </c>
      <c r="S797" s="76"/>
      <c r="T797" s="136">
        <f>IFERROR(J797,"")</f>
        <v>0</v>
      </c>
    </row>
    <row r="798" spans="1:20" ht="15" customHeight="1" x14ac:dyDescent="0.3">
      <c r="A798" s="68">
        <v>46264</v>
      </c>
      <c r="B798" s="25">
        <v>0.83333333333333304</v>
      </c>
      <c r="C798" s="26"/>
      <c r="D798" s="59"/>
      <c r="E798" s="120"/>
      <c r="F798" s="119" t="str">
        <f>IFERROR(IF($D798="","",VLOOKUP($D798,Cadastro!$C$4:$E$7,3,FALSE)),"")</f>
        <v/>
      </c>
      <c r="G798" s="114"/>
      <c r="H798" s="119" t="str">
        <f>IFERROR(IF($G798="","",$G798*$S$810/$G$810/Cadastro!$E$33),"")</f>
        <v/>
      </c>
      <c r="I798" s="132" t="str">
        <f>IFERROR(IF($D798="","",VLOOKUP($D798,Cadastro!$C$4:$G$7,5,FALSE)),"")</f>
        <v/>
      </c>
      <c r="J798" s="148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9">
        <v>46264</v>
      </c>
      <c r="B799" s="32">
        <f t="shared" ref="B799:B809" si="215">B798+TIME(0,60,0)</f>
        <v>0.87499999999999967</v>
      </c>
      <c r="C799" s="33"/>
      <c r="D799" s="62"/>
      <c r="E799" s="121"/>
      <c r="F799" s="122" t="str">
        <f>IFERROR(IF($D799="","",VLOOKUP($D799,Cadastro!$C$4:$E$7,3,FALSE)),"")</f>
        <v/>
      </c>
      <c r="G799" s="114"/>
      <c r="H799" s="122" t="str">
        <f>IFERROR(IF($G799="","",$G799*$S$810/$G$810/Cadastro!$E$33),"")</f>
        <v/>
      </c>
      <c r="I799" s="129" t="str">
        <f>IFERROR(IF($D799="","",VLOOKUP($D799,Cadastro!$C$4:$G$7,5,FALSE)),"")</f>
        <v/>
      </c>
      <c r="J799" s="145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8">
        <v>46264</v>
      </c>
      <c r="B800" s="25">
        <f t="shared" si="215"/>
        <v>0.9166666666666663</v>
      </c>
      <c r="C800" s="26"/>
      <c r="D800" s="59"/>
      <c r="E800" s="120"/>
      <c r="F800" s="122" t="str">
        <f>IFERROR(IF($D800="","",VLOOKUP($D800,Cadastro!$C$4:$E$7,3,FALSE)),"")</f>
        <v/>
      </c>
      <c r="G800" s="114"/>
      <c r="H800" s="122" t="str">
        <f>IFERROR(IF($G800="","",$G800*$S$810/$G$810/Cadastro!$E$33),"")</f>
        <v/>
      </c>
      <c r="I800" s="129" t="str">
        <f>IFERROR(IF($D800="","",VLOOKUP($D800,Cadastro!$C$4:$G$7,5,FALSE)),"")</f>
        <v/>
      </c>
      <c r="J800" s="145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9">
        <v>46264</v>
      </c>
      <c r="B801" s="32">
        <f t="shared" si="215"/>
        <v>0.95833333333333293</v>
      </c>
      <c r="C801" s="33"/>
      <c r="D801" s="62"/>
      <c r="E801" s="121"/>
      <c r="F801" s="122" t="str">
        <f>IFERROR(IF($D801="","",VLOOKUP($D801,Cadastro!$C$4:$E$7,3,FALSE)),"")</f>
        <v/>
      </c>
      <c r="G801" s="114"/>
      <c r="H801" s="122" t="str">
        <f>IFERROR(IF($G801="","",$G801*$S$810/$G$810/Cadastro!$E$33),"")</f>
        <v/>
      </c>
      <c r="I801" s="129" t="str">
        <f>IFERROR(IF($D801="","",VLOOKUP($D801,Cadastro!$C$4:$G$7,5,FALSE)),"")</f>
        <v/>
      </c>
      <c r="J801" s="145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8">
        <v>46264</v>
      </c>
      <c r="B802" s="25">
        <f t="shared" si="215"/>
        <v>0.99999999999999956</v>
      </c>
      <c r="C802" s="26"/>
      <c r="D802" s="59"/>
      <c r="E802" s="120"/>
      <c r="F802" s="122" t="str">
        <f>IFERROR(IF($D802="","",VLOOKUP($D802,Cadastro!$C$4:$E$7,3,FALSE)),"")</f>
        <v/>
      </c>
      <c r="G802" s="114"/>
      <c r="H802" s="122" t="str">
        <f>IFERROR(IF($G802="","",$G802*$S$810/$G$810/Cadastro!$E$33),"")</f>
        <v/>
      </c>
      <c r="I802" s="129" t="str">
        <f>IFERROR(IF($D802="","",VLOOKUP($D802,Cadastro!$C$4:$G$7,5,FALSE)),"")</f>
        <v/>
      </c>
      <c r="J802" s="145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9">
        <v>46264</v>
      </c>
      <c r="B803" s="32">
        <f t="shared" si="215"/>
        <v>1.0416666666666663</v>
      </c>
      <c r="C803" s="33"/>
      <c r="D803" s="62"/>
      <c r="E803" s="121"/>
      <c r="F803" s="122" t="str">
        <f>IFERROR(IF($D803="","",VLOOKUP($D803,Cadastro!$C$4:$E$7,3,FALSE)),"")</f>
        <v/>
      </c>
      <c r="G803" s="114"/>
      <c r="H803" s="122" t="str">
        <f>IFERROR(IF($G803="","",$G803*$S$810/$G$810/Cadastro!$E$33),"")</f>
        <v/>
      </c>
      <c r="I803" s="129" t="str">
        <f>IFERROR(IF($D803="","",VLOOKUP($D803,Cadastro!$C$4:$G$7,5,FALSE)),"")</f>
        <v/>
      </c>
      <c r="J803" s="145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8">
        <v>46264</v>
      </c>
      <c r="B804" s="25">
        <f t="shared" si="215"/>
        <v>1.083333333333333</v>
      </c>
      <c r="C804" s="26"/>
      <c r="D804" s="59"/>
      <c r="E804" s="120"/>
      <c r="F804" s="122" t="str">
        <f>IFERROR(IF($D804="","",VLOOKUP($D804,Cadastro!$C$4:$E$7,3,FALSE)),"")</f>
        <v/>
      </c>
      <c r="G804" s="114"/>
      <c r="H804" s="122" t="str">
        <f>IFERROR(IF($G804="","",$G804*$S$810/$G$810/Cadastro!$E$33),"")</f>
        <v/>
      </c>
      <c r="I804" s="129" t="str">
        <f>IFERROR(IF($D804="","",VLOOKUP($D804,Cadastro!$C$4:$G$7,5,FALSE)),"")</f>
        <v/>
      </c>
      <c r="J804" s="145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9">
        <v>46264</v>
      </c>
      <c r="B805" s="32">
        <f t="shared" si="215"/>
        <v>1.1249999999999998</v>
      </c>
      <c r="C805" s="33"/>
      <c r="D805" s="62"/>
      <c r="E805" s="121"/>
      <c r="F805" s="122" t="str">
        <f>IFERROR(IF($D805="","",VLOOKUP($D805,Cadastro!$C$4:$E$7,3,FALSE)),"")</f>
        <v/>
      </c>
      <c r="G805" s="114"/>
      <c r="H805" s="122" t="str">
        <f>IFERROR(IF($G805="","",$G805*$S$810/$G$810/Cadastro!$E$33),"")</f>
        <v/>
      </c>
      <c r="I805" s="129" t="str">
        <f>IFERROR(IF($D805="","",VLOOKUP($D805,Cadastro!$C$4:$G$7,5,FALSE)),"")</f>
        <v/>
      </c>
      <c r="J805" s="145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8">
        <v>46264</v>
      </c>
      <c r="B806" s="25">
        <f t="shared" si="215"/>
        <v>1.1666666666666665</v>
      </c>
      <c r="C806" s="26"/>
      <c r="D806" s="59"/>
      <c r="E806" s="120"/>
      <c r="F806" s="122" t="str">
        <f>IFERROR(IF($D806="","",VLOOKUP($D806,Cadastro!$C$4:$E$7,3,FALSE)),"")</f>
        <v/>
      </c>
      <c r="G806" s="114"/>
      <c r="H806" s="122" t="str">
        <f>IFERROR(IF($G806="","",$G806*$S$810/$G$810/Cadastro!$E$33),"")</f>
        <v/>
      </c>
      <c r="I806" s="129" t="str">
        <f>IFERROR(IF($D806="","",VLOOKUP($D806,Cadastro!$C$4:$G$7,5,FALSE)),"")</f>
        <v/>
      </c>
      <c r="J806" s="145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9">
        <v>46264</v>
      </c>
      <c r="B807" s="32">
        <f t="shared" si="215"/>
        <v>1.2083333333333333</v>
      </c>
      <c r="C807" s="33"/>
      <c r="D807" s="62"/>
      <c r="E807" s="121"/>
      <c r="F807" s="122" t="str">
        <f>IFERROR(IF($D807="","",VLOOKUP($D807,Cadastro!$C$4:$E$7,3,FALSE)),"")</f>
        <v/>
      </c>
      <c r="G807" s="114"/>
      <c r="H807" s="122" t="str">
        <f>IFERROR(IF($G807="","",$G807*$S$810/$G$810/Cadastro!$E$33),"")</f>
        <v/>
      </c>
      <c r="I807" s="129" t="str">
        <f>IFERROR(IF($D807="","",VLOOKUP($D807,Cadastro!$C$4:$G$7,5,FALSE)),"")</f>
        <v/>
      </c>
      <c r="J807" s="145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8">
        <v>46264</v>
      </c>
      <c r="B808" s="25">
        <f t="shared" si="215"/>
        <v>1.25</v>
      </c>
      <c r="C808" s="26"/>
      <c r="D808" s="59"/>
      <c r="E808" s="120"/>
      <c r="F808" s="122" t="str">
        <f>IFERROR(IF($D808="","",VLOOKUP($D808,Cadastro!$C$4:$E$7,3,FALSE)),"")</f>
        <v/>
      </c>
      <c r="G808" s="114"/>
      <c r="H808" s="122" t="str">
        <f>IFERROR(IF($G808="","",$G808*$S$810/$G$810/Cadastro!$E$33),"")</f>
        <v/>
      </c>
      <c r="I808" s="129" t="str">
        <f>IFERROR(IF($D808="","",VLOOKUP($D808,Cadastro!$C$4:$G$7,5,FALSE)),"")</f>
        <v/>
      </c>
      <c r="J808" s="145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9">
        <v>46264</v>
      </c>
      <c r="B809" s="32">
        <f t="shared" si="215"/>
        <v>1.2916666666666667</v>
      </c>
      <c r="C809" s="33"/>
      <c r="D809" s="62"/>
      <c r="E809" s="121"/>
      <c r="F809" s="118" t="str">
        <f>IFERROR(IF($D809="","",VLOOKUP($D809,Cadastro!$C$4:$E$7,3,FALSE)),"")</f>
        <v/>
      </c>
      <c r="G809" s="114"/>
      <c r="H809" s="118" t="str">
        <f>IFERROR(IF($G809="","",$G809*$S$810/$G$810/Cadastro!$E$33),"")</f>
        <v/>
      </c>
      <c r="I809" s="130" t="str">
        <f>IFERROR(IF($D809="","",VLOOKUP($D809,Cadastro!$C$4:$G$7,5,FALSE)),"")</f>
        <v/>
      </c>
      <c r="J809" s="146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68" t="s">
        <v>234</v>
      </c>
      <c r="B810" s="169"/>
      <c r="C810" s="169"/>
      <c r="D810" s="169"/>
      <c r="E810" s="169">
        <f>SUM(E798:E809)</f>
        <v>0</v>
      </c>
      <c r="F810" s="124"/>
      <c r="G810" s="88">
        <f>SUM(G798:G809)</f>
        <v>0</v>
      </c>
      <c r="H810" s="124">
        <f>IFERROR(SUM(H798:H809),"")</f>
        <v>0</v>
      </c>
      <c r="I810" s="133"/>
      <c r="J810" s="149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232</v>
      </c>
      <c r="S810" s="39"/>
      <c r="T810" s="141">
        <f>IFERROR(J810,"")</f>
        <v>0</v>
      </c>
    </row>
    <row r="811" spans="1:20" ht="18" customHeight="1" x14ac:dyDescent="0.3">
      <c r="A811" s="165" t="s">
        <v>235</v>
      </c>
      <c r="B811" s="166"/>
      <c r="C811" s="166"/>
      <c r="D811" s="166"/>
      <c r="E811" s="166">
        <f>E797+E810</f>
        <v>0</v>
      </c>
      <c r="F811" s="125"/>
      <c r="G811" s="100">
        <f>G797+G810</f>
        <v>0</v>
      </c>
      <c r="H811" s="125">
        <f>IFERROR(H797+H810,"")</f>
        <v>0</v>
      </c>
      <c r="I811" s="134"/>
      <c r="J811" s="150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236</v>
      </c>
      <c r="S811" s="81">
        <f>IFERROR(S797+S810,"")</f>
        <v>0</v>
      </c>
      <c r="T811" s="137">
        <f>IFERROR(J811,"")</f>
        <v>0</v>
      </c>
    </row>
    <row r="812" spans="1:20" ht="15" customHeight="1" x14ac:dyDescent="0.3">
      <c r="A812" s="68">
        <v>46265</v>
      </c>
      <c r="B812" s="25">
        <v>0.33333333333333298</v>
      </c>
      <c r="C812" s="26"/>
      <c r="D812" s="59"/>
      <c r="E812" s="120"/>
      <c r="F812" s="119" t="str">
        <f>IFERROR(IF($D812="","",VLOOKUP($D812,Cadastro!$C$4:$E$7,3,FALSE)),"")</f>
        <v/>
      </c>
      <c r="G812" s="114"/>
      <c r="H812" s="119" t="str">
        <f>IFERROR(IF($G812="","",$G812*$S$824/$G$824/Cadastro!$E$33),"")</f>
        <v/>
      </c>
      <c r="I812" s="132" t="str">
        <f>IFERROR(IF($D812="","",VLOOKUP($D812,Cadastro!$C$4:$G$7,5,FALSE)),"")</f>
        <v/>
      </c>
      <c r="J812" s="148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78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9">
        <v>46265</v>
      </c>
      <c r="B813" s="32">
        <f t="shared" ref="B813:B823" si="220">B812+TIME(0,60,0)</f>
        <v>0.37499999999999967</v>
      </c>
      <c r="C813" s="26"/>
      <c r="D813" s="59"/>
      <c r="E813" s="120"/>
      <c r="F813" s="122" t="str">
        <f>IFERROR(IF($D813="","",VLOOKUP($D813,Cadastro!$C$4:$E$7,3,FALSE)),"")</f>
        <v/>
      </c>
      <c r="G813" s="114"/>
      <c r="H813" s="122" t="str">
        <f>IFERROR(IF($G813="","",$G813*$S$824/$G$824/Cadastro!$E$33),"")</f>
        <v/>
      </c>
      <c r="I813" s="129" t="str">
        <f>IFERROR(IF($D813="","",VLOOKUP($D813,Cadastro!$C$4:$G$7,5,FALSE)),"")</f>
        <v/>
      </c>
      <c r="J813" s="145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8">
        <v>46265</v>
      </c>
      <c r="B814" s="25">
        <f t="shared" si="220"/>
        <v>0.41666666666666635</v>
      </c>
      <c r="C814" s="26"/>
      <c r="D814" s="59"/>
      <c r="E814" s="120"/>
      <c r="F814" s="122" t="str">
        <f>IFERROR(IF($D814="","",VLOOKUP($D814,Cadastro!$C$4:$E$7,3,FALSE)),"")</f>
        <v/>
      </c>
      <c r="G814" s="114"/>
      <c r="H814" s="122" t="str">
        <f>IFERROR(IF($G814="","",$G814*$S$824/$G$824/Cadastro!$E$33),"")</f>
        <v/>
      </c>
      <c r="I814" s="129" t="str">
        <f>IFERROR(IF($D814="","",VLOOKUP($D814,Cadastro!$C$4:$G$7,5,FALSE)),"")</f>
        <v/>
      </c>
      <c r="J814" s="145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9">
        <v>46265</v>
      </c>
      <c r="B815" s="32">
        <f t="shared" si="220"/>
        <v>0.45833333333333304</v>
      </c>
      <c r="C815" s="26"/>
      <c r="D815" s="59"/>
      <c r="E815" s="120"/>
      <c r="F815" s="122" t="str">
        <f>IFERROR(IF($D815="","",VLOOKUP($D815,Cadastro!$C$4:$E$7,3,FALSE)),"")</f>
        <v/>
      </c>
      <c r="G815" s="114"/>
      <c r="H815" s="122" t="str">
        <f>IFERROR(IF($G815="","",$G815*$S$824/$G$824/Cadastro!$E$33),"")</f>
        <v/>
      </c>
      <c r="I815" s="129" t="str">
        <f>IFERROR(IF($D815="","",VLOOKUP($D815,Cadastro!$C$4:$G$7,5,FALSE)),"")</f>
        <v/>
      </c>
      <c r="J815" s="145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8">
        <v>46265</v>
      </c>
      <c r="B816" s="25">
        <f t="shared" si="220"/>
        <v>0.49999999999999972</v>
      </c>
      <c r="C816" s="26"/>
      <c r="D816" s="59"/>
      <c r="E816" s="120"/>
      <c r="F816" s="122" t="str">
        <f>IFERROR(IF($D816="","",VLOOKUP($D816,Cadastro!$C$4:$E$7,3,FALSE)),"")</f>
        <v/>
      </c>
      <c r="G816" s="114"/>
      <c r="H816" s="122" t="str">
        <f>IFERROR(IF($G816="","",$G816*$S$824/$G$824/Cadastro!$E$33),"")</f>
        <v/>
      </c>
      <c r="I816" s="129" t="str">
        <f>IFERROR(IF($D816="","",VLOOKUP($D816,Cadastro!$C$4:$G$7,5,FALSE)),"")</f>
        <v/>
      </c>
      <c r="J816" s="145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9">
        <v>46265</v>
      </c>
      <c r="B817" s="32">
        <f t="shared" si="220"/>
        <v>0.54166666666666641</v>
      </c>
      <c r="C817" s="26"/>
      <c r="D817" s="59"/>
      <c r="E817" s="120"/>
      <c r="F817" s="122" t="str">
        <f>IFERROR(IF($D817="","",VLOOKUP($D817,Cadastro!$C$4:$E$7,3,FALSE)),"")</f>
        <v/>
      </c>
      <c r="G817" s="114"/>
      <c r="H817" s="122" t="str">
        <f>IFERROR(IF($G817="","",$G817*$S$824/$G$824/Cadastro!$E$33),"")</f>
        <v/>
      </c>
      <c r="I817" s="129" t="str">
        <f>IFERROR(IF($D817="","",VLOOKUP($D817,Cadastro!$C$4:$G$7,5,FALSE)),"")</f>
        <v/>
      </c>
      <c r="J817" s="145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8">
        <v>46265</v>
      </c>
      <c r="B818" s="25">
        <f t="shared" si="220"/>
        <v>0.58333333333333304</v>
      </c>
      <c r="C818" s="26"/>
      <c r="D818" s="59"/>
      <c r="E818" s="120"/>
      <c r="F818" s="122" t="str">
        <f>IFERROR(IF($D818="","",VLOOKUP($D818,Cadastro!$C$4:$E$7,3,FALSE)),"")</f>
        <v/>
      </c>
      <c r="G818" s="114"/>
      <c r="H818" s="122" t="str">
        <f>IFERROR(IF($G818="","",$G818*$S$824/$G$824/Cadastro!$E$33),"")</f>
        <v/>
      </c>
      <c r="I818" s="129" t="str">
        <f>IFERROR(IF($D818="","",VLOOKUP($D818,Cadastro!$C$4:$G$7,5,FALSE)),"")</f>
        <v/>
      </c>
      <c r="J818" s="145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9">
        <v>46265</v>
      </c>
      <c r="B819" s="32">
        <f t="shared" si="220"/>
        <v>0.62499999999999967</v>
      </c>
      <c r="C819" s="26"/>
      <c r="D819" s="59"/>
      <c r="E819" s="120"/>
      <c r="F819" s="122" t="str">
        <f>IFERROR(IF($D819="","",VLOOKUP($D819,Cadastro!$C$4:$E$7,3,FALSE)),"")</f>
        <v/>
      </c>
      <c r="G819" s="114"/>
      <c r="H819" s="122" t="str">
        <f>IFERROR(IF($G819="","",$G819*$S$824/$G$824/Cadastro!$E$33),"")</f>
        <v/>
      </c>
      <c r="I819" s="129" t="str">
        <f>IFERROR(IF($D819="","",VLOOKUP($D819,Cadastro!$C$4:$G$7,5,FALSE)),"")</f>
        <v/>
      </c>
      <c r="J819" s="145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8">
        <v>46265</v>
      </c>
      <c r="B820" s="25">
        <f t="shared" si="220"/>
        <v>0.6666666666666663</v>
      </c>
      <c r="C820" s="26"/>
      <c r="D820" s="59"/>
      <c r="E820" s="120"/>
      <c r="F820" s="122" t="str">
        <f>IFERROR(IF($D820="","",VLOOKUP($D820,Cadastro!$C$4:$E$7,3,FALSE)),"")</f>
        <v/>
      </c>
      <c r="G820" s="114"/>
      <c r="H820" s="122" t="str">
        <f>IFERROR(IF($G820="","",$G820*$S$824/$G$824/Cadastro!$E$33),"")</f>
        <v/>
      </c>
      <c r="I820" s="129" t="str">
        <f>IFERROR(IF($D820="","",VLOOKUP($D820,Cadastro!$C$4:$G$7,5,FALSE)),"")</f>
        <v/>
      </c>
      <c r="J820" s="145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9">
        <v>46265</v>
      </c>
      <c r="B821" s="32">
        <f t="shared" si="220"/>
        <v>0.70833333333333293</v>
      </c>
      <c r="C821" s="26"/>
      <c r="D821" s="59"/>
      <c r="E821" s="120"/>
      <c r="F821" s="122" t="str">
        <f>IFERROR(IF($D821="","",VLOOKUP($D821,Cadastro!$C$4:$E$7,3,FALSE)),"")</f>
        <v/>
      </c>
      <c r="G821" s="114"/>
      <c r="H821" s="122" t="str">
        <f>IFERROR(IF($G821="","",$G821*$S$824/$G$824/Cadastro!$E$33),"")</f>
        <v/>
      </c>
      <c r="I821" s="129" t="str">
        <f>IFERROR(IF($D821="","",VLOOKUP($D821,Cadastro!$C$4:$G$7,5,FALSE)),"")</f>
        <v/>
      </c>
      <c r="J821" s="145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8">
        <v>46265</v>
      </c>
      <c r="B822" s="25">
        <f t="shared" si="220"/>
        <v>0.74999999999999956</v>
      </c>
      <c r="C822" s="26"/>
      <c r="D822" s="59"/>
      <c r="E822" s="120"/>
      <c r="F822" s="122" t="str">
        <f>IFERROR(IF($D822="","",VLOOKUP($D822,Cadastro!$C$4:$E$7,3,FALSE)),"")</f>
        <v/>
      </c>
      <c r="G822" s="114"/>
      <c r="H822" s="122" t="str">
        <f>IFERROR(IF($G822="","",$G822*$S$824/$G$824/Cadastro!$E$33),"")</f>
        <v/>
      </c>
      <c r="I822" s="129" t="str">
        <f>IFERROR(IF($D822="","",VLOOKUP($D822,Cadastro!$C$4:$G$7,5,FALSE)),"")</f>
        <v/>
      </c>
      <c r="J822" s="145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9">
        <v>46265</v>
      </c>
      <c r="B823" s="32">
        <f t="shared" si="220"/>
        <v>0.79166666666666619</v>
      </c>
      <c r="C823" s="26"/>
      <c r="D823" s="59"/>
      <c r="E823" s="120"/>
      <c r="F823" s="118" t="str">
        <f>IFERROR(IF($D823="","",VLOOKUP($D823,Cadastro!$C$4:$E$7,3,FALSE)),"")</f>
        <v/>
      </c>
      <c r="G823" s="114"/>
      <c r="H823" s="118" t="str">
        <f>IFERROR(IF($G823="","",$G823*$S$824/$G$824/Cadastro!$E$33),"")</f>
        <v/>
      </c>
      <c r="I823" s="130" t="str">
        <f>IFERROR(IF($D823="","",VLOOKUP($D823,Cadastro!$C$4:$G$7,5,FALSE)),"")</f>
        <v/>
      </c>
      <c r="J823" s="146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68" t="s">
        <v>231</v>
      </c>
      <c r="B824" s="169"/>
      <c r="C824" s="169"/>
      <c r="D824" s="169"/>
      <c r="E824" s="169">
        <f>SUM(E812:E823)</f>
        <v>0</v>
      </c>
      <c r="F824" s="123"/>
      <c r="G824" s="88">
        <f>SUM(G812:G823)</f>
        <v>0</v>
      </c>
      <c r="H824" s="123">
        <f>IFERROR(SUM(H812:H823),"")</f>
        <v>0</v>
      </c>
      <c r="I824" s="131"/>
      <c r="J824" s="147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232</v>
      </c>
      <c r="S824" s="83"/>
      <c r="T824" s="138">
        <f>IFERROR(J824,"")</f>
        <v>0</v>
      </c>
    </row>
    <row r="825" spans="1:20" ht="15" customHeight="1" x14ac:dyDescent="0.3">
      <c r="A825" s="69">
        <v>46265</v>
      </c>
      <c r="B825" s="32">
        <v>0.83333333333333304</v>
      </c>
      <c r="C825" s="33"/>
      <c r="D825" s="62"/>
      <c r="E825" s="121"/>
      <c r="F825" s="119" t="str">
        <f>IFERROR(IF($D825="","",VLOOKUP($D825,Cadastro!$C$4:$E$7,3,FALSE)),"")</f>
        <v/>
      </c>
      <c r="G825" s="114"/>
      <c r="H825" s="119" t="str">
        <f>IFERROR(IF($G825="","",$G825*$S$837/$G$837/Cadastro!$E$33),"")</f>
        <v/>
      </c>
      <c r="I825" s="132" t="str">
        <f>IFERROR(IF($D825="","",VLOOKUP($D825,Cadastro!$C$4:$G$7,5,FALSE)),"")</f>
        <v/>
      </c>
      <c r="J825" s="148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8">
        <v>46265</v>
      </c>
      <c r="B826" s="25">
        <f t="shared" ref="B826:B836" si="224">B825+TIME(0,60,0)</f>
        <v>0.87499999999999967</v>
      </c>
      <c r="C826" s="33"/>
      <c r="D826" s="62"/>
      <c r="E826" s="121"/>
      <c r="F826" s="122" t="str">
        <f>IFERROR(IF($D826="","",VLOOKUP($D826,Cadastro!$C$4:$E$7,3,FALSE)),"")</f>
        <v/>
      </c>
      <c r="G826" s="114"/>
      <c r="H826" s="122" t="str">
        <f>IFERROR(IF($G826="","",$G826*$S$837/$G$837/Cadastro!$E$33),"")</f>
        <v/>
      </c>
      <c r="I826" s="129" t="str">
        <f>IFERROR(IF($D826="","",VLOOKUP($D826,Cadastro!$C$4:$G$7,5,FALSE)),"")</f>
        <v/>
      </c>
      <c r="J826" s="145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9">
        <v>46265</v>
      </c>
      <c r="B827" s="32">
        <f t="shared" si="224"/>
        <v>0.9166666666666663</v>
      </c>
      <c r="C827" s="33"/>
      <c r="D827" s="62"/>
      <c r="E827" s="121"/>
      <c r="F827" s="122" t="str">
        <f>IFERROR(IF($D827="","",VLOOKUP($D827,Cadastro!$C$4:$E$7,3,FALSE)),"")</f>
        <v/>
      </c>
      <c r="G827" s="114"/>
      <c r="H827" s="122" t="str">
        <f>IFERROR(IF($G827="","",$G827*$S$837/$G$837/Cadastro!$E$33),"")</f>
        <v/>
      </c>
      <c r="I827" s="129" t="str">
        <f>IFERROR(IF($D827="","",VLOOKUP($D827,Cadastro!$C$4:$G$7,5,FALSE)),"")</f>
        <v/>
      </c>
      <c r="J827" s="145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8">
        <v>46265</v>
      </c>
      <c r="B828" s="25">
        <f t="shared" si="224"/>
        <v>0.95833333333333293</v>
      </c>
      <c r="C828" s="33"/>
      <c r="D828" s="62"/>
      <c r="E828" s="121"/>
      <c r="F828" s="122" t="str">
        <f>IFERROR(IF($D828="","",VLOOKUP($D828,Cadastro!$C$4:$E$7,3,FALSE)),"")</f>
        <v/>
      </c>
      <c r="G828" s="114"/>
      <c r="H828" s="122" t="str">
        <f>IFERROR(IF($G828="","",$G828*$S$837/$G$837/Cadastro!$E$33),"")</f>
        <v/>
      </c>
      <c r="I828" s="129" t="str">
        <f>IFERROR(IF($D828="","",VLOOKUP($D828,Cadastro!$C$4:$G$7,5,FALSE)),"")</f>
        <v/>
      </c>
      <c r="J828" s="145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9">
        <v>46265</v>
      </c>
      <c r="B829" s="32">
        <f t="shared" si="224"/>
        <v>0.99999999999999956</v>
      </c>
      <c r="C829" s="33"/>
      <c r="D829" s="62"/>
      <c r="E829" s="121"/>
      <c r="F829" s="122" t="str">
        <f>IFERROR(IF($D829="","",VLOOKUP($D829,Cadastro!$C$4:$E$7,3,FALSE)),"")</f>
        <v/>
      </c>
      <c r="G829" s="114"/>
      <c r="H829" s="122" t="str">
        <f>IFERROR(IF($G829="","",$G829*$S$837/$G$837/Cadastro!$E$33),"")</f>
        <v/>
      </c>
      <c r="I829" s="129" t="str">
        <f>IFERROR(IF($D829="","",VLOOKUP($D829,Cadastro!$C$4:$G$7,5,FALSE)),"")</f>
        <v/>
      </c>
      <c r="J829" s="145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8">
        <v>46265</v>
      </c>
      <c r="B830" s="25">
        <f t="shared" si="224"/>
        <v>1.0416666666666663</v>
      </c>
      <c r="C830" s="33"/>
      <c r="D830" s="62"/>
      <c r="E830" s="121"/>
      <c r="F830" s="122" t="str">
        <f>IFERROR(IF($D830="","",VLOOKUP($D830,Cadastro!$C$4:$E$7,3,FALSE)),"")</f>
        <v/>
      </c>
      <c r="G830" s="114"/>
      <c r="H830" s="122" t="str">
        <f>IFERROR(IF($G830="","",$G830*$S$837/$G$837/Cadastro!$E$33),"")</f>
        <v/>
      </c>
      <c r="I830" s="129" t="str">
        <f>IFERROR(IF($D830="","",VLOOKUP($D830,Cadastro!$C$4:$G$7,5,FALSE)),"")</f>
        <v/>
      </c>
      <c r="J830" s="145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9">
        <v>46265</v>
      </c>
      <c r="B831" s="32">
        <f t="shared" si="224"/>
        <v>1.083333333333333</v>
      </c>
      <c r="C831" s="33"/>
      <c r="D831" s="62"/>
      <c r="E831" s="121"/>
      <c r="F831" s="122" t="str">
        <f>IFERROR(IF($D831="","",VLOOKUP($D831,Cadastro!$C$4:$E$7,3,FALSE)),"")</f>
        <v/>
      </c>
      <c r="G831" s="114"/>
      <c r="H831" s="122" t="str">
        <f>IFERROR(IF($G831="","",$G831*$S$837/$G$837/Cadastro!$E$33),"")</f>
        <v/>
      </c>
      <c r="I831" s="129" t="str">
        <f>IFERROR(IF($D831="","",VLOOKUP($D831,Cadastro!$C$4:$G$7,5,FALSE)),"")</f>
        <v/>
      </c>
      <c r="J831" s="145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8">
        <v>46265</v>
      </c>
      <c r="B832" s="25">
        <f t="shared" si="224"/>
        <v>1.1249999999999998</v>
      </c>
      <c r="C832" s="33"/>
      <c r="D832" s="62"/>
      <c r="E832" s="121"/>
      <c r="F832" s="122" t="str">
        <f>IFERROR(IF($D832="","",VLOOKUP($D832,Cadastro!$C$4:$E$7,3,FALSE)),"")</f>
        <v/>
      </c>
      <c r="G832" s="114"/>
      <c r="H832" s="122" t="str">
        <f>IFERROR(IF($G832="","",$G832*$S$837/$G$837/Cadastro!$E$33),"")</f>
        <v/>
      </c>
      <c r="I832" s="129" t="str">
        <f>IFERROR(IF($D832="","",VLOOKUP($D832,Cadastro!$C$4:$G$7,5,FALSE)),"")</f>
        <v/>
      </c>
      <c r="J832" s="145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9">
        <v>46265</v>
      </c>
      <c r="B833" s="32">
        <f t="shared" si="224"/>
        <v>1.1666666666666665</v>
      </c>
      <c r="C833" s="33"/>
      <c r="D833" s="62"/>
      <c r="E833" s="121"/>
      <c r="F833" s="122" t="str">
        <f>IFERROR(IF($D833="","",VLOOKUP($D833,Cadastro!$C$4:$E$7,3,FALSE)),"")</f>
        <v/>
      </c>
      <c r="G833" s="114"/>
      <c r="H833" s="122" t="str">
        <f>IFERROR(IF($G833="","",$G833*$S$837/$G$837/Cadastro!$E$33),"")</f>
        <v/>
      </c>
      <c r="I833" s="129" t="str">
        <f>IFERROR(IF($D833="","",VLOOKUP($D833,Cadastro!$C$4:$G$7,5,FALSE)),"")</f>
        <v/>
      </c>
      <c r="J833" s="145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8">
        <v>46265</v>
      </c>
      <c r="B834" s="25">
        <f t="shared" si="224"/>
        <v>1.2083333333333333</v>
      </c>
      <c r="C834" s="33"/>
      <c r="D834" s="62"/>
      <c r="E834" s="121"/>
      <c r="F834" s="122" t="str">
        <f>IFERROR(IF($D834="","",VLOOKUP($D834,Cadastro!$C$4:$E$7,3,FALSE)),"")</f>
        <v/>
      </c>
      <c r="G834" s="114"/>
      <c r="H834" s="122" t="str">
        <f>IFERROR(IF($G834="","",$G834*$S$837/$G$837/Cadastro!$E$33),"")</f>
        <v/>
      </c>
      <c r="I834" s="129" t="str">
        <f>IFERROR(IF($D834="","",VLOOKUP($D834,Cadastro!$C$4:$G$7,5,FALSE)),"")</f>
        <v/>
      </c>
      <c r="J834" s="145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9">
        <v>46265</v>
      </c>
      <c r="B835" s="32">
        <f t="shared" si="224"/>
        <v>1.25</v>
      </c>
      <c r="C835" s="33"/>
      <c r="D835" s="62"/>
      <c r="E835" s="121"/>
      <c r="F835" s="122" t="str">
        <f>IFERROR(IF($D835="","",VLOOKUP($D835,Cadastro!$C$4:$E$7,3,FALSE)),"")</f>
        <v/>
      </c>
      <c r="G835" s="114"/>
      <c r="H835" s="122" t="str">
        <f>IFERROR(IF($G835="","",$G835*$S$837/$G$837/Cadastro!$E$33),"")</f>
        <v/>
      </c>
      <c r="I835" s="129" t="str">
        <f>IFERROR(IF($D835="","",VLOOKUP($D835,Cadastro!$C$4:$G$7,5,FALSE)),"")</f>
        <v/>
      </c>
      <c r="J835" s="145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8">
        <v>46265</v>
      </c>
      <c r="B836" s="25">
        <f t="shared" si="224"/>
        <v>1.2916666666666667</v>
      </c>
      <c r="C836" s="33"/>
      <c r="D836" s="62"/>
      <c r="E836" s="121"/>
      <c r="F836" s="118" t="str">
        <f>IFERROR(IF($D836="","",VLOOKUP($D836,Cadastro!$C$4:$E$7,3,FALSE)),"")</f>
        <v/>
      </c>
      <c r="G836" s="114"/>
      <c r="H836" s="118" t="str">
        <f>IFERROR(IF($G836="","",$G836*$S$837/$G$837/Cadastro!$E$33),"")</f>
        <v/>
      </c>
      <c r="I836" s="130" t="str">
        <f>IFERROR(IF($D836="","",VLOOKUP($D836,Cadastro!$C$4:$G$7,5,FALSE)),"")</f>
        <v/>
      </c>
      <c r="J836" s="146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68" t="s">
        <v>234</v>
      </c>
      <c r="B837" s="169"/>
      <c r="C837" s="169"/>
      <c r="D837" s="169"/>
      <c r="E837" s="169">
        <f>SUM(E825:E836)</f>
        <v>0</v>
      </c>
      <c r="F837" s="124"/>
      <c r="G837" s="88">
        <f>SUM(G825:G836)</f>
        <v>0</v>
      </c>
      <c r="H837" s="124">
        <f>IFERROR(SUM(H825:H836),"")</f>
        <v>0</v>
      </c>
      <c r="I837" s="133"/>
      <c r="J837" s="149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232</v>
      </c>
      <c r="S837" s="83"/>
      <c r="T837" s="138">
        <f>IFERROR(J837,"")</f>
        <v>0</v>
      </c>
    </row>
    <row r="838" spans="1:20" ht="18" customHeight="1" x14ac:dyDescent="0.3">
      <c r="A838" s="165" t="s">
        <v>235</v>
      </c>
      <c r="B838" s="166"/>
      <c r="C838" s="166"/>
      <c r="D838" s="166"/>
      <c r="E838" s="166">
        <f>E824+E837</f>
        <v>0</v>
      </c>
      <c r="F838" s="125"/>
      <c r="G838" s="100">
        <f>G824+G837</f>
        <v>0</v>
      </c>
      <c r="H838" s="125">
        <f>IFERROR(H824+H837,"")</f>
        <v>0</v>
      </c>
      <c r="I838" s="134"/>
      <c r="J838" s="150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236</v>
      </c>
      <c r="S838" s="81">
        <f>IFERROR(S824+S837,"")</f>
        <v>0</v>
      </c>
      <c r="T838" s="137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295" activePane="bottomLeft" state="frozen"/>
      <selection pane="bottomLeft" activeCell="R307" sqref="R307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10" width="13.88671875" style="20" hidden="1" customWidth="1"/>
    <col min="11" max="11" width="14" style="20" customWidth="1"/>
    <col min="12" max="12" width="27.554687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7.109375" style="20" customWidth="1"/>
    <col min="19" max="19" width="24.5546875" customWidth="1"/>
    <col min="20" max="20" width="14.6640625" hidden="1" customWidth="1"/>
  </cols>
  <sheetData>
    <row r="1" spans="1:20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117" t="s">
        <v>319</v>
      </c>
      <c r="G1" s="23" t="s">
        <v>222</v>
      </c>
      <c r="H1" s="117" t="s">
        <v>321</v>
      </c>
      <c r="I1" s="117" t="s">
        <v>320</v>
      </c>
      <c r="J1" s="117" t="s">
        <v>323</v>
      </c>
      <c r="K1" s="23" t="s">
        <v>223</v>
      </c>
      <c r="L1" s="23" t="s">
        <v>14</v>
      </c>
      <c r="M1" s="23" t="s">
        <v>15</v>
      </c>
      <c r="N1" s="23" t="s">
        <v>224</v>
      </c>
      <c r="O1" s="23" t="s">
        <v>225</v>
      </c>
      <c r="P1" s="23" t="s">
        <v>226</v>
      </c>
      <c r="Q1" s="24" t="s">
        <v>227</v>
      </c>
      <c r="R1" s="23" t="s">
        <v>228</v>
      </c>
      <c r="S1" s="23" t="s">
        <v>229</v>
      </c>
      <c r="T1" s="23" t="s">
        <v>323</v>
      </c>
    </row>
    <row r="2" spans="1:20" ht="15" customHeight="1" x14ac:dyDescent="0.3">
      <c r="A2" s="68">
        <v>46235</v>
      </c>
      <c r="B2" s="25">
        <v>0.33333333333333298</v>
      </c>
      <c r="C2" s="26" t="s">
        <v>42</v>
      </c>
      <c r="D2" s="59" t="s">
        <v>317</v>
      </c>
      <c r="E2" s="120" t="s">
        <v>246</v>
      </c>
      <c r="F2" s="122"/>
      <c r="G2" s="114">
        <v>0</v>
      </c>
      <c r="H2" s="122"/>
      <c r="I2" s="129"/>
      <c r="J2" s="145"/>
      <c r="K2" s="28">
        <f t="shared" ref="K2:K13" si="0">IF(G2="","",IF(E2="PC 17",G2*4.2,IF(E2="PC 19",G2*5,IF(E2="CB",G2*24,""))))</f>
        <v>0</v>
      </c>
      <c r="L2" s="26" t="s">
        <v>20</v>
      </c>
      <c r="M2" s="26"/>
      <c r="N2" s="26" t="s">
        <v>70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42</v>
      </c>
      <c r="D3" s="59" t="s">
        <v>317</v>
      </c>
      <c r="E3" s="120" t="s">
        <v>246</v>
      </c>
      <c r="F3" s="122"/>
      <c r="G3" s="114">
        <v>8</v>
      </c>
      <c r="H3" s="122"/>
      <c r="I3" s="129"/>
      <c r="J3" s="145"/>
      <c r="K3" s="34">
        <f t="shared" si="0"/>
        <v>33.6</v>
      </c>
      <c r="L3" s="33" t="s">
        <v>19</v>
      </c>
      <c r="M3" s="33" t="s">
        <v>43</v>
      </c>
      <c r="N3" s="33" t="s">
        <v>26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8">
        <v>46235</v>
      </c>
      <c r="B4" s="25">
        <f t="shared" si="2"/>
        <v>0.41666666666666635</v>
      </c>
      <c r="C4" s="26" t="s">
        <v>42</v>
      </c>
      <c r="D4" s="59" t="s">
        <v>317</v>
      </c>
      <c r="E4" s="120" t="s">
        <v>246</v>
      </c>
      <c r="F4" s="122"/>
      <c r="G4" s="114">
        <v>10</v>
      </c>
      <c r="H4" s="122"/>
      <c r="I4" s="129"/>
      <c r="J4" s="145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9">
        <v>46235</v>
      </c>
      <c r="B5" s="32">
        <f t="shared" si="2"/>
        <v>0.45833333333333304</v>
      </c>
      <c r="C5" s="26" t="s">
        <v>42</v>
      </c>
      <c r="D5" s="59" t="s">
        <v>317</v>
      </c>
      <c r="E5" s="120" t="s">
        <v>246</v>
      </c>
      <c r="F5" s="122"/>
      <c r="G5" s="114">
        <v>9</v>
      </c>
      <c r="H5" s="122"/>
      <c r="I5" s="129"/>
      <c r="J5" s="145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8">
        <v>46235</v>
      </c>
      <c r="B6" s="25">
        <f t="shared" si="2"/>
        <v>0.49999999999999972</v>
      </c>
      <c r="C6" s="26" t="s">
        <v>42</v>
      </c>
      <c r="D6" s="59" t="s">
        <v>317</v>
      </c>
      <c r="E6" s="120" t="s">
        <v>246</v>
      </c>
      <c r="F6" s="122"/>
      <c r="G6" s="114">
        <v>3</v>
      </c>
      <c r="H6" s="122"/>
      <c r="I6" s="129"/>
      <c r="J6" s="145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9">
        <v>46235</v>
      </c>
      <c r="B7" s="32">
        <f t="shared" si="2"/>
        <v>0.54166666666666641</v>
      </c>
      <c r="C7" s="26" t="s">
        <v>42</v>
      </c>
      <c r="D7" s="59" t="s">
        <v>317</v>
      </c>
      <c r="E7" s="120" t="s">
        <v>246</v>
      </c>
      <c r="F7" s="122"/>
      <c r="G7" s="114">
        <v>6</v>
      </c>
      <c r="H7" s="122"/>
      <c r="I7" s="129"/>
      <c r="J7" s="145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8">
        <v>46235</v>
      </c>
      <c r="B8" s="25">
        <f t="shared" si="2"/>
        <v>0.58333333333333304</v>
      </c>
      <c r="C8" s="26" t="s">
        <v>42</v>
      </c>
      <c r="D8" s="59" t="s">
        <v>317</v>
      </c>
      <c r="E8" s="120" t="s">
        <v>246</v>
      </c>
      <c r="F8" s="122"/>
      <c r="G8" s="114">
        <v>12</v>
      </c>
      <c r="H8" s="122"/>
      <c r="I8" s="129"/>
      <c r="J8" s="145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9">
        <v>8</v>
      </c>
      <c r="B9" s="32">
        <f t="shared" si="2"/>
        <v>0.62499999999999967</v>
      </c>
      <c r="C9" s="26" t="s">
        <v>42</v>
      </c>
      <c r="D9" s="59" t="s">
        <v>317</v>
      </c>
      <c r="E9" s="120" t="s">
        <v>246</v>
      </c>
      <c r="F9" s="122"/>
      <c r="G9" s="114">
        <v>8</v>
      </c>
      <c r="H9" s="122"/>
      <c r="I9" s="129"/>
      <c r="J9" s="145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8">
        <v>46235</v>
      </c>
      <c r="B10" s="25">
        <f t="shared" si="2"/>
        <v>0.6666666666666663</v>
      </c>
      <c r="C10" s="26" t="s">
        <v>42</v>
      </c>
      <c r="D10" s="59" t="s">
        <v>317</v>
      </c>
      <c r="E10" s="120" t="s">
        <v>246</v>
      </c>
      <c r="F10" s="122"/>
      <c r="G10" s="114">
        <v>8</v>
      </c>
      <c r="H10" s="122"/>
      <c r="I10" s="129"/>
      <c r="J10" s="145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9">
        <v>46235</v>
      </c>
      <c r="B11" s="32">
        <f t="shared" si="2"/>
        <v>0.70833333333333293</v>
      </c>
      <c r="C11" s="26" t="s">
        <v>42</v>
      </c>
      <c r="D11" s="59" t="s">
        <v>317</v>
      </c>
      <c r="E11" s="120" t="s">
        <v>246</v>
      </c>
      <c r="F11" s="122"/>
      <c r="G11" s="114">
        <v>9</v>
      </c>
      <c r="H11" s="122"/>
      <c r="I11" s="129"/>
      <c r="J11" s="145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8">
        <v>46235</v>
      </c>
      <c r="B12" s="25">
        <f t="shared" si="2"/>
        <v>0.74999999999999956</v>
      </c>
      <c r="C12" s="26" t="s">
        <v>42</v>
      </c>
      <c r="D12" s="59" t="s">
        <v>317</v>
      </c>
      <c r="E12" s="120" t="s">
        <v>246</v>
      </c>
      <c r="F12" s="122"/>
      <c r="G12" s="114">
        <v>5</v>
      </c>
      <c r="H12" s="122"/>
      <c r="I12" s="129"/>
      <c r="J12" s="145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9">
        <v>46235</v>
      </c>
      <c r="B13" s="32">
        <f t="shared" si="2"/>
        <v>0.79166666666666619</v>
      </c>
      <c r="C13" s="26" t="s">
        <v>42</v>
      </c>
      <c r="D13" s="59" t="s">
        <v>317</v>
      </c>
      <c r="E13" s="120" t="s">
        <v>246</v>
      </c>
      <c r="F13" s="118"/>
      <c r="G13" s="114">
        <v>3</v>
      </c>
      <c r="H13" s="118"/>
      <c r="I13" s="130"/>
      <c r="J13" s="146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68" t="s">
        <v>231</v>
      </c>
      <c r="B14" s="169"/>
      <c r="C14" s="169"/>
      <c r="D14" s="169"/>
      <c r="E14" s="169"/>
      <c r="F14" s="123"/>
      <c r="G14" s="88">
        <f>SUM(G2:G13)</f>
        <v>81</v>
      </c>
      <c r="H14" s="123"/>
      <c r="I14" s="131"/>
      <c r="J14" s="147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232</v>
      </c>
      <c r="S14" s="39">
        <v>326520</v>
      </c>
      <c r="T14" s="141">
        <f>IFERROR(J14,"")</f>
        <v>0</v>
      </c>
    </row>
    <row r="15" spans="1:20" ht="15" customHeight="1" x14ac:dyDescent="0.3">
      <c r="A15" s="69">
        <v>46235</v>
      </c>
      <c r="B15" s="32">
        <v>0.83333333333333304</v>
      </c>
      <c r="C15" s="33" t="s">
        <v>28</v>
      </c>
      <c r="D15" s="62" t="s">
        <v>316</v>
      </c>
      <c r="E15" s="121" t="s">
        <v>246</v>
      </c>
      <c r="F15" s="119"/>
      <c r="G15" s="114">
        <v>16</v>
      </c>
      <c r="H15" s="119"/>
      <c r="I15" s="132"/>
      <c r="J15" s="148"/>
      <c r="K15" s="34">
        <f t="shared" ref="K15:K26" si="3">IF(G15="","",IF(E15="PC 17",G15*4.2,IF(E15="PC 19",G15*5,IF(E15="CB",G15*24,""))))</f>
        <v>67.2</v>
      </c>
      <c r="L15" s="33" t="s">
        <v>19</v>
      </c>
      <c r="M15" s="33" t="s">
        <v>43</v>
      </c>
      <c r="N15" s="33" t="s">
        <v>51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275</v>
      </c>
      <c r="S15" s="31"/>
    </row>
    <row r="16" spans="1:20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28</v>
      </c>
      <c r="D16" s="62" t="s">
        <v>317</v>
      </c>
      <c r="E16" s="121" t="s">
        <v>246</v>
      </c>
      <c r="F16" s="122"/>
      <c r="G16" s="114">
        <v>9</v>
      </c>
      <c r="H16" s="122"/>
      <c r="I16" s="129"/>
      <c r="J16" s="145"/>
      <c r="K16" s="28">
        <f t="shared" si="3"/>
        <v>37.800000000000004</v>
      </c>
      <c r="L16" s="26" t="s">
        <v>17</v>
      </c>
      <c r="M16" s="26" t="s">
        <v>131</v>
      </c>
      <c r="N16" s="26" t="s">
        <v>45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9">
        <v>46235</v>
      </c>
      <c r="B17" s="32">
        <f t="shared" si="4"/>
        <v>0.9166666666666663</v>
      </c>
      <c r="C17" s="33" t="s">
        <v>28</v>
      </c>
      <c r="D17" s="62" t="s">
        <v>317</v>
      </c>
      <c r="E17" s="121" t="s">
        <v>246</v>
      </c>
      <c r="F17" s="122"/>
      <c r="G17" s="114">
        <v>12</v>
      </c>
      <c r="H17" s="122"/>
      <c r="I17" s="129"/>
      <c r="J17" s="145"/>
      <c r="K17" s="34">
        <f t="shared" si="3"/>
        <v>50.400000000000006</v>
      </c>
      <c r="L17" s="33" t="s">
        <v>20</v>
      </c>
      <c r="M17" s="33" t="s">
        <v>153</v>
      </c>
      <c r="N17" s="33" t="s">
        <v>70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8">
        <v>46235</v>
      </c>
      <c r="B18" s="25">
        <f t="shared" si="4"/>
        <v>0.95833333333333293</v>
      </c>
      <c r="C18" s="33" t="s">
        <v>28</v>
      </c>
      <c r="D18" s="62" t="s">
        <v>317</v>
      </c>
      <c r="E18" s="121" t="s">
        <v>246</v>
      </c>
      <c r="F18" s="122"/>
      <c r="G18" s="114">
        <v>0</v>
      </c>
      <c r="H18" s="122"/>
      <c r="I18" s="129"/>
      <c r="J18" s="145"/>
      <c r="K18" s="28">
        <f t="shared" si="3"/>
        <v>0</v>
      </c>
      <c r="L18" s="26" t="s">
        <v>17</v>
      </c>
      <c r="M18" s="26" t="s">
        <v>131</v>
      </c>
      <c r="N18" s="26" t="s">
        <v>45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253</v>
      </c>
      <c r="S18" s="31"/>
    </row>
    <row r="19" spans="1:20" ht="15" customHeight="1" x14ac:dyDescent="0.3">
      <c r="A19" s="69">
        <v>46235</v>
      </c>
      <c r="B19" s="32">
        <f t="shared" si="4"/>
        <v>0.99999999999999956</v>
      </c>
      <c r="C19" s="33" t="s">
        <v>28</v>
      </c>
      <c r="D19" s="62" t="s">
        <v>317</v>
      </c>
      <c r="E19" s="121" t="s">
        <v>246</v>
      </c>
      <c r="F19" s="122"/>
      <c r="G19" s="114">
        <v>8</v>
      </c>
      <c r="H19" s="122"/>
      <c r="I19" s="129"/>
      <c r="J19" s="145"/>
      <c r="K19" s="34">
        <f t="shared" si="3"/>
        <v>33.6</v>
      </c>
      <c r="L19" s="33" t="s">
        <v>20</v>
      </c>
      <c r="M19" s="33"/>
      <c r="N19" s="33" t="s">
        <v>157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276</v>
      </c>
      <c r="S19" s="31"/>
    </row>
    <row r="20" spans="1:20" ht="15" customHeight="1" x14ac:dyDescent="0.3">
      <c r="A20" s="68">
        <v>46235</v>
      </c>
      <c r="B20" s="25">
        <f t="shared" si="4"/>
        <v>1.0416666666666663</v>
      </c>
      <c r="C20" s="33" t="s">
        <v>28</v>
      </c>
      <c r="D20" s="62" t="s">
        <v>317</v>
      </c>
      <c r="E20" s="121" t="s">
        <v>246</v>
      </c>
      <c r="F20" s="122"/>
      <c r="G20" s="114">
        <v>6</v>
      </c>
      <c r="H20" s="122"/>
      <c r="I20" s="129"/>
      <c r="J20" s="145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9">
        <v>46235</v>
      </c>
      <c r="B21" s="32">
        <f t="shared" si="4"/>
        <v>1.083333333333333</v>
      </c>
      <c r="C21" s="33" t="s">
        <v>28</v>
      </c>
      <c r="D21" s="62" t="s">
        <v>317</v>
      </c>
      <c r="E21" s="121" t="s">
        <v>246</v>
      </c>
      <c r="F21" s="122"/>
      <c r="G21" s="114">
        <v>8</v>
      </c>
      <c r="H21" s="122"/>
      <c r="I21" s="129"/>
      <c r="J21" s="145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8">
        <v>46235</v>
      </c>
      <c r="B22" s="25">
        <f t="shared" si="4"/>
        <v>1.1249999999999998</v>
      </c>
      <c r="C22" s="33" t="s">
        <v>28</v>
      </c>
      <c r="D22" s="62" t="s">
        <v>317</v>
      </c>
      <c r="E22" s="121" t="s">
        <v>246</v>
      </c>
      <c r="F22" s="122"/>
      <c r="G22" s="114">
        <v>5</v>
      </c>
      <c r="H22" s="122"/>
      <c r="I22" s="129"/>
      <c r="J22" s="145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9">
        <v>46235</v>
      </c>
      <c r="B23" s="32">
        <f t="shared" si="4"/>
        <v>1.1666666666666665</v>
      </c>
      <c r="C23" s="33" t="s">
        <v>28</v>
      </c>
      <c r="D23" s="62" t="s">
        <v>317</v>
      </c>
      <c r="E23" s="121" t="s">
        <v>246</v>
      </c>
      <c r="F23" s="122"/>
      <c r="G23" s="114">
        <v>10</v>
      </c>
      <c r="H23" s="122"/>
      <c r="I23" s="129"/>
      <c r="J23" s="145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8">
        <v>46235</v>
      </c>
      <c r="B24" s="25">
        <f t="shared" si="4"/>
        <v>1.2083333333333333</v>
      </c>
      <c r="C24" s="33" t="s">
        <v>28</v>
      </c>
      <c r="D24" s="62" t="s">
        <v>317</v>
      </c>
      <c r="E24" s="121" t="s">
        <v>246</v>
      </c>
      <c r="F24" s="122"/>
      <c r="G24" s="114">
        <v>10</v>
      </c>
      <c r="H24" s="122"/>
      <c r="I24" s="129"/>
      <c r="J24" s="145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9">
        <v>46235</v>
      </c>
      <c r="B25" s="32">
        <f t="shared" si="4"/>
        <v>1.25</v>
      </c>
      <c r="C25" s="33" t="s">
        <v>28</v>
      </c>
      <c r="D25" s="62" t="s">
        <v>318</v>
      </c>
      <c r="E25" s="121" t="s">
        <v>246</v>
      </c>
      <c r="F25" s="122"/>
      <c r="G25" s="114">
        <v>2</v>
      </c>
      <c r="H25" s="122"/>
      <c r="I25" s="129"/>
      <c r="J25" s="145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8">
        <v>46235</v>
      </c>
      <c r="B26" s="25">
        <f t="shared" si="4"/>
        <v>1.2916666666666667</v>
      </c>
      <c r="C26" s="33" t="s">
        <v>28</v>
      </c>
      <c r="D26" s="62" t="s">
        <v>318</v>
      </c>
      <c r="E26" s="121" t="s">
        <v>246</v>
      </c>
      <c r="F26" s="118"/>
      <c r="G26" s="114">
        <v>5</v>
      </c>
      <c r="H26" s="118"/>
      <c r="I26" s="130"/>
      <c r="J26" s="146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68" t="s">
        <v>234</v>
      </c>
      <c r="B27" s="169"/>
      <c r="C27" s="169"/>
      <c r="D27" s="169"/>
      <c r="E27" s="169"/>
      <c r="F27" s="124"/>
      <c r="G27" s="88">
        <v>358</v>
      </c>
      <c r="H27" s="124"/>
      <c r="I27" s="133"/>
      <c r="J27" s="149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232</v>
      </c>
      <c r="S27" s="39">
        <v>358000</v>
      </c>
      <c r="T27" s="141">
        <f>IFERROR(J27,"")</f>
        <v>0</v>
      </c>
    </row>
    <row r="28" spans="1:20" ht="18" customHeight="1" x14ac:dyDescent="0.3">
      <c r="A28" s="165" t="s">
        <v>235</v>
      </c>
      <c r="B28" s="166"/>
      <c r="C28" s="166"/>
      <c r="D28" s="166"/>
      <c r="E28" s="166"/>
      <c r="F28" s="125"/>
      <c r="G28" s="100">
        <f>G14+G27</f>
        <v>439</v>
      </c>
      <c r="H28" s="125"/>
      <c r="I28" s="134"/>
      <c r="J28" s="150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236</v>
      </c>
      <c r="S28" s="43">
        <f>IFERROR(S14+S27,"")</f>
        <v>684520</v>
      </c>
      <c r="T28" s="142">
        <f>IFERROR(J28,"")</f>
        <v>0</v>
      </c>
    </row>
    <row r="29" spans="1:20" ht="15" customHeight="1" x14ac:dyDescent="0.3">
      <c r="A29" s="68">
        <v>46236</v>
      </c>
      <c r="B29" s="25">
        <v>0.33333333333333298</v>
      </c>
      <c r="C29" s="26" t="s">
        <v>42</v>
      </c>
      <c r="D29" s="59" t="s">
        <v>315</v>
      </c>
      <c r="E29" s="120" t="s">
        <v>246</v>
      </c>
      <c r="F29" s="119"/>
      <c r="G29" s="114">
        <v>4</v>
      </c>
      <c r="H29" s="119"/>
      <c r="I29" s="132"/>
      <c r="J29" s="148"/>
      <c r="K29" s="28">
        <f t="shared" ref="K29:K40" si="6">IF(G29="","",IF(E29="PC 17",G29*4.2,IF(E29="PC 19",G29*5,IF(E29="CB",G29*24,""))))</f>
        <v>16.8</v>
      </c>
      <c r="L29" s="33" t="s">
        <v>19</v>
      </c>
      <c r="M29" s="33" t="s">
        <v>43</v>
      </c>
      <c r="N29" s="33" t="s">
        <v>26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42</v>
      </c>
      <c r="D30" s="59" t="s">
        <v>315</v>
      </c>
      <c r="E30" s="120" t="s">
        <v>246</v>
      </c>
      <c r="F30" s="122"/>
      <c r="G30" s="114">
        <v>13</v>
      </c>
      <c r="H30" s="122"/>
      <c r="I30" s="129"/>
      <c r="J30" s="145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8">
        <v>46236</v>
      </c>
      <c r="B31" s="25">
        <f t="shared" si="8"/>
        <v>0.41666666666666635</v>
      </c>
      <c r="C31" s="26" t="s">
        <v>42</v>
      </c>
      <c r="D31" s="59" t="s">
        <v>315</v>
      </c>
      <c r="E31" s="120" t="s">
        <v>246</v>
      </c>
      <c r="F31" s="122"/>
      <c r="G31" s="114">
        <v>4</v>
      </c>
      <c r="H31" s="122"/>
      <c r="I31" s="129"/>
      <c r="J31" s="145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9">
        <v>46236</v>
      </c>
      <c r="B32" s="32">
        <f t="shared" si="8"/>
        <v>0.45833333333333304</v>
      </c>
      <c r="C32" s="26" t="s">
        <v>42</v>
      </c>
      <c r="D32" s="59" t="s">
        <v>315</v>
      </c>
      <c r="E32" s="120" t="s">
        <v>246</v>
      </c>
      <c r="F32" s="122"/>
      <c r="G32" s="114">
        <v>4</v>
      </c>
      <c r="H32" s="122"/>
      <c r="I32" s="129"/>
      <c r="J32" s="145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8">
        <v>46236</v>
      </c>
      <c r="B33" s="25">
        <f t="shared" si="8"/>
        <v>0.49999999999999972</v>
      </c>
      <c r="C33" s="26" t="s">
        <v>42</v>
      </c>
      <c r="D33" s="59" t="s">
        <v>315</v>
      </c>
      <c r="E33" s="120" t="s">
        <v>246</v>
      </c>
      <c r="F33" s="122"/>
      <c r="G33" s="114">
        <v>3</v>
      </c>
      <c r="H33" s="122"/>
      <c r="I33" s="129"/>
      <c r="J33" s="145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9">
        <v>46236</v>
      </c>
      <c r="B34" s="32">
        <f t="shared" si="8"/>
        <v>0.54166666666666641</v>
      </c>
      <c r="C34" s="26" t="s">
        <v>42</v>
      </c>
      <c r="D34" s="59" t="s">
        <v>315</v>
      </c>
      <c r="E34" s="120" t="s">
        <v>246</v>
      </c>
      <c r="F34" s="122"/>
      <c r="G34" s="114">
        <v>10</v>
      </c>
      <c r="H34" s="122"/>
      <c r="I34" s="129"/>
      <c r="J34" s="145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8">
        <v>46236</v>
      </c>
      <c r="B35" s="25">
        <f t="shared" si="8"/>
        <v>0.58333333333333304</v>
      </c>
      <c r="C35" s="26" t="s">
        <v>42</v>
      </c>
      <c r="D35" s="59" t="s">
        <v>315</v>
      </c>
      <c r="E35" s="120" t="s">
        <v>246</v>
      </c>
      <c r="F35" s="122"/>
      <c r="G35" s="114">
        <v>12</v>
      </c>
      <c r="H35" s="122"/>
      <c r="I35" s="129"/>
      <c r="J35" s="145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9">
        <v>46236</v>
      </c>
      <c r="B36" s="32">
        <f t="shared" si="8"/>
        <v>0.62499999999999967</v>
      </c>
      <c r="C36" s="26" t="s">
        <v>42</v>
      </c>
      <c r="D36" s="59" t="s">
        <v>315</v>
      </c>
      <c r="E36" s="120" t="s">
        <v>246</v>
      </c>
      <c r="F36" s="122"/>
      <c r="G36" s="114">
        <v>5</v>
      </c>
      <c r="H36" s="122"/>
      <c r="I36" s="129"/>
      <c r="J36" s="145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8">
        <v>46236</v>
      </c>
      <c r="B37" s="25">
        <f t="shared" si="8"/>
        <v>0.6666666666666663</v>
      </c>
      <c r="C37" s="26" t="s">
        <v>42</v>
      </c>
      <c r="D37" s="59" t="s">
        <v>315</v>
      </c>
      <c r="E37" s="120" t="s">
        <v>246</v>
      </c>
      <c r="F37" s="122"/>
      <c r="G37" s="114">
        <v>3</v>
      </c>
      <c r="H37" s="122"/>
      <c r="I37" s="129"/>
      <c r="J37" s="145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9">
        <v>46236</v>
      </c>
      <c r="B38" s="32">
        <f t="shared" si="8"/>
        <v>0.70833333333333293</v>
      </c>
      <c r="C38" s="26" t="s">
        <v>42</v>
      </c>
      <c r="D38" s="59" t="s">
        <v>315</v>
      </c>
      <c r="E38" s="120" t="s">
        <v>246</v>
      </c>
      <c r="F38" s="122"/>
      <c r="G38" s="114">
        <v>11</v>
      </c>
      <c r="H38" s="122"/>
      <c r="I38" s="129"/>
      <c r="J38" s="145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8">
        <v>46236</v>
      </c>
      <c r="B39" s="25">
        <f t="shared" si="8"/>
        <v>0.74999999999999956</v>
      </c>
      <c r="C39" s="26" t="s">
        <v>42</v>
      </c>
      <c r="D39" s="59" t="s">
        <v>315</v>
      </c>
      <c r="E39" s="120" t="s">
        <v>246</v>
      </c>
      <c r="F39" s="122"/>
      <c r="G39" s="114">
        <v>8</v>
      </c>
      <c r="H39" s="122"/>
      <c r="I39" s="129"/>
      <c r="J39" s="145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9">
        <v>46236</v>
      </c>
      <c r="B40" s="32">
        <f t="shared" si="8"/>
        <v>0.79166666666666619</v>
      </c>
      <c r="C40" s="26" t="s">
        <v>42</v>
      </c>
      <c r="D40" s="59" t="s">
        <v>315</v>
      </c>
      <c r="E40" s="120" t="s">
        <v>246</v>
      </c>
      <c r="F40" s="118"/>
      <c r="G40" s="114">
        <v>0</v>
      </c>
      <c r="H40" s="118"/>
      <c r="I40" s="130"/>
      <c r="J40" s="146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68" t="s">
        <v>231</v>
      </c>
      <c r="B41" s="169"/>
      <c r="C41" s="169"/>
      <c r="D41" s="169"/>
      <c r="E41" s="169">
        <f>SUM(E29:E40)</f>
        <v>0</v>
      </c>
      <c r="F41" s="123"/>
      <c r="G41" s="88">
        <f>SUM(G29:G40)</f>
        <v>77</v>
      </c>
      <c r="H41" s="123"/>
      <c r="I41" s="131"/>
      <c r="J41" s="147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232</v>
      </c>
      <c r="S41" s="39">
        <v>237080</v>
      </c>
      <c r="T41" s="141">
        <f>IFERROR(J41,"")</f>
        <v>0</v>
      </c>
    </row>
    <row r="42" spans="1:20" ht="15" customHeight="1" x14ac:dyDescent="0.3">
      <c r="A42" s="69">
        <v>46236</v>
      </c>
      <c r="B42" s="32">
        <v>0.83333333333333304</v>
      </c>
      <c r="C42" s="33" t="s">
        <v>28</v>
      </c>
      <c r="D42" s="62" t="s">
        <v>315</v>
      </c>
      <c r="E42" s="121" t="s">
        <v>246</v>
      </c>
      <c r="F42" s="119"/>
      <c r="G42" s="114">
        <v>8</v>
      </c>
      <c r="H42" s="119"/>
      <c r="I42" s="132"/>
      <c r="J42" s="148"/>
      <c r="K42" s="34">
        <f t="shared" ref="K42:K53" si="9">IF(G42="","",IF(E42="PC 17",G42*4.2,IF(E42="PC 19",G42*5,IF(E42="CB",G42*24,""))))</f>
        <v>33.6</v>
      </c>
      <c r="L42" s="26" t="s">
        <v>20</v>
      </c>
      <c r="M42" s="26" t="s">
        <v>43</v>
      </c>
      <c r="N42" s="26" t="s">
        <v>163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259</v>
      </c>
      <c r="S42" s="31"/>
    </row>
    <row r="43" spans="1:20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28</v>
      </c>
      <c r="D43" s="62" t="s">
        <v>315</v>
      </c>
      <c r="E43" s="121" t="s">
        <v>246</v>
      </c>
      <c r="F43" s="122"/>
      <c r="G43" s="114">
        <v>0</v>
      </c>
      <c r="H43" s="122"/>
      <c r="I43" s="129"/>
      <c r="J43" s="145"/>
      <c r="K43" s="28">
        <f t="shared" si="9"/>
        <v>0</v>
      </c>
      <c r="L43" s="33" t="s">
        <v>20</v>
      </c>
      <c r="M43" s="33" t="s">
        <v>43</v>
      </c>
      <c r="N43" s="33" t="s">
        <v>52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275</v>
      </c>
      <c r="S43" s="31"/>
    </row>
    <row r="44" spans="1:20" ht="15" customHeight="1" x14ac:dyDescent="0.3">
      <c r="A44" s="69">
        <v>46236</v>
      </c>
      <c r="B44" s="32">
        <f t="shared" si="11"/>
        <v>0.9166666666666663</v>
      </c>
      <c r="C44" s="33" t="s">
        <v>28</v>
      </c>
      <c r="D44" s="62" t="s">
        <v>315</v>
      </c>
      <c r="E44" s="121" t="s">
        <v>246</v>
      </c>
      <c r="F44" s="122"/>
      <c r="G44" s="114">
        <v>5</v>
      </c>
      <c r="H44" s="122"/>
      <c r="I44" s="129"/>
      <c r="J44" s="145"/>
      <c r="K44" s="34">
        <f t="shared" si="9"/>
        <v>21</v>
      </c>
      <c r="L44" s="26" t="s">
        <v>20</v>
      </c>
      <c r="M44" s="26" t="s">
        <v>43</v>
      </c>
      <c r="N44" s="26" t="s">
        <v>47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8">
        <v>46236</v>
      </c>
      <c r="B45" s="25">
        <f t="shared" si="11"/>
        <v>0.95833333333333293</v>
      </c>
      <c r="C45" s="33" t="s">
        <v>28</v>
      </c>
      <c r="D45" s="62" t="s">
        <v>315</v>
      </c>
      <c r="E45" s="121" t="s">
        <v>246</v>
      </c>
      <c r="F45" s="122"/>
      <c r="G45" s="114">
        <v>5</v>
      </c>
      <c r="H45" s="122"/>
      <c r="I45" s="129"/>
      <c r="J45" s="145"/>
      <c r="K45" s="28">
        <f t="shared" si="9"/>
        <v>21</v>
      </c>
      <c r="L45" s="33" t="s">
        <v>20</v>
      </c>
      <c r="M45" s="33" t="s">
        <v>43</v>
      </c>
      <c r="N45" s="33" t="s">
        <v>47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9">
        <v>46236</v>
      </c>
      <c r="B46" s="32">
        <f t="shared" si="11"/>
        <v>0.99999999999999956</v>
      </c>
      <c r="C46" s="33" t="s">
        <v>28</v>
      </c>
      <c r="D46" s="62" t="s">
        <v>315</v>
      </c>
      <c r="E46" s="121" t="s">
        <v>246</v>
      </c>
      <c r="F46" s="122"/>
      <c r="G46" s="114">
        <v>12</v>
      </c>
      <c r="H46" s="122"/>
      <c r="I46" s="129"/>
      <c r="J46" s="145"/>
      <c r="K46" s="34">
        <f t="shared" si="9"/>
        <v>50.400000000000006</v>
      </c>
      <c r="L46" s="26" t="s">
        <v>20</v>
      </c>
      <c r="M46" s="26" t="s">
        <v>43</v>
      </c>
      <c r="N46" s="26" t="s">
        <v>47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8">
        <v>46236</v>
      </c>
      <c r="B47" s="25">
        <f t="shared" si="11"/>
        <v>1.0416666666666663</v>
      </c>
      <c r="C47" s="33" t="s">
        <v>28</v>
      </c>
      <c r="D47" s="62" t="s">
        <v>315</v>
      </c>
      <c r="E47" s="121" t="s">
        <v>246</v>
      </c>
      <c r="F47" s="122"/>
      <c r="G47" s="114">
        <v>9</v>
      </c>
      <c r="H47" s="122"/>
      <c r="I47" s="129"/>
      <c r="J47" s="145"/>
      <c r="K47" s="28">
        <f t="shared" si="9"/>
        <v>37.800000000000004</v>
      </c>
      <c r="L47" s="33" t="s">
        <v>20</v>
      </c>
      <c r="M47" s="33" t="s">
        <v>43</v>
      </c>
      <c r="N47" s="33" t="s">
        <v>47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9">
        <v>46236</v>
      </c>
      <c r="B48" s="32">
        <f t="shared" si="11"/>
        <v>1.083333333333333</v>
      </c>
      <c r="C48" s="33" t="s">
        <v>28</v>
      </c>
      <c r="D48" s="62" t="s">
        <v>315</v>
      </c>
      <c r="E48" s="121" t="s">
        <v>246</v>
      </c>
      <c r="F48" s="122"/>
      <c r="G48" s="114">
        <v>7</v>
      </c>
      <c r="H48" s="122"/>
      <c r="I48" s="129"/>
      <c r="J48" s="145"/>
      <c r="K48" s="34">
        <f t="shared" si="9"/>
        <v>29.400000000000002</v>
      </c>
      <c r="L48" s="26" t="s">
        <v>20</v>
      </c>
      <c r="M48" s="26" t="s">
        <v>43</v>
      </c>
      <c r="N48" s="26" t="s">
        <v>47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8">
        <v>46236</v>
      </c>
      <c r="B49" s="25">
        <f t="shared" si="11"/>
        <v>1.1249999999999998</v>
      </c>
      <c r="C49" s="33" t="s">
        <v>28</v>
      </c>
      <c r="D49" s="62" t="s">
        <v>315</v>
      </c>
      <c r="E49" s="121" t="s">
        <v>246</v>
      </c>
      <c r="F49" s="122"/>
      <c r="G49" s="114">
        <v>5</v>
      </c>
      <c r="H49" s="122"/>
      <c r="I49" s="129"/>
      <c r="J49" s="145"/>
      <c r="K49" s="28">
        <f t="shared" si="9"/>
        <v>21</v>
      </c>
      <c r="L49" s="33" t="s">
        <v>20</v>
      </c>
      <c r="M49" s="33" t="s">
        <v>43</v>
      </c>
      <c r="N49" s="33" t="s">
        <v>47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9">
        <v>46236</v>
      </c>
      <c r="B50" s="32">
        <f t="shared" si="11"/>
        <v>1.1666666666666665</v>
      </c>
      <c r="C50" s="33" t="s">
        <v>28</v>
      </c>
      <c r="D50" s="62" t="s">
        <v>315</v>
      </c>
      <c r="E50" s="121" t="s">
        <v>246</v>
      </c>
      <c r="F50" s="122"/>
      <c r="G50" s="114">
        <v>14</v>
      </c>
      <c r="H50" s="122"/>
      <c r="I50" s="129"/>
      <c r="J50" s="145"/>
      <c r="K50" s="34">
        <f t="shared" si="9"/>
        <v>58.800000000000004</v>
      </c>
      <c r="L50" s="26" t="s">
        <v>19</v>
      </c>
      <c r="M50" s="26" t="s">
        <v>43</v>
      </c>
      <c r="N50" s="26" t="s">
        <v>26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275</v>
      </c>
      <c r="S50" s="31"/>
    </row>
    <row r="51" spans="1:20" ht="15" customHeight="1" x14ac:dyDescent="0.3">
      <c r="A51" s="68">
        <v>46236</v>
      </c>
      <c r="B51" s="25">
        <f t="shared" si="11"/>
        <v>1.2083333333333333</v>
      </c>
      <c r="C51" s="33" t="s">
        <v>28</v>
      </c>
      <c r="D51" s="62" t="s">
        <v>315</v>
      </c>
      <c r="E51" s="121" t="s">
        <v>246</v>
      </c>
      <c r="F51" s="122"/>
      <c r="G51" s="114">
        <v>0</v>
      </c>
      <c r="H51" s="122"/>
      <c r="I51" s="129"/>
      <c r="J51" s="145"/>
      <c r="K51" s="28">
        <f t="shared" si="9"/>
        <v>0</v>
      </c>
      <c r="L51" s="33" t="s">
        <v>20</v>
      </c>
      <c r="M51" s="33" t="s">
        <v>153</v>
      </c>
      <c r="N51" s="33" t="s">
        <v>70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9">
        <v>46236</v>
      </c>
      <c r="B52" s="32">
        <f t="shared" si="11"/>
        <v>1.25</v>
      </c>
      <c r="C52" s="33" t="s">
        <v>28</v>
      </c>
      <c r="D52" s="62" t="s">
        <v>315</v>
      </c>
      <c r="E52" s="121" t="s">
        <v>246</v>
      </c>
      <c r="F52" s="122"/>
      <c r="G52" s="114">
        <v>5</v>
      </c>
      <c r="H52" s="122"/>
      <c r="I52" s="129"/>
      <c r="J52" s="145"/>
      <c r="K52" s="34">
        <f t="shared" si="9"/>
        <v>21</v>
      </c>
      <c r="L52" s="26" t="s">
        <v>16</v>
      </c>
      <c r="M52" s="26" t="s">
        <v>43</v>
      </c>
      <c r="N52" s="26" t="s">
        <v>30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8">
        <v>46236</v>
      </c>
      <c r="B53" s="25">
        <f t="shared" si="11"/>
        <v>1.2916666666666667</v>
      </c>
      <c r="C53" s="33" t="s">
        <v>28</v>
      </c>
      <c r="D53" s="62" t="s">
        <v>315</v>
      </c>
      <c r="E53" s="121" t="s">
        <v>246</v>
      </c>
      <c r="F53" s="118"/>
      <c r="G53" s="114"/>
      <c r="H53" s="118"/>
      <c r="I53" s="130"/>
      <c r="J53" s="146"/>
      <c r="K53" s="28" t="str">
        <f t="shared" si="9"/>
        <v/>
      </c>
      <c r="L53" s="33" t="s">
        <v>20</v>
      </c>
      <c r="M53" s="33" t="s">
        <v>43</v>
      </c>
      <c r="N53" s="33" t="s">
        <v>130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68" t="s">
        <v>234</v>
      </c>
      <c r="B54" s="169"/>
      <c r="C54" s="169"/>
      <c r="D54" s="169"/>
      <c r="E54" s="169">
        <f>SUM(E42:E53)</f>
        <v>0</v>
      </c>
      <c r="F54" s="124"/>
      <c r="G54" s="88">
        <f>SUM(G42:G53)</f>
        <v>70</v>
      </c>
      <c r="H54" s="124"/>
      <c r="I54" s="133"/>
      <c r="J54" s="149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232</v>
      </c>
      <c r="S54" s="39">
        <v>279980</v>
      </c>
      <c r="T54" s="141">
        <f>IFERROR(J54,"")</f>
        <v>0</v>
      </c>
    </row>
    <row r="55" spans="1:20" ht="18" customHeight="1" x14ac:dyDescent="0.3">
      <c r="A55" s="165" t="s">
        <v>235</v>
      </c>
      <c r="B55" s="166"/>
      <c r="C55" s="166"/>
      <c r="D55" s="166"/>
      <c r="E55" s="166">
        <f>E41+E54</f>
        <v>0</v>
      </c>
      <c r="F55" s="125"/>
      <c r="G55" s="100">
        <f>G41+G54</f>
        <v>147</v>
      </c>
      <c r="H55" s="125"/>
      <c r="I55" s="134"/>
      <c r="J55" s="150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236</v>
      </c>
      <c r="S55" s="43">
        <f>IFERROR(S41+S54,"")</f>
        <v>517060</v>
      </c>
      <c r="T55" s="142">
        <f>IFERROR(J55,"")</f>
        <v>0</v>
      </c>
    </row>
    <row r="56" spans="1:20" ht="15" customHeight="1" x14ac:dyDescent="0.3">
      <c r="A56" s="68">
        <v>46237</v>
      </c>
      <c r="B56" s="25">
        <v>0.33333333333333298</v>
      </c>
      <c r="C56" s="26" t="s">
        <v>42</v>
      </c>
      <c r="D56" s="59" t="s">
        <v>317</v>
      </c>
      <c r="E56" s="120" t="s">
        <v>246</v>
      </c>
      <c r="F56" s="119"/>
      <c r="G56" s="114">
        <v>7</v>
      </c>
      <c r="H56" s="119"/>
      <c r="I56" s="132"/>
      <c r="J56" s="148"/>
      <c r="K56" s="28">
        <f t="shared" ref="K56:K67" si="12">IF(G56="","",IF(E56="PC 17",G56*4.2,IF(E56="PC 19",G56*5,IF(E56="CB",G56*24,""))))</f>
        <v>29.400000000000002</v>
      </c>
      <c r="L56" s="26" t="s">
        <v>20</v>
      </c>
      <c r="M56" s="26" t="s">
        <v>119</v>
      </c>
      <c r="N56" s="26" t="s">
        <v>110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42</v>
      </c>
      <c r="D57" s="59" t="s">
        <v>318</v>
      </c>
      <c r="E57" s="120" t="s">
        <v>246</v>
      </c>
      <c r="F57" s="122"/>
      <c r="G57" s="114">
        <v>4</v>
      </c>
      <c r="H57" s="122"/>
      <c r="I57" s="129"/>
      <c r="J57" s="145"/>
      <c r="K57" s="34">
        <f t="shared" si="12"/>
        <v>16.8</v>
      </c>
      <c r="L57" s="33" t="s">
        <v>20</v>
      </c>
      <c r="M57" s="33" t="s">
        <v>119</v>
      </c>
      <c r="N57" s="26" t="s">
        <v>110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8">
        <v>46237</v>
      </c>
      <c r="B58" s="25">
        <f t="shared" si="14"/>
        <v>0.41666666666666635</v>
      </c>
      <c r="C58" s="26" t="s">
        <v>42</v>
      </c>
      <c r="D58" s="59" t="s">
        <v>318</v>
      </c>
      <c r="E58" s="120" t="s">
        <v>246</v>
      </c>
      <c r="F58" s="122"/>
      <c r="G58" s="114">
        <v>3</v>
      </c>
      <c r="H58" s="122"/>
      <c r="I58" s="129"/>
      <c r="J58" s="145"/>
      <c r="K58" s="28">
        <f t="shared" si="12"/>
        <v>12.600000000000001</v>
      </c>
      <c r="L58" s="26" t="s">
        <v>20</v>
      </c>
      <c r="M58" s="26" t="s">
        <v>43</v>
      </c>
      <c r="N58" s="26" t="s">
        <v>47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9">
        <v>46237</v>
      </c>
      <c r="B59" s="32">
        <f t="shared" si="14"/>
        <v>0.45833333333333304</v>
      </c>
      <c r="C59" s="26" t="s">
        <v>42</v>
      </c>
      <c r="D59" s="59" t="s">
        <v>318</v>
      </c>
      <c r="E59" s="120" t="s">
        <v>246</v>
      </c>
      <c r="F59" s="122"/>
      <c r="G59" s="114">
        <v>4</v>
      </c>
      <c r="H59" s="122"/>
      <c r="I59" s="129"/>
      <c r="J59" s="145"/>
      <c r="K59" s="34">
        <f t="shared" si="12"/>
        <v>16.8</v>
      </c>
      <c r="L59" s="26" t="s">
        <v>20</v>
      </c>
      <c r="M59" s="33" t="s">
        <v>43</v>
      </c>
      <c r="N59" s="26" t="s">
        <v>47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8">
        <v>46237</v>
      </c>
      <c r="B60" s="25">
        <f t="shared" si="14"/>
        <v>0.49999999999999972</v>
      </c>
      <c r="C60" s="26" t="s">
        <v>42</v>
      </c>
      <c r="D60" s="59" t="s">
        <v>318</v>
      </c>
      <c r="E60" s="120" t="s">
        <v>246</v>
      </c>
      <c r="F60" s="122"/>
      <c r="G60" s="114">
        <v>5</v>
      </c>
      <c r="H60" s="122"/>
      <c r="I60" s="129"/>
      <c r="J60" s="145"/>
      <c r="K60" s="28">
        <f t="shared" si="12"/>
        <v>21</v>
      </c>
      <c r="L60" s="26" t="s">
        <v>20</v>
      </c>
      <c r="M60" s="26" t="s">
        <v>119</v>
      </c>
      <c r="N60" s="26" t="s">
        <v>110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9">
        <v>46237</v>
      </c>
      <c r="B61" s="32">
        <f t="shared" si="14"/>
        <v>0.54166666666666641</v>
      </c>
      <c r="C61" s="26" t="s">
        <v>42</v>
      </c>
      <c r="D61" s="59" t="s">
        <v>318</v>
      </c>
      <c r="E61" s="120" t="s">
        <v>246</v>
      </c>
      <c r="F61" s="122"/>
      <c r="G61" s="114">
        <v>6</v>
      </c>
      <c r="H61" s="122"/>
      <c r="I61" s="129"/>
      <c r="J61" s="145"/>
      <c r="K61" s="34">
        <f t="shared" si="12"/>
        <v>25.200000000000003</v>
      </c>
      <c r="L61" s="33" t="s">
        <v>20</v>
      </c>
      <c r="M61" s="33" t="s">
        <v>43</v>
      </c>
      <c r="N61" s="33" t="s">
        <v>47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8">
        <v>46237</v>
      </c>
      <c r="B62" s="25">
        <f t="shared" si="14"/>
        <v>0.58333333333333304</v>
      </c>
      <c r="C62" s="26" t="s">
        <v>42</v>
      </c>
      <c r="D62" s="59" t="s">
        <v>318</v>
      </c>
      <c r="E62" s="120" t="s">
        <v>246</v>
      </c>
      <c r="F62" s="122"/>
      <c r="G62" s="114">
        <v>0</v>
      </c>
      <c r="H62" s="122"/>
      <c r="I62" s="129"/>
      <c r="J62" s="145"/>
      <c r="K62" s="28">
        <f t="shared" si="12"/>
        <v>0</v>
      </c>
      <c r="L62" s="26" t="s">
        <v>18</v>
      </c>
      <c r="M62" s="26"/>
      <c r="N62" s="26" t="s">
        <v>126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277</v>
      </c>
      <c r="S62" s="31"/>
    </row>
    <row r="63" spans="1:20" ht="15" customHeight="1" x14ac:dyDescent="0.3">
      <c r="A63" s="69">
        <v>46237</v>
      </c>
      <c r="B63" s="32">
        <f t="shared" si="14"/>
        <v>0.62499999999999967</v>
      </c>
      <c r="C63" s="26" t="s">
        <v>42</v>
      </c>
      <c r="D63" s="59" t="s">
        <v>318</v>
      </c>
      <c r="E63" s="120" t="s">
        <v>246</v>
      </c>
      <c r="F63" s="122"/>
      <c r="G63" s="114">
        <v>0</v>
      </c>
      <c r="H63" s="122"/>
      <c r="I63" s="129"/>
      <c r="J63" s="145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8">
        <v>46237</v>
      </c>
      <c r="B64" s="25">
        <f t="shared" si="14"/>
        <v>0.6666666666666663</v>
      </c>
      <c r="C64" s="26" t="s">
        <v>42</v>
      </c>
      <c r="D64" s="59" t="s">
        <v>318</v>
      </c>
      <c r="E64" s="120" t="s">
        <v>246</v>
      </c>
      <c r="F64" s="122"/>
      <c r="G64" s="114">
        <v>10</v>
      </c>
      <c r="H64" s="122"/>
      <c r="I64" s="129"/>
      <c r="J64" s="145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9">
        <v>46237</v>
      </c>
      <c r="B65" s="32">
        <f t="shared" si="14"/>
        <v>0.70833333333333293</v>
      </c>
      <c r="C65" s="26" t="s">
        <v>42</v>
      </c>
      <c r="D65" s="59" t="s">
        <v>318</v>
      </c>
      <c r="E65" s="120" t="s">
        <v>246</v>
      </c>
      <c r="F65" s="122"/>
      <c r="G65" s="114">
        <v>5</v>
      </c>
      <c r="H65" s="122"/>
      <c r="I65" s="129"/>
      <c r="J65" s="145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8">
        <v>46237</v>
      </c>
      <c r="B66" s="25">
        <f t="shared" si="14"/>
        <v>0.74999999999999956</v>
      </c>
      <c r="C66" s="26" t="s">
        <v>42</v>
      </c>
      <c r="D66" s="59" t="s">
        <v>318</v>
      </c>
      <c r="E66" s="120" t="s">
        <v>246</v>
      </c>
      <c r="F66" s="122"/>
      <c r="G66" s="114">
        <v>5</v>
      </c>
      <c r="H66" s="122"/>
      <c r="I66" s="129"/>
      <c r="J66" s="145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9">
        <v>46237</v>
      </c>
      <c r="B67" s="32">
        <f t="shared" si="14"/>
        <v>0.79166666666666619</v>
      </c>
      <c r="C67" s="26" t="s">
        <v>42</v>
      </c>
      <c r="D67" s="59" t="s">
        <v>318</v>
      </c>
      <c r="E67" s="120" t="s">
        <v>246</v>
      </c>
      <c r="F67" s="118"/>
      <c r="G67" s="114">
        <v>1</v>
      </c>
      <c r="H67" s="118"/>
      <c r="I67" s="130"/>
      <c r="J67" s="146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68" t="s">
        <v>231</v>
      </c>
      <c r="B68" s="169"/>
      <c r="C68" s="169"/>
      <c r="D68" s="169"/>
      <c r="E68" s="169">
        <f>SUM(E56:E67)</f>
        <v>0</v>
      </c>
      <c r="F68" s="123"/>
      <c r="G68" s="88">
        <f>SUM(G56:G67)</f>
        <v>50</v>
      </c>
      <c r="H68" s="123"/>
      <c r="I68" s="131"/>
      <c r="J68" s="147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232</v>
      </c>
      <c r="S68" s="39">
        <v>221380</v>
      </c>
      <c r="T68" s="141">
        <f>IFERROR(J68,"")</f>
        <v>0</v>
      </c>
    </row>
    <row r="69" spans="1:20" ht="15" customHeight="1" x14ac:dyDescent="0.3">
      <c r="A69" s="69">
        <v>46237</v>
      </c>
      <c r="B69" s="32">
        <v>0.83333333333333304</v>
      </c>
      <c r="C69" s="33" t="s">
        <v>28</v>
      </c>
      <c r="D69" s="62" t="s">
        <v>317</v>
      </c>
      <c r="E69" s="121" t="s">
        <v>246</v>
      </c>
      <c r="F69" s="119"/>
      <c r="G69" s="114">
        <v>6</v>
      </c>
      <c r="H69" s="119"/>
      <c r="I69" s="132"/>
      <c r="J69" s="148"/>
      <c r="K69" s="34">
        <f t="shared" ref="K69:K80" si="15">IF(G69="","",IF(E69="PC 17",G69*4.2,IF(E69="PC 19",G69*5,IF(E69="CB",G69*24,""))))</f>
        <v>25.200000000000003</v>
      </c>
      <c r="L69" s="33" t="s">
        <v>20</v>
      </c>
      <c r="M69" s="33" t="s">
        <v>43</v>
      </c>
      <c r="N69" s="33" t="s">
        <v>52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278</v>
      </c>
      <c r="S69" s="31"/>
    </row>
    <row r="70" spans="1:20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28</v>
      </c>
      <c r="D70" s="62" t="s">
        <v>317</v>
      </c>
      <c r="E70" s="121" t="s">
        <v>246</v>
      </c>
      <c r="F70" s="122"/>
      <c r="G70" s="114">
        <v>9</v>
      </c>
      <c r="H70" s="122"/>
      <c r="I70" s="129"/>
      <c r="J70" s="145"/>
      <c r="K70" s="28">
        <f t="shared" si="15"/>
        <v>37.800000000000004</v>
      </c>
      <c r="L70" s="26" t="s">
        <v>20</v>
      </c>
      <c r="M70" s="26" t="s">
        <v>145</v>
      </c>
      <c r="N70" s="26" t="s">
        <v>181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9">
        <v>46237</v>
      </c>
      <c r="B71" s="32">
        <f t="shared" si="17"/>
        <v>0.9166666666666663</v>
      </c>
      <c r="C71" s="33" t="s">
        <v>28</v>
      </c>
      <c r="D71" s="62" t="s">
        <v>317</v>
      </c>
      <c r="E71" s="121" t="s">
        <v>246</v>
      </c>
      <c r="F71" s="122"/>
      <c r="G71" s="114">
        <v>9</v>
      </c>
      <c r="H71" s="122"/>
      <c r="I71" s="129"/>
      <c r="J71" s="145"/>
      <c r="K71" s="34">
        <f t="shared" si="15"/>
        <v>37.800000000000004</v>
      </c>
      <c r="L71" s="33" t="s">
        <v>20</v>
      </c>
      <c r="M71" s="33" t="s">
        <v>153</v>
      </c>
      <c r="N71" s="33" t="s">
        <v>70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8">
        <v>46237</v>
      </c>
      <c r="B72" s="25">
        <f t="shared" si="17"/>
        <v>0.95833333333333293</v>
      </c>
      <c r="C72" s="33" t="s">
        <v>28</v>
      </c>
      <c r="D72" s="62" t="s">
        <v>317</v>
      </c>
      <c r="E72" s="121" t="s">
        <v>246</v>
      </c>
      <c r="F72" s="122"/>
      <c r="G72" s="114">
        <v>0</v>
      </c>
      <c r="H72" s="122"/>
      <c r="I72" s="129"/>
      <c r="J72" s="145"/>
      <c r="K72" s="28">
        <f t="shared" si="15"/>
        <v>0</v>
      </c>
      <c r="L72" s="26" t="s">
        <v>20</v>
      </c>
      <c r="M72" s="26" t="s">
        <v>153</v>
      </c>
      <c r="N72" s="26" t="s">
        <v>70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9">
        <v>46237</v>
      </c>
      <c r="B73" s="32">
        <f t="shared" si="17"/>
        <v>0.99999999999999956</v>
      </c>
      <c r="C73" s="33" t="s">
        <v>28</v>
      </c>
      <c r="D73" s="62" t="s">
        <v>317</v>
      </c>
      <c r="E73" s="121" t="s">
        <v>246</v>
      </c>
      <c r="F73" s="122"/>
      <c r="G73" s="114">
        <v>7</v>
      </c>
      <c r="H73" s="122"/>
      <c r="I73" s="129"/>
      <c r="J73" s="145"/>
      <c r="K73" s="34">
        <f t="shared" si="15"/>
        <v>29.400000000000002</v>
      </c>
      <c r="L73" s="33" t="s">
        <v>20</v>
      </c>
      <c r="M73" s="33" t="s">
        <v>153</v>
      </c>
      <c r="N73" s="33" t="s">
        <v>70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8">
        <v>46237</v>
      </c>
      <c r="B74" s="25">
        <f t="shared" si="17"/>
        <v>1.0416666666666663</v>
      </c>
      <c r="C74" s="33" t="s">
        <v>28</v>
      </c>
      <c r="D74" s="62" t="s">
        <v>317</v>
      </c>
      <c r="E74" s="121" t="s">
        <v>246</v>
      </c>
      <c r="F74" s="122"/>
      <c r="G74" s="114">
        <v>0</v>
      </c>
      <c r="H74" s="122"/>
      <c r="I74" s="129"/>
      <c r="J74" s="145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9">
        <v>46237</v>
      </c>
      <c r="B75" s="32">
        <f t="shared" si="17"/>
        <v>1.083333333333333</v>
      </c>
      <c r="C75" s="33" t="s">
        <v>28</v>
      </c>
      <c r="D75" s="62" t="s">
        <v>317</v>
      </c>
      <c r="E75" s="121" t="s">
        <v>246</v>
      </c>
      <c r="F75" s="122"/>
      <c r="G75" s="114">
        <v>0</v>
      </c>
      <c r="H75" s="122"/>
      <c r="I75" s="129"/>
      <c r="J75" s="145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8">
        <v>46237</v>
      </c>
      <c r="B76" s="25">
        <f t="shared" si="17"/>
        <v>1.1249999999999998</v>
      </c>
      <c r="C76" s="33" t="s">
        <v>28</v>
      </c>
      <c r="D76" s="62" t="s">
        <v>317</v>
      </c>
      <c r="E76" s="121" t="s">
        <v>246</v>
      </c>
      <c r="F76" s="122"/>
      <c r="G76" s="114">
        <v>6</v>
      </c>
      <c r="H76" s="122"/>
      <c r="I76" s="129"/>
      <c r="J76" s="145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9">
        <v>46237</v>
      </c>
      <c r="B77" s="32">
        <f t="shared" si="17"/>
        <v>1.1666666666666665</v>
      </c>
      <c r="C77" s="33" t="s">
        <v>28</v>
      </c>
      <c r="D77" s="62" t="s">
        <v>317</v>
      </c>
      <c r="E77" s="121" t="s">
        <v>246</v>
      </c>
      <c r="F77" s="122"/>
      <c r="G77" s="114">
        <v>0</v>
      </c>
      <c r="H77" s="122"/>
      <c r="I77" s="129"/>
      <c r="J77" s="145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8">
        <v>46237</v>
      </c>
      <c r="B78" s="25">
        <f t="shared" si="17"/>
        <v>1.2083333333333333</v>
      </c>
      <c r="C78" s="33" t="s">
        <v>28</v>
      </c>
      <c r="D78" s="62" t="s">
        <v>317</v>
      </c>
      <c r="E78" s="121" t="s">
        <v>246</v>
      </c>
      <c r="F78" s="122"/>
      <c r="G78" s="114">
        <v>0</v>
      </c>
      <c r="H78" s="122"/>
      <c r="I78" s="129"/>
      <c r="J78" s="145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9">
        <v>46237</v>
      </c>
      <c r="B79" s="32">
        <f t="shared" si="17"/>
        <v>1.25</v>
      </c>
      <c r="C79" s="33" t="s">
        <v>28</v>
      </c>
      <c r="D79" s="62" t="s">
        <v>316</v>
      </c>
      <c r="E79" s="121"/>
      <c r="F79" s="122"/>
      <c r="G79" s="114">
        <v>0</v>
      </c>
      <c r="H79" s="122"/>
      <c r="I79" s="129"/>
      <c r="J79" s="145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8">
        <v>46237</v>
      </c>
      <c r="B80" s="25">
        <f t="shared" si="17"/>
        <v>1.2916666666666667</v>
      </c>
      <c r="C80" s="33" t="s">
        <v>28</v>
      </c>
      <c r="D80" s="62" t="s">
        <v>316</v>
      </c>
      <c r="E80" s="121"/>
      <c r="F80" s="118"/>
      <c r="G80" s="114">
        <v>5</v>
      </c>
      <c r="H80" s="118"/>
      <c r="I80" s="130"/>
      <c r="J80" s="146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68" t="s">
        <v>234</v>
      </c>
      <c r="B81" s="169"/>
      <c r="C81" s="169"/>
      <c r="D81" s="169"/>
      <c r="E81" s="169">
        <f>SUM(E69:E80)</f>
        <v>0</v>
      </c>
      <c r="F81" s="124"/>
      <c r="G81" s="88">
        <f>SUM(G69:G80)</f>
        <v>42</v>
      </c>
      <c r="H81" s="124"/>
      <c r="I81" s="133"/>
      <c r="J81" s="149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232</v>
      </c>
      <c r="S81" s="39">
        <v>185920</v>
      </c>
      <c r="T81" s="141">
        <f>IFERROR(J81,"")</f>
        <v>0</v>
      </c>
    </row>
    <row r="82" spans="1:20" ht="18" customHeight="1" x14ac:dyDescent="0.3">
      <c r="A82" s="165" t="s">
        <v>235</v>
      </c>
      <c r="B82" s="166"/>
      <c r="C82" s="166"/>
      <c r="D82" s="166"/>
      <c r="E82" s="166">
        <f>E68+E81</f>
        <v>0</v>
      </c>
      <c r="F82" s="125"/>
      <c r="G82" s="100">
        <f>G68+G81</f>
        <v>92</v>
      </c>
      <c r="H82" s="125"/>
      <c r="I82" s="134"/>
      <c r="J82" s="150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236</v>
      </c>
      <c r="S82" s="43">
        <f>IFERROR(S68+S81,"")</f>
        <v>407300</v>
      </c>
      <c r="T82" s="142">
        <f>IFERROR(J82,"")</f>
        <v>0</v>
      </c>
    </row>
    <row r="83" spans="1:20" ht="15" customHeight="1" x14ac:dyDescent="0.3">
      <c r="A83" s="68">
        <v>46238</v>
      </c>
      <c r="B83" s="25">
        <v>0.33333333333333298</v>
      </c>
      <c r="C83" s="26" t="s">
        <v>42</v>
      </c>
      <c r="D83" s="59" t="s">
        <v>316</v>
      </c>
      <c r="E83" s="120" t="s">
        <v>246</v>
      </c>
      <c r="F83" s="119"/>
      <c r="G83" s="114">
        <v>7</v>
      </c>
      <c r="H83" s="119"/>
      <c r="I83" s="132"/>
      <c r="J83" s="148"/>
      <c r="K83" s="28">
        <f t="shared" ref="K83:K94" si="18">IF(G83="","",IF(E83="PC 17",G83*4.2,IF(E83="PC 19",G83*5,IF(E83="CB",G83*24,""))))</f>
        <v>29.400000000000002</v>
      </c>
      <c r="L83" s="33" t="s">
        <v>20</v>
      </c>
      <c r="M83" s="33" t="s">
        <v>43</v>
      </c>
      <c r="N83" s="33" t="s">
        <v>52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279</v>
      </c>
      <c r="S83" s="31"/>
    </row>
    <row r="84" spans="1:20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42</v>
      </c>
      <c r="D84" s="59" t="s">
        <v>316</v>
      </c>
      <c r="E84" s="120" t="s">
        <v>246</v>
      </c>
      <c r="F84" s="122"/>
      <c r="G84" s="114">
        <v>0</v>
      </c>
      <c r="H84" s="122"/>
      <c r="I84" s="129"/>
      <c r="J84" s="145"/>
      <c r="K84" s="34">
        <f t="shared" si="18"/>
        <v>0</v>
      </c>
      <c r="L84" s="26" t="s">
        <v>18</v>
      </c>
      <c r="M84" s="26" t="s">
        <v>134</v>
      </c>
      <c r="N84" s="26" t="s">
        <v>114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280</v>
      </c>
      <c r="S84" s="31"/>
    </row>
    <row r="85" spans="1:20" ht="15" customHeight="1" x14ac:dyDescent="0.3">
      <c r="A85" s="68">
        <v>46238</v>
      </c>
      <c r="B85" s="25">
        <f t="shared" si="20"/>
        <v>0.41666666666666635</v>
      </c>
      <c r="C85" s="26" t="s">
        <v>42</v>
      </c>
      <c r="D85" s="59" t="s">
        <v>316</v>
      </c>
      <c r="E85" s="120" t="s">
        <v>246</v>
      </c>
      <c r="F85" s="122"/>
      <c r="G85" s="114">
        <v>5</v>
      </c>
      <c r="H85" s="122"/>
      <c r="I85" s="129"/>
      <c r="J85" s="145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9">
        <v>46238</v>
      </c>
      <c r="B86" s="32">
        <f t="shared" si="20"/>
        <v>0.45833333333333304</v>
      </c>
      <c r="C86" s="26" t="s">
        <v>42</v>
      </c>
      <c r="D86" s="59" t="s">
        <v>316</v>
      </c>
      <c r="E86" s="120" t="s">
        <v>246</v>
      </c>
      <c r="F86" s="122"/>
      <c r="G86" s="114">
        <v>12</v>
      </c>
      <c r="H86" s="122"/>
      <c r="I86" s="129"/>
      <c r="J86" s="145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8">
        <v>46238</v>
      </c>
      <c r="B87" s="25">
        <f t="shared" si="20"/>
        <v>0.49999999999999972</v>
      </c>
      <c r="C87" s="26" t="s">
        <v>42</v>
      </c>
      <c r="D87" s="59" t="s">
        <v>316</v>
      </c>
      <c r="E87" s="120" t="s">
        <v>246</v>
      </c>
      <c r="F87" s="122"/>
      <c r="G87" s="114">
        <v>6</v>
      </c>
      <c r="H87" s="122"/>
      <c r="I87" s="129"/>
      <c r="J87" s="145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9">
        <v>46238</v>
      </c>
      <c r="B88" s="32">
        <f t="shared" si="20"/>
        <v>0.54166666666666641</v>
      </c>
      <c r="C88" s="26" t="s">
        <v>42</v>
      </c>
      <c r="D88" s="59" t="s">
        <v>316</v>
      </c>
      <c r="E88" s="120" t="s">
        <v>246</v>
      </c>
      <c r="F88" s="122"/>
      <c r="G88" s="114">
        <v>5</v>
      </c>
      <c r="H88" s="122"/>
      <c r="I88" s="129"/>
      <c r="J88" s="145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8">
        <v>46238</v>
      </c>
      <c r="B89" s="25">
        <f t="shared" si="20"/>
        <v>0.58333333333333304</v>
      </c>
      <c r="C89" s="26" t="s">
        <v>42</v>
      </c>
      <c r="D89" s="59" t="s">
        <v>316</v>
      </c>
      <c r="E89" s="120" t="s">
        <v>246</v>
      </c>
      <c r="F89" s="122"/>
      <c r="G89" s="114">
        <v>7</v>
      </c>
      <c r="H89" s="122"/>
      <c r="I89" s="129"/>
      <c r="J89" s="145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9">
        <v>46238</v>
      </c>
      <c r="B90" s="32">
        <f t="shared" si="20"/>
        <v>0.62499999999999967</v>
      </c>
      <c r="C90" s="26" t="s">
        <v>42</v>
      </c>
      <c r="D90" s="59" t="s">
        <v>316</v>
      </c>
      <c r="E90" s="120" t="s">
        <v>246</v>
      </c>
      <c r="F90" s="122"/>
      <c r="G90" s="114">
        <v>0</v>
      </c>
      <c r="H90" s="122"/>
      <c r="I90" s="129"/>
      <c r="J90" s="145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8">
        <v>46238</v>
      </c>
      <c r="B91" s="25">
        <f t="shared" si="20"/>
        <v>0.6666666666666663</v>
      </c>
      <c r="C91" s="26" t="s">
        <v>42</v>
      </c>
      <c r="D91" s="59" t="s">
        <v>316</v>
      </c>
      <c r="E91" s="120" t="s">
        <v>246</v>
      </c>
      <c r="F91" s="122"/>
      <c r="G91" s="114">
        <v>0</v>
      </c>
      <c r="H91" s="122"/>
      <c r="I91" s="129"/>
      <c r="J91" s="145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9">
        <v>46238</v>
      </c>
      <c r="B92" s="32">
        <f t="shared" si="20"/>
        <v>0.70833333333333293</v>
      </c>
      <c r="C92" s="26" t="s">
        <v>42</v>
      </c>
      <c r="D92" s="59" t="s">
        <v>316</v>
      </c>
      <c r="E92" s="120" t="s">
        <v>246</v>
      </c>
      <c r="F92" s="122"/>
      <c r="G92" s="114">
        <v>3</v>
      </c>
      <c r="H92" s="122"/>
      <c r="I92" s="129"/>
      <c r="J92" s="145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8">
        <v>46238</v>
      </c>
      <c r="B93" s="25">
        <f t="shared" si="20"/>
        <v>0.74999999999999956</v>
      </c>
      <c r="C93" s="26" t="s">
        <v>42</v>
      </c>
      <c r="D93" s="59" t="s">
        <v>316</v>
      </c>
      <c r="E93" s="120" t="s">
        <v>246</v>
      </c>
      <c r="F93" s="122"/>
      <c r="G93" s="114">
        <v>1</v>
      </c>
      <c r="H93" s="122"/>
      <c r="I93" s="129"/>
      <c r="J93" s="145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9">
        <v>46238</v>
      </c>
      <c r="B94" s="32">
        <f t="shared" si="20"/>
        <v>0.79166666666666619</v>
      </c>
      <c r="C94" s="26" t="s">
        <v>42</v>
      </c>
      <c r="D94" s="59" t="s">
        <v>316</v>
      </c>
      <c r="E94" s="120" t="s">
        <v>246</v>
      </c>
      <c r="F94" s="118"/>
      <c r="G94" s="114">
        <v>2</v>
      </c>
      <c r="H94" s="118"/>
      <c r="I94" s="130"/>
      <c r="J94" s="146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68" t="s">
        <v>231</v>
      </c>
      <c r="B95" s="169"/>
      <c r="C95" s="169"/>
      <c r="D95" s="169"/>
      <c r="E95" s="169">
        <f>SUM(E83:E94)</f>
        <v>0</v>
      </c>
      <c r="F95" s="123"/>
      <c r="G95" s="88">
        <f>SUM(G83:G94)</f>
        <v>48</v>
      </c>
      <c r="H95" s="123"/>
      <c r="I95" s="131"/>
      <c r="J95" s="147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232</v>
      </c>
      <c r="S95" s="39">
        <v>204160</v>
      </c>
      <c r="T95" s="141">
        <f>IFERROR(J95,"")</f>
        <v>0</v>
      </c>
    </row>
    <row r="96" spans="1:20" ht="15" customHeight="1" x14ac:dyDescent="0.3">
      <c r="A96" s="69">
        <v>46238</v>
      </c>
      <c r="B96" s="32">
        <v>0.83333333333333304</v>
      </c>
      <c r="C96" s="33" t="s">
        <v>28</v>
      </c>
      <c r="D96" s="62" t="s">
        <v>316</v>
      </c>
      <c r="E96" s="121" t="s">
        <v>246</v>
      </c>
      <c r="F96" s="119"/>
      <c r="G96" s="114">
        <v>5</v>
      </c>
      <c r="H96" s="119"/>
      <c r="I96" s="132"/>
      <c r="J96" s="148"/>
      <c r="K96" s="34">
        <f t="shared" ref="K96:K107" si="21">IF(G96="","",IF(E96="PC 17",G96*4.2,IF(E96="PC 19",G96*5,IF(E96="CB",G96*24,""))))</f>
        <v>21</v>
      </c>
      <c r="L96" s="26" t="s">
        <v>18</v>
      </c>
      <c r="M96" s="26" t="s">
        <v>134</v>
      </c>
      <c r="N96" s="26" t="s">
        <v>114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28</v>
      </c>
      <c r="D97" s="62" t="s">
        <v>316</v>
      </c>
      <c r="E97" s="121" t="s">
        <v>246</v>
      </c>
      <c r="F97" s="122"/>
      <c r="G97" s="114">
        <v>0</v>
      </c>
      <c r="H97" s="122"/>
      <c r="I97" s="129"/>
      <c r="J97" s="145"/>
      <c r="K97" s="28">
        <f t="shared" si="21"/>
        <v>0</v>
      </c>
      <c r="L97" s="33" t="s">
        <v>18</v>
      </c>
      <c r="M97" s="33" t="s">
        <v>134</v>
      </c>
      <c r="N97" s="33" t="s">
        <v>114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281</v>
      </c>
      <c r="S97" s="31"/>
    </row>
    <row r="98" spans="1:20" ht="15" customHeight="1" x14ac:dyDescent="0.3">
      <c r="A98" s="69">
        <v>46238</v>
      </c>
      <c r="B98" s="32">
        <f t="shared" si="23"/>
        <v>0.9166666666666663</v>
      </c>
      <c r="C98" s="33" t="s">
        <v>28</v>
      </c>
      <c r="D98" s="62" t="s">
        <v>316</v>
      </c>
      <c r="E98" s="121" t="s">
        <v>246</v>
      </c>
      <c r="F98" s="122"/>
      <c r="G98" s="114">
        <v>5</v>
      </c>
      <c r="H98" s="122"/>
      <c r="I98" s="129"/>
      <c r="J98" s="145"/>
      <c r="K98" s="34">
        <f t="shared" si="21"/>
        <v>21</v>
      </c>
      <c r="L98" s="26" t="s">
        <v>19</v>
      </c>
      <c r="M98" s="26" t="s">
        <v>43</v>
      </c>
      <c r="N98" s="26" t="s">
        <v>26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8">
        <v>46238</v>
      </c>
      <c r="B99" s="25">
        <f t="shared" si="23"/>
        <v>0.95833333333333293</v>
      </c>
      <c r="C99" s="33" t="s">
        <v>28</v>
      </c>
      <c r="D99" s="62" t="s">
        <v>316</v>
      </c>
      <c r="E99" s="121" t="s">
        <v>246</v>
      </c>
      <c r="F99" s="122"/>
      <c r="G99" s="114">
        <v>7</v>
      </c>
      <c r="H99" s="122"/>
      <c r="I99" s="129"/>
      <c r="J99" s="145"/>
      <c r="K99" s="28">
        <f t="shared" si="21"/>
        <v>29.400000000000002</v>
      </c>
      <c r="L99" s="33" t="s">
        <v>20</v>
      </c>
      <c r="M99" s="33" t="s">
        <v>153</v>
      </c>
      <c r="N99" s="33" t="s">
        <v>70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9">
        <v>46238</v>
      </c>
      <c r="B100" s="32">
        <f t="shared" si="23"/>
        <v>0.99999999999999956</v>
      </c>
      <c r="C100" s="33" t="s">
        <v>28</v>
      </c>
      <c r="D100" s="62" t="s">
        <v>316</v>
      </c>
      <c r="E100" s="121" t="s">
        <v>246</v>
      </c>
      <c r="F100" s="122"/>
      <c r="G100" s="114">
        <v>7</v>
      </c>
      <c r="H100" s="122"/>
      <c r="I100" s="129"/>
      <c r="J100" s="145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8">
        <v>46238</v>
      </c>
      <c r="B101" s="25">
        <f t="shared" si="23"/>
        <v>1.0416666666666663</v>
      </c>
      <c r="C101" s="33" t="s">
        <v>28</v>
      </c>
      <c r="D101" s="62" t="s">
        <v>316</v>
      </c>
      <c r="E101" s="121" t="s">
        <v>246</v>
      </c>
      <c r="F101" s="122"/>
      <c r="G101" s="114">
        <v>11</v>
      </c>
      <c r="H101" s="122"/>
      <c r="I101" s="129"/>
      <c r="J101" s="145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9">
        <v>46238</v>
      </c>
      <c r="B102" s="32">
        <f t="shared" si="23"/>
        <v>1.083333333333333</v>
      </c>
      <c r="C102" s="33" t="s">
        <v>28</v>
      </c>
      <c r="D102" s="62" t="s">
        <v>316</v>
      </c>
      <c r="E102" s="121" t="s">
        <v>246</v>
      </c>
      <c r="F102" s="122"/>
      <c r="G102" s="114">
        <v>14</v>
      </c>
      <c r="H102" s="122"/>
      <c r="I102" s="129"/>
      <c r="J102" s="145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8">
        <v>46238</v>
      </c>
      <c r="B103" s="25">
        <f t="shared" si="23"/>
        <v>1.1249999999999998</v>
      </c>
      <c r="C103" s="33" t="s">
        <v>28</v>
      </c>
      <c r="D103" s="62" t="s">
        <v>316</v>
      </c>
      <c r="E103" s="121" t="s">
        <v>246</v>
      </c>
      <c r="F103" s="122"/>
      <c r="G103" s="114">
        <v>7</v>
      </c>
      <c r="H103" s="122"/>
      <c r="I103" s="129"/>
      <c r="J103" s="145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9">
        <v>46238</v>
      </c>
      <c r="B104" s="32">
        <f t="shared" si="23"/>
        <v>1.1666666666666665</v>
      </c>
      <c r="C104" s="33" t="s">
        <v>28</v>
      </c>
      <c r="D104" s="62" t="s">
        <v>316</v>
      </c>
      <c r="E104" s="121" t="s">
        <v>246</v>
      </c>
      <c r="F104" s="122"/>
      <c r="G104" s="114">
        <v>12</v>
      </c>
      <c r="H104" s="122"/>
      <c r="I104" s="129"/>
      <c r="J104" s="145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8">
        <v>46238</v>
      </c>
      <c r="B105" s="25">
        <f t="shared" si="23"/>
        <v>1.2083333333333333</v>
      </c>
      <c r="C105" s="33" t="s">
        <v>28</v>
      </c>
      <c r="D105" s="62" t="s">
        <v>316</v>
      </c>
      <c r="E105" s="121" t="s">
        <v>246</v>
      </c>
      <c r="F105" s="122"/>
      <c r="G105" s="114">
        <v>4</v>
      </c>
      <c r="H105" s="122"/>
      <c r="I105" s="129"/>
      <c r="J105" s="145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9">
        <v>46238</v>
      </c>
      <c r="B106" s="32">
        <f t="shared" si="23"/>
        <v>1.25</v>
      </c>
      <c r="C106" s="33" t="s">
        <v>28</v>
      </c>
      <c r="D106" s="62" t="s">
        <v>316</v>
      </c>
      <c r="E106" s="121" t="s">
        <v>246</v>
      </c>
      <c r="F106" s="122"/>
      <c r="G106" s="114">
        <v>7</v>
      </c>
      <c r="H106" s="122"/>
      <c r="I106" s="129"/>
      <c r="J106" s="145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8">
        <v>46238</v>
      </c>
      <c r="B107" s="25">
        <f t="shared" si="23"/>
        <v>1.2916666666666667</v>
      </c>
      <c r="C107" s="33" t="s">
        <v>28</v>
      </c>
      <c r="D107" s="62" t="s">
        <v>316</v>
      </c>
      <c r="E107" s="121" t="s">
        <v>246</v>
      </c>
      <c r="F107" s="118"/>
      <c r="G107" s="114">
        <v>10</v>
      </c>
      <c r="H107" s="118"/>
      <c r="I107" s="130"/>
      <c r="J107" s="146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68" t="s">
        <v>234</v>
      </c>
      <c r="B108" s="169"/>
      <c r="C108" s="169"/>
      <c r="D108" s="169"/>
      <c r="E108" s="169">
        <f>SUM(E96:E107)</f>
        <v>0</v>
      </c>
      <c r="F108" s="124"/>
      <c r="G108" s="88">
        <f>SUM(G96:G107)</f>
        <v>89</v>
      </c>
      <c r="H108" s="124"/>
      <c r="I108" s="133"/>
      <c r="J108" s="149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232</v>
      </c>
      <c r="S108" s="39">
        <v>434370</v>
      </c>
      <c r="T108" s="141">
        <f>IFERROR(J108,"")</f>
        <v>0</v>
      </c>
    </row>
    <row r="109" spans="1:20" ht="18" customHeight="1" x14ac:dyDescent="0.3">
      <c r="A109" s="165" t="s">
        <v>235</v>
      </c>
      <c r="B109" s="166"/>
      <c r="C109" s="166"/>
      <c r="D109" s="166"/>
      <c r="E109" s="166">
        <f>E95+E108</f>
        <v>0</v>
      </c>
      <c r="F109" s="125"/>
      <c r="G109" s="100">
        <f>G95+G108</f>
        <v>137</v>
      </c>
      <c r="H109" s="125"/>
      <c r="I109" s="134"/>
      <c r="J109" s="150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236</v>
      </c>
      <c r="S109" s="43">
        <f>IFERROR(S95+S108,"")</f>
        <v>638530</v>
      </c>
      <c r="T109" s="142">
        <f>IFERROR(J109,"")</f>
        <v>0</v>
      </c>
    </row>
    <row r="110" spans="1:20" ht="15" customHeight="1" x14ac:dyDescent="0.3">
      <c r="A110" s="68">
        <v>46239</v>
      </c>
      <c r="B110" s="25">
        <v>0.33333333333333298</v>
      </c>
      <c r="C110" s="26" t="s">
        <v>42</v>
      </c>
      <c r="D110" s="59" t="s">
        <v>316</v>
      </c>
      <c r="E110" s="120" t="s">
        <v>246</v>
      </c>
      <c r="F110" s="119"/>
      <c r="G110" s="114">
        <v>4</v>
      </c>
      <c r="H110" s="119"/>
      <c r="I110" s="132"/>
      <c r="J110" s="148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42</v>
      </c>
      <c r="D111" s="59" t="s">
        <v>316</v>
      </c>
      <c r="E111" s="120" t="s">
        <v>246</v>
      </c>
      <c r="F111" s="122"/>
      <c r="G111" s="114">
        <v>6</v>
      </c>
      <c r="H111" s="122"/>
      <c r="I111" s="129"/>
      <c r="J111" s="145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8">
        <v>46239</v>
      </c>
      <c r="B112" s="25">
        <f t="shared" si="26"/>
        <v>0.41666666666666635</v>
      </c>
      <c r="C112" s="26" t="s">
        <v>42</v>
      </c>
      <c r="D112" s="59" t="s">
        <v>316</v>
      </c>
      <c r="E112" s="120" t="s">
        <v>246</v>
      </c>
      <c r="F112" s="122"/>
      <c r="G112" s="114">
        <v>5</v>
      </c>
      <c r="H112" s="122"/>
      <c r="I112" s="129"/>
      <c r="J112" s="145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9">
        <v>46239</v>
      </c>
      <c r="B113" s="32">
        <f t="shared" si="26"/>
        <v>0.45833333333333304</v>
      </c>
      <c r="C113" s="26" t="s">
        <v>42</v>
      </c>
      <c r="D113" s="59" t="s">
        <v>316</v>
      </c>
      <c r="E113" s="120" t="s">
        <v>246</v>
      </c>
      <c r="F113" s="122"/>
      <c r="G113" s="114">
        <v>11</v>
      </c>
      <c r="H113" s="122"/>
      <c r="I113" s="129"/>
      <c r="J113" s="145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8">
        <v>46239</v>
      </c>
      <c r="B114" s="25">
        <f t="shared" si="26"/>
        <v>0.49999999999999972</v>
      </c>
      <c r="C114" s="26" t="s">
        <v>42</v>
      </c>
      <c r="D114" s="59" t="s">
        <v>316</v>
      </c>
      <c r="E114" s="120" t="s">
        <v>246</v>
      </c>
      <c r="F114" s="122"/>
      <c r="G114" s="114">
        <v>6</v>
      </c>
      <c r="H114" s="122"/>
      <c r="I114" s="129"/>
      <c r="J114" s="145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9">
        <v>46239</v>
      </c>
      <c r="B115" s="32">
        <f t="shared" si="26"/>
        <v>0.54166666666666641</v>
      </c>
      <c r="C115" s="26" t="s">
        <v>42</v>
      </c>
      <c r="D115" s="59" t="s">
        <v>316</v>
      </c>
      <c r="E115" s="120" t="s">
        <v>246</v>
      </c>
      <c r="F115" s="122"/>
      <c r="G115" s="114">
        <v>6</v>
      </c>
      <c r="H115" s="122"/>
      <c r="I115" s="129"/>
      <c r="J115" s="145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8">
        <v>46239</v>
      </c>
      <c r="B116" s="25">
        <f t="shared" si="26"/>
        <v>0.58333333333333304</v>
      </c>
      <c r="C116" s="26" t="s">
        <v>42</v>
      </c>
      <c r="D116" s="59" t="s">
        <v>316</v>
      </c>
      <c r="E116" s="120" t="s">
        <v>246</v>
      </c>
      <c r="F116" s="122"/>
      <c r="G116" s="114">
        <v>12</v>
      </c>
      <c r="H116" s="122"/>
      <c r="I116" s="129"/>
      <c r="J116" s="145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9">
        <v>46239</v>
      </c>
      <c r="B117" s="32">
        <f t="shared" si="26"/>
        <v>0.62499999999999967</v>
      </c>
      <c r="C117" s="26" t="s">
        <v>42</v>
      </c>
      <c r="D117" s="59" t="s">
        <v>316</v>
      </c>
      <c r="E117" s="120" t="s">
        <v>246</v>
      </c>
      <c r="F117" s="122"/>
      <c r="G117" s="114">
        <v>5</v>
      </c>
      <c r="H117" s="122"/>
      <c r="I117" s="129"/>
      <c r="J117" s="145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8">
        <v>46239</v>
      </c>
      <c r="B118" s="25">
        <f t="shared" si="26"/>
        <v>0.6666666666666663</v>
      </c>
      <c r="C118" s="26" t="s">
        <v>42</v>
      </c>
      <c r="D118" s="59" t="s">
        <v>316</v>
      </c>
      <c r="E118" s="120" t="s">
        <v>246</v>
      </c>
      <c r="F118" s="122"/>
      <c r="G118" s="114">
        <v>7</v>
      </c>
      <c r="H118" s="122"/>
      <c r="I118" s="129"/>
      <c r="J118" s="145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9">
        <v>46239</v>
      </c>
      <c r="B119" s="32">
        <f t="shared" si="26"/>
        <v>0.70833333333333293</v>
      </c>
      <c r="C119" s="26" t="s">
        <v>42</v>
      </c>
      <c r="D119" s="59" t="s">
        <v>316</v>
      </c>
      <c r="E119" s="120" t="s">
        <v>246</v>
      </c>
      <c r="F119" s="122"/>
      <c r="G119" s="114">
        <v>9</v>
      </c>
      <c r="H119" s="122"/>
      <c r="I119" s="129"/>
      <c r="J119" s="145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8">
        <v>46239</v>
      </c>
      <c r="B120" s="25">
        <f t="shared" si="26"/>
        <v>0.74999999999999956</v>
      </c>
      <c r="C120" s="26" t="s">
        <v>42</v>
      </c>
      <c r="D120" s="59" t="s">
        <v>316</v>
      </c>
      <c r="E120" s="120" t="s">
        <v>246</v>
      </c>
      <c r="F120" s="122"/>
      <c r="G120" s="114">
        <v>6</v>
      </c>
      <c r="H120" s="122"/>
      <c r="I120" s="129"/>
      <c r="J120" s="145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9">
        <v>46239</v>
      </c>
      <c r="B121" s="32">
        <f t="shared" si="26"/>
        <v>0.79166666666666619</v>
      </c>
      <c r="C121" s="26" t="s">
        <v>42</v>
      </c>
      <c r="D121" s="59" t="s">
        <v>316</v>
      </c>
      <c r="E121" s="120" t="s">
        <v>246</v>
      </c>
      <c r="F121" s="118"/>
      <c r="G121" s="114">
        <v>1</v>
      </c>
      <c r="H121" s="118"/>
      <c r="I121" s="130"/>
      <c r="J121" s="146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68" t="s">
        <v>231</v>
      </c>
      <c r="B122" s="169"/>
      <c r="C122" s="169"/>
      <c r="D122" s="169"/>
      <c r="E122" s="169">
        <f>SUM(E110:E121)</f>
        <v>0</v>
      </c>
      <c r="F122" s="123"/>
      <c r="G122" s="88">
        <f>SUM(G110:G121)</f>
        <v>78</v>
      </c>
      <c r="H122" s="123"/>
      <c r="I122" s="131"/>
      <c r="J122" s="147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232</v>
      </c>
      <c r="S122" s="39">
        <v>320370</v>
      </c>
      <c r="T122" s="141">
        <f>IFERROR(J122,"")</f>
        <v>0</v>
      </c>
    </row>
    <row r="123" spans="1:20" ht="15" customHeight="1" x14ac:dyDescent="0.3">
      <c r="A123" s="69">
        <v>46239</v>
      </c>
      <c r="B123" s="32">
        <v>0.83333333333333304</v>
      </c>
      <c r="C123" s="33" t="s">
        <v>28</v>
      </c>
      <c r="D123" s="62" t="s">
        <v>316</v>
      </c>
      <c r="E123" s="121" t="s">
        <v>246</v>
      </c>
      <c r="F123" s="119"/>
      <c r="G123" s="114">
        <v>15</v>
      </c>
      <c r="H123" s="119"/>
      <c r="I123" s="132"/>
      <c r="J123" s="148"/>
      <c r="K123" s="34">
        <f t="shared" ref="K123:K134" si="27">IF(G123="","",IF(E123="PC 17",G123*4.2,IF(E123="PC 19",G123*5,IF(E123="CB",G123*24,""))))</f>
        <v>63</v>
      </c>
      <c r="L123" s="33" t="s">
        <v>20</v>
      </c>
      <c r="M123" s="33" t="s">
        <v>153</v>
      </c>
      <c r="N123" s="33" t="s">
        <v>70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28</v>
      </c>
      <c r="D124" s="62" t="s">
        <v>316</v>
      </c>
      <c r="E124" s="121" t="s">
        <v>246</v>
      </c>
      <c r="F124" s="122"/>
      <c r="G124" s="114">
        <v>9</v>
      </c>
      <c r="H124" s="122"/>
      <c r="I124" s="129"/>
      <c r="J124" s="145"/>
      <c r="K124" s="28">
        <f t="shared" si="27"/>
        <v>37.800000000000004</v>
      </c>
      <c r="L124" s="26" t="s">
        <v>20</v>
      </c>
      <c r="M124" s="26" t="s">
        <v>153</v>
      </c>
      <c r="N124" s="26" t="s">
        <v>70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9">
        <v>46239</v>
      </c>
      <c r="B125" s="32">
        <f t="shared" si="29"/>
        <v>0.9166666666666663</v>
      </c>
      <c r="C125" s="33" t="s">
        <v>28</v>
      </c>
      <c r="D125" s="62" t="s">
        <v>316</v>
      </c>
      <c r="E125" s="121" t="s">
        <v>246</v>
      </c>
      <c r="F125" s="122"/>
      <c r="G125" s="114">
        <v>0</v>
      </c>
      <c r="H125" s="122"/>
      <c r="I125" s="129"/>
      <c r="J125" s="145"/>
      <c r="K125" s="34">
        <f t="shared" si="27"/>
        <v>0</v>
      </c>
      <c r="L125" s="33" t="s">
        <v>20</v>
      </c>
      <c r="M125" s="33" t="s">
        <v>43</v>
      </c>
      <c r="N125" s="33" t="s">
        <v>52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282</v>
      </c>
      <c r="S125" s="31"/>
    </row>
    <row r="126" spans="1:20" ht="15" customHeight="1" x14ac:dyDescent="0.3">
      <c r="A126" s="68">
        <v>46239</v>
      </c>
      <c r="B126" s="25">
        <f t="shared" si="29"/>
        <v>0.95833333333333293</v>
      </c>
      <c r="C126" s="33" t="s">
        <v>28</v>
      </c>
      <c r="D126" s="62" t="s">
        <v>316</v>
      </c>
      <c r="E126" s="121" t="s">
        <v>246</v>
      </c>
      <c r="F126" s="122"/>
      <c r="G126" s="114">
        <v>20</v>
      </c>
      <c r="H126" s="122"/>
      <c r="I126" s="129"/>
      <c r="J126" s="145"/>
      <c r="K126" s="28">
        <f t="shared" si="27"/>
        <v>84</v>
      </c>
      <c r="L126" s="26" t="s">
        <v>19</v>
      </c>
      <c r="M126" s="26" t="s">
        <v>43</v>
      </c>
      <c r="N126" s="26" t="s">
        <v>26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9">
        <v>46239</v>
      </c>
      <c r="B127" s="32">
        <f t="shared" si="29"/>
        <v>0.99999999999999956</v>
      </c>
      <c r="C127" s="33" t="s">
        <v>28</v>
      </c>
      <c r="D127" s="62" t="s">
        <v>316</v>
      </c>
      <c r="E127" s="121" t="s">
        <v>246</v>
      </c>
      <c r="F127" s="122"/>
      <c r="G127" s="114">
        <v>12</v>
      </c>
      <c r="H127" s="122"/>
      <c r="I127" s="129"/>
      <c r="J127" s="145"/>
      <c r="K127" s="34">
        <f t="shared" si="27"/>
        <v>50.400000000000006</v>
      </c>
      <c r="L127" s="33" t="s">
        <v>17</v>
      </c>
      <c r="M127" s="33" t="s">
        <v>131</v>
      </c>
      <c r="N127" s="33" t="s">
        <v>45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8">
        <v>46239</v>
      </c>
      <c r="B128" s="25">
        <f t="shared" si="29"/>
        <v>1.0416666666666663</v>
      </c>
      <c r="C128" s="33" t="s">
        <v>28</v>
      </c>
      <c r="D128" s="62" t="s">
        <v>316</v>
      </c>
      <c r="E128" s="121" t="s">
        <v>246</v>
      </c>
      <c r="F128" s="122"/>
      <c r="G128" s="114">
        <v>10</v>
      </c>
      <c r="H128" s="122"/>
      <c r="I128" s="129"/>
      <c r="J128" s="145"/>
      <c r="K128" s="28">
        <f t="shared" si="27"/>
        <v>42</v>
      </c>
      <c r="L128" s="26" t="s">
        <v>20</v>
      </c>
      <c r="M128" s="26" t="s">
        <v>43</v>
      </c>
      <c r="N128" s="26" t="s">
        <v>34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9">
        <v>46239</v>
      </c>
      <c r="B129" s="32">
        <f t="shared" si="29"/>
        <v>1.083333333333333</v>
      </c>
      <c r="C129" s="33" t="s">
        <v>28</v>
      </c>
      <c r="D129" s="62" t="s">
        <v>316</v>
      </c>
      <c r="E129" s="121" t="s">
        <v>246</v>
      </c>
      <c r="F129" s="122"/>
      <c r="G129" s="114">
        <v>5</v>
      </c>
      <c r="H129" s="122"/>
      <c r="I129" s="129"/>
      <c r="J129" s="145"/>
      <c r="K129" s="34">
        <f t="shared" si="27"/>
        <v>21</v>
      </c>
      <c r="L129" s="33" t="s">
        <v>20</v>
      </c>
      <c r="M129" s="33"/>
      <c r="N129" s="33" t="s">
        <v>127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8">
        <v>46239</v>
      </c>
      <c r="B130" s="25">
        <f t="shared" si="29"/>
        <v>1.1249999999999998</v>
      </c>
      <c r="C130" s="33" t="s">
        <v>28</v>
      </c>
      <c r="D130" s="62" t="s">
        <v>316</v>
      </c>
      <c r="E130" s="121" t="s">
        <v>246</v>
      </c>
      <c r="F130" s="122"/>
      <c r="G130" s="114">
        <v>7</v>
      </c>
      <c r="H130" s="122"/>
      <c r="I130" s="129"/>
      <c r="J130" s="145"/>
      <c r="K130" s="28">
        <f t="shared" si="27"/>
        <v>29.400000000000002</v>
      </c>
      <c r="L130" s="26" t="s">
        <v>20</v>
      </c>
      <c r="M130" s="26" t="s">
        <v>43</v>
      </c>
      <c r="N130" s="26" t="s">
        <v>47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9">
        <v>46239</v>
      </c>
      <c r="B131" s="32">
        <f t="shared" si="29"/>
        <v>1.1666666666666665</v>
      </c>
      <c r="C131" s="33" t="s">
        <v>28</v>
      </c>
      <c r="D131" s="62" t="s">
        <v>316</v>
      </c>
      <c r="E131" s="121" t="s">
        <v>246</v>
      </c>
      <c r="F131" s="122"/>
      <c r="G131" s="114">
        <v>10</v>
      </c>
      <c r="H131" s="122"/>
      <c r="I131" s="129"/>
      <c r="J131" s="145"/>
      <c r="K131" s="34">
        <f t="shared" si="27"/>
        <v>42</v>
      </c>
      <c r="L131" s="33" t="s">
        <v>20</v>
      </c>
      <c r="M131" s="33"/>
      <c r="N131" s="33" t="s">
        <v>194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8">
        <v>46239</v>
      </c>
      <c r="B132" s="25">
        <f t="shared" si="29"/>
        <v>1.2083333333333333</v>
      </c>
      <c r="C132" s="33" t="s">
        <v>28</v>
      </c>
      <c r="D132" s="62" t="s">
        <v>316</v>
      </c>
      <c r="E132" s="121" t="s">
        <v>246</v>
      </c>
      <c r="F132" s="122"/>
      <c r="G132" s="114">
        <v>3</v>
      </c>
      <c r="H132" s="122"/>
      <c r="I132" s="129"/>
      <c r="J132" s="145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9">
        <v>46239</v>
      </c>
      <c r="B133" s="32">
        <f t="shared" si="29"/>
        <v>1.25</v>
      </c>
      <c r="C133" s="33" t="s">
        <v>28</v>
      </c>
      <c r="D133" s="62" t="s">
        <v>316</v>
      </c>
      <c r="E133" s="121" t="s">
        <v>246</v>
      </c>
      <c r="F133" s="122"/>
      <c r="G133" s="114">
        <v>10</v>
      </c>
      <c r="H133" s="122"/>
      <c r="I133" s="129"/>
      <c r="J133" s="145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8">
        <v>46239</v>
      </c>
      <c r="B134" s="25">
        <f t="shared" si="29"/>
        <v>1.2916666666666667</v>
      </c>
      <c r="C134" s="33" t="s">
        <v>28</v>
      </c>
      <c r="D134" s="62" t="s">
        <v>316</v>
      </c>
      <c r="E134" s="121" t="s">
        <v>246</v>
      </c>
      <c r="F134" s="118"/>
      <c r="G134" s="114">
        <v>9</v>
      </c>
      <c r="H134" s="118"/>
      <c r="I134" s="130"/>
      <c r="J134" s="146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68" t="s">
        <v>234</v>
      </c>
      <c r="B135" s="169"/>
      <c r="C135" s="169"/>
      <c r="D135" s="169"/>
      <c r="E135" s="169">
        <f>SUM(E123:E134)</f>
        <v>0</v>
      </c>
      <c r="F135" s="124"/>
      <c r="G135" s="88">
        <f>SUM(G123:G134)</f>
        <v>110</v>
      </c>
      <c r="H135" s="124"/>
      <c r="I135" s="133"/>
      <c r="J135" s="149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232</v>
      </c>
      <c r="S135" s="39">
        <v>416350</v>
      </c>
      <c r="T135" s="141">
        <f>IFERROR(J135,"")</f>
        <v>0</v>
      </c>
    </row>
    <row r="136" spans="1:20" ht="18" customHeight="1" x14ac:dyDescent="0.3">
      <c r="A136" s="165" t="s">
        <v>235</v>
      </c>
      <c r="B136" s="166"/>
      <c r="C136" s="166"/>
      <c r="D136" s="166"/>
      <c r="E136" s="166">
        <f>E122+E135</f>
        <v>0</v>
      </c>
      <c r="F136" s="125"/>
      <c r="G136" s="100">
        <f>G122+G135</f>
        <v>188</v>
      </c>
      <c r="H136" s="125"/>
      <c r="I136" s="134"/>
      <c r="J136" s="150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236</v>
      </c>
      <c r="S136" s="43">
        <f>IFERROR(S122+S135,"")</f>
        <v>736720</v>
      </c>
      <c r="T136" s="142">
        <f>IFERROR(J136,"")</f>
        <v>0</v>
      </c>
    </row>
    <row r="137" spans="1:20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316</v>
      </c>
      <c r="E137" s="121" t="s">
        <v>246</v>
      </c>
      <c r="F137" s="119"/>
      <c r="G137" s="114">
        <v>3</v>
      </c>
      <c r="H137" s="119"/>
      <c r="I137" s="132"/>
      <c r="J137" s="148"/>
      <c r="K137" s="34">
        <f t="shared" ref="K137:K148" si="30">IF(G137="","",IF(E137="PC 17",G137*4.2,IF(E137="PC 19",G137*5,IF(E137="CB",G137*24,""))))</f>
        <v>12.600000000000001</v>
      </c>
      <c r="L137" s="33" t="s">
        <v>19</v>
      </c>
      <c r="M137" s="33" t="s">
        <v>43</v>
      </c>
      <c r="N137" s="33" t="s">
        <v>26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283</v>
      </c>
      <c r="S137" s="31"/>
    </row>
    <row r="138" spans="1:20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316</v>
      </c>
      <c r="E138" s="121" t="s">
        <v>246</v>
      </c>
      <c r="F138" s="122"/>
      <c r="G138" s="114">
        <v>1</v>
      </c>
      <c r="H138" s="122"/>
      <c r="I138" s="129"/>
      <c r="J138" s="145"/>
      <c r="K138" s="28">
        <f t="shared" si="30"/>
        <v>4.2</v>
      </c>
      <c r="L138" s="26" t="s">
        <v>16</v>
      </c>
      <c r="M138" s="26" t="s">
        <v>43</v>
      </c>
      <c r="N138" s="26" t="s">
        <v>106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317</v>
      </c>
      <c r="E139" s="121" t="s">
        <v>246</v>
      </c>
      <c r="F139" s="122"/>
      <c r="G139" s="114">
        <v>5</v>
      </c>
      <c r="H139" s="122"/>
      <c r="I139" s="129"/>
      <c r="J139" s="145"/>
      <c r="K139" s="34">
        <f t="shared" si="30"/>
        <v>21</v>
      </c>
      <c r="L139" s="33" t="s">
        <v>20</v>
      </c>
      <c r="M139" s="33" t="s">
        <v>43</v>
      </c>
      <c r="N139" s="33" t="s">
        <v>200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317</v>
      </c>
      <c r="E140" s="121" t="s">
        <v>246</v>
      </c>
      <c r="F140" s="122"/>
      <c r="G140" s="114">
        <v>0</v>
      </c>
      <c r="H140" s="122"/>
      <c r="I140" s="129"/>
      <c r="J140" s="145"/>
      <c r="K140" s="28">
        <f t="shared" si="30"/>
        <v>0</v>
      </c>
      <c r="L140" s="26" t="s">
        <v>20</v>
      </c>
      <c r="M140" s="26" t="s">
        <v>134</v>
      </c>
      <c r="N140" s="26" t="s">
        <v>70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317</v>
      </c>
      <c r="E141" s="121" t="s">
        <v>246</v>
      </c>
      <c r="F141" s="122"/>
      <c r="G141" s="114">
        <v>3</v>
      </c>
      <c r="H141" s="122"/>
      <c r="I141" s="129"/>
      <c r="J141" s="145"/>
      <c r="K141" s="34">
        <f t="shared" si="30"/>
        <v>12.600000000000001</v>
      </c>
      <c r="L141" s="33" t="s">
        <v>20</v>
      </c>
      <c r="M141" s="33" t="s">
        <v>43</v>
      </c>
      <c r="N141" s="33" t="s">
        <v>47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317</v>
      </c>
      <c r="E142" s="121" t="s">
        <v>246</v>
      </c>
      <c r="F142" s="122"/>
      <c r="G142" s="114">
        <v>0</v>
      </c>
      <c r="H142" s="122"/>
      <c r="I142" s="129"/>
      <c r="J142" s="145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317</v>
      </c>
      <c r="E143" s="121" t="s">
        <v>246</v>
      </c>
      <c r="F143" s="122"/>
      <c r="G143" s="114">
        <v>4</v>
      </c>
      <c r="H143" s="122"/>
      <c r="I143" s="129"/>
      <c r="J143" s="145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317</v>
      </c>
      <c r="E144" s="121" t="s">
        <v>246</v>
      </c>
      <c r="F144" s="122"/>
      <c r="G144" s="114">
        <v>4</v>
      </c>
      <c r="H144" s="122"/>
      <c r="I144" s="129"/>
      <c r="J144" s="145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85" t="s">
        <v>267</v>
      </c>
      <c r="S144" s="31"/>
    </row>
    <row r="145" spans="1:20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317</v>
      </c>
      <c r="E145" s="121" t="s">
        <v>246</v>
      </c>
      <c r="F145" s="122"/>
      <c r="G145" s="114">
        <v>4</v>
      </c>
      <c r="H145" s="122"/>
      <c r="I145" s="129"/>
      <c r="J145" s="145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317</v>
      </c>
      <c r="E146" s="121" t="s">
        <v>246</v>
      </c>
      <c r="F146" s="122"/>
      <c r="G146" s="114">
        <v>6</v>
      </c>
      <c r="H146" s="122"/>
      <c r="I146" s="129"/>
      <c r="J146" s="145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317</v>
      </c>
      <c r="E147" s="121" t="s">
        <v>246</v>
      </c>
      <c r="F147" s="122"/>
      <c r="G147" s="114">
        <v>3</v>
      </c>
      <c r="H147" s="122"/>
      <c r="I147" s="129"/>
      <c r="J147" s="145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8">
        <v>46240</v>
      </c>
      <c r="B148" s="25">
        <f t="shared" si="32"/>
        <v>0.79166666666666619</v>
      </c>
      <c r="C148" s="33" t="s">
        <v>21</v>
      </c>
      <c r="D148" s="62" t="s">
        <v>317</v>
      </c>
      <c r="E148" s="121" t="s">
        <v>246</v>
      </c>
      <c r="F148" s="118"/>
      <c r="G148" s="114">
        <v>0</v>
      </c>
      <c r="H148" s="118"/>
      <c r="I148" s="130"/>
      <c r="J148" s="146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68" t="s">
        <v>231</v>
      </c>
      <c r="B149" s="169"/>
      <c r="C149" s="169"/>
      <c r="D149" s="169"/>
      <c r="E149" s="169">
        <f>SUM(E137:E148)</f>
        <v>0</v>
      </c>
      <c r="F149" s="123"/>
      <c r="G149" s="88">
        <f>SUM(G137:G148)</f>
        <v>33</v>
      </c>
      <c r="H149" s="123"/>
      <c r="I149" s="131"/>
      <c r="J149" s="147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232</v>
      </c>
      <c r="S149" s="39">
        <v>138890</v>
      </c>
      <c r="T149" s="141">
        <f>IFERROR(J149,"")</f>
        <v>0</v>
      </c>
    </row>
    <row r="150" spans="1:20" ht="15" customHeight="1" x14ac:dyDescent="0.3">
      <c r="A150" s="68">
        <v>46240</v>
      </c>
      <c r="B150" s="25">
        <v>0.83333333333333304</v>
      </c>
      <c r="C150" s="26" t="s">
        <v>42</v>
      </c>
      <c r="D150" s="59" t="s">
        <v>317</v>
      </c>
      <c r="E150" s="120" t="s">
        <v>246</v>
      </c>
      <c r="F150" s="119"/>
      <c r="G150" s="114">
        <v>4</v>
      </c>
      <c r="H150" s="119"/>
      <c r="I150" s="132"/>
      <c r="J150" s="148"/>
      <c r="K150" s="28">
        <f t="shared" ref="K150:K161" si="33">IF(G150="","",IF(E150="PC 17",G150*4.2,IF(E150="PC 19",G150*5,IF(E150="CB",G150*24,""))))</f>
        <v>16.8</v>
      </c>
      <c r="L150" s="26" t="s">
        <v>20</v>
      </c>
      <c r="M150" s="26" t="s">
        <v>134</v>
      </c>
      <c r="N150" s="26" t="s">
        <v>70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42</v>
      </c>
      <c r="D151" s="59" t="s">
        <v>317</v>
      </c>
      <c r="E151" s="120" t="s">
        <v>246</v>
      </c>
      <c r="F151" s="122"/>
      <c r="G151" s="114">
        <v>4</v>
      </c>
      <c r="H151" s="122"/>
      <c r="I151" s="129"/>
      <c r="J151" s="145"/>
      <c r="K151" s="34">
        <f t="shared" si="33"/>
        <v>16.8</v>
      </c>
      <c r="L151" s="33" t="s">
        <v>20</v>
      </c>
      <c r="M151" s="33" t="s">
        <v>43</v>
      </c>
      <c r="N151" s="33" t="s">
        <v>52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8">
        <v>46240</v>
      </c>
      <c r="B152" s="25">
        <f t="shared" si="35"/>
        <v>0.9166666666666663</v>
      </c>
      <c r="C152" s="26" t="s">
        <v>42</v>
      </c>
      <c r="D152" s="59" t="s">
        <v>317</v>
      </c>
      <c r="E152" s="120" t="s">
        <v>246</v>
      </c>
      <c r="F152" s="122"/>
      <c r="G152" s="114">
        <v>0</v>
      </c>
      <c r="H152" s="122"/>
      <c r="I152" s="129"/>
      <c r="J152" s="145"/>
      <c r="K152" s="28">
        <f t="shared" si="33"/>
        <v>0</v>
      </c>
      <c r="L152" s="26" t="s">
        <v>20</v>
      </c>
      <c r="M152" s="26" t="s">
        <v>43</v>
      </c>
      <c r="N152" s="26" t="s">
        <v>34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9">
        <v>46240</v>
      </c>
      <c r="B153" s="32">
        <f t="shared" si="35"/>
        <v>0.95833333333333293</v>
      </c>
      <c r="C153" s="26" t="s">
        <v>42</v>
      </c>
      <c r="D153" s="59" t="s">
        <v>317</v>
      </c>
      <c r="E153" s="120" t="s">
        <v>246</v>
      </c>
      <c r="F153" s="122"/>
      <c r="G153" s="114">
        <v>4</v>
      </c>
      <c r="H153" s="122"/>
      <c r="I153" s="129"/>
      <c r="J153" s="145"/>
      <c r="K153" s="34">
        <f t="shared" si="33"/>
        <v>16.8</v>
      </c>
      <c r="L153" s="33" t="s">
        <v>20</v>
      </c>
      <c r="M153" s="33" t="s">
        <v>43</v>
      </c>
      <c r="N153" s="33" t="s">
        <v>34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259</v>
      </c>
      <c r="S153" s="31"/>
    </row>
    <row r="154" spans="1:20" ht="15" customHeight="1" x14ac:dyDescent="0.3">
      <c r="A154" s="68">
        <v>46240</v>
      </c>
      <c r="B154" s="25">
        <f t="shared" si="35"/>
        <v>0.99999999999999956</v>
      </c>
      <c r="C154" s="26" t="s">
        <v>42</v>
      </c>
      <c r="D154" s="59" t="s">
        <v>317</v>
      </c>
      <c r="E154" s="120" t="s">
        <v>246</v>
      </c>
      <c r="F154" s="122"/>
      <c r="G154" s="114">
        <v>10</v>
      </c>
      <c r="H154" s="122"/>
      <c r="I154" s="129"/>
      <c r="J154" s="145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9">
        <v>46240</v>
      </c>
      <c r="B155" s="32">
        <f t="shared" si="35"/>
        <v>1.0416666666666663</v>
      </c>
      <c r="C155" s="26" t="s">
        <v>42</v>
      </c>
      <c r="D155" s="59" t="s">
        <v>317</v>
      </c>
      <c r="E155" s="120" t="s">
        <v>246</v>
      </c>
      <c r="F155" s="122"/>
      <c r="G155" s="114">
        <v>0</v>
      </c>
      <c r="H155" s="122"/>
      <c r="I155" s="129"/>
      <c r="J155" s="145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8">
        <v>46240</v>
      </c>
      <c r="B156" s="25">
        <f t="shared" si="35"/>
        <v>1.083333333333333</v>
      </c>
      <c r="C156" s="26" t="s">
        <v>42</v>
      </c>
      <c r="D156" s="59" t="s">
        <v>317</v>
      </c>
      <c r="E156" s="120" t="s">
        <v>246</v>
      </c>
      <c r="F156" s="122"/>
      <c r="G156" s="114">
        <v>4</v>
      </c>
      <c r="H156" s="122"/>
      <c r="I156" s="129"/>
      <c r="J156" s="145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9">
        <v>46240</v>
      </c>
      <c r="B157" s="32">
        <f t="shared" si="35"/>
        <v>1.1249999999999998</v>
      </c>
      <c r="C157" s="26" t="s">
        <v>42</v>
      </c>
      <c r="D157" s="59" t="s">
        <v>317</v>
      </c>
      <c r="E157" s="120" t="s">
        <v>246</v>
      </c>
      <c r="F157" s="122"/>
      <c r="G157" s="114">
        <v>1</v>
      </c>
      <c r="H157" s="122"/>
      <c r="I157" s="129"/>
      <c r="J157" s="145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8">
        <v>46240</v>
      </c>
      <c r="B158" s="25">
        <f t="shared" si="35"/>
        <v>1.1666666666666665</v>
      </c>
      <c r="C158" s="26" t="s">
        <v>42</v>
      </c>
      <c r="D158" s="59" t="s">
        <v>317</v>
      </c>
      <c r="E158" s="120" t="s">
        <v>246</v>
      </c>
      <c r="F158" s="122"/>
      <c r="G158" s="114">
        <v>6</v>
      </c>
      <c r="H158" s="122"/>
      <c r="I158" s="129"/>
      <c r="J158" s="145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9">
        <v>46240</v>
      </c>
      <c r="B159" s="32">
        <f t="shared" si="35"/>
        <v>1.2083333333333333</v>
      </c>
      <c r="C159" s="26" t="s">
        <v>42</v>
      </c>
      <c r="D159" s="59" t="s">
        <v>317</v>
      </c>
      <c r="E159" s="120" t="s">
        <v>246</v>
      </c>
      <c r="F159" s="122"/>
      <c r="G159" s="114">
        <v>4</v>
      </c>
      <c r="H159" s="122"/>
      <c r="I159" s="129"/>
      <c r="J159" s="145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8">
        <v>46240</v>
      </c>
      <c r="B160" s="25">
        <f t="shared" si="35"/>
        <v>1.25</v>
      </c>
      <c r="C160" s="26" t="s">
        <v>42</v>
      </c>
      <c r="D160" s="59" t="s">
        <v>317</v>
      </c>
      <c r="E160" s="120" t="s">
        <v>246</v>
      </c>
      <c r="F160" s="122"/>
      <c r="G160" s="114">
        <v>4</v>
      </c>
      <c r="H160" s="122"/>
      <c r="I160" s="129"/>
      <c r="J160" s="145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9">
        <v>46240</v>
      </c>
      <c r="B161" s="32">
        <f t="shared" si="35"/>
        <v>1.2916666666666667</v>
      </c>
      <c r="C161" s="26" t="s">
        <v>42</v>
      </c>
      <c r="D161" s="59" t="s">
        <v>317</v>
      </c>
      <c r="E161" s="120" t="s">
        <v>246</v>
      </c>
      <c r="F161" s="118"/>
      <c r="G161" s="114">
        <v>2</v>
      </c>
      <c r="H161" s="118"/>
      <c r="I161" s="130"/>
      <c r="J161" s="146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8" t="s">
        <v>234</v>
      </c>
      <c r="B162" s="169"/>
      <c r="C162" s="169"/>
      <c r="D162" s="169"/>
      <c r="E162" s="169">
        <f>SUM(E150:E161)</f>
        <v>0</v>
      </c>
      <c r="F162" s="124"/>
      <c r="G162" s="88">
        <f>SUM(G150:G161)</f>
        <v>43</v>
      </c>
      <c r="H162" s="124"/>
      <c r="I162" s="133"/>
      <c r="J162" s="149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232</v>
      </c>
      <c r="S162" s="39">
        <v>169760</v>
      </c>
      <c r="T162" s="141">
        <f>IFERROR(J162,"")</f>
        <v>0</v>
      </c>
    </row>
    <row r="163" spans="1:20" ht="18" customHeight="1" x14ac:dyDescent="0.3">
      <c r="A163" s="165" t="s">
        <v>235</v>
      </c>
      <c r="B163" s="166"/>
      <c r="C163" s="166"/>
      <c r="D163" s="166"/>
      <c r="E163" s="166">
        <f>E149+E162</f>
        <v>0</v>
      </c>
      <c r="F163" s="125"/>
      <c r="G163" s="100">
        <f>G149+G162</f>
        <v>76</v>
      </c>
      <c r="H163" s="125"/>
      <c r="I163" s="134"/>
      <c r="J163" s="150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236</v>
      </c>
      <c r="S163" s="43">
        <f>IFERROR(S149+S162,"")</f>
        <v>308650</v>
      </c>
      <c r="T163" s="142">
        <f>IFERROR(J163,"")</f>
        <v>0</v>
      </c>
    </row>
    <row r="164" spans="1:20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317</v>
      </c>
      <c r="E164" s="120" t="s">
        <v>246</v>
      </c>
      <c r="F164" s="119"/>
      <c r="G164" s="114">
        <v>4</v>
      </c>
      <c r="H164" s="119"/>
      <c r="I164" s="132"/>
      <c r="J164" s="148"/>
      <c r="K164" s="28">
        <f t="shared" ref="K164:K175" si="36">IF(G164="","",IF(E164="PC 17",G164*4.2,IF(E164="PC 19",G164*5,IF(E164="CB",G164*24,""))))</f>
        <v>16.8</v>
      </c>
      <c r="L164" s="26" t="s">
        <v>20</v>
      </c>
      <c r="M164" s="26" t="s">
        <v>43</v>
      </c>
      <c r="N164" s="26" t="s">
        <v>47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317</v>
      </c>
      <c r="E165" s="120" t="s">
        <v>246</v>
      </c>
      <c r="F165" s="122"/>
      <c r="G165" s="114">
        <v>14</v>
      </c>
      <c r="H165" s="122"/>
      <c r="I165" s="129"/>
      <c r="J165" s="145"/>
      <c r="K165" s="34">
        <f t="shared" si="36"/>
        <v>58.800000000000004</v>
      </c>
      <c r="L165" s="33" t="s">
        <v>20</v>
      </c>
      <c r="M165" s="33" t="s">
        <v>43</v>
      </c>
      <c r="N165" s="33" t="s">
        <v>47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317</v>
      </c>
      <c r="E166" s="120" t="s">
        <v>246</v>
      </c>
      <c r="F166" s="122"/>
      <c r="G166" s="114">
        <v>7</v>
      </c>
      <c r="H166" s="122"/>
      <c r="I166" s="129"/>
      <c r="J166" s="145"/>
      <c r="K166" s="28">
        <f t="shared" si="36"/>
        <v>29.400000000000002</v>
      </c>
      <c r="L166" s="26" t="s">
        <v>20</v>
      </c>
      <c r="M166" s="26" t="s">
        <v>43</v>
      </c>
      <c r="N166" s="26" t="s">
        <v>47</v>
      </c>
      <c r="O166" s="29">
        <v>0.42430555555555555</v>
      </c>
      <c r="P166" s="29">
        <v>0.44930555555555557</v>
      </c>
      <c r="Q166" s="77">
        <f ca="1">IFERROR(IF(O166="","",IF(P166="",MOD(NOW()-O166,1),IF(P166&gt;=O166,P166-O166,P166+1-O166))),"")</f>
        <v>2.5000000000000022E-2</v>
      </c>
      <c r="R166" s="27" t="s">
        <v>284</v>
      </c>
      <c r="S166" s="31"/>
    </row>
    <row r="167" spans="1:20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317</v>
      </c>
      <c r="E167" s="120" t="s">
        <v>246</v>
      </c>
      <c r="F167" s="122"/>
      <c r="G167" s="114">
        <v>0</v>
      </c>
      <c r="H167" s="122"/>
      <c r="I167" s="129"/>
      <c r="J167" s="145"/>
      <c r="K167" s="34">
        <f t="shared" si="36"/>
        <v>0</v>
      </c>
      <c r="L167" s="33" t="s">
        <v>20</v>
      </c>
      <c r="M167" s="33" t="s">
        <v>43</v>
      </c>
      <c r="N167" s="33" t="s">
        <v>47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317</v>
      </c>
      <c r="E168" s="120" t="s">
        <v>246</v>
      </c>
      <c r="F168" s="122"/>
      <c r="G168" s="114">
        <v>8</v>
      </c>
      <c r="H168" s="122"/>
      <c r="I168" s="129"/>
      <c r="J168" s="145"/>
      <c r="K168" s="28">
        <f t="shared" si="36"/>
        <v>33.6</v>
      </c>
      <c r="L168" s="26" t="s">
        <v>20</v>
      </c>
      <c r="M168" s="26" t="s">
        <v>43</v>
      </c>
      <c r="N168" s="26" t="s">
        <v>47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317</v>
      </c>
      <c r="E169" s="120" t="s">
        <v>246</v>
      </c>
      <c r="F169" s="122"/>
      <c r="G169" s="114">
        <v>7</v>
      </c>
      <c r="H169" s="122"/>
      <c r="I169" s="129"/>
      <c r="J169" s="145"/>
      <c r="K169" s="34">
        <f t="shared" si="36"/>
        <v>29.400000000000002</v>
      </c>
      <c r="L169" s="33" t="s">
        <v>20</v>
      </c>
      <c r="M169" s="33" t="s">
        <v>43</v>
      </c>
      <c r="N169" s="33" t="s">
        <v>47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317</v>
      </c>
      <c r="E170" s="120" t="s">
        <v>246</v>
      </c>
      <c r="F170" s="122"/>
      <c r="G170" s="114">
        <v>5</v>
      </c>
      <c r="H170" s="122"/>
      <c r="I170" s="129"/>
      <c r="J170" s="145"/>
      <c r="K170" s="28">
        <f t="shared" si="36"/>
        <v>21</v>
      </c>
      <c r="L170" s="26" t="s">
        <v>20</v>
      </c>
      <c r="M170" s="26" t="s">
        <v>43</v>
      </c>
      <c r="N170" s="26" t="s">
        <v>47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317</v>
      </c>
      <c r="E171" s="120" t="s">
        <v>246</v>
      </c>
      <c r="F171" s="122"/>
      <c r="G171" s="114">
        <v>5</v>
      </c>
      <c r="H171" s="122"/>
      <c r="I171" s="129"/>
      <c r="J171" s="145"/>
      <c r="K171" s="34">
        <f t="shared" si="36"/>
        <v>21</v>
      </c>
      <c r="L171" s="33" t="s">
        <v>20</v>
      </c>
      <c r="M171" s="33" t="s">
        <v>43</v>
      </c>
      <c r="N171" s="33" t="s">
        <v>47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317</v>
      </c>
      <c r="E172" s="120" t="s">
        <v>246</v>
      </c>
      <c r="F172" s="122"/>
      <c r="G172" s="114">
        <v>4</v>
      </c>
      <c r="H172" s="122"/>
      <c r="I172" s="129"/>
      <c r="J172" s="145"/>
      <c r="K172" s="28">
        <f t="shared" si="36"/>
        <v>16.8</v>
      </c>
      <c r="L172" s="26" t="s">
        <v>20</v>
      </c>
      <c r="M172" s="26" t="s">
        <v>153</v>
      </c>
      <c r="N172" s="26" t="s">
        <v>70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317</v>
      </c>
      <c r="E173" s="120" t="s">
        <v>246</v>
      </c>
      <c r="F173" s="122"/>
      <c r="G173" s="114">
        <v>3</v>
      </c>
      <c r="H173" s="122"/>
      <c r="I173" s="129"/>
      <c r="J173" s="145"/>
      <c r="K173" s="34">
        <f t="shared" si="36"/>
        <v>12.600000000000001</v>
      </c>
      <c r="L173" s="33" t="s">
        <v>20</v>
      </c>
      <c r="M173" s="33" t="s">
        <v>153</v>
      </c>
      <c r="N173" s="33" t="s">
        <v>70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317</v>
      </c>
      <c r="E174" s="120" t="s">
        <v>246</v>
      </c>
      <c r="F174" s="122"/>
      <c r="G174" s="114">
        <v>3</v>
      </c>
      <c r="H174" s="122"/>
      <c r="I174" s="129"/>
      <c r="J174" s="145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9">
        <v>46241</v>
      </c>
      <c r="B175" s="32">
        <f t="shared" si="38"/>
        <v>0.79166666666666619</v>
      </c>
      <c r="C175" s="26" t="s">
        <v>21</v>
      </c>
      <c r="D175" s="59" t="s">
        <v>317</v>
      </c>
      <c r="E175" s="120" t="s">
        <v>246</v>
      </c>
      <c r="F175" s="118"/>
      <c r="G175" s="114">
        <v>5</v>
      </c>
      <c r="H175" s="118"/>
      <c r="I175" s="130"/>
      <c r="J175" s="146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8" t="s">
        <v>231</v>
      </c>
      <c r="B176" s="169"/>
      <c r="C176" s="169"/>
      <c r="D176" s="169"/>
      <c r="E176" s="169">
        <f>SUM(E164:E175)</f>
        <v>0</v>
      </c>
      <c r="F176" s="123"/>
      <c r="G176" s="88">
        <f>SUM(G164:G175)</f>
        <v>65</v>
      </c>
      <c r="H176" s="123"/>
      <c r="I176" s="131"/>
      <c r="J176" s="147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232</v>
      </c>
      <c r="S176" s="39">
        <v>271350</v>
      </c>
      <c r="T176" s="141">
        <f>IFERROR(J176,"")</f>
        <v>0</v>
      </c>
    </row>
    <row r="177" spans="1:20" ht="15" customHeight="1" x14ac:dyDescent="0.3">
      <c r="A177" s="69">
        <v>46241</v>
      </c>
      <c r="B177" s="32">
        <v>0.83333333333333304</v>
      </c>
      <c r="C177" s="33" t="s">
        <v>42</v>
      </c>
      <c r="D177" s="62" t="s">
        <v>317</v>
      </c>
      <c r="E177" s="121" t="s">
        <v>246</v>
      </c>
      <c r="F177" s="119"/>
      <c r="G177" s="114">
        <v>2</v>
      </c>
      <c r="H177" s="119"/>
      <c r="I177" s="132"/>
      <c r="J177" s="148"/>
      <c r="K177" s="34">
        <f t="shared" ref="K177:K188" si="39">IF(G177="","",IF(E177="PC 17",G177*4.2,IF(E177="PC 19",G177*5,IF(E177="CB",G177*24,""))))</f>
        <v>8.4</v>
      </c>
      <c r="L177" s="33" t="s">
        <v>19</v>
      </c>
      <c r="M177" s="33" t="s">
        <v>43</v>
      </c>
      <c r="N177" s="33" t="s">
        <v>33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42</v>
      </c>
      <c r="D178" s="62" t="s">
        <v>317</v>
      </c>
      <c r="E178" s="121" t="s">
        <v>246</v>
      </c>
      <c r="F178" s="122"/>
      <c r="G178" s="114">
        <v>0</v>
      </c>
      <c r="H178" s="122"/>
      <c r="I178" s="129"/>
      <c r="J178" s="145"/>
      <c r="K178" s="28">
        <f t="shared" si="39"/>
        <v>0</v>
      </c>
      <c r="L178" s="26" t="s">
        <v>20</v>
      </c>
      <c r="M178" s="26" t="s">
        <v>145</v>
      </c>
      <c r="N178" s="26" t="s">
        <v>130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9">
        <v>46241</v>
      </c>
      <c r="B179" s="32">
        <f t="shared" si="41"/>
        <v>0.9166666666666663</v>
      </c>
      <c r="C179" s="33" t="s">
        <v>42</v>
      </c>
      <c r="D179" s="62" t="s">
        <v>317</v>
      </c>
      <c r="E179" s="121" t="s">
        <v>246</v>
      </c>
      <c r="F179" s="122"/>
      <c r="G179" s="114">
        <v>0</v>
      </c>
      <c r="H179" s="122"/>
      <c r="I179" s="129"/>
      <c r="J179" s="145"/>
      <c r="K179" s="34">
        <f t="shared" si="39"/>
        <v>0</v>
      </c>
      <c r="L179" s="33" t="s">
        <v>20</v>
      </c>
      <c r="M179" s="33" t="s">
        <v>43</v>
      </c>
      <c r="N179" s="33" t="s">
        <v>52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285</v>
      </c>
      <c r="S179" s="31"/>
    </row>
    <row r="180" spans="1:20" ht="15" customHeight="1" x14ac:dyDescent="0.3">
      <c r="A180" s="68">
        <v>46241</v>
      </c>
      <c r="B180" s="25">
        <f t="shared" si="41"/>
        <v>0.95833333333333293</v>
      </c>
      <c r="C180" s="33" t="s">
        <v>42</v>
      </c>
      <c r="D180" s="62" t="s">
        <v>317</v>
      </c>
      <c r="E180" s="121" t="s">
        <v>246</v>
      </c>
      <c r="F180" s="122"/>
      <c r="G180" s="114">
        <v>0</v>
      </c>
      <c r="H180" s="122"/>
      <c r="I180" s="129"/>
      <c r="J180" s="145"/>
      <c r="K180" s="28">
        <f t="shared" si="39"/>
        <v>0</v>
      </c>
      <c r="L180" s="26" t="s">
        <v>20</v>
      </c>
      <c r="M180" s="26" t="s">
        <v>119</v>
      </c>
      <c r="N180" s="26" t="s">
        <v>110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9">
        <v>46241</v>
      </c>
      <c r="B181" s="32">
        <f t="shared" si="41"/>
        <v>0.99999999999999956</v>
      </c>
      <c r="C181" s="33" t="s">
        <v>42</v>
      </c>
      <c r="D181" s="62" t="s">
        <v>317</v>
      </c>
      <c r="E181" s="121" t="s">
        <v>246</v>
      </c>
      <c r="F181" s="122"/>
      <c r="G181" s="114">
        <v>5</v>
      </c>
      <c r="H181" s="122"/>
      <c r="I181" s="129"/>
      <c r="J181" s="145"/>
      <c r="K181" s="34">
        <f>IF(G181="","",IF(E181="PC 17",G181*4.2,IF(E181="PC 19",G181*5,IF(E181="CB",G181*24,""))))</f>
        <v>21</v>
      </c>
      <c r="L181" s="33" t="s">
        <v>20</v>
      </c>
      <c r="M181" s="33" t="s">
        <v>145</v>
      </c>
      <c r="N181" s="33" t="s">
        <v>130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8">
        <v>46241</v>
      </c>
      <c r="B182" s="25">
        <f t="shared" si="41"/>
        <v>1.0416666666666663</v>
      </c>
      <c r="C182" s="33" t="s">
        <v>42</v>
      </c>
      <c r="D182" s="62" t="s">
        <v>317</v>
      </c>
      <c r="E182" s="121" t="s">
        <v>246</v>
      </c>
      <c r="F182" s="122"/>
      <c r="G182" s="114">
        <v>2</v>
      </c>
      <c r="H182" s="122"/>
      <c r="I182" s="129"/>
      <c r="J182" s="145"/>
      <c r="K182" s="28">
        <f t="shared" si="39"/>
        <v>8.4</v>
      </c>
      <c r="L182" s="26" t="s">
        <v>20</v>
      </c>
      <c r="M182" s="26"/>
      <c r="N182" s="26" t="s">
        <v>70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270</v>
      </c>
      <c r="S182" s="31"/>
    </row>
    <row r="183" spans="1:20" ht="15" customHeight="1" x14ac:dyDescent="0.3">
      <c r="A183" s="69">
        <v>46241</v>
      </c>
      <c r="B183" s="32">
        <f t="shared" si="41"/>
        <v>1.083333333333333</v>
      </c>
      <c r="C183" s="33" t="s">
        <v>42</v>
      </c>
      <c r="D183" s="62" t="s">
        <v>317</v>
      </c>
      <c r="E183" s="121" t="s">
        <v>246</v>
      </c>
      <c r="F183" s="122"/>
      <c r="G183" s="114">
        <v>1</v>
      </c>
      <c r="H183" s="122"/>
      <c r="I183" s="129"/>
      <c r="J183" s="145"/>
      <c r="K183" s="34">
        <f t="shared" si="39"/>
        <v>4.2</v>
      </c>
      <c r="L183" s="33" t="s">
        <v>20</v>
      </c>
      <c r="M183" s="33" t="s">
        <v>43</v>
      </c>
      <c r="N183" s="33" t="s">
        <v>47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8">
        <v>46241</v>
      </c>
      <c r="B184" s="25">
        <f t="shared" si="41"/>
        <v>1.1249999999999998</v>
      </c>
      <c r="C184" s="33" t="s">
        <v>42</v>
      </c>
      <c r="D184" s="62" t="s">
        <v>317</v>
      </c>
      <c r="E184" s="121" t="s">
        <v>246</v>
      </c>
      <c r="F184" s="122"/>
      <c r="G184" s="114">
        <v>0</v>
      </c>
      <c r="H184" s="122"/>
      <c r="I184" s="129"/>
      <c r="J184" s="145"/>
      <c r="K184" s="28">
        <f t="shared" si="39"/>
        <v>0</v>
      </c>
      <c r="L184" s="26" t="s">
        <v>20</v>
      </c>
      <c r="M184" s="26"/>
      <c r="N184" s="26" t="s">
        <v>70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9">
        <v>46241</v>
      </c>
      <c r="B185" s="32">
        <f t="shared" si="41"/>
        <v>1.1666666666666665</v>
      </c>
      <c r="C185" s="33" t="s">
        <v>42</v>
      </c>
      <c r="D185" s="62" t="s">
        <v>317</v>
      </c>
      <c r="E185" s="121" t="s">
        <v>246</v>
      </c>
      <c r="F185" s="122"/>
      <c r="G185" s="114">
        <v>2</v>
      </c>
      <c r="H185" s="122"/>
      <c r="I185" s="129"/>
      <c r="J185" s="145"/>
      <c r="K185" s="34">
        <f t="shared" si="39"/>
        <v>8.4</v>
      </c>
      <c r="L185" s="33" t="s">
        <v>20</v>
      </c>
      <c r="M185" s="33"/>
      <c r="N185" s="33" t="s">
        <v>70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270</v>
      </c>
      <c r="S185" s="31"/>
    </row>
    <row r="186" spans="1:20" ht="15" customHeight="1" x14ac:dyDescent="0.3">
      <c r="A186" s="68">
        <v>46241</v>
      </c>
      <c r="B186" s="25">
        <f t="shared" si="41"/>
        <v>1.2083333333333333</v>
      </c>
      <c r="C186" s="33" t="s">
        <v>42</v>
      </c>
      <c r="D186" s="62" t="s">
        <v>317</v>
      </c>
      <c r="E186" s="121" t="s">
        <v>246</v>
      </c>
      <c r="F186" s="122"/>
      <c r="G186" s="114">
        <v>3</v>
      </c>
      <c r="H186" s="122"/>
      <c r="I186" s="129"/>
      <c r="J186" s="145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9">
        <v>46241</v>
      </c>
      <c r="B187" s="32">
        <f t="shared" si="41"/>
        <v>1.25</v>
      </c>
      <c r="C187" s="33" t="s">
        <v>42</v>
      </c>
      <c r="D187" s="62" t="s">
        <v>317</v>
      </c>
      <c r="E187" s="121" t="s">
        <v>246</v>
      </c>
      <c r="F187" s="122"/>
      <c r="G187" s="114">
        <v>4</v>
      </c>
      <c r="H187" s="122"/>
      <c r="I187" s="129"/>
      <c r="J187" s="145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8">
        <v>46241</v>
      </c>
      <c r="B188" s="25">
        <f t="shared" si="41"/>
        <v>1.2916666666666667</v>
      </c>
      <c r="C188" s="33" t="s">
        <v>42</v>
      </c>
      <c r="D188" s="62" t="s">
        <v>317</v>
      </c>
      <c r="E188" s="121" t="s">
        <v>246</v>
      </c>
      <c r="F188" s="118"/>
      <c r="G188" s="114">
        <v>0</v>
      </c>
      <c r="H188" s="118"/>
      <c r="I188" s="130"/>
      <c r="J188" s="146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8" t="s">
        <v>234</v>
      </c>
      <c r="B189" s="169"/>
      <c r="C189" s="169"/>
      <c r="D189" s="169"/>
      <c r="E189" s="169">
        <f>SUM(E177:E188)</f>
        <v>0</v>
      </c>
      <c r="F189" s="124"/>
      <c r="G189" s="88">
        <f>SUM(G177:G188)</f>
        <v>19</v>
      </c>
      <c r="H189" s="124"/>
      <c r="I189" s="133"/>
      <c r="J189" s="149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232</v>
      </c>
      <c r="S189" s="39">
        <v>72220</v>
      </c>
      <c r="T189" s="141">
        <f>IFERROR(J189,"")</f>
        <v>0</v>
      </c>
    </row>
    <row r="190" spans="1:20" ht="18" customHeight="1" x14ac:dyDescent="0.3">
      <c r="A190" s="165" t="s">
        <v>235</v>
      </c>
      <c r="B190" s="166"/>
      <c r="C190" s="166"/>
      <c r="D190" s="166"/>
      <c r="E190" s="166">
        <f>E176+E189</f>
        <v>0</v>
      </c>
      <c r="F190" s="125"/>
      <c r="G190" s="100">
        <f>G176+G189</f>
        <v>84</v>
      </c>
      <c r="H190" s="125"/>
      <c r="I190" s="134"/>
      <c r="J190" s="150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236</v>
      </c>
      <c r="S190" s="43">
        <f>IFERROR(S176+S189,"")</f>
        <v>343570</v>
      </c>
      <c r="T190" s="142">
        <f>IFERROR(J190,"")</f>
        <v>0</v>
      </c>
    </row>
    <row r="191" spans="1:20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317</v>
      </c>
      <c r="E191" s="121" t="s">
        <v>246</v>
      </c>
      <c r="F191" s="119"/>
      <c r="G191" s="114">
        <v>0</v>
      </c>
      <c r="H191" s="119"/>
      <c r="I191" s="132"/>
      <c r="J191" s="148"/>
      <c r="K191" s="34">
        <f t="shared" ref="K191:K202" si="42">IF(G191="","",IF(E191="PC 17",G191*4.2,IF(E191="PC 19",G191*5,IF(E191="CB",G191*24,""))))</f>
        <v>0</v>
      </c>
      <c r="L191" s="33" t="s">
        <v>20</v>
      </c>
      <c r="M191" s="33" t="s">
        <v>145</v>
      </c>
      <c r="N191" s="33" t="s">
        <v>178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317</v>
      </c>
      <c r="E192" s="121" t="s">
        <v>246</v>
      </c>
      <c r="F192" s="122"/>
      <c r="G192" s="114">
        <v>2</v>
      </c>
      <c r="H192" s="122"/>
      <c r="I192" s="129"/>
      <c r="J192" s="145"/>
      <c r="K192" s="28">
        <f t="shared" si="42"/>
        <v>8.4</v>
      </c>
      <c r="L192" s="26" t="s">
        <v>20</v>
      </c>
      <c r="M192" s="26" t="s">
        <v>43</v>
      </c>
      <c r="N192" s="33" t="s">
        <v>34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317</v>
      </c>
      <c r="E193" s="121" t="s">
        <v>246</v>
      </c>
      <c r="F193" s="122"/>
      <c r="G193" s="114">
        <v>0</v>
      </c>
      <c r="H193" s="122"/>
      <c r="I193" s="129"/>
      <c r="J193" s="145"/>
      <c r="K193" s="34">
        <f t="shared" si="42"/>
        <v>0</v>
      </c>
      <c r="L193" s="33" t="s">
        <v>19</v>
      </c>
      <c r="M193" s="33" t="s">
        <v>43</v>
      </c>
      <c r="N193" s="33" t="s">
        <v>26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317</v>
      </c>
      <c r="E194" s="121" t="s">
        <v>246</v>
      </c>
      <c r="F194" s="122"/>
      <c r="G194" s="114">
        <v>2</v>
      </c>
      <c r="H194" s="122"/>
      <c r="I194" s="129"/>
      <c r="J194" s="145"/>
      <c r="K194" s="28">
        <f t="shared" si="42"/>
        <v>8.4</v>
      </c>
      <c r="L194" s="26" t="s">
        <v>20</v>
      </c>
      <c r="M194" s="26" t="s">
        <v>145</v>
      </c>
      <c r="N194" s="26" t="s">
        <v>178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317</v>
      </c>
      <c r="E195" s="121" t="s">
        <v>246</v>
      </c>
      <c r="F195" s="122"/>
      <c r="G195" s="114">
        <v>0</v>
      </c>
      <c r="H195" s="122"/>
      <c r="I195" s="129"/>
      <c r="J195" s="145"/>
      <c r="K195" s="34">
        <f t="shared" si="42"/>
        <v>0</v>
      </c>
      <c r="L195" s="33" t="s">
        <v>20</v>
      </c>
      <c r="M195" s="33" t="s">
        <v>145</v>
      </c>
      <c r="N195" s="26" t="s">
        <v>178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317</v>
      </c>
      <c r="E196" s="121" t="s">
        <v>246</v>
      </c>
      <c r="F196" s="122"/>
      <c r="G196" s="114">
        <v>0</v>
      </c>
      <c r="H196" s="122"/>
      <c r="I196" s="129"/>
      <c r="J196" s="145"/>
      <c r="K196" s="28">
        <f t="shared" si="42"/>
        <v>0</v>
      </c>
      <c r="L196" s="26" t="s">
        <v>19</v>
      </c>
      <c r="M196" s="26" t="s">
        <v>43</v>
      </c>
      <c r="N196" s="26" t="s">
        <v>74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317</v>
      </c>
      <c r="E197" s="121" t="s">
        <v>246</v>
      </c>
      <c r="F197" s="122"/>
      <c r="G197" s="114">
        <v>2</v>
      </c>
      <c r="H197" s="122"/>
      <c r="I197" s="129"/>
      <c r="J197" s="145"/>
      <c r="K197" s="34">
        <f t="shared" si="42"/>
        <v>8.4</v>
      </c>
      <c r="L197" s="33" t="s">
        <v>20</v>
      </c>
      <c r="M197" s="33" t="s">
        <v>43</v>
      </c>
      <c r="N197" s="33" t="s">
        <v>47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317</v>
      </c>
      <c r="E198" s="121" t="s">
        <v>246</v>
      </c>
      <c r="F198" s="122"/>
      <c r="G198" s="114">
        <v>3</v>
      </c>
      <c r="H198" s="122"/>
      <c r="I198" s="129"/>
      <c r="J198" s="145"/>
      <c r="K198" s="28">
        <f t="shared" si="42"/>
        <v>12.600000000000001</v>
      </c>
      <c r="L198" s="26" t="s">
        <v>19</v>
      </c>
      <c r="M198" s="26" t="s">
        <v>43</v>
      </c>
      <c r="N198" s="33" t="s">
        <v>74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317</v>
      </c>
      <c r="E199" s="121" t="s">
        <v>246</v>
      </c>
      <c r="F199" s="122"/>
      <c r="G199" s="114">
        <v>0</v>
      </c>
      <c r="H199" s="122"/>
      <c r="I199" s="129"/>
      <c r="J199" s="145"/>
      <c r="K199" s="34">
        <f t="shared" si="42"/>
        <v>0</v>
      </c>
      <c r="L199" s="33" t="s">
        <v>19</v>
      </c>
      <c r="M199" s="33" t="s">
        <v>43</v>
      </c>
      <c r="N199" s="33" t="s">
        <v>74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317</v>
      </c>
      <c r="E200" s="121" t="s">
        <v>246</v>
      </c>
      <c r="F200" s="122"/>
      <c r="G200" s="114">
        <v>4</v>
      </c>
      <c r="H200" s="122"/>
      <c r="I200" s="129"/>
      <c r="J200" s="145"/>
      <c r="K200" s="28">
        <f t="shared" si="42"/>
        <v>16.8</v>
      </c>
      <c r="L200" s="26" t="s">
        <v>20</v>
      </c>
      <c r="M200" s="26" t="s">
        <v>119</v>
      </c>
      <c r="N200" s="26" t="s">
        <v>110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317</v>
      </c>
      <c r="E201" s="121" t="s">
        <v>246</v>
      </c>
      <c r="F201" s="122"/>
      <c r="G201" s="114">
        <v>0</v>
      </c>
      <c r="H201" s="122"/>
      <c r="I201" s="129"/>
      <c r="J201" s="145"/>
      <c r="K201" s="34">
        <f t="shared" si="42"/>
        <v>0</v>
      </c>
      <c r="L201" s="33" t="s">
        <v>20</v>
      </c>
      <c r="M201" s="33" t="s">
        <v>119</v>
      </c>
      <c r="N201" s="33" t="s">
        <v>110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8">
        <v>46242</v>
      </c>
      <c r="B202" s="25">
        <f t="shared" si="44"/>
        <v>0.79166666666666619</v>
      </c>
      <c r="C202" s="33" t="s">
        <v>21</v>
      </c>
      <c r="D202" s="62" t="s">
        <v>317</v>
      </c>
      <c r="E202" s="121" t="s">
        <v>246</v>
      </c>
      <c r="F202" s="118"/>
      <c r="G202" s="114">
        <v>2</v>
      </c>
      <c r="H202" s="118"/>
      <c r="I202" s="130"/>
      <c r="J202" s="146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8" t="s">
        <v>231</v>
      </c>
      <c r="B203" s="169"/>
      <c r="C203" s="169"/>
      <c r="D203" s="169"/>
      <c r="E203" s="169">
        <f>SUM(E191:E202)</f>
        <v>0</v>
      </c>
      <c r="F203" s="123"/>
      <c r="G203" s="88">
        <f>SUM(G191:G202)</f>
        <v>15</v>
      </c>
      <c r="H203" s="123"/>
      <c r="I203" s="131"/>
      <c r="J203" s="147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232</v>
      </c>
      <c r="S203" s="39">
        <v>92510</v>
      </c>
      <c r="T203" s="141">
        <f>IFERROR(J203,"")</f>
        <v>0</v>
      </c>
    </row>
    <row r="204" spans="1:20" ht="15" customHeight="1" x14ac:dyDescent="0.3">
      <c r="A204" s="68">
        <v>46242</v>
      </c>
      <c r="B204" s="25">
        <v>0.83333333333333304</v>
      </c>
      <c r="C204" s="26" t="s">
        <v>42</v>
      </c>
      <c r="D204" s="59" t="s">
        <v>317</v>
      </c>
      <c r="E204" s="120" t="s">
        <v>246</v>
      </c>
      <c r="F204" s="119"/>
      <c r="G204" s="114">
        <v>2</v>
      </c>
      <c r="H204" s="119"/>
      <c r="I204" s="132"/>
      <c r="J204" s="148"/>
      <c r="K204" s="28">
        <f t="shared" ref="K204:K215" si="45">IF(G204="","",IF(E204="PC 17",G204*4.2,IF(E204="PC 19",G204*5,IF(E204="CB",G204*24,""))))</f>
        <v>8.4</v>
      </c>
      <c r="L204" s="26" t="s">
        <v>20</v>
      </c>
      <c r="M204" s="26" t="s">
        <v>43</v>
      </c>
      <c r="N204" s="26" t="s">
        <v>47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42</v>
      </c>
      <c r="D205" s="59" t="s">
        <v>317</v>
      </c>
      <c r="E205" s="120" t="s">
        <v>246</v>
      </c>
      <c r="F205" s="122"/>
      <c r="G205" s="114">
        <v>6</v>
      </c>
      <c r="H205" s="122"/>
      <c r="I205" s="129"/>
      <c r="J205" s="145"/>
      <c r="K205" s="34">
        <f t="shared" si="45"/>
        <v>25.200000000000003</v>
      </c>
      <c r="L205" s="33" t="s">
        <v>20</v>
      </c>
      <c r="M205" s="33" t="s">
        <v>43</v>
      </c>
      <c r="N205" s="33" t="s">
        <v>52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286</v>
      </c>
      <c r="S205" s="47"/>
    </row>
    <row r="206" spans="1:20" ht="15" customHeight="1" x14ac:dyDescent="0.3">
      <c r="A206" s="68">
        <v>46242</v>
      </c>
      <c r="B206" s="25">
        <f t="shared" si="47"/>
        <v>0.9166666666666663</v>
      </c>
      <c r="C206" s="26" t="s">
        <v>42</v>
      </c>
      <c r="D206" s="59" t="s">
        <v>317</v>
      </c>
      <c r="E206" s="120" t="s">
        <v>246</v>
      </c>
      <c r="F206" s="122"/>
      <c r="G206" s="114">
        <v>1</v>
      </c>
      <c r="H206" s="122"/>
      <c r="I206" s="129"/>
      <c r="J206" s="145"/>
      <c r="K206" s="28">
        <f t="shared" si="45"/>
        <v>4.2</v>
      </c>
      <c r="L206" s="26" t="s">
        <v>20</v>
      </c>
      <c r="M206" s="26"/>
      <c r="N206" s="26" t="s">
        <v>70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9">
        <v>46242</v>
      </c>
      <c r="B207" s="32">
        <f t="shared" si="47"/>
        <v>0.95833333333333293</v>
      </c>
      <c r="C207" s="26" t="s">
        <v>42</v>
      </c>
      <c r="D207" s="59" t="s">
        <v>317</v>
      </c>
      <c r="E207" s="120" t="s">
        <v>246</v>
      </c>
      <c r="F207" s="122"/>
      <c r="G207" s="114">
        <v>5</v>
      </c>
      <c r="H207" s="122"/>
      <c r="I207" s="129"/>
      <c r="J207" s="145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8">
        <v>46242</v>
      </c>
      <c r="B208" s="25">
        <f t="shared" si="47"/>
        <v>0.99999999999999956</v>
      </c>
      <c r="C208" s="26" t="s">
        <v>42</v>
      </c>
      <c r="D208" s="59" t="s">
        <v>317</v>
      </c>
      <c r="E208" s="120" t="s">
        <v>246</v>
      </c>
      <c r="F208" s="122"/>
      <c r="G208" s="114">
        <v>7</v>
      </c>
      <c r="H208" s="122"/>
      <c r="I208" s="129"/>
      <c r="J208" s="145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9">
        <v>46242</v>
      </c>
      <c r="B209" s="32">
        <f t="shared" si="47"/>
        <v>1.0416666666666663</v>
      </c>
      <c r="C209" s="26" t="s">
        <v>42</v>
      </c>
      <c r="D209" s="59" t="s">
        <v>317</v>
      </c>
      <c r="E209" s="120" t="s">
        <v>246</v>
      </c>
      <c r="F209" s="122"/>
      <c r="G209" s="114">
        <v>7</v>
      </c>
      <c r="H209" s="122"/>
      <c r="I209" s="129"/>
      <c r="J209" s="145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8">
        <v>46242</v>
      </c>
      <c r="B210" s="25">
        <f t="shared" si="47"/>
        <v>1.083333333333333</v>
      </c>
      <c r="C210" s="26" t="s">
        <v>42</v>
      </c>
      <c r="D210" s="59" t="s">
        <v>317</v>
      </c>
      <c r="E210" s="120" t="s">
        <v>246</v>
      </c>
      <c r="F210" s="122"/>
      <c r="G210" s="114">
        <v>4</v>
      </c>
      <c r="H210" s="122"/>
      <c r="I210" s="129"/>
      <c r="J210" s="145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9">
        <v>46242</v>
      </c>
      <c r="B211" s="32">
        <f t="shared" si="47"/>
        <v>1.1249999999999998</v>
      </c>
      <c r="C211" s="26" t="s">
        <v>42</v>
      </c>
      <c r="D211" s="59" t="s">
        <v>317</v>
      </c>
      <c r="E211" s="120" t="s">
        <v>246</v>
      </c>
      <c r="F211" s="122"/>
      <c r="G211" s="114">
        <v>5</v>
      </c>
      <c r="H211" s="122"/>
      <c r="I211" s="129"/>
      <c r="J211" s="145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8">
        <v>46242</v>
      </c>
      <c r="B212" s="25">
        <f t="shared" si="47"/>
        <v>1.1666666666666665</v>
      </c>
      <c r="C212" s="26" t="s">
        <v>42</v>
      </c>
      <c r="D212" s="59" t="s">
        <v>317</v>
      </c>
      <c r="E212" s="120" t="s">
        <v>246</v>
      </c>
      <c r="F212" s="122"/>
      <c r="G212" s="114">
        <v>0</v>
      </c>
      <c r="H212" s="122"/>
      <c r="I212" s="129"/>
      <c r="J212" s="145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9">
        <v>46242</v>
      </c>
      <c r="B213" s="32">
        <f t="shared" si="47"/>
        <v>1.2083333333333333</v>
      </c>
      <c r="C213" s="26" t="s">
        <v>42</v>
      </c>
      <c r="D213" s="59" t="s">
        <v>317</v>
      </c>
      <c r="E213" s="120" t="s">
        <v>246</v>
      </c>
      <c r="F213" s="122"/>
      <c r="G213" s="114">
        <v>3</v>
      </c>
      <c r="H213" s="122"/>
      <c r="I213" s="129"/>
      <c r="J213" s="145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8">
        <v>46242</v>
      </c>
      <c r="B214" s="25">
        <f t="shared" si="47"/>
        <v>1.25</v>
      </c>
      <c r="C214" s="26" t="s">
        <v>42</v>
      </c>
      <c r="D214" s="59" t="s">
        <v>317</v>
      </c>
      <c r="E214" s="120" t="s">
        <v>246</v>
      </c>
      <c r="F214" s="122"/>
      <c r="G214" s="114">
        <v>3</v>
      </c>
      <c r="H214" s="122"/>
      <c r="I214" s="129"/>
      <c r="J214" s="145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9">
        <v>46242</v>
      </c>
      <c r="B215" s="32">
        <f t="shared" si="47"/>
        <v>1.2916666666666667</v>
      </c>
      <c r="C215" s="26" t="s">
        <v>42</v>
      </c>
      <c r="D215" s="59" t="s">
        <v>317</v>
      </c>
      <c r="E215" s="120" t="s">
        <v>246</v>
      </c>
      <c r="F215" s="118"/>
      <c r="G215" s="114">
        <v>3</v>
      </c>
      <c r="H215" s="118"/>
      <c r="I215" s="130"/>
      <c r="J215" s="146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68" t="s">
        <v>234</v>
      </c>
      <c r="B216" s="169"/>
      <c r="C216" s="169"/>
      <c r="D216" s="169"/>
      <c r="E216" s="169">
        <f>SUM(E204:E215)</f>
        <v>0</v>
      </c>
      <c r="F216" s="124"/>
      <c r="G216" s="88">
        <f>SUM(G204:G215)</f>
        <v>46</v>
      </c>
      <c r="H216" s="124"/>
      <c r="I216" s="133"/>
      <c r="J216" s="149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232</v>
      </c>
      <c r="S216" s="39">
        <v>148720</v>
      </c>
      <c r="T216" s="141">
        <f>IFERROR(J216,"")</f>
        <v>0</v>
      </c>
    </row>
    <row r="217" spans="1:20" ht="18" customHeight="1" x14ac:dyDescent="0.3">
      <c r="A217" s="165" t="s">
        <v>235</v>
      </c>
      <c r="B217" s="166"/>
      <c r="C217" s="166"/>
      <c r="D217" s="166"/>
      <c r="E217" s="166">
        <f>E203+E216</f>
        <v>0</v>
      </c>
      <c r="F217" s="125"/>
      <c r="G217" s="100">
        <f>G203+G216</f>
        <v>61</v>
      </c>
      <c r="H217" s="125"/>
      <c r="I217" s="134"/>
      <c r="J217" s="150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236</v>
      </c>
      <c r="S217" s="48">
        <f>IFERROR(S203+S216,"")</f>
        <v>241230</v>
      </c>
      <c r="T217" s="143">
        <f>IFERROR(J217,"")</f>
        <v>0</v>
      </c>
    </row>
    <row r="218" spans="1:20" ht="15" customHeight="1" x14ac:dyDescent="0.3">
      <c r="A218" s="68">
        <v>46243</v>
      </c>
      <c r="B218" s="25">
        <v>0.33333333333333298</v>
      </c>
      <c r="C218" s="26" t="s">
        <v>28</v>
      </c>
      <c r="D218" s="59" t="s">
        <v>317</v>
      </c>
      <c r="E218" s="120" t="s">
        <v>246</v>
      </c>
      <c r="F218" s="119"/>
      <c r="G218" s="114">
        <v>0</v>
      </c>
      <c r="H218" s="119"/>
      <c r="I218" s="132"/>
      <c r="J218" s="148"/>
      <c r="K218" s="28">
        <f t="shared" ref="K218:K229" si="48">IF(G218="","",IF(E218="PC 17",G218*4.2,IF(E218="PC 19",G218*5,IF(E218="CB",G218*24,""))))</f>
        <v>0</v>
      </c>
      <c r="L218" s="26" t="s">
        <v>19</v>
      </c>
      <c r="M218" s="26" t="s">
        <v>131</v>
      </c>
      <c r="N218" s="26" t="s">
        <v>57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28</v>
      </c>
      <c r="D219" s="59" t="s">
        <v>317</v>
      </c>
      <c r="E219" s="120" t="s">
        <v>246</v>
      </c>
      <c r="F219" s="122"/>
      <c r="G219" s="114">
        <v>12</v>
      </c>
      <c r="H219" s="122"/>
      <c r="I219" s="129"/>
      <c r="J219" s="145"/>
      <c r="K219" s="34">
        <f t="shared" si="48"/>
        <v>50.400000000000006</v>
      </c>
      <c r="L219" s="33" t="s">
        <v>20</v>
      </c>
      <c r="M219" s="33" t="s">
        <v>43</v>
      </c>
      <c r="N219" s="33" t="s">
        <v>34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8">
        <v>46243</v>
      </c>
      <c r="B220" s="25">
        <f t="shared" si="50"/>
        <v>0.41666666666666635</v>
      </c>
      <c r="C220" s="26" t="s">
        <v>28</v>
      </c>
      <c r="D220" s="59" t="s">
        <v>317</v>
      </c>
      <c r="E220" s="120" t="s">
        <v>246</v>
      </c>
      <c r="F220" s="122"/>
      <c r="G220" s="114">
        <v>10</v>
      </c>
      <c r="H220" s="122"/>
      <c r="I220" s="129"/>
      <c r="J220" s="145"/>
      <c r="K220" s="28">
        <f t="shared" si="48"/>
        <v>42</v>
      </c>
      <c r="L220" s="26" t="s">
        <v>20</v>
      </c>
      <c r="M220" s="26" t="s">
        <v>153</v>
      </c>
      <c r="N220" s="26" t="s">
        <v>70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9">
        <v>46243</v>
      </c>
      <c r="B221" s="32">
        <f t="shared" si="50"/>
        <v>0.45833333333333304</v>
      </c>
      <c r="C221" s="26" t="s">
        <v>28</v>
      </c>
      <c r="D221" s="59" t="s">
        <v>317</v>
      </c>
      <c r="E221" s="120" t="s">
        <v>246</v>
      </c>
      <c r="F221" s="122"/>
      <c r="G221" s="114">
        <v>7</v>
      </c>
      <c r="H221" s="122"/>
      <c r="I221" s="129"/>
      <c r="J221" s="145"/>
      <c r="K221" s="34">
        <f t="shared" si="48"/>
        <v>29.400000000000002</v>
      </c>
      <c r="L221" s="33" t="s">
        <v>18</v>
      </c>
      <c r="M221" s="33" t="s">
        <v>131</v>
      </c>
      <c r="N221" s="33" t="s">
        <v>96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287</v>
      </c>
      <c r="S221" s="47"/>
    </row>
    <row r="222" spans="1:20" ht="15" customHeight="1" x14ac:dyDescent="0.3">
      <c r="A222" s="68">
        <v>46243</v>
      </c>
      <c r="B222" s="25">
        <f t="shared" si="50"/>
        <v>0.49999999999999972</v>
      </c>
      <c r="C222" s="26" t="s">
        <v>28</v>
      </c>
      <c r="D222" s="59" t="s">
        <v>317</v>
      </c>
      <c r="E222" s="120" t="s">
        <v>230</v>
      </c>
      <c r="F222" s="122"/>
      <c r="G222" s="114">
        <v>5</v>
      </c>
      <c r="H222" s="122"/>
      <c r="I222" s="129"/>
      <c r="J222" s="145"/>
      <c r="K222" s="28">
        <f t="shared" si="48"/>
        <v>25</v>
      </c>
      <c r="L222" s="26" t="s">
        <v>18</v>
      </c>
      <c r="M222" s="26" t="s">
        <v>131</v>
      </c>
      <c r="N222" s="26" t="s">
        <v>57</v>
      </c>
      <c r="O222" s="29">
        <v>0.69930555555555551</v>
      </c>
      <c r="P222" s="29" t="s">
        <v>288</v>
      </c>
      <c r="Q222" s="30" t="str">
        <f t="shared" ca="1" si="49"/>
        <v/>
      </c>
      <c r="R222" s="27" t="s">
        <v>289</v>
      </c>
      <c r="S222" s="47"/>
    </row>
    <row r="223" spans="1:20" ht="15" customHeight="1" x14ac:dyDescent="0.3">
      <c r="A223" s="69">
        <v>46243</v>
      </c>
      <c r="B223" s="32">
        <f t="shared" si="50"/>
        <v>0.54166666666666641</v>
      </c>
      <c r="C223" s="26" t="s">
        <v>28</v>
      </c>
      <c r="D223" s="59" t="s">
        <v>317</v>
      </c>
      <c r="E223" s="120" t="s">
        <v>246</v>
      </c>
      <c r="F223" s="122"/>
      <c r="G223" s="114">
        <v>7</v>
      </c>
      <c r="H223" s="122"/>
      <c r="I223" s="129"/>
      <c r="J223" s="145"/>
      <c r="K223" s="34">
        <f t="shared" si="48"/>
        <v>29.400000000000002</v>
      </c>
      <c r="L223" s="33" t="s">
        <v>19</v>
      </c>
      <c r="M223" s="33" t="s">
        <v>43</v>
      </c>
      <c r="N223" s="33" t="s">
        <v>26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8">
        <v>46243</v>
      </c>
      <c r="B224" s="25">
        <f t="shared" si="50"/>
        <v>0.58333333333333304</v>
      </c>
      <c r="C224" s="26" t="s">
        <v>28</v>
      </c>
      <c r="D224" s="59" t="s">
        <v>317</v>
      </c>
      <c r="E224" s="120" t="s">
        <v>246</v>
      </c>
      <c r="F224" s="122"/>
      <c r="G224" s="114">
        <v>5</v>
      </c>
      <c r="H224" s="122"/>
      <c r="I224" s="129"/>
      <c r="J224" s="145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9">
        <v>46243</v>
      </c>
      <c r="B225" s="32">
        <f t="shared" si="50"/>
        <v>0.62499999999999967</v>
      </c>
      <c r="C225" s="26" t="s">
        <v>28</v>
      </c>
      <c r="D225" s="59" t="s">
        <v>317</v>
      </c>
      <c r="E225" s="120" t="s">
        <v>246</v>
      </c>
      <c r="F225" s="122"/>
      <c r="G225" s="114">
        <v>14</v>
      </c>
      <c r="H225" s="122"/>
      <c r="I225" s="129"/>
      <c r="J225" s="145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8">
        <v>46243</v>
      </c>
      <c r="B226" s="25">
        <f t="shared" si="50"/>
        <v>0.6666666666666663</v>
      </c>
      <c r="C226" s="26" t="s">
        <v>28</v>
      </c>
      <c r="D226" s="59" t="s">
        <v>317</v>
      </c>
      <c r="E226" s="120" t="s">
        <v>246</v>
      </c>
      <c r="F226" s="122"/>
      <c r="G226" s="114">
        <v>3</v>
      </c>
      <c r="H226" s="122"/>
      <c r="I226" s="129"/>
      <c r="J226" s="145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9">
        <v>46243</v>
      </c>
      <c r="B227" s="32">
        <f t="shared" si="50"/>
        <v>0.70833333333333293</v>
      </c>
      <c r="C227" s="26" t="s">
        <v>28</v>
      </c>
      <c r="D227" s="59" t="s">
        <v>317</v>
      </c>
      <c r="E227" s="120" t="s">
        <v>246</v>
      </c>
      <c r="F227" s="122"/>
      <c r="G227" s="114">
        <v>2</v>
      </c>
      <c r="H227" s="122"/>
      <c r="I227" s="129"/>
      <c r="J227" s="145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8">
        <v>46243</v>
      </c>
      <c r="B228" s="25">
        <f t="shared" si="50"/>
        <v>0.74999999999999956</v>
      </c>
      <c r="C228" s="26" t="s">
        <v>28</v>
      </c>
      <c r="D228" s="59" t="s">
        <v>317</v>
      </c>
      <c r="E228" s="120" t="s">
        <v>246</v>
      </c>
      <c r="F228" s="122"/>
      <c r="G228" s="114">
        <v>2</v>
      </c>
      <c r="H228" s="122"/>
      <c r="I228" s="129"/>
      <c r="J228" s="145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9">
        <v>46243</v>
      </c>
      <c r="B229" s="32">
        <f t="shared" si="50"/>
        <v>0.79166666666666619</v>
      </c>
      <c r="C229" s="26" t="s">
        <v>28</v>
      </c>
      <c r="D229" s="59" t="s">
        <v>317</v>
      </c>
      <c r="E229" s="120" t="s">
        <v>246</v>
      </c>
      <c r="F229" s="118"/>
      <c r="G229" s="114">
        <v>10</v>
      </c>
      <c r="H229" s="118"/>
      <c r="I229" s="130"/>
      <c r="J229" s="146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68" t="s">
        <v>231</v>
      </c>
      <c r="B230" s="169"/>
      <c r="C230" s="169"/>
      <c r="D230" s="169"/>
      <c r="E230" s="169">
        <f>SUM(E218:E229)</f>
        <v>0</v>
      </c>
      <c r="F230" s="123"/>
      <c r="G230" s="88">
        <f>SUM(G218:G229)</f>
        <v>77</v>
      </c>
      <c r="H230" s="123"/>
      <c r="I230" s="131"/>
      <c r="J230" s="147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232</v>
      </c>
      <c r="S230" s="39">
        <v>329640</v>
      </c>
      <c r="T230" s="141">
        <f>IFERROR(J230,"")</f>
        <v>0</v>
      </c>
    </row>
    <row r="231" spans="1:20" ht="15" customHeight="1" x14ac:dyDescent="0.3">
      <c r="A231" s="69">
        <v>46243</v>
      </c>
      <c r="B231" s="32">
        <v>0.83333333333333304</v>
      </c>
      <c r="C231" s="33" t="s">
        <v>42</v>
      </c>
      <c r="D231" s="62" t="s">
        <v>317</v>
      </c>
      <c r="E231" s="121" t="s">
        <v>246</v>
      </c>
      <c r="F231" s="119"/>
      <c r="G231" s="114">
        <v>9</v>
      </c>
      <c r="H231" s="119"/>
      <c r="I231" s="132"/>
      <c r="J231" s="148"/>
      <c r="K231" s="34">
        <f t="shared" ref="K231:K242" si="51">IF(G231="","",IF(E231="PC 17",G231*4.2,IF(E231="PC 19",G231*5,IF(E231="CB",G231*24,""))))</f>
        <v>37.800000000000004</v>
      </c>
      <c r="L231" s="33" t="s">
        <v>19</v>
      </c>
      <c r="M231" s="33" t="s">
        <v>43</v>
      </c>
      <c r="N231" s="33" t="s">
        <v>26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42</v>
      </c>
      <c r="D232" s="62" t="s">
        <v>317</v>
      </c>
      <c r="E232" s="121" t="s">
        <v>230</v>
      </c>
      <c r="F232" s="122"/>
      <c r="G232" s="114">
        <v>7</v>
      </c>
      <c r="H232" s="122"/>
      <c r="I232" s="129"/>
      <c r="J232" s="145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9">
        <v>46243</v>
      </c>
      <c r="B233" s="32">
        <f t="shared" si="53"/>
        <v>0.9166666666666663</v>
      </c>
      <c r="C233" s="33" t="s">
        <v>42</v>
      </c>
      <c r="D233" s="62" t="s">
        <v>317</v>
      </c>
      <c r="E233" s="121" t="s">
        <v>246</v>
      </c>
      <c r="F233" s="122"/>
      <c r="G233" s="114">
        <v>2</v>
      </c>
      <c r="H233" s="122"/>
      <c r="I233" s="129"/>
      <c r="J233" s="145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8">
        <v>46243</v>
      </c>
      <c r="B234" s="25">
        <f t="shared" si="53"/>
        <v>0.95833333333333293</v>
      </c>
      <c r="C234" s="33" t="s">
        <v>42</v>
      </c>
      <c r="D234" s="62" t="s">
        <v>317</v>
      </c>
      <c r="E234" s="121" t="s">
        <v>230</v>
      </c>
      <c r="F234" s="122"/>
      <c r="G234" s="114">
        <v>1</v>
      </c>
      <c r="H234" s="122"/>
      <c r="I234" s="129"/>
      <c r="J234" s="145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9">
        <v>46243</v>
      </c>
      <c r="B235" s="32">
        <f t="shared" si="53"/>
        <v>0.99999999999999956</v>
      </c>
      <c r="C235" s="33" t="s">
        <v>42</v>
      </c>
      <c r="D235" s="62" t="s">
        <v>317</v>
      </c>
      <c r="E235" s="121" t="s">
        <v>230</v>
      </c>
      <c r="F235" s="122"/>
      <c r="G235" s="114">
        <v>7</v>
      </c>
      <c r="H235" s="122"/>
      <c r="I235" s="129"/>
      <c r="J235" s="145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8">
        <v>46243</v>
      </c>
      <c r="B236" s="25">
        <f t="shared" si="53"/>
        <v>1.0416666666666663</v>
      </c>
      <c r="C236" s="33" t="s">
        <v>42</v>
      </c>
      <c r="D236" s="62" t="s">
        <v>317</v>
      </c>
      <c r="E236" s="121" t="s">
        <v>230</v>
      </c>
      <c r="F236" s="122"/>
      <c r="G236" s="114">
        <v>11</v>
      </c>
      <c r="H236" s="122"/>
      <c r="I236" s="129"/>
      <c r="J236" s="145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9">
        <v>46243</v>
      </c>
      <c r="B237" s="32">
        <f t="shared" si="53"/>
        <v>1.083333333333333</v>
      </c>
      <c r="C237" s="33" t="s">
        <v>42</v>
      </c>
      <c r="D237" s="62" t="s">
        <v>317</v>
      </c>
      <c r="E237" s="121" t="s">
        <v>230</v>
      </c>
      <c r="F237" s="122"/>
      <c r="G237" s="114">
        <v>12</v>
      </c>
      <c r="H237" s="122"/>
      <c r="I237" s="129"/>
      <c r="J237" s="145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8">
        <v>46243</v>
      </c>
      <c r="B238" s="25">
        <f t="shared" si="53"/>
        <v>1.1249999999999998</v>
      </c>
      <c r="C238" s="33" t="s">
        <v>42</v>
      </c>
      <c r="D238" s="62" t="s">
        <v>317</v>
      </c>
      <c r="E238" s="121" t="s">
        <v>230</v>
      </c>
      <c r="F238" s="122"/>
      <c r="G238" s="114">
        <v>3</v>
      </c>
      <c r="H238" s="122"/>
      <c r="I238" s="129"/>
      <c r="J238" s="145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9">
        <v>46243</v>
      </c>
      <c r="B239" s="32">
        <f t="shared" si="53"/>
        <v>1.1666666666666665</v>
      </c>
      <c r="C239" s="33" t="s">
        <v>42</v>
      </c>
      <c r="D239" s="62" t="s">
        <v>317</v>
      </c>
      <c r="E239" s="121" t="s">
        <v>230</v>
      </c>
      <c r="F239" s="122"/>
      <c r="G239" s="114">
        <v>7</v>
      </c>
      <c r="H239" s="122"/>
      <c r="I239" s="129"/>
      <c r="J239" s="145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8">
        <v>46243</v>
      </c>
      <c r="B240" s="25">
        <f t="shared" si="53"/>
        <v>1.2083333333333333</v>
      </c>
      <c r="C240" s="33" t="s">
        <v>42</v>
      </c>
      <c r="D240" s="62" t="s">
        <v>317</v>
      </c>
      <c r="E240" s="121" t="s">
        <v>230</v>
      </c>
      <c r="F240" s="122"/>
      <c r="G240" s="114">
        <v>11</v>
      </c>
      <c r="H240" s="122"/>
      <c r="I240" s="129"/>
      <c r="J240" s="145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9">
        <v>46243</v>
      </c>
      <c r="B241" s="32">
        <f t="shared" si="53"/>
        <v>1.25</v>
      </c>
      <c r="C241" s="33" t="s">
        <v>42</v>
      </c>
      <c r="D241" s="62" t="s">
        <v>317</v>
      </c>
      <c r="E241" s="121" t="s">
        <v>230</v>
      </c>
      <c r="F241" s="122"/>
      <c r="G241" s="114">
        <v>3</v>
      </c>
      <c r="H241" s="122"/>
      <c r="I241" s="129"/>
      <c r="J241" s="145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8">
        <v>46243</v>
      </c>
      <c r="B242" s="25">
        <f t="shared" si="53"/>
        <v>1.2916666666666667</v>
      </c>
      <c r="C242" s="33" t="s">
        <v>42</v>
      </c>
      <c r="D242" s="62" t="s">
        <v>317</v>
      </c>
      <c r="E242" s="121" t="s">
        <v>230</v>
      </c>
      <c r="F242" s="118"/>
      <c r="G242" s="114">
        <v>0</v>
      </c>
      <c r="H242" s="118"/>
      <c r="I242" s="130"/>
      <c r="J242" s="146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68" t="s">
        <v>234</v>
      </c>
      <c r="B243" s="169"/>
      <c r="C243" s="169"/>
      <c r="D243" s="169"/>
      <c r="E243" s="169">
        <f>SUM(E231:E242)</f>
        <v>0</v>
      </c>
      <c r="F243" s="124"/>
      <c r="G243" s="88">
        <f>SUM(G231:G242)</f>
        <v>73</v>
      </c>
      <c r="H243" s="124"/>
      <c r="I243" s="133"/>
      <c r="J243" s="149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232</v>
      </c>
      <c r="S243" s="39">
        <v>352720</v>
      </c>
      <c r="T243" s="141">
        <f>IFERROR(J243,"")</f>
        <v>0</v>
      </c>
    </row>
    <row r="244" spans="1:20" ht="18" customHeight="1" x14ac:dyDescent="0.3">
      <c r="A244" s="165" t="s">
        <v>235</v>
      </c>
      <c r="B244" s="166"/>
      <c r="C244" s="166"/>
      <c r="D244" s="166"/>
      <c r="E244" s="166">
        <f>E230+E243</f>
        <v>0</v>
      </c>
      <c r="F244" s="125"/>
      <c r="G244" s="100">
        <f>G230+G243</f>
        <v>150</v>
      </c>
      <c r="H244" s="125"/>
      <c r="I244" s="134"/>
      <c r="J244" s="150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236</v>
      </c>
      <c r="S244" s="48">
        <f>IFERROR(S230+S243,"")</f>
        <v>682360</v>
      </c>
      <c r="T244" s="143">
        <f>IFERROR(J244,"")</f>
        <v>0</v>
      </c>
    </row>
    <row r="245" spans="1:20" ht="15" customHeight="1" x14ac:dyDescent="0.3">
      <c r="A245" s="68">
        <v>46244</v>
      </c>
      <c r="B245" s="25">
        <v>0.33333333333333298</v>
      </c>
      <c r="C245" s="26" t="s">
        <v>28</v>
      </c>
      <c r="D245" s="59" t="s">
        <v>317</v>
      </c>
      <c r="E245" s="120" t="s">
        <v>230</v>
      </c>
      <c r="F245" s="119"/>
      <c r="G245" s="152">
        <v>7</v>
      </c>
      <c r="H245" s="119"/>
      <c r="I245" s="132"/>
      <c r="J245" s="148"/>
      <c r="K245" s="28">
        <f t="shared" ref="K245:K256" si="54">IF(G245="","",IF(E245="PC 17",G245*4.2,IF(E245="PC 19",G245*5,IF(E245="CB",G245*24,""))))</f>
        <v>35</v>
      </c>
      <c r="L245" s="33" t="s">
        <v>19</v>
      </c>
      <c r="M245" s="33" t="s">
        <v>43</v>
      </c>
      <c r="N245" s="33" t="s">
        <v>26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290</v>
      </c>
      <c r="S245" s="47"/>
    </row>
    <row r="246" spans="1:20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28</v>
      </c>
      <c r="D246" s="59" t="s">
        <v>317</v>
      </c>
      <c r="E246" s="120" t="s">
        <v>230</v>
      </c>
      <c r="F246" s="122"/>
      <c r="G246" s="152">
        <v>2</v>
      </c>
      <c r="H246" s="122"/>
      <c r="I246" s="129"/>
      <c r="J246" s="145"/>
      <c r="K246" s="34">
        <f t="shared" si="54"/>
        <v>10</v>
      </c>
      <c r="L246" s="33" t="s">
        <v>20</v>
      </c>
      <c r="M246" s="26" t="s">
        <v>43</v>
      </c>
      <c r="N246" s="33" t="s">
        <v>47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8">
        <v>46244</v>
      </c>
      <c r="B247" s="25">
        <f t="shared" si="56"/>
        <v>0.41666666666666635</v>
      </c>
      <c r="C247" s="26" t="s">
        <v>28</v>
      </c>
      <c r="D247" s="59" t="s">
        <v>317</v>
      </c>
      <c r="E247" s="120" t="s">
        <v>230</v>
      </c>
      <c r="F247" s="122"/>
      <c r="G247" s="152">
        <v>10</v>
      </c>
      <c r="H247" s="122"/>
      <c r="I247" s="129"/>
      <c r="J247" s="145"/>
      <c r="K247" s="28">
        <f t="shared" si="54"/>
        <v>50</v>
      </c>
      <c r="L247" s="33" t="s">
        <v>20</v>
      </c>
      <c r="M247" s="33" t="s">
        <v>43</v>
      </c>
      <c r="N247" s="33" t="s">
        <v>34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9">
        <v>46244</v>
      </c>
      <c r="B248" s="32">
        <f t="shared" si="56"/>
        <v>0.45833333333333304</v>
      </c>
      <c r="C248" s="26" t="s">
        <v>28</v>
      </c>
      <c r="D248" s="59" t="s">
        <v>317</v>
      </c>
      <c r="E248" s="120" t="s">
        <v>230</v>
      </c>
      <c r="F248" s="122"/>
      <c r="G248" s="152">
        <v>13</v>
      </c>
      <c r="H248" s="122"/>
      <c r="I248" s="129"/>
      <c r="J248" s="145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8">
        <v>46244</v>
      </c>
      <c r="B249" s="25">
        <f t="shared" si="56"/>
        <v>0.49999999999999972</v>
      </c>
      <c r="C249" s="26" t="s">
        <v>28</v>
      </c>
      <c r="D249" s="59" t="s">
        <v>316</v>
      </c>
      <c r="E249" s="120" t="s">
        <v>246</v>
      </c>
      <c r="F249" s="122"/>
      <c r="G249" s="152">
        <v>11</v>
      </c>
      <c r="H249" s="122"/>
      <c r="I249" s="129"/>
      <c r="J249" s="145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9">
        <v>46244</v>
      </c>
      <c r="B250" s="32">
        <f t="shared" si="56"/>
        <v>0.54166666666666641</v>
      </c>
      <c r="C250" s="26" t="s">
        <v>28</v>
      </c>
      <c r="D250" s="59" t="s">
        <v>316</v>
      </c>
      <c r="E250" s="120" t="s">
        <v>246</v>
      </c>
      <c r="F250" s="122"/>
      <c r="G250" s="152">
        <v>7</v>
      </c>
      <c r="H250" s="122"/>
      <c r="I250" s="129"/>
      <c r="J250" s="145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8">
        <v>46244</v>
      </c>
      <c r="B251" s="25">
        <f t="shared" si="56"/>
        <v>0.58333333333333304</v>
      </c>
      <c r="C251" s="26" t="s">
        <v>28</v>
      </c>
      <c r="D251" s="59" t="s">
        <v>316</v>
      </c>
      <c r="E251" s="120" t="s">
        <v>246</v>
      </c>
      <c r="F251" s="122"/>
      <c r="G251" s="152">
        <v>10</v>
      </c>
      <c r="H251" s="122"/>
      <c r="I251" s="129"/>
      <c r="J251" s="145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9">
        <v>46244</v>
      </c>
      <c r="B252" s="32">
        <f t="shared" si="56"/>
        <v>0.62499999999999967</v>
      </c>
      <c r="C252" s="26" t="s">
        <v>28</v>
      </c>
      <c r="D252" s="59" t="s">
        <v>316</v>
      </c>
      <c r="E252" s="120" t="s">
        <v>246</v>
      </c>
      <c r="F252" s="122"/>
      <c r="G252" s="152">
        <v>13</v>
      </c>
      <c r="H252" s="122"/>
      <c r="I252" s="129"/>
      <c r="J252" s="145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8">
        <v>46244</v>
      </c>
      <c r="B253" s="25">
        <f t="shared" si="56"/>
        <v>0.6666666666666663</v>
      </c>
      <c r="C253" s="26" t="s">
        <v>28</v>
      </c>
      <c r="D253" s="59" t="s">
        <v>316</v>
      </c>
      <c r="E253" s="120" t="s">
        <v>246</v>
      </c>
      <c r="F253" s="122"/>
      <c r="G253" s="152">
        <v>15</v>
      </c>
      <c r="H253" s="122"/>
      <c r="I253" s="129"/>
      <c r="J253" s="145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9">
        <v>46244</v>
      </c>
      <c r="B254" s="32">
        <f t="shared" si="56"/>
        <v>0.70833333333333293</v>
      </c>
      <c r="C254" s="26" t="s">
        <v>28</v>
      </c>
      <c r="D254" s="59" t="s">
        <v>316</v>
      </c>
      <c r="E254" s="120" t="s">
        <v>246</v>
      </c>
      <c r="F254" s="122"/>
      <c r="G254" s="152">
        <v>10</v>
      </c>
      <c r="H254" s="122"/>
      <c r="I254" s="129"/>
      <c r="J254" s="145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8">
        <v>46244</v>
      </c>
      <c r="B255" s="25">
        <f t="shared" si="56"/>
        <v>0.74999999999999956</v>
      </c>
      <c r="C255" s="26" t="s">
        <v>28</v>
      </c>
      <c r="D255" s="59" t="s">
        <v>316</v>
      </c>
      <c r="E255" s="120" t="s">
        <v>230</v>
      </c>
      <c r="F255" s="122"/>
      <c r="G255" s="152">
        <v>8</v>
      </c>
      <c r="H255" s="122"/>
      <c r="I255" s="129"/>
      <c r="J255" s="145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9">
        <v>46244</v>
      </c>
      <c r="B256" s="32">
        <f t="shared" si="56"/>
        <v>0.79166666666666619</v>
      </c>
      <c r="C256" s="26" t="s">
        <v>28</v>
      </c>
      <c r="D256" s="59" t="s">
        <v>316</v>
      </c>
      <c r="E256" s="120" t="s">
        <v>230</v>
      </c>
      <c r="F256" s="118"/>
      <c r="G256" s="152">
        <v>7</v>
      </c>
      <c r="H256" s="118"/>
      <c r="I256" s="130"/>
      <c r="J256" s="146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68" t="s">
        <v>231</v>
      </c>
      <c r="B257" s="169"/>
      <c r="C257" s="169"/>
      <c r="D257" s="169"/>
      <c r="E257" s="169"/>
      <c r="F257" s="126"/>
      <c r="G257" s="153">
        <f>SUM(G245:G256)</f>
        <v>113</v>
      </c>
      <c r="H257" s="126"/>
      <c r="I257" s="135"/>
      <c r="J257" s="151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232</v>
      </c>
      <c r="S257" s="39">
        <v>549440</v>
      </c>
      <c r="T257" s="141">
        <f>IFERROR(J257,"")</f>
        <v>0</v>
      </c>
    </row>
    <row r="258" spans="1:20" ht="15" customHeight="1" x14ac:dyDescent="0.3">
      <c r="A258" s="69">
        <v>46244</v>
      </c>
      <c r="B258" s="32">
        <v>0.83333333333333304</v>
      </c>
      <c r="C258" s="33"/>
      <c r="D258" s="62" t="s">
        <v>317</v>
      </c>
      <c r="E258" s="20" t="s">
        <v>246</v>
      </c>
      <c r="F258" s="119"/>
      <c r="G258" s="152">
        <v>9</v>
      </c>
      <c r="H258" s="119"/>
      <c r="I258" s="132"/>
      <c r="J258" s="148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8">
        <v>46244</v>
      </c>
      <c r="B259" s="25">
        <f t="shared" ref="B259:B269" si="58">B258+TIME(0,60,0)</f>
        <v>0.87499999999999967</v>
      </c>
      <c r="C259" s="33"/>
      <c r="D259" s="62" t="s">
        <v>317</v>
      </c>
      <c r="E259" s="20" t="s">
        <v>246</v>
      </c>
      <c r="F259" s="122"/>
      <c r="G259" s="152">
        <v>15</v>
      </c>
      <c r="H259" s="122"/>
      <c r="I259" s="129"/>
      <c r="J259" s="145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9">
        <v>46244</v>
      </c>
      <c r="B260" s="32">
        <f t="shared" si="58"/>
        <v>0.9166666666666663</v>
      </c>
      <c r="C260" s="33"/>
      <c r="D260" s="62" t="s">
        <v>317</v>
      </c>
      <c r="E260" s="62" t="s">
        <v>246</v>
      </c>
      <c r="F260" s="122"/>
      <c r="G260" s="152">
        <v>7</v>
      </c>
      <c r="H260" s="122"/>
      <c r="I260" s="129"/>
      <c r="J260" s="145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8">
        <v>46244</v>
      </c>
      <c r="B261" s="25">
        <f t="shared" si="58"/>
        <v>0.95833333333333293</v>
      </c>
      <c r="C261" s="33"/>
      <c r="D261" s="62" t="s">
        <v>317</v>
      </c>
      <c r="E261" s="62" t="s">
        <v>246</v>
      </c>
      <c r="F261" s="122"/>
      <c r="G261" s="27">
        <v>6</v>
      </c>
      <c r="H261" s="122"/>
      <c r="I261" s="129"/>
      <c r="J261" s="145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9">
        <v>46244</v>
      </c>
      <c r="B262" s="32">
        <f t="shared" si="58"/>
        <v>0.99999999999999956</v>
      </c>
      <c r="C262" s="33"/>
      <c r="D262" s="62" t="s">
        <v>317</v>
      </c>
      <c r="E262" s="20" t="s">
        <v>246</v>
      </c>
      <c r="F262" s="122"/>
      <c r="G262" s="27">
        <v>10</v>
      </c>
      <c r="H262" s="122"/>
      <c r="I262" s="129"/>
      <c r="J262" s="145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8">
        <v>46244</v>
      </c>
      <c r="B263" s="25">
        <f t="shared" si="58"/>
        <v>1.0416666666666663</v>
      </c>
      <c r="C263" s="33"/>
      <c r="D263" s="62" t="s">
        <v>317</v>
      </c>
      <c r="E263" s="62" t="s">
        <v>246</v>
      </c>
      <c r="F263" s="122"/>
      <c r="G263" s="27">
        <v>8</v>
      </c>
      <c r="H263" s="122"/>
      <c r="I263" s="129"/>
      <c r="J263" s="145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9">
        <v>46244</v>
      </c>
      <c r="B264" s="32">
        <f t="shared" si="58"/>
        <v>1.083333333333333</v>
      </c>
      <c r="C264" s="33"/>
      <c r="D264" s="62" t="s">
        <v>317</v>
      </c>
      <c r="E264" s="62" t="s">
        <v>246</v>
      </c>
      <c r="F264" s="122"/>
      <c r="G264" s="27">
        <v>3</v>
      </c>
      <c r="H264" s="122"/>
      <c r="I264" s="129"/>
      <c r="J264" s="145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8">
        <v>46244</v>
      </c>
      <c r="B265" s="25">
        <f t="shared" si="58"/>
        <v>1.1249999999999998</v>
      </c>
      <c r="C265" s="33"/>
      <c r="D265" s="62" t="s">
        <v>317</v>
      </c>
      <c r="E265" s="62" t="s">
        <v>246</v>
      </c>
      <c r="F265" s="122"/>
      <c r="G265" s="27">
        <v>0</v>
      </c>
      <c r="H265" s="122"/>
      <c r="I265" s="129"/>
      <c r="J265" s="145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9">
        <v>46244</v>
      </c>
      <c r="B266" s="32">
        <f t="shared" si="58"/>
        <v>1.1666666666666665</v>
      </c>
      <c r="C266" s="33"/>
      <c r="D266" s="62" t="s">
        <v>317</v>
      </c>
      <c r="E266" s="62" t="s">
        <v>246</v>
      </c>
      <c r="F266" s="122"/>
      <c r="G266" s="27">
        <v>0</v>
      </c>
      <c r="H266" s="122"/>
      <c r="I266" s="129"/>
      <c r="J266" s="145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8">
        <v>46244</v>
      </c>
      <c r="B267" s="25">
        <f t="shared" si="58"/>
        <v>1.2083333333333333</v>
      </c>
      <c r="C267" s="33"/>
      <c r="D267" s="62" t="s">
        <v>317</v>
      </c>
      <c r="E267" s="62" t="s">
        <v>246</v>
      </c>
      <c r="F267" s="122"/>
      <c r="G267" s="27">
        <v>0</v>
      </c>
      <c r="H267" s="122"/>
      <c r="I267" s="129"/>
      <c r="J267" s="145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9">
        <v>46244</v>
      </c>
      <c r="B268" s="32">
        <f t="shared" si="58"/>
        <v>1.25</v>
      </c>
      <c r="C268" s="33"/>
      <c r="D268" s="62" t="s">
        <v>317</v>
      </c>
      <c r="E268" s="62" t="s">
        <v>246</v>
      </c>
      <c r="F268" s="122"/>
      <c r="G268" s="27">
        <v>0</v>
      </c>
      <c r="H268" s="122"/>
      <c r="I268" s="129"/>
      <c r="J268" s="145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8">
        <v>46244</v>
      </c>
      <c r="B269" s="25">
        <f t="shared" si="58"/>
        <v>1.2916666666666667</v>
      </c>
      <c r="C269" s="33"/>
      <c r="D269" s="62" t="s">
        <v>317</v>
      </c>
      <c r="E269" s="62" t="s">
        <v>246</v>
      </c>
      <c r="F269" s="118"/>
      <c r="G269" s="27">
        <v>0</v>
      </c>
      <c r="H269" s="118"/>
      <c r="I269" s="130"/>
      <c r="J269" s="146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68" t="s">
        <v>234</v>
      </c>
      <c r="B270" s="169"/>
      <c r="C270" s="169"/>
      <c r="D270" s="169"/>
      <c r="E270" s="169">
        <f>SUM(E258:E269)</f>
        <v>0</v>
      </c>
      <c r="F270" s="124"/>
      <c r="G270" s="36">
        <f>SUM(G258:G269)</f>
        <v>58</v>
      </c>
      <c r="H270" s="124"/>
      <c r="I270" s="133"/>
      <c r="J270" s="149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232</v>
      </c>
      <c r="S270" s="39">
        <v>327900</v>
      </c>
      <c r="T270" s="141">
        <f>IFERROR(J270,"")</f>
        <v>0</v>
      </c>
    </row>
    <row r="271" spans="1:20" ht="18" customHeight="1" x14ac:dyDescent="0.3">
      <c r="A271" s="165" t="s">
        <v>235</v>
      </c>
      <c r="B271" s="166"/>
      <c r="C271" s="166"/>
      <c r="D271" s="166"/>
      <c r="E271" s="166">
        <f>E257+E270</f>
        <v>0</v>
      </c>
      <c r="F271" s="125"/>
      <c r="G271" s="100">
        <f>G257+G270</f>
        <v>171</v>
      </c>
      <c r="H271" s="125"/>
      <c r="I271" s="134"/>
      <c r="J271" s="150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236</v>
      </c>
      <c r="S271" s="48">
        <f>IFERROR(S257+S270,"")</f>
        <v>877340</v>
      </c>
      <c r="T271" s="143">
        <f>IFERROR(J271,"")</f>
        <v>0</v>
      </c>
    </row>
    <row r="272" spans="1:20" ht="15" customHeight="1" x14ac:dyDescent="0.3">
      <c r="A272" s="68">
        <v>46245</v>
      </c>
      <c r="B272" s="25">
        <v>0.33333333333333298</v>
      </c>
      <c r="C272" s="26" t="s">
        <v>28</v>
      </c>
      <c r="D272" s="59" t="s">
        <v>316</v>
      </c>
      <c r="E272" s="59" t="s">
        <v>246</v>
      </c>
      <c r="F272" s="119"/>
      <c r="G272" s="27">
        <v>4</v>
      </c>
      <c r="H272" s="119"/>
      <c r="I272" s="132"/>
      <c r="J272" s="148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9">
        <v>46245</v>
      </c>
      <c r="B273" s="32">
        <f t="shared" ref="B273:B283" si="61">B272+TIME(0,60,0)</f>
        <v>0.37499999999999967</v>
      </c>
      <c r="C273" s="26" t="s">
        <v>28</v>
      </c>
      <c r="D273" s="59" t="s">
        <v>316</v>
      </c>
      <c r="E273" s="59" t="s">
        <v>246</v>
      </c>
      <c r="F273" s="122"/>
      <c r="G273" s="27">
        <v>5</v>
      </c>
      <c r="H273" s="122"/>
      <c r="I273" s="129"/>
      <c r="J273" s="145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8">
        <v>46245</v>
      </c>
      <c r="B274" s="25">
        <f t="shared" si="61"/>
        <v>0.41666666666666635</v>
      </c>
      <c r="C274" s="26" t="s">
        <v>28</v>
      </c>
      <c r="D274" s="59" t="s">
        <v>316</v>
      </c>
      <c r="E274" s="59" t="s">
        <v>246</v>
      </c>
      <c r="F274" s="122"/>
      <c r="G274" s="27">
        <v>8</v>
      </c>
      <c r="H274" s="122"/>
      <c r="I274" s="129"/>
      <c r="J274" s="145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9">
        <v>46245</v>
      </c>
      <c r="B275" s="32">
        <f t="shared" si="61"/>
        <v>0.45833333333333304</v>
      </c>
      <c r="C275" s="26" t="s">
        <v>28</v>
      </c>
      <c r="D275" s="59" t="s">
        <v>316</v>
      </c>
      <c r="E275" s="59" t="s">
        <v>246</v>
      </c>
      <c r="F275" s="122"/>
      <c r="G275" s="27">
        <v>5</v>
      </c>
      <c r="H275" s="122"/>
      <c r="I275" s="129"/>
      <c r="J275" s="145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8">
        <v>46245</v>
      </c>
      <c r="B276" s="25">
        <f t="shared" si="61"/>
        <v>0.49999999999999972</v>
      </c>
      <c r="C276" s="26" t="s">
        <v>28</v>
      </c>
      <c r="D276" s="59" t="s">
        <v>316</v>
      </c>
      <c r="E276" s="59" t="s">
        <v>246</v>
      </c>
      <c r="F276" s="122"/>
      <c r="G276" s="27">
        <v>7</v>
      </c>
      <c r="H276" s="122"/>
      <c r="I276" s="129"/>
      <c r="J276" s="145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9">
        <v>46245</v>
      </c>
      <c r="B277" s="32">
        <f t="shared" si="61"/>
        <v>0.54166666666666641</v>
      </c>
      <c r="C277" s="26" t="s">
        <v>28</v>
      </c>
      <c r="D277" s="59" t="s">
        <v>316</v>
      </c>
      <c r="E277" s="59" t="s">
        <v>246</v>
      </c>
      <c r="F277" s="122"/>
      <c r="G277" s="27">
        <v>15</v>
      </c>
      <c r="H277" s="122"/>
      <c r="I277" s="129"/>
      <c r="J277" s="145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8">
        <v>46245</v>
      </c>
      <c r="B278" s="25">
        <f t="shared" si="61"/>
        <v>0.58333333333333304</v>
      </c>
      <c r="C278" s="26" t="s">
        <v>28</v>
      </c>
      <c r="D278" s="59" t="s">
        <v>316</v>
      </c>
      <c r="E278" s="59" t="s">
        <v>246</v>
      </c>
      <c r="F278" s="122"/>
      <c r="G278" s="27">
        <v>12</v>
      </c>
      <c r="H278" s="122"/>
      <c r="I278" s="129"/>
      <c r="J278" s="145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9">
        <v>46245</v>
      </c>
      <c r="B279" s="32">
        <f t="shared" si="61"/>
        <v>0.62499999999999967</v>
      </c>
      <c r="C279" s="26" t="s">
        <v>28</v>
      </c>
      <c r="D279" s="59" t="s">
        <v>316</v>
      </c>
      <c r="E279" s="59" t="s">
        <v>246</v>
      </c>
      <c r="F279" s="122"/>
      <c r="G279" s="27">
        <v>12</v>
      </c>
      <c r="H279" s="122"/>
      <c r="I279" s="129"/>
      <c r="J279" s="145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8">
        <v>46245</v>
      </c>
      <c r="B280" s="25">
        <f t="shared" si="61"/>
        <v>0.6666666666666663</v>
      </c>
      <c r="C280" s="26" t="s">
        <v>28</v>
      </c>
      <c r="D280" s="59" t="s">
        <v>316</v>
      </c>
      <c r="E280" s="59" t="s">
        <v>246</v>
      </c>
      <c r="F280" s="122"/>
      <c r="G280" s="27">
        <v>6</v>
      </c>
      <c r="H280" s="122"/>
      <c r="I280" s="129"/>
      <c r="J280" s="145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9">
        <v>46245</v>
      </c>
      <c r="B281" s="32">
        <f t="shared" si="61"/>
        <v>0.70833333333333293</v>
      </c>
      <c r="C281" s="26" t="s">
        <v>28</v>
      </c>
      <c r="D281" s="59" t="s">
        <v>316</v>
      </c>
      <c r="E281" s="59" t="s">
        <v>246</v>
      </c>
      <c r="F281" s="122"/>
      <c r="G281" s="27">
        <v>5</v>
      </c>
      <c r="H281" s="122"/>
      <c r="I281" s="129"/>
      <c r="J281" s="145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8">
        <v>46245</v>
      </c>
      <c r="B282" s="25">
        <f t="shared" si="61"/>
        <v>0.74999999999999956</v>
      </c>
      <c r="C282" s="26" t="s">
        <v>28</v>
      </c>
      <c r="D282" s="59" t="s">
        <v>316</v>
      </c>
      <c r="E282" s="59" t="s">
        <v>230</v>
      </c>
      <c r="F282" s="122"/>
      <c r="G282" s="27">
        <v>10</v>
      </c>
      <c r="H282" s="122"/>
      <c r="I282" s="129"/>
      <c r="J282" s="145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9">
        <v>46245</v>
      </c>
      <c r="B283" s="32">
        <f t="shared" si="61"/>
        <v>0.79166666666666619</v>
      </c>
      <c r="C283" s="26" t="s">
        <v>28</v>
      </c>
      <c r="D283" s="59" t="s">
        <v>316</v>
      </c>
      <c r="E283" s="59" t="s">
        <v>246</v>
      </c>
      <c r="F283" s="118"/>
      <c r="G283" s="27">
        <v>6</v>
      </c>
      <c r="H283" s="118"/>
      <c r="I283" s="130"/>
      <c r="J283" s="146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68" t="s">
        <v>231</v>
      </c>
      <c r="B284" s="169"/>
      <c r="C284" s="169"/>
      <c r="D284" s="169"/>
      <c r="E284" s="169">
        <f>SUM(E272:E283)</f>
        <v>0</v>
      </c>
      <c r="F284" s="123"/>
      <c r="G284" s="36">
        <f>SUM(G272:G283)</f>
        <v>95</v>
      </c>
      <c r="H284" s="123"/>
      <c r="I284" s="131"/>
      <c r="J284" s="147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232</v>
      </c>
      <c r="S284" s="39">
        <v>373120</v>
      </c>
      <c r="T284" s="141">
        <f>IFERROR(J284,"")</f>
        <v>0</v>
      </c>
    </row>
    <row r="285" spans="1:20" ht="15" customHeight="1" x14ac:dyDescent="0.3">
      <c r="A285" s="69">
        <v>46245</v>
      </c>
      <c r="B285" s="32">
        <v>0.83333333333333304</v>
      </c>
      <c r="C285" s="33" t="s">
        <v>42</v>
      </c>
      <c r="D285" s="62" t="s">
        <v>318</v>
      </c>
      <c r="E285" s="62" t="s">
        <v>230</v>
      </c>
      <c r="F285" s="121"/>
      <c r="G285" s="27">
        <v>5</v>
      </c>
      <c r="H285" s="119"/>
      <c r="I285" s="132"/>
      <c r="J285" s="148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8">
        <v>46245</v>
      </c>
      <c r="B286" s="25">
        <f t="shared" ref="B286:B296" si="64">B285+TIME(0,60,0)</f>
        <v>0.87499999999999967</v>
      </c>
      <c r="C286" s="33" t="s">
        <v>42</v>
      </c>
      <c r="D286" s="62" t="s">
        <v>318</v>
      </c>
      <c r="E286" s="62" t="s">
        <v>230</v>
      </c>
      <c r="F286" s="122"/>
      <c r="G286" s="27">
        <v>5</v>
      </c>
      <c r="H286" s="122"/>
      <c r="I286" s="129"/>
      <c r="J286" s="145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9">
        <v>46245</v>
      </c>
      <c r="B287" s="32">
        <f t="shared" si="64"/>
        <v>0.9166666666666663</v>
      </c>
      <c r="C287" s="33" t="s">
        <v>42</v>
      </c>
      <c r="D287" s="62" t="s">
        <v>318</v>
      </c>
      <c r="E287" s="62" t="s">
        <v>246</v>
      </c>
      <c r="F287" s="122"/>
      <c r="G287" s="27">
        <v>6</v>
      </c>
      <c r="H287" s="122"/>
      <c r="I287" s="129"/>
      <c r="J287" s="145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8">
        <v>46245</v>
      </c>
      <c r="B288" s="25">
        <f t="shared" si="64"/>
        <v>0.95833333333333293</v>
      </c>
      <c r="C288" s="33" t="s">
        <v>42</v>
      </c>
      <c r="D288" s="62" t="s">
        <v>318</v>
      </c>
      <c r="E288" s="62" t="s">
        <v>230</v>
      </c>
      <c r="F288" s="122"/>
      <c r="G288" s="27">
        <v>15</v>
      </c>
      <c r="H288" s="122"/>
      <c r="I288" s="129"/>
      <c r="J288" s="145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9">
        <v>46245</v>
      </c>
      <c r="B289" s="32">
        <f t="shared" si="64"/>
        <v>0.99999999999999956</v>
      </c>
      <c r="C289" s="33" t="s">
        <v>42</v>
      </c>
      <c r="D289" s="62" t="s">
        <v>318</v>
      </c>
      <c r="E289" s="62" t="s">
        <v>230</v>
      </c>
      <c r="F289" s="122"/>
      <c r="G289" s="27">
        <v>4</v>
      </c>
      <c r="H289" s="122"/>
      <c r="I289" s="129"/>
      <c r="J289" s="145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8">
        <v>46245</v>
      </c>
      <c r="B290" s="25">
        <f t="shared" si="64"/>
        <v>1.0416666666666663</v>
      </c>
      <c r="C290" s="33" t="s">
        <v>42</v>
      </c>
      <c r="D290" s="62" t="s">
        <v>316</v>
      </c>
      <c r="E290" s="62" t="s">
        <v>230</v>
      </c>
      <c r="F290" s="122"/>
      <c r="G290" s="27">
        <v>5</v>
      </c>
      <c r="H290" s="122"/>
      <c r="I290" s="129"/>
      <c r="J290" s="145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9">
        <v>46245</v>
      </c>
      <c r="B291" s="32">
        <f t="shared" si="64"/>
        <v>1.083333333333333</v>
      </c>
      <c r="C291" s="33" t="s">
        <v>42</v>
      </c>
      <c r="D291" s="62" t="s">
        <v>316</v>
      </c>
      <c r="E291" s="62" t="s">
        <v>230</v>
      </c>
      <c r="F291" s="122"/>
      <c r="G291" s="27">
        <v>4</v>
      </c>
      <c r="H291" s="122"/>
      <c r="I291" s="129"/>
      <c r="J291" s="145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8">
        <v>46245</v>
      </c>
      <c r="B292" s="25">
        <f t="shared" si="64"/>
        <v>1.1249999999999998</v>
      </c>
      <c r="C292" s="33" t="s">
        <v>42</v>
      </c>
      <c r="D292" s="62" t="s">
        <v>316</v>
      </c>
      <c r="E292" s="62" t="s">
        <v>230</v>
      </c>
      <c r="F292" s="122"/>
      <c r="G292" s="27">
        <v>6</v>
      </c>
      <c r="H292" s="122"/>
      <c r="I292" s="129"/>
      <c r="J292" s="145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9">
        <v>46245</v>
      </c>
      <c r="B293" s="32">
        <f t="shared" si="64"/>
        <v>1.1666666666666665</v>
      </c>
      <c r="C293" s="33" t="s">
        <v>42</v>
      </c>
      <c r="D293" s="62" t="s">
        <v>316</v>
      </c>
      <c r="E293" s="62" t="s">
        <v>230</v>
      </c>
      <c r="F293" s="122"/>
      <c r="G293" s="27">
        <v>9</v>
      </c>
      <c r="H293" s="122"/>
      <c r="I293" s="129"/>
      <c r="J293" s="145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8">
        <v>46245</v>
      </c>
      <c r="B294" s="25">
        <f t="shared" si="64"/>
        <v>1.2083333333333333</v>
      </c>
      <c r="C294" s="33" t="s">
        <v>42</v>
      </c>
      <c r="D294" s="62" t="s">
        <v>316</v>
      </c>
      <c r="E294" s="62" t="s">
        <v>230</v>
      </c>
      <c r="F294" s="122"/>
      <c r="G294" s="27">
        <v>8</v>
      </c>
      <c r="H294" s="122"/>
      <c r="I294" s="129"/>
      <c r="J294" s="145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9">
        <v>46245</v>
      </c>
      <c r="B295" s="32">
        <f t="shared" si="64"/>
        <v>1.25</v>
      </c>
      <c r="C295" s="33" t="s">
        <v>42</v>
      </c>
      <c r="D295" s="62" t="s">
        <v>316</v>
      </c>
      <c r="E295" s="62" t="s">
        <v>230</v>
      </c>
      <c r="F295" s="122"/>
      <c r="G295" s="27">
        <v>8</v>
      </c>
      <c r="H295" s="122"/>
      <c r="I295" s="129"/>
      <c r="J295" s="145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8">
        <v>46245</v>
      </c>
      <c r="B296" s="25">
        <f t="shared" si="64"/>
        <v>1.2916666666666667</v>
      </c>
      <c r="C296" s="33" t="s">
        <v>42</v>
      </c>
      <c r="D296" s="62" t="s">
        <v>316</v>
      </c>
      <c r="E296" s="62" t="s">
        <v>230</v>
      </c>
      <c r="F296" s="118"/>
      <c r="G296" s="27">
        <v>9</v>
      </c>
      <c r="H296" s="118"/>
      <c r="I296" s="130"/>
      <c r="J296" s="146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68" t="s">
        <v>234</v>
      </c>
      <c r="B297" s="169"/>
      <c r="C297" s="169"/>
      <c r="D297" s="169"/>
      <c r="E297" s="169">
        <f>SUM(E285:E296)</f>
        <v>0</v>
      </c>
      <c r="F297" s="124"/>
      <c r="G297" s="36">
        <f>SUM(G285:G296)</f>
        <v>84</v>
      </c>
      <c r="H297" s="124"/>
      <c r="I297" s="133"/>
      <c r="J297" s="149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232</v>
      </c>
      <c r="S297" s="39">
        <v>462190</v>
      </c>
      <c r="T297" s="141">
        <f>IFERROR(J297,"")</f>
        <v>0</v>
      </c>
    </row>
    <row r="298" spans="1:20" ht="18" customHeight="1" x14ac:dyDescent="0.3">
      <c r="A298" s="165" t="s">
        <v>235</v>
      </c>
      <c r="B298" s="166"/>
      <c r="C298" s="166"/>
      <c r="D298" s="166"/>
      <c r="E298" s="166">
        <f>E284+E297</f>
        <v>0</v>
      </c>
      <c r="F298" s="125"/>
      <c r="G298" s="40">
        <f>G284+G297</f>
        <v>179</v>
      </c>
      <c r="H298" s="125"/>
      <c r="I298" s="134"/>
      <c r="J298" s="150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236</v>
      </c>
      <c r="S298" s="48">
        <f>IFERROR(S284+S297,"")</f>
        <v>835310</v>
      </c>
      <c r="T298" s="143">
        <f>IFERROR(J298,"")</f>
        <v>0</v>
      </c>
    </row>
    <row r="299" spans="1:20" ht="15" customHeight="1" x14ac:dyDescent="0.3">
      <c r="A299" s="69">
        <v>46246</v>
      </c>
      <c r="B299" s="32">
        <v>0.33333333333333298</v>
      </c>
      <c r="C299" s="33" t="s">
        <v>28</v>
      </c>
      <c r="D299" s="62" t="s">
        <v>316</v>
      </c>
      <c r="E299" s="121" t="s">
        <v>246</v>
      </c>
      <c r="F299" s="119">
        <f>IFERROR(IF($D299="","",VLOOKUP($D299,Cadastro!$C$4:$E$7,3,FALSE)),"")</f>
        <v>0.23</v>
      </c>
      <c r="G299" s="27">
        <v>8</v>
      </c>
      <c r="H299" s="119">
        <f>IFERROR(IF($G299="","",$G299*$S$311/$G$311/Cadastro!$E$33),"")</f>
        <v>0</v>
      </c>
      <c r="I299" s="132">
        <f>IFERROR(IF($D299="","",VLOOKUP($D299,Cadastro!$C$4:$G$7,5,FALSE)),"")</f>
        <v>0.6</v>
      </c>
      <c r="J299" s="148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20</v>
      </c>
      <c r="M299" s="33"/>
      <c r="N299" s="33" t="s">
        <v>194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8">
        <v>46246</v>
      </c>
      <c r="B300" s="25">
        <f t="shared" ref="B300:B310" si="68">B299+TIME(0,60,0)</f>
        <v>0.37499999999999967</v>
      </c>
      <c r="C300" s="33" t="s">
        <v>28</v>
      </c>
      <c r="D300" s="62" t="s">
        <v>316</v>
      </c>
      <c r="E300" s="121" t="s">
        <v>246</v>
      </c>
      <c r="F300" s="122">
        <f>IFERROR(IF($D300="","",VLOOKUP($D300,Cadastro!$C$4:$E$7,3,FALSE)),"")</f>
        <v>0.23</v>
      </c>
      <c r="G300" s="27">
        <v>10</v>
      </c>
      <c r="H300" s="122">
        <f>IFERROR(IF($G300="","",$G300*$S$311/$G$311/Cadastro!$E$33),"")</f>
        <v>0</v>
      </c>
      <c r="I300" s="129">
        <f>IFERROR(IF($D300="","",VLOOKUP($D300,Cadastro!$C$4:$G$7,5,FALSE)),"")</f>
        <v>0.6</v>
      </c>
      <c r="J300" s="145">
        <f t="shared" si="65"/>
        <v>0</v>
      </c>
      <c r="K300" s="28">
        <f t="shared" si="66"/>
        <v>42</v>
      </c>
      <c r="L300" s="26" t="s">
        <v>20</v>
      </c>
      <c r="M300" s="26"/>
      <c r="N300" s="26" t="s">
        <v>194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9">
        <v>46246</v>
      </c>
      <c r="B301" s="32">
        <f t="shared" si="68"/>
        <v>0.41666666666666635</v>
      </c>
      <c r="C301" s="33" t="s">
        <v>28</v>
      </c>
      <c r="D301" s="62" t="s">
        <v>316</v>
      </c>
      <c r="E301" s="121" t="s">
        <v>246</v>
      </c>
      <c r="F301" s="122">
        <f>IFERROR(IF($D301="","",VLOOKUP($D301,Cadastro!$C$4:$E$7,3,FALSE)),"")</f>
        <v>0.23</v>
      </c>
      <c r="G301" s="27">
        <v>14</v>
      </c>
      <c r="H301" s="122">
        <f>IFERROR(IF($G301="","",$G301*$S$311/$G$311/Cadastro!$E$33),"")</f>
        <v>0</v>
      </c>
      <c r="I301" s="129">
        <f>IFERROR(IF($D301="","",VLOOKUP($D301,Cadastro!$C$4:$G$7,5,FALSE)),"")</f>
        <v>0.6</v>
      </c>
      <c r="J301" s="145">
        <f t="shared" si="65"/>
        <v>0</v>
      </c>
      <c r="K301" s="34">
        <f t="shared" si="66"/>
        <v>58.800000000000004</v>
      </c>
      <c r="L301" s="33" t="s">
        <v>20</v>
      </c>
      <c r="M301" s="33" t="s">
        <v>43</v>
      </c>
      <c r="N301" s="33" t="s">
        <v>179</v>
      </c>
      <c r="O301" s="29">
        <v>0.60833333333333328</v>
      </c>
      <c r="P301" s="29"/>
      <c r="Q301" s="35">
        <f t="shared" ca="1" si="67"/>
        <v>3.0572685187507886E-2</v>
      </c>
      <c r="R301" s="27" t="s">
        <v>26</v>
      </c>
      <c r="S301" s="47"/>
    </row>
    <row r="302" spans="1:20" ht="15" customHeight="1" x14ac:dyDescent="0.3">
      <c r="A302" s="68">
        <v>46246</v>
      </c>
      <c r="B302" s="25">
        <f t="shared" si="68"/>
        <v>0.45833333333333304</v>
      </c>
      <c r="C302" s="33" t="s">
        <v>28</v>
      </c>
      <c r="D302" s="62" t="s">
        <v>316</v>
      </c>
      <c r="E302" s="121" t="s">
        <v>246</v>
      </c>
      <c r="F302" s="122">
        <f>IFERROR(IF($D302="","",VLOOKUP($D302,Cadastro!$C$4:$E$7,3,FALSE)),"")</f>
        <v>0.23</v>
      </c>
      <c r="G302" s="27">
        <v>15</v>
      </c>
      <c r="H302" s="122">
        <f>IFERROR(IF($G302="","",$G302*$S$311/$G$311/Cadastro!$E$33),"")</f>
        <v>0</v>
      </c>
      <c r="I302" s="129">
        <f>IFERROR(IF($D302="","",VLOOKUP($D302,Cadastro!$C$4:$G$7,5,FALSE)),"")</f>
        <v>0.6</v>
      </c>
      <c r="J302" s="145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 x14ac:dyDescent="0.3">
      <c r="A303" s="69">
        <v>46246</v>
      </c>
      <c r="B303" s="32">
        <f t="shared" si="68"/>
        <v>0.49999999999999972</v>
      </c>
      <c r="C303" s="33" t="s">
        <v>28</v>
      </c>
      <c r="D303" s="62" t="s">
        <v>316</v>
      </c>
      <c r="E303" s="121" t="s">
        <v>246</v>
      </c>
      <c r="F303" s="122">
        <f>IFERROR(IF($D303="","",VLOOKUP($D303,Cadastro!$C$4:$E$7,3,FALSE)),"")</f>
        <v>0.23</v>
      </c>
      <c r="G303" s="27">
        <v>11</v>
      </c>
      <c r="H303" s="122">
        <f>IFERROR(IF($G303="","",$G303*$S$311/$G$311/Cadastro!$E$33),"")</f>
        <v>0</v>
      </c>
      <c r="I303" s="129">
        <f>IFERROR(IF($D303="","",VLOOKUP($D303,Cadastro!$C$4:$G$7,5,FALSE)),"")</f>
        <v>0.6</v>
      </c>
      <c r="J303" s="145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78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8">
        <v>46246</v>
      </c>
      <c r="B304" s="25">
        <f t="shared" si="68"/>
        <v>0.54166666666666641</v>
      </c>
      <c r="C304" s="33" t="s">
        <v>28</v>
      </c>
      <c r="D304" s="62" t="s">
        <v>316</v>
      </c>
      <c r="E304" s="121" t="s">
        <v>246</v>
      </c>
      <c r="F304" s="122">
        <f>IFERROR(IF($D304="","",VLOOKUP($D304,Cadastro!$C$4:$E$7,3,FALSE)),"")</f>
        <v>0.23</v>
      </c>
      <c r="G304" s="27">
        <v>16</v>
      </c>
      <c r="H304" s="122">
        <f>IFERROR(IF($G304="","",$G304*$S$311/$G$311/Cadastro!$E$33),"")</f>
        <v>0</v>
      </c>
      <c r="I304" s="129">
        <f>IFERROR(IF($D304="","",VLOOKUP($D304,Cadastro!$C$4:$G$7,5,FALSE)),"")</f>
        <v>0.6</v>
      </c>
      <c r="J304" s="145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9">
        <v>46246</v>
      </c>
      <c r="B305" s="32">
        <f t="shared" si="68"/>
        <v>0.58333333333333304</v>
      </c>
      <c r="C305" s="33" t="s">
        <v>28</v>
      </c>
      <c r="D305" s="62" t="s">
        <v>316</v>
      </c>
      <c r="E305" s="121" t="s">
        <v>246</v>
      </c>
      <c r="F305" s="122">
        <f>IFERROR(IF($D305="","",VLOOKUP($D305,Cadastro!$C$4:$E$7,3,FALSE)),"")</f>
        <v>0.23</v>
      </c>
      <c r="G305" s="27">
        <v>5</v>
      </c>
      <c r="H305" s="122">
        <f>IFERROR(IF($G305="","",$G305*$S$311/$G$311/Cadastro!$E$33),"")</f>
        <v>0</v>
      </c>
      <c r="I305" s="129">
        <f>IFERROR(IF($D305="","",VLOOKUP($D305,Cadastro!$C$4:$G$7,5,FALSE)),"")</f>
        <v>0.6</v>
      </c>
      <c r="J305" s="145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8">
        <v>46246</v>
      </c>
      <c r="B306" s="25">
        <f t="shared" si="68"/>
        <v>0.62499999999999967</v>
      </c>
      <c r="C306" s="33" t="s">
        <v>28</v>
      </c>
      <c r="D306" s="62" t="s">
        <v>316</v>
      </c>
      <c r="E306" s="121" t="s">
        <v>246</v>
      </c>
      <c r="F306" s="122">
        <f>IFERROR(IF($D306="","",VLOOKUP($D306,Cadastro!$C$4:$E$7,3,FALSE)),"")</f>
        <v>0.23</v>
      </c>
      <c r="G306" s="114"/>
      <c r="H306" s="122" t="str">
        <f>IFERROR(IF($G306="","",$G306*$S$311/$G$311/Cadastro!$E$33),"")</f>
        <v/>
      </c>
      <c r="I306" s="129">
        <f>IFERROR(IF($D306="","",VLOOKUP($D306,Cadastro!$C$4:$G$7,5,FALSE)),"")</f>
        <v>0.6</v>
      </c>
      <c r="J306" s="145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9">
        <v>46246</v>
      </c>
      <c r="B307" s="32">
        <f t="shared" si="68"/>
        <v>0.6666666666666663</v>
      </c>
      <c r="C307" s="33" t="s">
        <v>28</v>
      </c>
      <c r="D307" s="62" t="s">
        <v>316</v>
      </c>
      <c r="E307" s="121" t="s">
        <v>246</v>
      </c>
      <c r="F307" s="122">
        <f>IFERROR(IF($D307="","",VLOOKUP($D307,Cadastro!$C$4:$E$7,3,FALSE)),"")</f>
        <v>0.23</v>
      </c>
      <c r="G307" s="114"/>
      <c r="H307" s="122" t="str">
        <f>IFERROR(IF($G307="","",$G307*$S$311/$G$311/Cadastro!$E$33),"")</f>
        <v/>
      </c>
      <c r="I307" s="129">
        <f>IFERROR(IF($D307="","",VLOOKUP($D307,Cadastro!$C$4:$G$7,5,FALSE)),"")</f>
        <v>0.6</v>
      </c>
      <c r="J307" s="145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8">
        <v>46246</v>
      </c>
      <c r="B308" s="25">
        <f t="shared" si="68"/>
        <v>0.70833333333333293</v>
      </c>
      <c r="C308" s="33" t="s">
        <v>28</v>
      </c>
      <c r="D308" s="62" t="s">
        <v>316</v>
      </c>
      <c r="E308" s="121" t="s">
        <v>246</v>
      </c>
      <c r="F308" s="122">
        <f>IFERROR(IF($D308="","",VLOOKUP($D308,Cadastro!$C$4:$E$7,3,FALSE)),"")</f>
        <v>0.23</v>
      </c>
      <c r="G308" s="114"/>
      <c r="H308" s="122" t="str">
        <f>IFERROR(IF($G308="","",$G308*$S$311/$G$311/Cadastro!$E$33),"")</f>
        <v/>
      </c>
      <c r="I308" s="129">
        <f>IFERROR(IF($D308="","",VLOOKUP($D308,Cadastro!$C$4:$G$7,5,FALSE)),"")</f>
        <v>0.6</v>
      </c>
      <c r="J308" s="145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9">
        <v>46246</v>
      </c>
      <c r="B309" s="32">
        <f t="shared" si="68"/>
        <v>0.74999999999999956</v>
      </c>
      <c r="C309" s="33" t="s">
        <v>28</v>
      </c>
      <c r="D309" s="62" t="s">
        <v>316</v>
      </c>
      <c r="E309" s="121" t="s">
        <v>246</v>
      </c>
      <c r="F309" s="122">
        <f>IFERROR(IF($D309="","",VLOOKUP($D309,Cadastro!$C$4:$E$7,3,FALSE)),"")</f>
        <v>0.23</v>
      </c>
      <c r="G309" s="114"/>
      <c r="H309" s="122" t="str">
        <f>IFERROR(IF($G309="","",$G309*$S$311/$G$311/Cadastro!$E$33),"")</f>
        <v/>
      </c>
      <c r="I309" s="129">
        <f>IFERROR(IF($D309="","",VLOOKUP($D309,Cadastro!$C$4:$G$7,5,FALSE)),"")</f>
        <v>0.6</v>
      </c>
      <c r="J309" s="145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8">
        <v>46246</v>
      </c>
      <c r="B310" s="25">
        <f t="shared" si="68"/>
        <v>0.79166666666666619</v>
      </c>
      <c r="C310" s="33" t="s">
        <v>28</v>
      </c>
      <c r="D310" s="62" t="s">
        <v>316</v>
      </c>
      <c r="E310" s="121" t="s">
        <v>246</v>
      </c>
      <c r="F310" s="118">
        <f>IFERROR(IF($D310="","",VLOOKUP($D310,Cadastro!$C$4:$E$7,3,FALSE)),"")</f>
        <v>0.23</v>
      </c>
      <c r="G310" s="114"/>
      <c r="H310" s="118" t="str">
        <f>IFERROR(IF($G310="","",$G310*$S$311/$G$311/Cadastro!$E$33),"")</f>
        <v/>
      </c>
      <c r="I310" s="130">
        <f>IFERROR(IF($D310="","",VLOOKUP($D310,Cadastro!$C$4:$G$7,5,FALSE)),"")</f>
        <v>0.6</v>
      </c>
      <c r="J310" s="146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68" t="s">
        <v>231</v>
      </c>
      <c r="B311" s="169"/>
      <c r="C311" s="169"/>
      <c r="D311" s="169"/>
      <c r="E311" s="169">
        <f>SUM(E299:E310)</f>
        <v>0</v>
      </c>
      <c r="F311" s="123"/>
      <c r="G311" s="88">
        <f>SUM(G299:G310)</f>
        <v>79</v>
      </c>
      <c r="H311" s="123">
        <f>IFERROR(SUM(H299:H310),"")</f>
        <v>0</v>
      </c>
      <c r="I311" s="131"/>
      <c r="J311" s="147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4.0989351854174572E-2</v>
      </c>
      <c r="R311" s="36" t="s">
        <v>232</v>
      </c>
      <c r="S311" s="39"/>
      <c r="T311" s="141">
        <f>IFERROR(J311,"")</f>
        <v>0</v>
      </c>
    </row>
    <row r="312" spans="1:20" ht="15" customHeight="1" x14ac:dyDescent="0.3">
      <c r="A312" s="68">
        <v>46246</v>
      </c>
      <c r="B312" s="25">
        <v>0.83333333333333304</v>
      </c>
      <c r="C312" s="26"/>
      <c r="D312" s="59"/>
      <c r="E312" s="120"/>
      <c r="F312" s="119" t="str">
        <f>IFERROR(IF($D312="","",VLOOKUP($D312,Cadastro!$C$4:$E$7,3,FALSE)),"")</f>
        <v/>
      </c>
      <c r="G312" s="114"/>
      <c r="H312" s="119" t="str">
        <f>IFERROR(IF($G312="","",$G312*$S$324/$G$324/Cadastro!$E$33),"")</f>
        <v/>
      </c>
      <c r="I312" s="132" t="str">
        <f>IFERROR(IF($D312="","",VLOOKUP($D312,Cadastro!$C$4:$G$7,5,FALSE)),"")</f>
        <v/>
      </c>
      <c r="J312" s="148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 x14ac:dyDescent="0.3">
      <c r="A313" s="69">
        <v>46246</v>
      </c>
      <c r="B313" s="32">
        <f t="shared" ref="B313:B323" si="72">B312+TIME(0,60,0)</f>
        <v>0.87499999999999967</v>
      </c>
      <c r="C313" s="26"/>
      <c r="D313" s="59"/>
      <c r="E313" s="120"/>
      <c r="F313" s="122" t="str">
        <f>IFERROR(IF($D313="","",VLOOKUP($D313,Cadastro!$C$4:$E$7,3,FALSE)),"")</f>
        <v/>
      </c>
      <c r="G313" s="114"/>
      <c r="H313" s="122" t="str">
        <f>IFERROR(IF($G313="","",$G313*$S$324/$G$324/Cadastro!$E$33),"")</f>
        <v/>
      </c>
      <c r="I313" s="129" t="str">
        <f>IFERROR(IF($D313="","",VLOOKUP($D313,Cadastro!$C$4:$G$7,5,FALSE)),"")</f>
        <v/>
      </c>
      <c r="J313" s="145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 x14ac:dyDescent="0.3">
      <c r="A314" s="68">
        <v>46246</v>
      </c>
      <c r="B314" s="25">
        <f t="shared" si="72"/>
        <v>0.9166666666666663</v>
      </c>
      <c r="C314" s="26"/>
      <c r="D314" s="59"/>
      <c r="E314" s="120"/>
      <c r="F314" s="122" t="str">
        <f>IFERROR(IF($D314="","",VLOOKUP($D314,Cadastro!$C$4:$E$7,3,FALSE)),"")</f>
        <v/>
      </c>
      <c r="G314" s="114"/>
      <c r="H314" s="122" t="str">
        <f>IFERROR(IF($G314="","",$G314*$S$324/$G$324/Cadastro!$E$33),"")</f>
        <v/>
      </c>
      <c r="I314" s="129" t="str">
        <f>IFERROR(IF($D314="","",VLOOKUP($D314,Cadastro!$C$4:$G$7,5,FALSE)),"")</f>
        <v/>
      </c>
      <c r="J314" s="145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 x14ac:dyDescent="0.3">
      <c r="A315" s="69">
        <v>46246</v>
      </c>
      <c r="B315" s="32">
        <f t="shared" si="72"/>
        <v>0.95833333333333293</v>
      </c>
      <c r="C315" s="26"/>
      <c r="D315" s="59"/>
      <c r="E315" s="120"/>
      <c r="F315" s="122" t="str">
        <f>IFERROR(IF($D315="","",VLOOKUP($D315,Cadastro!$C$4:$E$7,3,FALSE)),"")</f>
        <v/>
      </c>
      <c r="G315" s="114"/>
      <c r="H315" s="122" t="str">
        <f>IFERROR(IF($G315="","",$G315*$S$324/$G$324/Cadastro!$E$33),"")</f>
        <v/>
      </c>
      <c r="I315" s="129" t="str">
        <f>IFERROR(IF($D315="","",VLOOKUP($D315,Cadastro!$C$4:$G$7,5,FALSE)),"")</f>
        <v/>
      </c>
      <c r="J315" s="145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 x14ac:dyDescent="0.3">
      <c r="A316" s="68">
        <v>46246</v>
      </c>
      <c r="B316" s="25">
        <f t="shared" si="72"/>
        <v>0.99999999999999956</v>
      </c>
      <c r="C316" s="26"/>
      <c r="D316" s="59"/>
      <c r="E316" s="120"/>
      <c r="F316" s="122" t="str">
        <f>IFERROR(IF($D316="","",VLOOKUP($D316,Cadastro!$C$4:$E$7,3,FALSE)),"")</f>
        <v/>
      </c>
      <c r="G316" s="114"/>
      <c r="H316" s="122" t="str">
        <f>IFERROR(IF($G316="","",$G316*$S$324/$G$324/Cadastro!$E$33),"")</f>
        <v/>
      </c>
      <c r="I316" s="129" t="str">
        <f>IFERROR(IF($D316="","",VLOOKUP($D316,Cadastro!$C$4:$G$7,5,FALSE)),"")</f>
        <v/>
      </c>
      <c r="J316" s="145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 x14ac:dyDescent="0.3">
      <c r="A317" s="69">
        <v>46246</v>
      </c>
      <c r="B317" s="32">
        <f t="shared" si="72"/>
        <v>1.0416666666666663</v>
      </c>
      <c r="C317" s="26"/>
      <c r="D317" s="59"/>
      <c r="E317" s="120"/>
      <c r="F317" s="122" t="str">
        <f>IFERROR(IF($D317="","",VLOOKUP($D317,Cadastro!$C$4:$E$7,3,FALSE)),"")</f>
        <v/>
      </c>
      <c r="G317" s="114"/>
      <c r="H317" s="122" t="str">
        <f>IFERROR(IF($G317="","",$G317*$S$324/$G$324/Cadastro!$E$33),"")</f>
        <v/>
      </c>
      <c r="I317" s="129" t="str">
        <f>IFERROR(IF($D317="","",VLOOKUP($D317,Cadastro!$C$4:$G$7,5,FALSE)),"")</f>
        <v/>
      </c>
      <c r="J317" s="145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 x14ac:dyDescent="0.3">
      <c r="A318" s="68">
        <v>46246</v>
      </c>
      <c r="B318" s="25">
        <f t="shared" si="72"/>
        <v>1.083333333333333</v>
      </c>
      <c r="C318" s="26"/>
      <c r="D318" s="59"/>
      <c r="E318" s="120"/>
      <c r="F318" s="122" t="str">
        <f>IFERROR(IF($D318="","",VLOOKUP($D318,Cadastro!$C$4:$E$7,3,FALSE)),"")</f>
        <v/>
      </c>
      <c r="G318" s="114"/>
      <c r="H318" s="122" t="str">
        <f>IFERROR(IF($G318="","",$G318*$S$324/$G$324/Cadastro!$E$33),"")</f>
        <v/>
      </c>
      <c r="I318" s="129" t="str">
        <f>IFERROR(IF($D318="","",VLOOKUP($D318,Cadastro!$C$4:$G$7,5,FALSE)),"")</f>
        <v/>
      </c>
      <c r="J318" s="145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 x14ac:dyDescent="0.3">
      <c r="A319" s="69">
        <v>46246</v>
      </c>
      <c r="B319" s="32">
        <f t="shared" si="72"/>
        <v>1.1249999999999998</v>
      </c>
      <c r="C319" s="26"/>
      <c r="D319" s="59"/>
      <c r="E319" s="120"/>
      <c r="F319" s="122" t="str">
        <f>IFERROR(IF($D319="","",VLOOKUP($D319,Cadastro!$C$4:$E$7,3,FALSE)),"")</f>
        <v/>
      </c>
      <c r="G319" s="114"/>
      <c r="H319" s="122" t="str">
        <f>IFERROR(IF($G319="","",$G319*$S$324/$G$324/Cadastro!$E$33),"")</f>
        <v/>
      </c>
      <c r="I319" s="129" t="str">
        <f>IFERROR(IF($D319="","",VLOOKUP($D319,Cadastro!$C$4:$G$7,5,FALSE)),"")</f>
        <v/>
      </c>
      <c r="J319" s="145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 x14ac:dyDescent="0.3">
      <c r="A320" s="68">
        <v>46246</v>
      </c>
      <c r="B320" s="25">
        <f t="shared" si="72"/>
        <v>1.1666666666666665</v>
      </c>
      <c r="C320" s="26"/>
      <c r="D320" s="59"/>
      <c r="E320" s="120"/>
      <c r="F320" s="122" t="str">
        <f>IFERROR(IF($D320="","",VLOOKUP($D320,Cadastro!$C$4:$E$7,3,FALSE)),"")</f>
        <v/>
      </c>
      <c r="G320" s="114"/>
      <c r="H320" s="122" t="str">
        <f>IFERROR(IF($G320="","",$G320*$S$324/$G$324/Cadastro!$E$33),"")</f>
        <v/>
      </c>
      <c r="I320" s="129" t="str">
        <f>IFERROR(IF($D320="","",VLOOKUP($D320,Cadastro!$C$4:$G$7,5,FALSE)),"")</f>
        <v/>
      </c>
      <c r="J320" s="145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 x14ac:dyDescent="0.3">
      <c r="A321" s="69">
        <v>46246</v>
      </c>
      <c r="B321" s="32">
        <f t="shared" si="72"/>
        <v>1.2083333333333333</v>
      </c>
      <c r="C321" s="26"/>
      <c r="D321" s="59"/>
      <c r="E321" s="120"/>
      <c r="F321" s="122" t="str">
        <f>IFERROR(IF($D321="","",VLOOKUP($D321,Cadastro!$C$4:$E$7,3,FALSE)),"")</f>
        <v/>
      </c>
      <c r="G321" s="114"/>
      <c r="H321" s="122" t="str">
        <f>IFERROR(IF($G321="","",$G321*$S$324/$G$324/Cadastro!$E$33),"")</f>
        <v/>
      </c>
      <c r="I321" s="129" t="str">
        <f>IFERROR(IF($D321="","",VLOOKUP($D321,Cadastro!$C$4:$G$7,5,FALSE)),"")</f>
        <v/>
      </c>
      <c r="J321" s="145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 x14ac:dyDescent="0.3">
      <c r="A322" s="68">
        <v>46246</v>
      </c>
      <c r="B322" s="25">
        <f t="shared" si="72"/>
        <v>1.25</v>
      </c>
      <c r="C322" s="26"/>
      <c r="D322" s="59"/>
      <c r="E322" s="120"/>
      <c r="F322" s="122" t="str">
        <f>IFERROR(IF($D322="","",VLOOKUP($D322,Cadastro!$C$4:$E$7,3,FALSE)),"")</f>
        <v/>
      </c>
      <c r="G322" s="114"/>
      <c r="H322" s="122" t="str">
        <f>IFERROR(IF($G322="","",$G322*$S$324/$G$324/Cadastro!$E$33),"")</f>
        <v/>
      </c>
      <c r="I322" s="129" t="str">
        <f>IFERROR(IF($D322="","",VLOOKUP($D322,Cadastro!$C$4:$G$7,5,FALSE)),"")</f>
        <v/>
      </c>
      <c r="J322" s="145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 x14ac:dyDescent="0.35">
      <c r="A323" s="69">
        <v>46246</v>
      </c>
      <c r="B323" s="32">
        <f t="shared" si="72"/>
        <v>1.2916666666666667</v>
      </c>
      <c r="C323" s="26"/>
      <c r="D323" s="59"/>
      <c r="E323" s="120"/>
      <c r="F323" s="118" t="str">
        <f>IFERROR(IF($D323="","",VLOOKUP($D323,Cadastro!$C$4:$E$7,3,FALSE)),"")</f>
        <v/>
      </c>
      <c r="G323" s="114"/>
      <c r="H323" s="118" t="str">
        <f>IFERROR(IF($G323="","",$G323*$S$324/$G$324/Cadastro!$E$33),"")</f>
        <v/>
      </c>
      <c r="I323" s="130" t="str">
        <f>IFERROR(IF($D323="","",VLOOKUP($D323,Cadastro!$C$4:$G$7,5,FALSE)),"")</f>
        <v/>
      </c>
      <c r="J323" s="146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 x14ac:dyDescent="0.35">
      <c r="A324" s="168" t="s">
        <v>234</v>
      </c>
      <c r="B324" s="169"/>
      <c r="C324" s="169"/>
      <c r="D324" s="169"/>
      <c r="E324" s="169">
        <f>SUM(E312:E323)</f>
        <v>0</v>
      </c>
      <c r="F324" s="124"/>
      <c r="G324" s="88">
        <f>SUM(G312:G323)</f>
        <v>0</v>
      </c>
      <c r="H324" s="124">
        <f>IFERROR(SUM(H312:H323),"")</f>
        <v>0</v>
      </c>
      <c r="I324" s="133"/>
      <c r="J324" s="149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232</v>
      </c>
      <c r="S324" s="39"/>
      <c r="T324" s="141">
        <f>IFERROR(J324,"")</f>
        <v>0</v>
      </c>
    </row>
    <row r="325" spans="1:20" ht="18" customHeight="1" x14ac:dyDescent="0.3">
      <c r="A325" s="165" t="s">
        <v>235</v>
      </c>
      <c r="B325" s="166"/>
      <c r="C325" s="166"/>
      <c r="D325" s="166"/>
      <c r="E325" s="166">
        <f>E311+E324</f>
        <v>0</v>
      </c>
      <c r="F325" s="125"/>
      <c r="G325" s="100">
        <f>G311+G324</f>
        <v>79</v>
      </c>
      <c r="H325" s="125">
        <f>IFERROR(H311+H324,"")</f>
        <v>0</v>
      </c>
      <c r="I325" s="134"/>
      <c r="J325" s="150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4.0989351854174572E-2</v>
      </c>
      <c r="R325" s="40" t="s">
        <v>236</v>
      </c>
      <c r="S325" s="48">
        <f>IFERROR(S311+S324,"")</f>
        <v>0</v>
      </c>
      <c r="T325" s="143">
        <f>IFERROR(J325,"")</f>
        <v>0</v>
      </c>
    </row>
    <row r="326" spans="1:20" ht="15" customHeight="1" x14ac:dyDescent="0.3">
      <c r="A326" s="68">
        <v>46247</v>
      </c>
      <c r="B326" s="25">
        <v>0.33333333333333298</v>
      </c>
      <c r="C326" s="26"/>
      <c r="D326" s="59"/>
      <c r="E326" s="120"/>
      <c r="F326" s="119" t="str">
        <f>IFERROR(IF($D326="","",VLOOKUP($D326,Cadastro!$C$4:$E$7,3,FALSE)),"")</f>
        <v/>
      </c>
      <c r="G326" s="114"/>
      <c r="H326" s="119" t="str">
        <f>IFERROR(IF($G326="","",$G326*$S$338/$G$338/Cadastro!$E$33),"")</f>
        <v/>
      </c>
      <c r="I326" s="132" t="str">
        <f>IFERROR(IF($D326="","",VLOOKUP($D326,Cadastro!$C$4:$G$7,5,FALSE)),"")</f>
        <v/>
      </c>
      <c r="J326" s="148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 x14ac:dyDescent="0.3">
      <c r="A327" s="69">
        <v>46247</v>
      </c>
      <c r="B327" s="32">
        <f t="shared" ref="B327:B337" si="76">B326+TIME(0,60,0)</f>
        <v>0.37499999999999967</v>
      </c>
      <c r="C327" s="26"/>
      <c r="D327" s="59"/>
      <c r="E327" s="120"/>
      <c r="F327" s="122" t="str">
        <f>IFERROR(IF($D327="","",VLOOKUP($D327,Cadastro!$C$4:$E$7,3,FALSE)),"")</f>
        <v/>
      </c>
      <c r="G327" s="114"/>
      <c r="H327" s="122" t="str">
        <f>IFERROR(IF($G327="","",$G327*$S$338/$G$338/Cadastro!$E$33),"")</f>
        <v/>
      </c>
      <c r="I327" s="129" t="str">
        <f>IFERROR(IF($D327="","",VLOOKUP($D327,Cadastro!$C$4:$G$7,5,FALSE)),"")</f>
        <v/>
      </c>
      <c r="J327" s="145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 x14ac:dyDescent="0.3">
      <c r="A328" s="68">
        <v>46247</v>
      </c>
      <c r="B328" s="25">
        <f t="shared" si="76"/>
        <v>0.41666666666666635</v>
      </c>
      <c r="C328" s="26"/>
      <c r="D328" s="59"/>
      <c r="E328" s="120"/>
      <c r="F328" s="122" t="str">
        <f>IFERROR(IF($D328="","",VLOOKUP($D328,Cadastro!$C$4:$E$7,3,FALSE)),"")</f>
        <v/>
      </c>
      <c r="G328" s="114"/>
      <c r="H328" s="122" t="str">
        <f>IFERROR(IF($G328="","",$G328*$S$338/$G$338/Cadastro!$E$33),"")</f>
        <v/>
      </c>
      <c r="I328" s="129" t="str">
        <f>IFERROR(IF($D328="","",VLOOKUP($D328,Cadastro!$C$4:$G$7,5,FALSE)),"")</f>
        <v/>
      </c>
      <c r="J328" s="145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 x14ac:dyDescent="0.3">
      <c r="A329" s="69">
        <v>46247</v>
      </c>
      <c r="B329" s="32">
        <f t="shared" si="76"/>
        <v>0.45833333333333304</v>
      </c>
      <c r="C329" s="26"/>
      <c r="D329" s="59"/>
      <c r="E329" s="120"/>
      <c r="F329" s="122" t="str">
        <f>IFERROR(IF($D329="","",VLOOKUP($D329,Cadastro!$C$4:$E$7,3,FALSE)),"")</f>
        <v/>
      </c>
      <c r="G329" s="114"/>
      <c r="H329" s="122" t="str">
        <f>IFERROR(IF($G329="","",$G329*$S$338/$G$338/Cadastro!$E$33),"")</f>
        <v/>
      </c>
      <c r="I329" s="129" t="str">
        <f>IFERROR(IF($D329="","",VLOOKUP($D329,Cadastro!$C$4:$G$7,5,FALSE)),"")</f>
        <v/>
      </c>
      <c r="J329" s="145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 x14ac:dyDescent="0.3">
      <c r="A330" s="68">
        <v>46247</v>
      </c>
      <c r="B330" s="25">
        <f t="shared" si="76"/>
        <v>0.49999999999999972</v>
      </c>
      <c r="C330" s="26"/>
      <c r="D330" s="59"/>
      <c r="E330" s="120"/>
      <c r="F330" s="122" t="str">
        <f>IFERROR(IF($D330="","",VLOOKUP($D330,Cadastro!$C$4:$E$7,3,FALSE)),"")</f>
        <v/>
      </c>
      <c r="G330" s="114"/>
      <c r="H330" s="122" t="str">
        <f>IFERROR(IF($G330="","",$G330*$S$338/$G$338/Cadastro!$E$33),"")</f>
        <v/>
      </c>
      <c r="I330" s="129" t="str">
        <f>IFERROR(IF($D330="","",VLOOKUP($D330,Cadastro!$C$4:$G$7,5,FALSE)),"")</f>
        <v/>
      </c>
      <c r="J330" s="145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 x14ac:dyDescent="0.3">
      <c r="A331" s="69">
        <v>46247</v>
      </c>
      <c r="B331" s="32">
        <f t="shared" si="76"/>
        <v>0.54166666666666641</v>
      </c>
      <c r="C331" s="26"/>
      <c r="D331" s="59"/>
      <c r="E331" s="120"/>
      <c r="F331" s="122" t="str">
        <f>IFERROR(IF($D331="","",VLOOKUP($D331,Cadastro!$C$4:$E$7,3,FALSE)),"")</f>
        <v/>
      </c>
      <c r="G331" s="114"/>
      <c r="H331" s="122" t="str">
        <f>IFERROR(IF($G331="","",$G331*$S$338/$G$338/Cadastro!$E$33),"")</f>
        <v/>
      </c>
      <c r="I331" s="129" t="str">
        <f>IFERROR(IF($D331="","",VLOOKUP($D331,Cadastro!$C$4:$G$7,5,FALSE)),"")</f>
        <v/>
      </c>
      <c r="J331" s="145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 x14ac:dyDescent="0.3">
      <c r="A332" s="68">
        <v>46247</v>
      </c>
      <c r="B332" s="25">
        <f t="shared" si="76"/>
        <v>0.58333333333333304</v>
      </c>
      <c r="C332" s="26"/>
      <c r="D332" s="59"/>
      <c r="E332" s="120"/>
      <c r="F332" s="122" t="str">
        <f>IFERROR(IF($D332="","",VLOOKUP($D332,Cadastro!$C$4:$E$7,3,FALSE)),"")</f>
        <v/>
      </c>
      <c r="G332" s="114"/>
      <c r="H332" s="122" t="str">
        <f>IFERROR(IF($G332="","",$G332*$S$338/$G$338/Cadastro!$E$33),"")</f>
        <v/>
      </c>
      <c r="I332" s="129" t="str">
        <f>IFERROR(IF($D332="","",VLOOKUP($D332,Cadastro!$C$4:$G$7,5,FALSE)),"")</f>
        <v/>
      </c>
      <c r="J332" s="145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 x14ac:dyDescent="0.3">
      <c r="A333" s="69">
        <v>46247</v>
      </c>
      <c r="B333" s="32">
        <f t="shared" si="76"/>
        <v>0.62499999999999967</v>
      </c>
      <c r="C333" s="26"/>
      <c r="D333" s="59"/>
      <c r="E333" s="120"/>
      <c r="F333" s="122" t="str">
        <f>IFERROR(IF($D333="","",VLOOKUP($D333,Cadastro!$C$4:$E$7,3,FALSE)),"")</f>
        <v/>
      </c>
      <c r="G333" s="114"/>
      <c r="H333" s="122" t="str">
        <f>IFERROR(IF($G333="","",$G333*$S$338/$G$338/Cadastro!$E$33),"")</f>
        <v/>
      </c>
      <c r="I333" s="129" t="str">
        <f>IFERROR(IF($D333="","",VLOOKUP($D333,Cadastro!$C$4:$G$7,5,FALSE)),"")</f>
        <v/>
      </c>
      <c r="J333" s="145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 x14ac:dyDescent="0.3">
      <c r="A334" s="68">
        <v>46247</v>
      </c>
      <c r="B334" s="25">
        <f t="shared" si="76"/>
        <v>0.6666666666666663</v>
      </c>
      <c r="C334" s="26"/>
      <c r="D334" s="59"/>
      <c r="E334" s="120"/>
      <c r="F334" s="122" t="str">
        <f>IFERROR(IF($D334="","",VLOOKUP($D334,Cadastro!$C$4:$E$7,3,FALSE)),"")</f>
        <v/>
      </c>
      <c r="G334" s="114"/>
      <c r="H334" s="122" t="str">
        <f>IFERROR(IF($G334="","",$G334*$S$338/$G$338/Cadastro!$E$33),"")</f>
        <v/>
      </c>
      <c r="I334" s="129" t="str">
        <f>IFERROR(IF($D334="","",VLOOKUP($D334,Cadastro!$C$4:$G$7,5,FALSE)),"")</f>
        <v/>
      </c>
      <c r="J334" s="145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 x14ac:dyDescent="0.3">
      <c r="A335" s="69">
        <v>46247</v>
      </c>
      <c r="B335" s="32">
        <f t="shared" si="76"/>
        <v>0.70833333333333293</v>
      </c>
      <c r="C335" s="26"/>
      <c r="D335" s="59"/>
      <c r="E335" s="120"/>
      <c r="F335" s="122" t="str">
        <f>IFERROR(IF($D335="","",VLOOKUP($D335,Cadastro!$C$4:$E$7,3,FALSE)),"")</f>
        <v/>
      </c>
      <c r="G335" s="114"/>
      <c r="H335" s="122" t="str">
        <f>IFERROR(IF($G335="","",$G335*$S$338/$G$338/Cadastro!$E$33),"")</f>
        <v/>
      </c>
      <c r="I335" s="129" t="str">
        <f>IFERROR(IF($D335="","",VLOOKUP($D335,Cadastro!$C$4:$G$7,5,FALSE)),"")</f>
        <v/>
      </c>
      <c r="J335" s="145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 x14ac:dyDescent="0.3">
      <c r="A336" s="68">
        <v>46247</v>
      </c>
      <c r="B336" s="25">
        <f t="shared" si="76"/>
        <v>0.74999999999999956</v>
      </c>
      <c r="C336" s="26"/>
      <c r="D336" s="59"/>
      <c r="E336" s="120"/>
      <c r="F336" s="122" t="str">
        <f>IFERROR(IF($D336="","",VLOOKUP($D336,Cadastro!$C$4:$E$7,3,FALSE)),"")</f>
        <v/>
      </c>
      <c r="G336" s="114"/>
      <c r="H336" s="122" t="str">
        <f>IFERROR(IF($G336="","",$G336*$S$338/$G$338/Cadastro!$E$33),"")</f>
        <v/>
      </c>
      <c r="I336" s="129" t="str">
        <f>IFERROR(IF($D336="","",VLOOKUP($D336,Cadastro!$C$4:$G$7,5,FALSE)),"")</f>
        <v/>
      </c>
      <c r="J336" s="145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 x14ac:dyDescent="0.35">
      <c r="A337" s="69">
        <v>46247</v>
      </c>
      <c r="B337" s="32">
        <f t="shared" si="76"/>
        <v>0.79166666666666619</v>
      </c>
      <c r="C337" s="26"/>
      <c r="D337" s="59"/>
      <c r="E337" s="120"/>
      <c r="F337" s="118" t="str">
        <f>IFERROR(IF($D337="","",VLOOKUP($D337,Cadastro!$C$4:$E$7,3,FALSE)),"")</f>
        <v/>
      </c>
      <c r="G337" s="114"/>
      <c r="H337" s="118" t="str">
        <f>IFERROR(IF($G337="","",$G337*$S$338/$G$338/Cadastro!$E$33),"")</f>
        <v/>
      </c>
      <c r="I337" s="130" t="str">
        <f>IFERROR(IF($D337="","",VLOOKUP($D337,Cadastro!$C$4:$G$7,5,FALSE)),"")</f>
        <v/>
      </c>
      <c r="J337" s="146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 x14ac:dyDescent="0.35">
      <c r="A338" s="168" t="s">
        <v>231</v>
      </c>
      <c r="B338" s="169"/>
      <c r="C338" s="169"/>
      <c r="D338" s="169"/>
      <c r="E338" s="169">
        <f>SUM(E326:E337)</f>
        <v>0</v>
      </c>
      <c r="F338" s="123"/>
      <c r="G338" s="88">
        <f>SUM(G326:G337)</f>
        <v>0</v>
      </c>
      <c r="H338" s="123">
        <f>IFERROR(SUM(H326:H337),"")</f>
        <v>0</v>
      </c>
      <c r="I338" s="131"/>
      <c r="J338" s="147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232</v>
      </c>
      <c r="S338" s="39"/>
      <c r="T338" s="141">
        <f>IFERROR(J338,"")</f>
        <v>0</v>
      </c>
    </row>
    <row r="339" spans="1:20" ht="15" customHeight="1" x14ac:dyDescent="0.3">
      <c r="A339" s="69">
        <v>46247</v>
      </c>
      <c r="B339" s="32">
        <v>0.83333333333333304</v>
      </c>
      <c r="C339" s="33"/>
      <c r="D339" s="62"/>
      <c r="E339" s="121"/>
      <c r="F339" s="119" t="str">
        <f>IFERROR(IF($D339="","",VLOOKUP($D339,Cadastro!$C$4:$E$7,3,FALSE)),"")</f>
        <v/>
      </c>
      <c r="G339" s="114"/>
      <c r="H339" s="119" t="str">
        <f>IFERROR(IF($G339="","",$G339*$S$351/$G$351/Cadastro!$E$33),"")</f>
        <v/>
      </c>
      <c r="I339" s="132" t="str">
        <f>IFERROR(IF($D339="","",VLOOKUP($D339,Cadastro!$C$4:$G$7,5,FALSE)),"")</f>
        <v/>
      </c>
      <c r="J339" s="148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 x14ac:dyDescent="0.3">
      <c r="A340" s="68">
        <v>46247</v>
      </c>
      <c r="B340" s="25">
        <f t="shared" ref="B340:B350" si="80">B339+TIME(0,60,0)</f>
        <v>0.87499999999999967</v>
      </c>
      <c r="C340" s="33"/>
      <c r="D340" s="62"/>
      <c r="E340" s="121"/>
      <c r="F340" s="122" t="str">
        <f>IFERROR(IF($D340="","",VLOOKUP($D340,Cadastro!$C$4:$E$7,3,FALSE)),"")</f>
        <v/>
      </c>
      <c r="G340" s="114"/>
      <c r="H340" s="122" t="str">
        <f>IFERROR(IF($G340="","",$G340*$S$351/$G$351/Cadastro!$E$33),"")</f>
        <v/>
      </c>
      <c r="I340" s="129" t="str">
        <f>IFERROR(IF($D340="","",VLOOKUP($D340,Cadastro!$C$4:$G$7,5,FALSE)),"")</f>
        <v/>
      </c>
      <c r="J340" s="145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 x14ac:dyDescent="0.3">
      <c r="A341" s="69">
        <v>46247</v>
      </c>
      <c r="B341" s="32">
        <f t="shared" si="80"/>
        <v>0.9166666666666663</v>
      </c>
      <c r="C341" s="33"/>
      <c r="D341" s="62"/>
      <c r="E341" s="121"/>
      <c r="F341" s="122" t="str">
        <f>IFERROR(IF($D341="","",VLOOKUP($D341,Cadastro!$C$4:$E$7,3,FALSE)),"")</f>
        <v/>
      </c>
      <c r="G341" s="114"/>
      <c r="H341" s="122" t="str">
        <f>IFERROR(IF($G341="","",$G341*$S$351/$G$351/Cadastro!$E$33),"")</f>
        <v/>
      </c>
      <c r="I341" s="129" t="str">
        <f>IFERROR(IF($D341="","",VLOOKUP($D341,Cadastro!$C$4:$G$7,5,FALSE)),"")</f>
        <v/>
      </c>
      <c r="J341" s="145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 x14ac:dyDescent="0.3">
      <c r="A342" s="68">
        <v>46247</v>
      </c>
      <c r="B342" s="25">
        <f t="shared" si="80"/>
        <v>0.95833333333333293</v>
      </c>
      <c r="C342" s="33"/>
      <c r="D342" s="62"/>
      <c r="E342" s="121"/>
      <c r="F342" s="122" t="str">
        <f>IFERROR(IF($D342="","",VLOOKUP($D342,Cadastro!$C$4:$E$7,3,FALSE)),"")</f>
        <v/>
      </c>
      <c r="G342" s="114"/>
      <c r="H342" s="122" t="str">
        <f>IFERROR(IF($G342="","",$G342*$S$351/$G$351/Cadastro!$E$33),"")</f>
        <v/>
      </c>
      <c r="I342" s="129" t="str">
        <f>IFERROR(IF($D342="","",VLOOKUP($D342,Cadastro!$C$4:$G$7,5,FALSE)),"")</f>
        <v/>
      </c>
      <c r="J342" s="145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 x14ac:dyDescent="0.3">
      <c r="A343" s="69">
        <v>46247</v>
      </c>
      <c r="B343" s="32">
        <f t="shared" si="80"/>
        <v>0.99999999999999956</v>
      </c>
      <c r="C343" s="33"/>
      <c r="D343" s="62"/>
      <c r="E343" s="121"/>
      <c r="F343" s="122" t="str">
        <f>IFERROR(IF($D343="","",VLOOKUP($D343,Cadastro!$C$4:$E$7,3,FALSE)),"")</f>
        <v/>
      </c>
      <c r="G343" s="114"/>
      <c r="H343" s="122" t="str">
        <f>IFERROR(IF($G343="","",$G343*$S$351/$G$351/Cadastro!$E$33),"")</f>
        <v/>
      </c>
      <c r="I343" s="129" t="str">
        <f>IFERROR(IF($D343="","",VLOOKUP($D343,Cadastro!$C$4:$G$7,5,FALSE)),"")</f>
        <v/>
      </c>
      <c r="J343" s="145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 x14ac:dyDescent="0.3">
      <c r="A344" s="68">
        <v>46247</v>
      </c>
      <c r="B344" s="25">
        <f t="shared" si="80"/>
        <v>1.0416666666666663</v>
      </c>
      <c r="C344" s="33"/>
      <c r="D344" s="62"/>
      <c r="E344" s="121"/>
      <c r="F344" s="122" t="str">
        <f>IFERROR(IF($D344="","",VLOOKUP($D344,Cadastro!$C$4:$E$7,3,FALSE)),"")</f>
        <v/>
      </c>
      <c r="G344" s="114"/>
      <c r="H344" s="122" t="str">
        <f>IFERROR(IF($G344="","",$G344*$S$351/$G$351/Cadastro!$E$33),"")</f>
        <v/>
      </c>
      <c r="I344" s="129" t="str">
        <f>IFERROR(IF($D344="","",VLOOKUP($D344,Cadastro!$C$4:$G$7,5,FALSE)),"")</f>
        <v/>
      </c>
      <c r="J344" s="145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 x14ac:dyDescent="0.3">
      <c r="A345" s="69">
        <v>46247</v>
      </c>
      <c r="B345" s="32">
        <f t="shared" si="80"/>
        <v>1.083333333333333</v>
      </c>
      <c r="C345" s="33"/>
      <c r="D345" s="62"/>
      <c r="E345" s="121"/>
      <c r="F345" s="122" t="str">
        <f>IFERROR(IF($D345="","",VLOOKUP($D345,Cadastro!$C$4:$E$7,3,FALSE)),"")</f>
        <v/>
      </c>
      <c r="G345" s="114"/>
      <c r="H345" s="122" t="str">
        <f>IFERROR(IF($G345="","",$G345*$S$351/$G$351/Cadastro!$E$33),"")</f>
        <v/>
      </c>
      <c r="I345" s="129" t="str">
        <f>IFERROR(IF($D345="","",VLOOKUP($D345,Cadastro!$C$4:$G$7,5,FALSE)),"")</f>
        <v/>
      </c>
      <c r="J345" s="145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 x14ac:dyDescent="0.3">
      <c r="A346" s="68">
        <v>46247</v>
      </c>
      <c r="B346" s="25">
        <f t="shared" si="80"/>
        <v>1.1249999999999998</v>
      </c>
      <c r="C346" s="33"/>
      <c r="D346" s="62"/>
      <c r="E346" s="121"/>
      <c r="F346" s="122" t="str">
        <f>IFERROR(IF($D346="","",VLOOKUP($D346,Cadastro!$C$4:$E$7,3,FALSE)),"")</f>
        <v/>
      </c>
      <c r="G346" s="114"/>
      <c r="H346" s="122" t="str">
        <f>IFERROR(IF($G346="","",$G346*$S$351/$G$351/Cadastro!$E$33),"")</f>
        <v/>
      </c>
      <c r="I346" s="129" t="str">
        <f>IFERROR(IF($D346="","",VLOOKUP($D346,Cadastro!$C$4:$G$7,5,FALSE)),"")</f>
        <v/>
      </c>
      <c r="J346" s="145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 x14ac:dyDescent="0.3">
      <c r="A347" s="69">
        <v>46247</v>
      </c>
      <c r="B347" s="32">
        <f t="shared" si="80"/>
        <v>1.1666666666666665</v>
      </c>
      <c r="C347" s="33"/>
      <c r="D347" s="62"/>
      <c r="E347" s="121"/>
      <c r="F347" s="122" t="str">
        <f>IFERROR(IF($D347="","",VLOOKUP($D347,Cadastro!$C$4:$E$7,3,FALSE)),"")</f>
        <v/>
      </c>
      <c r="G347" s="114"/>
      <c r="H347" s="122" t="str">
        <f>IFERROR(IF($G347="","",$G347*$S$351/$G$351/Cadastro!$E$33),"")</f>
        <v/>
      </c>
      <c r="I347" s="129" t="str">
        <f>IFERROR(IF($D347="","",VLOOKUP($D347,Cadastro!$C$4:$G$7,5,FALSE)),"")</f>
        <v/>
      </c>
      <c r="J347" s="145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 x14ac:dyDescent="0.3">
      <c r="A348" s="68">
        <v>46247</v>
      </c>
      <c r="B348" s="25">
        <f t="shared" si="80"/>
        <v>1.2083333333333333</v>
      </c>
      <c r="C348" s="33"/>
      <c r="D348" s="62"/>
      <c r="E348" s="121"/>
      <c r="F348" s="122" t="str">
        <f>IFERROR(IF($D348="","",VLOOKUP($D348,Cadastro!$C$4:$E$7,3,FALSE)),"")</f>
        <v/>
      </c>
      <c r="G348" s="114"/>
      <c r="H348" s="122" t="str">
        <f>IFERROR(IF($G348="","",$G348*$S$351/$G$351/Cadastro!$E$33),"")</f>
        <v/>
      </c>
      <c r="I348" s="129" t="str">
        <f>IFERROR(IF($D348="","",VLOOKUP($D348,Cadastro!$C$4:$G$7,5,FALSE)),"")</f>
        <v/>
      </c>
      <c r="J348" s="145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 x14ac:dyDescent="0.3">
      <c r="A349" s="69">
        <v>46247</v>
      </c>
      <c r="B349" s="32">
        <f t="shared" si="80"/>
        <v>1.25</v>
      </c>
      <c r="C349" s="33"/>
      <c r="D349" s="62"/>
      <c r="E349" s="121"/>
      <c r="F349" s="122" t="str">
        <f>IFERROR(IF($D349="","",VLOOKUP($D349,Cadastro!$C$4:$E$7,3,FALSE)),"")</f>
        <v/>
      </c>
      <c r="G349" s="114"/>
      <c r="H349" s="122" t="str">
        <f>IFERROR(IF($G349="","",$G349*$S$351/$G$351/Cadastro!$E$33),"")</f>
        <v/>
      </c>
      <c r="I349" s="129" t="str">
        <f>IFERROR(IF($D349="","",VLOOKUP($D349,Cadastro!$C$4:$G$7,5,FALSE)),"")</f>
        <v/>
      </c>
      <c r="J349" s="145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 x14ac:dyDescent="0.35">
      <c r="A350" s="68">
        <v>46247</v>
      </c>
      <c r="B350" s="25">
        <f t="shared" si="80"/>
        <v>1.2916666666666667</v>
      </c>
      <c r="C350" s="33"/>
      <c r="D350" s="62"/>
      <c r="E350" s="121"/>
      <c r="F350" s="118" t="str">
        <f>IFERROR(IF($D350="","",VLOOKUP($D350,Cadastro!$C$4:$E$7,3,FALSE)),"")</f>
        <v/>
      </c>
      <c r="G350" s="114"/>
      <c r="H350" s="118" t="str">
        <f>IFERROR(IF($G350="","",$G350*$S$351/$G$351/Cadastro!$E$33),"")</f>
        <v/>
      </c>
      <c r="I350" s="130" t="str">
        <f>IFERROR(IF($D350="","",VLOOKUP($D350,Cadastro!$C$4:$G$7,5,FALSE)),"")</f>
        <v/>
      </c>
      <c r="J350" s="146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 x14ac:dyDescent="0.35">
      <c r="A351" s="168" t="s">
        <v>234</v>
      </c>
      <c r="B351" s="169"/>
      <c r="C351" s="169"/>
      <c r="D351" s="169"/>
      <c r="E351" s="169">
        <f>SUM(E339:E350)</f>
        <v>0</v>
      </c>
      <c r="F351" s="124"/>
      <c r="G351" s="88">
        <f>SUM(G339:G350)</f>
        <v>0</v>
      </c>
      <c r="H351" s="124">
        <f>IFERROR(SUM(H339:H350),"")</f>
        <v>0</v>
      </c>
      <c r="I351" s="133"/>
      <c r="J351" s="149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232</v>
      </c>
      <c r="S351" s="39"/>
      <c r="T351" s="141">
        <f>IFERROR(J351,"")</f>
        <v>0</v>
      </c>
    </row>
    <row r="352" spans="1:20" ht="18" customHeight="1" x14ac:dyDescent="0.3">
      <c r="A352" s="165" t="s">
        <v>235</v>
      </c>
      <c r="B352" s="166"/>
      <c r="C352" s="166"/>
      <c r="D352" s="166"/>
      <c r="E352" s="166">
        <f>E338+E351</f>
        <v>0</v>
      </c>
      <c r="F352" s="125"/>
      <c r="G352" s="100">
        <f>G338+G351</f>
        <v>0</v>
      </c>
      <c r="H352" s="125">
        <f>IFERROR(H338+H351,"")</f>
        <v>0</v>
      </c>
      <c r="I352" s="134"/>
      <c r="J352" s="150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236</v>
      </c>
      <c r="S352" s="48">
        <f>IFERROR(S338+S351,"")</f>
        <v>0</v>
      </c>
      <c r="T352" s="143">
        <f>IFERROR(J352,"")</f>
        <v>0</v>
      </c>
    </row>
    <row r="353" spans="1:20" ht="15" customHeight="1" x14ac:dyDescent="0.3">
      <c r="A353" s="69">
        <v>46248</v>
      </c>
      <c r="B353" s="32">
        <v>0.33333333333333298</v>
      </c>
      <c r="C353" s="33"/>
      <c r="D353" s="62"/>
      <c r="E353" s="121"/>
      <c r="F353" s="119" t="str">
        <f>IFERROR(IF($D353="","",VLOOKUP($D353,Cadastro!$C$4:$E$7,3,FALSE)),"")</f>
        <v/>
      </c>
      <c r="G353" s="114"/>
      <c r="H353" s="119" t="str">
        <f>IFERROR(IF($G353="","",$G353*$S$365/$G$365/Cadastro!$E$33),"")</f>
        <v/>
      </c>
      <c r="I353" s="132" t="str">
        <f>IFERROR(IF($D353="","",VLOOKUP($D353,Cadastro!$C$4:$G$7,5,FALSE)),"")</f>
        <v/>
      </c>
      <c r="J353" s="148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 x14ac:dyDescent="0.3">
      <c r="A354" s="68">
        <v>46248</v>
      </c>
      <c r="B354" s="25">
        <f t="shared" ref="B354:B364" si="84">B353+TIME(0,60,0)</f>
        <v>0.37499999999999967</v>
      </c>
      <c r="C354" s="33"/>
      <c r="D354" s="62"/>
      <c r="E354" s="121"/>
      <c r="F354" s="122" t="str">
        <f>IFERROR(IF($D354="","",VLOOKUP($D354,Cadastro!$C$4:$E$7,3,FALSE)),"")</f>
        <v/>
      </c>
      <c r="G354" s="114"/>
      <c r="H354" s="122" t="str">
        <f>IFERROR(IF($G354="","",$G354*$S$365/$G$365/Cadastro!$E$33),"")</f>
        <v/>
      </c>
      <c r="I354" s="129" t="str">
        <f>IFERROR(IF($D354="","",VLOOKUP($D354,Cadastro!$C$4:$G$7,5,FALSE)),"")</f>
        <v/>
      </c>
      <c r="J354" s="145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 x14ac:dyDescent="0.3">
      <c r="A355" s="69">
        <v>46248</v>
      </c>
      <c r="B355" s="32">
        <f t="shared" si="84"/>
        <v>0.41666666666666635</v>
      </c>
      <c r="C355" s="33"/>
      <c r="D355" s="62"/>
      <c r="E355" s="121"/>
      <c r="F355" s="122" t="str">
        <f>IFERROR(IF($D355="","",VLOOKUP($D355,Cadastro!$C$4:$E$7,3,FALSE)),"")</f>
        <v/>
      </c>
      <c r="G355" s="114"/>
      <c r="H355" s="122" t="str">
        <f>IFERROR(IF($G355="","",$G355*$S$365/$G$365/Cadastro!$E$33),"")</f>
        <v/>
      </c>
      <c r="I355" s="129" t="str">
        <f>IFERROR(IF($D355="","",VLOOKUP($D355,Cadastro!$C$4:$G$7,5,FALSE)),"")</f>
        <v/>
      </c>
      <c r="J355" s="145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 x14ac:dyDescent="0.3">
      <c r="A356" s="68">
        <v>46248</v>
      </c>
      <c r="B356" s="25">
        <f t="shared" si="84"/>
        <v>0.45833333333333304</v>
      </c>
      <c r="C356" s="33"/>
      <c r="D356" s="62"/>
      <c r="E356" s="121"/>
      <c r="F356" s="122" t="str">
        <f>IFERROR(IF($D356="","",VLOOKUP($D356,Cadastro!$C$4:$E$7,3,FALSE)),"")</f>
        <v/>
      </c>
      <c r="G356" s="114"/>
      <c r="H356" s="122" t="str">
        <f>IFERROR(IF($G356="","",$G356*$S$365/$G$365/Cadastro!$E$33),"")</f>
        <v/>
      </c>
      <c r="I356" s="129" t="str">
        <f>IFERROR(IF($D356="","",VLOOKUP($D356,Cadastro!$C$4:$G$7,5,FALSE)),"")</f>
        <v/>
      </c>
      <c r="J356" s="145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 x14ac:dyDescent="0.3">
      <c r="A357" s="69">
        <v>46248</v>
      </c>
      <c r="B357" s="32">
        <f t="shared" si="84"/>
        <v>0.49999999999999972</v>
      </c>
      <c r="C357" s="33"/>
      <c r="D357" s="62"/>
      <c r="E357" s="121"/>
      <c r="F357" s="122" t="str">
        <f>IFERROR(IF($D357="","",VLOOKUP($D357,Cadastro!$C$4:$E$7,3,FALSE)),"")</f>
        <v/>
      </c>
      <c r="G357" s="114"/>
      <c r="H357" s="122" t="str">
        <f>IFERROR(IF($G357="","",$G357*$S$365/$G$365/Cadastro!$E$33),"")</f>
        <v/>
      </c>
      <c r="I357" s="129" t="str">
        <f>IFERROR(IF($D357="","",VLOOKUP($D357,Cadastro!$C$4:$G$7,5,FALSE)),"")</f>
        <v/>
      </c>
      <c r="J357" s="145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 x14ac:dyDescent="0.3">
      <c r="A358" s="68">
        <v>46248</v>
      </c>
      <c r="B358" s="25">
        <f t="shared" si="84"/>
        <v>0.54166666666666641</v>
      </c>
      <c r="C358" s="33"/>
      <c r="D358" s="62"/>
      <c r="E358" s="121"/>
      <c r="F358" s="122" t="str">
        <f>IFERROR(IF($D358="","",VLOOKUP($D358,Cadastro!$C$4:$E$7,3,FALSE)),"")</f>
        <v/>
      </c>
      <c r="G358" s="114"/>
      <c r="H358" s="122" t="str">
        <f>IFERROR(IF($G358="","",$G358*$S$365/$G$365/Cadastro!$E$33),"")</f>
        <v/>
      </c>
      <c r="I358" s="129" t="str">
        <f>IFERROR(IF($D358="","",VLOOKUP($D358,Cadastro!$C$4:$G$7,5,FALSE)),"")</f>
        <v/>
      </c>
      <c r="J358" s="145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 x14ac:dyDescent="0.3">
      <c r="A359" s="69">
        <v>46248</v>
      </c>
      <c r="B359" s="32">
        <f t="shared" si="84"/>
        <v>0.58333333333333304</v>
      </c>
      <c r="C359" s="33"/>
      <c r="D359" s="62"/>
      <c r="E359" s="121"/>
      <c r="F359" s="122" t="str">
        <f>IFERROR(IF($D359="","",VLOOKUP($D359,Cadastro!$C$4:$E$7,3,FALSE)),"")</f>
        <v/>
      </c>
      <c r="G359" s="114"/>
      <c r="H359" s="122" t="str">
        <f>IFERROR(IF($G359="","",$G359*$S$365/$G$365/Cadastro!$E$33),"")</f>
        <v/>
      </c>
      <c r="I359" s="129" t="str">
        <f>IFERROR(IF($D359="","",VLOOKUP($D359,Cadastro!$C$4:$G$7,5,FALSE)),"")</f>
        <v/>
      </c>
      <c r="J359" s="145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 x14ac:dyDescent="0.3">
      <c r="A360" s="68">
        <v>46248</v>
      </c>
      <c r="B360" s="25">
        <f t="shared" si="84"/>
        <v>0.62499999999999967</v>
      </c>
      <c r="C360" s="33"/>
      <c r="D360" s="62"/>
      <c r="E360" s="121"/>
      <c r="F360" s="122" t="str">
        <f>IFERROR(IF($D360="","",VLOOKUP($D360,Cadastro!$C$4:$E$7,3,FALSE)),"")</f>
        <v/>
      </c>
      <c r="G360" s="114"/>
      <c r="H360" s="122" t="str">
        <f>IFERROR(IF($G360="","",$G360*$S$365/$G$365/Cadastro!$E$33),"")</f>
        <v/>
      </c>
      <c r="I360" s="129" t="str">
        <f>IFERROR(IF($D360="","",VLOOKUP($D360,Cadastro!$C$4:$G$7,5,FALSE)),"")</f>
        <v/>
      </c>
      <c r="J360" s="145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 x14ac:dyDescent="0.3">
      <c r="A361" s="69">
        <v>46248</v>
      </c>
      <c r="B361" s="32">
        <f t="shared" si="84"/>
        <v>0.6666666666666663</v>
      </c>
      <c r="C361" s="33"/>
      <c r="D361" s="62"/>
      <c r="E361" s="121"/>
      <c r="F361" s="122" t="str">
        <f>IFERROR(IF($D361="","",VLOOKUP($D361,Cadastro!$C$4:$E$7,3,FALSE)),"")</f>
        <v/>
      </c>
      <c r="G361" s="114"/>
      <c r="H361" s="122" t="str">
        <f>IFERROR(IF($G361="","",$G361*$S$365/$G$365/Cadastro!$E$33),"")</f>
        <v/>
      </c>
      <c r="I361" s="129" t="str">
        <f>IFERROR(IF($D361="","",VLOOKUP($D361,Cadastro!$C$4:$G$7,5,FALSE)),"")</f>
        <v/>
      </c>
      <c r="J361" s="145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 x14ac:dyDescent="0.3">
      <c r="A362" s="68">
        <v>46248</v>
      </c>
      <c r="B362" s="25">
        <f t="shared" si="84"/>
        <v>0.70833333333333293</v>
      </c>
      <c r="C362" s="33"/>
      <c r="D362" s="62"/>
      <c r="E362" s="121"/>
      <c r="F362" s="122" t="str">
        <f>IFERROR(IF($D362="","",VLOOKUP($D362,Cadastro!$C$4:$E$7,3,FALSE)),"")</f>
        <v/>
      </c>
      <c r="G362" s="114"/>
      <c r="H362" s="122" t="str">
        <f>IFERROR(IF($G362="","",$G362*$S$365/$G$365/Cadastro!$E$33),"")</f>
        <v/>
      </c>
      <c r="I362" s="129" t="str">
        <f>IFERROR(IF($D362="","",VLOOKUP($D362,Cadastro!$C$4:$G$7,5,FALSE)),"")</f>
        <v/>
      </c>
      <c r="J362" s="145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 x14ac:dyDescent="0.3">
      <c r="A363" s="69">
        <v>46248</v>
      </c>
      <c r="B363" s="32">
        <f t="shared" si="84"/>
        <v>0.74999999999999956</v>
      </c>
      <c r="C363" s="33"/>
      <c r="D363" s="62"/>
      <c r="E363" s="121"/>
      <c r="F363" s="122" t="str">
        <f>IFERROR(IF($D363="","",VLOOKUP($D363,Cadastro!$C$4:$E$7,3,FALSE)),"")</f>
        <v/>
      </c>
      <c r="G363" s="114"/>
      <c r="H363" s="122" t="str">
        <f>IFERROR(IF($G363="","",$G363*$S$365/$G$365/Cadastro!$E$33),"")</f>
        <v/>
      </c>
      <c r="I363" s="129" t="str">
        <f>IFERROR(IF($D363="","",VLOOKUP($D363,Cadastro!$C$4:$G$7,5,FALSE)),"")</f>
        <v/>
      </c>
      <c r="J363" s="145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 x14ac:dyDescent="0.35">
      <c r="A364" s="68">
        <v>46248</v>
      </c>
      <c r="B364" s="25">
        <f t="shared" si="84"/>
        <v>0.79166666666666619</v>
      </c>
      <c r="C364" s="33"/>
      <c r="D364" s="62"/>
      <c r="E364" s="121"/>
      <c r="F364" s="118" t="str">
        <f>IFERROR(IF($D364="","",VLOOKUP($D364,Cadastro!$C$4:$E$7,3,FALSE)),"")</f>
        <v/>
      </c>
      <c r="G364" s="114"/>
      <c r="H364" s="118" t="str">
        <f>IFERROR(IF($G364="","",$G364*$S$365/$G$365/Cadastro!$E$33),"")</f>
        <v/>
      </c>
      <c r="I364" s="130" t="str">
        <f>IFERROR(IF($D364="","",VLOOKUP($D364,Cadastro!$C$4:$G$7,5,FALSE)),"")</f>
        <v/>
      </c>
      <c r="J364" s="146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 x14ac:dyDescent="0.35">
      <c r="A365" s="168" t="s">
        <v>231</v>
      </c>
      <c r="B365" s="169"/>
      <c r="C365" s="169"/>
      <c r="D365" s="169"/>
      <c r="E365" s="169">
        <f>SUM(E353:E364)</f>
        <v>0</v>
      </c>
      <c r="F365" s="123"/>
      <c r="G365" s="88">
        <f>SUM(G353:G364)</f>
        <v>0</v>
      </c>
      <c r="H365" s="123">
        <f>IFERROR(SUM(H353:H364),"")</f>
        <v>0</v>
      </c>
      <c r="I365" s="131"/>
      <c r="J365" s="147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232</v>
      </c>
      <c r="S365" s="39"/>
      <c r="T365" s="141">
        <f>IFERROR(J365,"")</f>
        <v>0</v>
      </c>
    </row>
    <row r="366" spans="1:20" ht="15" customHeight="1" x14ac:dyDescent="0.3">
      <c r="A366" s="68">
        <v>46248</v>
      </c>
      <c r="B366" s="25">
        <v>0.83333333333333304</v>
      </c>
      <c r="C366" s="26"/>
      <c r="D366" s="59"/>
      <c r="E366" s="120"/>
      <c r="F366" s="119" t="str">
        <f>IFERROR(IF($D366="","",VLOOKUP($D366,Cadastro!$C$4:$E$7,3,FALSE)),"")</f>
        <v/>
      </c>
      <c r="G366" s="114"/>
      <c r="H366" s="119" t="str">
        <f>IFERROR(IF($G366="","",$G366*$S$378/$G$378/Cadastro!$E$33),"")</f>
        <v/>
      </c>
      <c r="I366" s="132" t="str">
        <f>IFERROR(IF($D366="","",VLOOKUP($D366,Cadastro!$C$4:$G$7,5,FALSE)),"")</f>
        <v/>
      </c>
      <c r="J366" s="148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 x14ac:dyDescent="0.3">
      <c r="A367" s="69">
        <v>46248</v>
      </c>
      <c r="B367" s="32">
        <f t="shared" ref="B367:B377" si="88">B366+TIME(0,60,0)</f>
        <v>0.87499999999999967</v>
      </c>
      <c r="C367" s="26"/>
      <c r="D367" s="59"/>
      <c r="E367" s="120"/>
      <c r="F367" s="122" t="str">
        <f>IFERROR(IF($D367="","",VLOOKUP($D367,Cadastro!$C$4:$E$7,3,FALSE)),"")</f>
        <v/>
      </c>
      <c r="G367" s="114"/>
      <c r="H367" s="122" t="str">
        <f>IFERROR(IF($G367="","",$G367*$S$378/$G$378/Cadastro!$E$33),"")</f>
        <v/>
      </c>
      <c r="I367" s="129" t="str">
        <f>IFERROR(IF($D367="","",VLOOKUP($D367,Cadastro!$C$4:$G$7,5,FALSE)),"")</f>
        <v/>
      </c>
      <c r="J367" s="145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 x14ac:dyDescent="0.3">
      <c r="A368" s="68">
        <v>46248</v>
      </c>
      <c r="B368" s="25">
        <f t="shared" si="88"/>
        <v>0.9166666666666663</v>
      </c>
      <c r="C368" s="26"/>
      <c r="D368" s="59"/>
      <c r="E368" s="120"/>
      <c r="F368" s="122" t="str">
        <f>IFERROR(IF($D368="","",VLOOKUP($D368,Cadastro!$C$4:$E$7,3,FALSE)),"")</f>
        <v/>
      </c>
      <c r="G368" s="114"/>
      <c r="H368" s="122" t="str">
        <f>IFERROR(IF($G368="","",$G368*$S$378/$G$378/Cadastro!$E$33),"")</f>
        <v/>
      </c>
      <c r="I368" s="129" t="str">
        <f>IFERROR(IF($D368="","",VLOOKUP($D368,Cadastro!$C$4:$G$7,5,FALSE)),"")</f>
        <v/>
      </c>
      <c r="J368" s="145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 x14ac:dyDescent="0.3">
      <c r="A369" s="69">
        <v>46248</v>
      </c>
      <c r="B369" s="32">
        <f t="shared" si="88"/>
        <v>0.95833333333333293</v>
      </c>
      <c r="C369" s="26"/>
      <c r="D369" s="59"/>
      <c r="E369" s="120"/>
      <c r="F369" s="122" t="str">
        <f>IFERROR(IF($D369="","",VLOOKUP($D369,Cadastro!$C$4:$E$7,3,FALSE)),"")</f>
        <v/>
      </c>
      <c r="G369" s="114"/>
      <c r="H369" s="122" t="str">
        <f>IFERROR(IF($G369="","",$G369*$S$378/$G$378/Cadastro!$E$33),"")</f>
        <v/>
      </c>
      <c r="I369" s="129" t="str">
        <f>IFERROR(IF($D369="","",VLOOKUP($D369,Cadastro!$C$4:$G$7,5,FALSE)),"")</f>
        <v/>
      </c>
      <c r="J369" s="145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 x14ac:dyDescent="0.3">
      <c r="A370" s="68">
        <v>46248</v>
      </c>
      <c r="B370" s="25">
        <f t="shared" si="88"/>
        <v>0.99999999999999956</v>
      </c>
      <c r="C370" s="26"/>
      <c r="D370" s="59"/>
      <c r="E370" s="120"/>
      <c r="F370" s="122" t="str">
        <f>IFERROR(IF($D370="","",VLOOKUP($D370,Cadastro!$C$4:$E$7,3,FALSE)),"")</f>
        <v/>
      </c>
      <c r="G370" s="114"/>
      <c r="H370" s="122" t="str">
        <f>IFERROR(IF($G370="","",$G370*$S$378/$G$378/Cadastro!$E$33),"")</f>
        <v/>
      </c>
      <c r="I370" s="129" t="str">
        <f>IFERROR(IF($D370="","",VLOOKUP($D370,Cadastro!$C$4:$G$7,5,FALSE)),"")</f>
        <v/>
      </c>
      <c r="J370" s="145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 x14ac:dyDescent="0.3">
      <c r="A371" s="69">
        <v>46248</v>
      </c>
      <c r="B371" s="32">
        <f t="shared" si="88"/>
        <v>1.0416666666666663</v>
      </c>
      <c r="C371" s="26"/>
      <c r="D371" s="59"/>
      <c r="E371" s="120"/>
      <c r="F371" s="122" t="str">
        <f>IFERROR(IF($D371="","",VLOOKUP($D371,Cadastro!$C$4:$E$7,3,FALSE)),"")</f>
        <v/>
      </c>
      <c r="G371" s="114"/>
      <c r="H371" s="122" t="str">
        <f>IFERROR(IF($G371="","",$G371*$S$378/$G$378/Cadastro!$E$33),"")</f>
        <v/>
      </c>
      <c r="I371" s="129" t="str">
        <f>IFERROR(IF($D371="","",VLOOKUP($D371,Cadastro!$C$4:$G$7,5,FALSE)),"")</f>
        <v/>
      </c>
      <c r="J371" s="145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 x14ac:dyDescent="0.3">
      <c r="A372" s="68">
        <v>46248</v>
      </c>
      <c r="B372" s="25">
        <f t="shared" si="88"/>
        <v>1.083333333333333</v>
      </c>
      <c r="C372" s="26"/>
      <c r="D372" s="59"/>
      <c r="E372" s="120"/>
      <c r="F372" s="122" t="str">
        <f>IFERROR(IF($D372="","",VLOOKUP($D372,Cadastro!$C$4:$E$7,3,FALSE)),"")</f>
        <v/>
      </c>
      <c r="G372" s="114"/>
      <c r="H372" s="122" t="str">
        <f>IFERROR(IF($G372="","",$G372*$S$378/$G$378/Cadastro!$E$33),"")</f>
        <v/>
      </c>
      <c r="I372" s="129" t="str">
        <f>IFERROR(IF($D372="","",VLOOKUP($D372,Cadastro!$C$4:$G$7,5,FALSE)),"")</f>
        <v/>
      </c>
      <c r="J372" s="145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 x14ac:dyDescent="0.3">
      <c r="A373" s="69">
        <v>46248</v>
      </c>
      <c r="B373" s="32">
        <f t="shared" si="88"/>
        <v>1.1249999999999998</v>
      </c>
      <c r="C373" s="26"/>
      <c r="D373" s="59"/>
      <c r="E373" s="120"/>
      <c r="F373" s="122" t="str">
        <f>IFERROR(IF($D373="","",VLOOKUP($D373,Cadastro!$C$4:$E$7,3,FALSE)),"")</f>
        <v/>
      </c>
      <c r="G373" s="114"/>
      <c r="H373" s="122" t="str">
        <f>IFERROR(IF($G373="","",$G373*$S$378/$G$378/Cadastro!$E$33),"")</f>
        <v/>
      </c>
      <c r="I373" s="129" t="str">
        <f>IFERROR(IF($D373="","",VLOOKUP($D373,Cadastro!$C$4:$G$7,5,FALSE)),"")</f>
        <v/>
      </c>
      <c r="J373" s="145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 x14ac:dyDescent="0.3">
      <c r="A374" s="68">
        <v>46248</v>
      </c>
      <c r="B374" s="25">
        <f t="shared" si="88"/>
        <v>1.1666666666666665</v>
      </c>
      <c r="C374" s="26"/>
      <c r="D374" s="59"/>
      <c r="E374" s="120"/>
      <c r="F374" s="122" t="str">
        <f>IFERROR(IF($D374="","",VLOOKUP($D374,Cadastro!$C$4:$E$7,3,FALSE)),"")</f>
        <v/>
      </c>
      <c r="G374" s="114"/>
      <c r="H374" s="122" t="str">
        <f>IFERROR(IF($G374="","",$G374*$S$378/$G$378/Cadastro!$E$33),"")</f>
        <v/>
      </c>
      <c r="I374" s="129" t="str">
        <f>IFERROR(IF($D374="","",VLOOKUP($D374,Cadastro!$C$4:$G$7,5,FALSE)),"")</f>
        <v/>
      </c>
      <c r="J374" s="145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 x14ac:dyDescent="0.3">
      <c r="A375" s="69">
        <v>46248</v>
      </c>
      <c r="B375" s="32">
        <f t="shared" si="88"/>
        <v>1.2083333333333333</v>
      </c>
      <c r="C375" s="26"/>
      <c r="D375" s="59"/>
      <c r="E375" s="120"/>
      <c r="F375" s="122" t="str">
        <f>IFERROR(IF($D375="","",VLOOKUP($D375,Cadastro!$C$4:$E$7,3,FALSE)),"")</f>
        <v/>
      </c>
      <c r="G375" s="114"/>
      <c r="H375" s="122" t="str">
        <f>IFERROR(IF($G375="","",$G375*$S$378/$G$378/Cadastro!$E$33),"")</f>
        <v/>
      </c>
      <c r="I375" s="129" t="str">
        <f>IFERROR(IF($D375="","",VLOOKUP($D375,Cadastro!$C$4:$G$7,5,FALSE)),"")</f>
        <v/>
      </c>
      <c r="J375" s="145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 x14ac:dyDescent="0.3">
      <c r="A376" s="68">
        <v>46248</v>
      </c>
      <c r="B376" s="25">
        <f t="shared" si="88"/>
        <v>1.25</v>
      </c>
      <c r="C376" s="26"/>
      <c r="D376" s="59"/>
      <c r="E376" s="120"/>
      <c r="F376" s="122" t="str">
        <f>IFERROR(IF($D376="","",VLOOKUP($D376,Cadastro!$C$4:$E$7,3,FALSE)),"")</f>
        <v/>
      </c>
      <c r="G376" s="114"/>
      <c r="H376" s="122" t="str">
        <f>IFERROR(IF($G376="","",$G376*$S$378/$G$378/Cadastro!$E$33),"")</f>
        <v/>
      </c>
      <c r="I376" s="129" t="str">
        <f>IFERROR(IF($D376="","",VLOOKUP($D376,Cadastro!$C$4:$G$7,5,FALSE)),"")</f>
        <v/>
      </c>
      <c r="J376" s="145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 x14ac:dyDescent="0.35">
      <c r="A377" s="69">
        <v>46248</v>
      </c>
      <c r="B377" s="32">
        <f t="shared" si="88"/>
        <v>1.2916666666666667</v>
      </c>
      <c r="C377" s="26"/>
      <c r="D377" s="59"/>
      <c r="E377" s="120"/>
      <c r="F377" s="118" t="str">
        <f>IFERROR(IF($D377="","",VLOOKUP($D377,Cadastro!$C$4:$E$7,3,FALSE)),"")</f>
        <v/>
      </c>
      <c r="G377" s="114"/>
      <c r="H377" s="118" t="str">
        <f>IFERROR(IF($G377="","",$G377*$S$378/$G$378/Cadastro!$E$33),"")</f>
        <v/>
      </c>
      <c r="I377" s="130" t="str">
        <f>IFERROR(IF($D377="","",VLOOKUP($D377,Cadastro!$C$4:$G$7,5,FALSE)),"")</f>
        <v/>
      </c>
      <c r="J377" s="146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 x14ac:dyDescent="0.35">
      <c r="A378" s="168" t="s">
        <v>234</v>
      </c>
      <c r="B378" s="169"/>
      <c r="C378" s="169"/>
      <c r="D378" s="169"/>
      <c r="E378" s="169">
        <f>SUM(E366:E377)</f>
        <v>0</v>
      </c>
      <c r="F378" s="124"/>
      <c r="G378" s="88">
        <f>SUM(G366:G377)</f>
        <v>0</v>
      </c>
      <c r="H378" s="124">
        <f>IFERROR(SUM(H366:H377),"")</f>
        <v>0</v>
      </c>
      <c r="I378" s="133"/>
      <c r="J378" s="149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232</v>
      </c>
      <c r="S378" s="39"/>
      <c r="T378" s="141">
        <f>IFERROR(J378,"")</f>
        <v>0</v>
      </c>
    </row>
    <row r="379" spans="1:20" ht="18" customHeight="1" x14ac:dyDescent="0.3">
      <c r="A379" s="165" t="s">
        <v>235</v>
      </c>
      <c r="B379" s="166"/>
      <c r="C379" s="166"/>
      <c r="D379" s="166"/>
      <c r="E379" s="166">
        <f>E365+E378</f>
        <v>0</v>
      </c>
      <c r="F379" s="125"/>
      <c r="G379" s="100">
        <f>G365+G378</f>
        <v>0</v>
      </c>
      <c r="H379" s="125">
        <f>IFERROR(H365+H378,"")</f>
        <v>0</v>
      </c>
      <c r="I379" s="134"/>
      <c r="J379" s="150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236</v>
      </c>
      <c r="S379" s="48">
        <f>IFERROR(S365+S378,"")</f>
        <v>0</v>
      </c>
      <c r="T379" s="143">
        <f>IFERROR(J379,"")</f>
        <v>0</v>
      </c>
    </row>
    <row r="380" spans="1:20" ht="15" customHeight="1" x14ac:dyDescent="0.3">
      <c r="A380" s="68">
        <v>46249</v>
      </c>
      <c r="B380" s="25">
        <v>0.33333333333333298</v>
      </c>
      <c r="C380" s="26"/>
      <c r="D380" s="59"/>
      <c r="E380" s="120"/>
      <c r="F380" s="119" t="str">
        <f>IFERROR(IF($D380="","",VLOOKUP($D380,Cadastro!$C$4:$E$7,3,FALSE)),"")</f>
        <v/>
      </c>
      <c r="G380" s="114"/>
      <c r="H380" s="119" t="str">
        <f>IFERROR(IF($G380="","",$G380*$S$392/$G$392/Cadastro!$E$33),"")</f>
        <v/>
      </c>
      <c r="I380" s="132" t="str">
        <f>IFERROR(IF($D380="","",VLOOKUP($D380,Cadastro!$C$4:$G$7,5,FALSE)),"")</f>
        <v/>
      </c>
      <c r="J380" s="148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 x14ac:dyDescent="0.3">
      <c r="A381" s="69">
        <v>46249</v>
      </c>
      <c r="B381" s="32">
        <f t="shared" ref="B381:B391" si="92">B380+TIME(0,60,0)</f>
        <v>0.37499999999999967</v>
      </c>
      <c r="C381" s="26"/>
      <c r="D381" s="59"/>
      <c r="F381" s="122" t="str">
        <f>IFERROR(IF($D381="","",VLOOKUP($D381,Cadastro!$C$4:$E$7,3,FALSE)),"")</f>
        <v/>
      </c>
      <c r="G381" s="114"/>
      <c r="H381" s="122" t="str">
        <f>IFERROR(IF($G381="","",$G381*$S$392/$G$392/Cadastro!$E$33),"")</f>
        <v/>
      </c>
      <c r="I381" s="129" t="str">
        <f>IFERROR(IF($D381="","",VLOOKUP($D381,Cadastro!$C$4:$G$7,5,FALSE)),"")</f>
        <v/>
      </c>
      <c r="J381" s="145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 x14ac:dyDescent="0.3">
      <c r="A382" s="68">
        <v>46249</v>
      </c>
      <c r="B382" s="25">
        <f t="shared" si="92"/>
        <v>0.41666666666666635</v>
      </c>
      <c r="C382" s="26"/>
      <c r="D382" s="59"/>
      <c r="E382" s="120"/>
      <c r="F382" s="122" t="str">
        <f>IFERROR(IF($D382="","",VLOOKUP($D382,Cadastro!$C$4:$E$7,3,FALSE)),"")</f>
        <v/>
      </c>
      <c r="G382" s="114"/>
      <c r="H382" s="122" t="str">
        <f>IFERROR(IF($G382="","",$G382*$S$392/$G$392/Cadastro!$E$33),"")</f>
        <v/>
      </c>
      <c r="I382" s="129" t="str">
        <f>IFERROR(IF($D382="","",VLOOKUP($D382,Cadastro!$C$4:$G$7,5,FALSE)),"")</f>
        <v/>
      </c>
      <c r="J382" s="145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 x14ac:dyDescent="0.3">
      <c r="A383" s="69">
        <v>46249</v>
      </c>
      <c r="B383" s="32">
        <f t="shared" si="92"/>
        <v>0.45833333333333304</v>
      </c>
      <c r="C383" s="26"/>
      <c r="D383" s="59"/>
      <c r="E383" s="120"/>
      <c r="F383" s="122" t="str">
        <f>IFERROR(IF($D383="","",VLOOKUP($D383,Cadastro!$C$4:$E$7,3,FALSE)),"")</f>
        <v/>
      </c>
      <c r="G383" s="114"/>
      <c r="H383" s="122" t="str">
        <f>IFERROR(IF($G383="","",$G383*$S$392/$G$392/Cadastro!$E$33),"")</f>
        <v/>
      </c>
      <c r="I383" s="129" t="str">
        <f>IFERROR(IF($D383="","",VLOOKUP($D383,Cadastro!$C$4:$G$7,5,FALSE)),"")</f>
        <v/>
      </c>
      <c r="J383" s="145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 x14ac:dyDescent="0.3">
      <c r="A384" s="68">
        <v>46249</v>
      </c>
      <c r="B384" s="25">
        <f t="shared" si="92"/>
        <v>0.49999999999999972</v>
      </c>
      <c r="C384" s="26"/>
      <c r="D384" s="59"/>
      <c r="E384" s="120"/>
      <c r="F384" s="122" t="str">
        <f>IFERROR(IF($D384="","",VLOOKUP($D384,Cadastro!$C$4:$E$7,3,FALSE)),"")</f>
        <v/>
      </c>
      <c r="G384" s="114"/>
      <c r="H384" s="122" t="str">
        <f>IFERROR(IF($G384="","",$G384*$S$392/$G$392/Cadastro!$E$33),"")</f>
        <v/>
      </c>
      <c r="I384" s="129" t="str">
        <f>IFERROR(IF($D384="","",VLOOKUP($D384,Cadastro!$C$4:$G$7,5,FALSE)),"")</f>
        <v/>
      </c>
      <c r="J384" s="145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 x14ac:dyDescent="0.3">
      <c r="A385" s="69">
        <v>46249</v>
      </c>
      <c r="B385" s="32">
        <f t="shared" si="92"/>
        <v>0.54166666666666641</v>
      </c>
      <c r="C385" s="26"/>
      <c r="D385" s="59"/>
      <c r="E385" s="120"/>
      <c r="F385" s="122" t="str">
        <f>IFERROR(IF($D385="","",VLOOKUP($D385,Cadastro!$C$4:$E$7,3,FALSE)),"")</f>
        <v/>
      </c>
      <c r="G385" s="114"/>
      <c r="H385" s="122" t="str">
        <f>IFERROR(IF($G385="","",$G385*$S$392/$G$392/Cadastro!$E$33),"")</f>
        <v/>
      </c>
      <c r="I385" s="129" t="str">
        <f>IFERROR(IF($D385="","",VLOOKUP($D385,Cadastro!$C$4:$G$7,5,FALSE)),"")</f>
        <v/>
      </c>
      <c r="J385" s="145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 x14ac:dyDescent="0.3">
      <c r="A386" s="68">
        <v>46249</v>
      </c>
      <c r="B386" s="25">
        <f t="shared" si="92"/>
        <v>0.58333333333333304</v>
      </c>
      <c r="C386" s="26"/>
      <c r="D386" s="59"/>
      <c r="E386" s="120"/>
      <c r="F386" s="122" t="str">
        <f>IFERROR(IF($D386="","",VLOOKUP($D386,Cadastro!$C$4:$E$7,3,FALSE)),"")</f>
        <v/>
      </c>
      <c r="G386" s="114"/>
      <c r="H386" s="122" t="str">
        <f>IFERROR(IF($G386="","",$G386*$S$392/$G$392/Cadastro!$E$33),"")</f>
        <v/>
      </c>
      <c r="I386" s="129" t="str">
        <f>IFERROR(IF($D386="","",VLOOKUP($D386,Cadastro!$C$4:$G$7,5,FALSE)),"")</f>
        <v/>
      </c>
      <c r="J386" s="145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 x14ac:dyDescent="0.3">
      <c r="A387" s="69">
        <v>46249</v>
      </c>
      <c r="B387" s="32">
        <f t="shared" si="92"/>
        <v>0.62499999999999967</v>
      </c>
      <c r="C387" s="26"/>
      <c r="D387" s="59"/>
      <c r="E387" s="120"/>
      <c r="F387" s="122" t="str">
        <f>IFERROR(IF($D387="","",VLOOKUP($D387,Cadastro!$C$4:$E$7,3,FALSE)),"")</f>
        <v/>
      </c>
      <c r="G387" s="114"/>
      <c r="H387" s="122" t="str">
        <f>IFERROR(IF($G387="","",$G387*$S$392/$G$392/Cadastro!$E$33),"")</f>
        <v/>
      </c>
      <c r="I387" s="129" t="str">
        <f>IFERROR(IF($D387="","",VLOOKUP($D387,Cadastro!$C$4:$G$7,5,FALSE)),"")</f>
        <v/>
      </c>
      <c r="J387" s="145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 x14ac:dyDescent="0.3">
      <c r="A388" s="68">
        <v>46249</v>
      </c>
      <c r="B388" s="25">
        <f t="shared" si="92"/>
        <v>0.6666666666666663</v>
      </c>
      <c r="C388" s="26"/>
      <c r="D388" s="59"/>
      <c r="E388" s="120"/>
      <c r="F388" s="122" t="str">
        <f>IFERROR(IF($D388="","",VLOOKUP($D388,Cadastro!$C$4:$E$7,3,FALSE)),"")</f>
        <v/>
      </c>
      <c r="G388" s="114"/>
      <c r="H388" s="122" t="str">
        <f>IFERROR(IF($G388="","",$G388*$S$392/$G$392/Cadastro!$E$33),"")</f>
        <v/>
      </c>
      <c r="I388" s="129" t="str">
        <f>IFERROR(IF($D388="","",VLOOKUP($D388,Cadastro!$C$4:$G$7,5,FALSE)),"")</f>
        <v/>
      </c>
      <c r="J388" s="145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 x14ac:dyDescent="0.3">
      <c r="A389" s="69">
        <v>46249</v>
      </c>
      <c r="B389" s="32">
        <f t="shared" si="92"/>
        <v>0.70833333333333293</v>
      </c>
      <c r="C389" s="26"/>
      <c r="D389" s="59"/>
      <c r="E389" s="120"/>
      <c r="F389" s="122" t="str">
        <f>IFERROR(IF($D389="","",VLOOKUP($D389,Cadastro!$C$4:$E$7,3,FALSE)),"")</f>
        <v/>
      </c>
      <c r="G389" s="114"/>
      <c r="H389" s="122" t="str">
        <f>IFERROR(IF($G389="","",$G389*$S$392/$G$392/Cadastro!$E$33),"")</f>
        <v/>
      </c>
      <c r="I389" s="129" t="str">
        <f>IFERROR(IF($D389="","",VLOOKUP($D389,Cadastro!$C$4:$G$7,5,FALSE)),"")</f>
        <v/>
      </c>
      <c r="J389" s="145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 x14ac:dyDescent="0.3">
      <c r="A390" s="68">
        <v>46249</v>
      </c>
      <c r="B390" s="25">
        <f t="shared" si="92"/>
        <v>0.74999999999999956</v>
      </c>
      <c r="C390" s="26"/>
      <c r="D390" s="59"/>
      <c r="E390" s="120"/>
      <c r="F390" s="122" t="str">
        <f>IFERROR(IF($D390="","",VLOOKUP($D390,Cadastro!$C$4:$E$7,3,FALSE)),"")</f>
        <v/>
      </c>
      <c r="G390" s="114"/>
      <c r="H390" s="122" t="str">
        <f>IFERROR(IF($G390="","",$G390*$S$392/$G$392/Cadastro!$E$33),"")</f>
        <v/>
      </c>
      <c r="I390" s="129" t="str">
        <f>IFERROR(IF($D390="","",VLOOKUP($D390,Cadastro!$C$4:$G$7,5,FALSE)),"")</f>
        <v/>
      </c>
      <c r="J390" s="145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 x14ac:dyDescent="0.35">
      <c r="A391" s="69">
        <v>46249</v>
      </c>
      <c r="B391" s="32">
        <f t="shared" si="92"/>
        <v>0.79166666666666619</v>
      </c>
      <c r="C391" s="26"/>
      <c r="D391" s="59"/>
      <c r="E391" s="120"/>
      <c r="F391" s="118" t="str">
        <f>IFERROR(IF($D391="","",VLOOKUP($D391,Cadastro!$C$4:$E$7,3,FALSE)),"")</f>
        <v/>
      </c>
      <c r="G391" s="114"/>
      <c r="H391" s="118" t="str">
        <f>IFERROR(IF($G391="","",$G391*$S$392/$G$392/Cadastro!$E$33),"")</f>
        <v/>
      </c>
      <c r="I391" s="130" t="str">
        <f>IFERROR(IF($D391="","",VLOOKUP($D391,Cadastro!$C$4:$G$7,5,FALSE)),"")</f>
        <v/>
      </c>
      <c r="J391" s="146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 x14ac:dyDescent="0.35">
      <c r="A392" s="168" t="s">
        <v>231</v>
      </c>
      <c r="B392" s="169"/>
      <c r="C392" s="169"/>
      <c r="D392" s="169"/>
      <c r="E392" s="169">
        <f>SUM(E380:E391)</f>
        <v>0</v>
      </c>
      <c r="F392" s="123"/>
      <c r="G392" s="88">
        <f>SUM(G380:G391)</f>
        <v>0</v>
      </c>
      <c r="H392" s="123">
        <f>IFERROR(SUM(H380:H391),"")</f>
        <v>0</v>
      </c>
      <c r="I392" s="131"/>
      <c r="J392" s="147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232</v>
      </c>
      <c r="S392" s="39"/>
      <c r="T392" s="141">
        <f>IFERROR(J392,"")</f>
        <v>0</v>
      </c>
    </row>
    <row r="393" spans="1:20" ht="15" customHeight="1" x14ac:dyDescent="0.3">
      <c r="A393" s="69">
        <v>46249</v>
      </c>
      <c r="B393" s="32">
        <v>0.83333333333333304</v>
      </c>
      <c r="C393" s="33"/>
      <c r="D393" s="62"/>
      <c r="E393" s="121"/>
      <c r="F393" s="119" t="str">
        <f>IFERROR(IF($D393="","",VLOOKUP($D393,Cadastro!$C$4:$E$7,3,FALSE)),"")</f>
        <v/>
      </c>
      <c r="G393" s="114"/>
      <c r="H393" s="119" t="str">
        <f>IFERROR(IF($G393="","",$G393*$S$405/$G$405/Cadastro!$E$33),"")</f>
        <v/>
      </c>
      <c r="I393" s="132" t="str">
        <f>IFERROR(IF($D393="","",VLOOKUP($D393,Cadastro!$C$4:$G$7,5,FALSE)),"")</f>
        <v/>
      </c>
      <c r="J393" s="148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 x14ac:dyDescent="0.3">
      <c r="A394" s="68">
        <v>46249</v>
      </c>
      <c r="B394" s="25">
        <f t="shared" ref="B394:B404" si="96">B393+TIME(0,60,0)</f>
        <v>0.87499999999999967</v>
      </c>
      <c r="C394" s="33"/>
      <c r="D394" s="62"/>
      <c r="E394" s="121"/>
      <c r="F394" s="122" t="str">
        <f>IFERROR(IF($D394="","",VLOOKUP($D394,Cadastro!$C$4:$E$7,3,FALSE)),"")</f>
        <v/>
      </c>
      <c r="G394" s="114"/>
      <c r="H394" s="122" t="str">
        <f>IFERROR(IF($G394="","",$G394*$S$405/$G$405/Cadastro!$E$33),"")</f>
        <v/>
      </c>
      <c r="I394" s="129" t="str">
        <f>IFERROR(IF($D394="","",VLOOKUP($D394,Cadastro!$C$4:$G$7,5,FALSE)),"")</f>
        <v/>
      </c>
      <c r="J394" s="145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 x14ac:dyDescent="0.3">
      <c r="A395" s="69">
        <v>46249</v>
      </c>
      <c r="B395" s="32">
        <f t="shared" si="96"/>
        <v>0.9166666666666663</v>
      </c>
      <c r="C395" s="33"/>
      <c r="D395" s="62"/>
      <c r="E395" s="121"/>
      <c r="F395" s="122" t="str">
        <f>IFERROR(IF($D395="","",VLOOKUP($D395,Cadastro!$C$4:$E$7,3,FALSE)),"")</f>
        <v/>
      </c>
      <c r="G395" s="114"/>
      <c r="H395" s="122" t="str">
        <f>IFERROR(IF($G395="","",$G395*$S$405/$G$405/Cadastro!$E$33),"")</f>
        <v/>
      </c>
      <c r="I395" s="129" t="str">
        <f>IFERROR(IF($D395="","",VLOOKUP($D395,Cadastro!$C$4:$G$7,5,FALSE)),"")</f>
        <v/>
      </c>
      <c r="J395" s="145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 x14ac:dyDescent="0.3">
      <c r="A396" s="68">
        <v>46249</v>
      </c>
      <c r="B396" s="25">
        <f t="shared" si="96"/>
        <v>0.95833333333333293</v>
      </c>
      <c r="C396" s="33"/>
      <c r="D396" s="62"/>
      <c r="E396" s="121"/>
      <c r="F396" s="122" t="str">
        <f>IFERROR(IF($D396="","",VLOOKUP($D396,Cadastro!$C$4:$E$7,3,FALSE)),"")</f>
        <v/>
      </c>
      <c r="G396" s="114"/>
      <c r="H396" s="122" t="str">
        <f>IFERROR(IF($G396="","",$G396*$S$405/$G$405/Cadastro!$E$33),"")</f>
        <v/>
      </c>
      <c r="I396" s="129" t="str">
        <f>IFERROR(IF($D396="","",VLOOKUP($D396,Cadastro!$C$4:$G$7,5,FALSE)),"")</f>
        <v/>
      </c>
      <c r="J396" s="145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 x14ac:dyDescent="0.3">
      <c r="A397" s="69">
        <v>46249</v>
      </c>
      <c r="B397" s="32">
        <f t="shared" si="96"/>
        <v>0.99999999999999956</v>
      </c>
      <c r="C397" s="33"/>
      <c r="D397" s="62"/>
      <c r="E397" s="121"/>
      <c r="F397" s="122" t="str">
        <f>IFERROR(IF($D397="","",VLOOKUP($D397,Cadastro!$C$4:$E$7,3,FALSE)),"")</f>
        <v/>
      </c>
      <c r="G397" s="114"/>
      <c r="H397" s="122" t="str">
        <f>IFERROR(IF($G397="","",$G397*$S$405/$G$405/Cadastro!$E$33),"")</f>
        <v/>
      </c>
      <c r="I397" s="129" t="str">
        <f>IFERROR(IF($D397="","",VLOOKUP($D397,Cadastro!$C$4:$G$7,5,FALSE)),"")</f>
        <v/>
      </c>
      <c r="J397" s="145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 x14ac:dyDescent="0.3">
      <c r="A398" s="68">
        <v>46249</v>
      </c>
      <c r="B398" s="25">
        <f t="shared" si="96"/>
        <v>1.0416666666666663</v>
      </c>
      <c r="C398" s="33"/>
      <c r="D398" s="62"/>
      <c r="E398" s="121"/>
      <c r="F398" s="122" t="str">
        <f>IFERROR(IF($D398="","",VLOOKUP($D398,Cadastro!$C$4:$E$7,3,FALSE)),"")</f>
        <v/>
      </c>
      <c r="G398" s="114"/>
      <c r="H398" s="122" t="str">
        <f>IFERROR(IF($G398="","",$G398*$S$405/$G$405/Cadastro!$E$33),"")</f>
        <v/>
      </c>
      <c r="I398" s="129" t="str">
        <f>IFERROR(IF($D398="","",VLOOKUP($D398,Cadastro!$C$4:$G$7,5,FALSE)),"")</f>
        <v/>
      </c>
      <c r="J398" s="145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 x14ac:dyDescent="0.3">
      <c r="A399" s="69">
        <v>46249</v>
      </c>
      <c r="B399" s="32">
        <f t="shared" si="96"/>
        <v>1.083333333333333</v>
      </c>
      <c r="C399" s="33"/>
      <c r="D399" s="62"/>
      <c r="E399" s="121"/>
      <c r="F399" s="122" t="str">
        <f>IFERROR(IF($D399="","",VLOOKUP($D399,Cadastro!$C$4:$E$7,3,FALSE)),"")</f>
        <v/>
      </c>
      <c r="G399" s="114"/>
      <c r="H399" s="122" t="str">
        <f>IFERROR(IF($G399="","",$G399*$S$405/$G$405/Cadastro!$E$33),"")</f>
        <v/>
      </c>
      <c r="I399" s="129" t="str">
        <f>IFERROR(IF($D399="","",VLOOKUP($D399,Cadastro!$C$4:$G$7,5,FALSE)),"")</f>
        <v/>
      </c>
      <c r="J399" s="145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 x14ac:dyDescent="0.3">
      <c r="A400" s="68">
        <v>46249</v>
      </c>
      <c r="B400" s="25">
        <f t="shared" si="96"/>
        <v>1.1249999999999998</v>
      </c>
      <c r="C400" s="33"/>
      <c r="D400" s="62"/>
      <c r="E400" s="121"/>
      <c r="F400" s="122" t="str">
        <f>IFERROR(IF($D400="","",VLOOKUP($D400,Cadastro!$C$4:$E$7,3,FALSE)),"")</f>
        <v/>
      </c>
      <c r="G400" s="114"/>
      <c r="H400" s="122" t="str">
        <f>IFERROR(IF($G400="","",$G400*$S$405/$G$405/Cadastro!$E$33),"")</f>
        <v/>
      </c>
      <c r="I400" s="129" t="str">
        <f>IFERROR(IF($D400="","",VLOOKUP($D400,Cadastro!$C$4:$G$7,5,FALSE)),"")</f>
        <v/>
      </c>
      <c r="J400" s="145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 x14ac:dyDescent="0.3">
      <c r="A401" s="69">
        <v>46249</v>
      </c>
      <c r="B401" s="32">
        <f t="shared" si="96"/>
        <v>1.1666666666666665</v>
      </c>
      <c r="C401" s="33"/>
      <c r="D401" s="62"/>
      <c r="E401" s="121"/>
      <c r="F401" s="122" t="str">
        <f>IFERROR(IF($D401="","",VLOOKUP($D401,Cadastro!$C$4:$E$7,3,FALSE)),"")</f>
        <v/>
      </c>
      <c r="G401" s="114"/>
      <c r="H401" s="122" t="str">
        <f>IFERROR(IF($G401="","",$G401*$S$405/$G$405/Cadastro!$E$33),"")</f>
        <v/>
      </c>
      <c r="I401" s="129" t="str">
        <f>IFERROR(IF($D401="","",VLOOKUP($D401,Cadastro!$C$4:$G$7,5,FALSE)),"")</f>
        <v/>
      </c>
      <c r="J401" s="145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 x14ac:dyDescent="0.3">
      <c r="A402" s="68">
        <v>46249</v>
      </c>
      <c r="B402" s="25">
        <f t="shared" si="96"/>
        <v>1.2083333333333333</v>
      </c>
      <c r="C402" s="33"/>
      <c r="D402" s="62"/>
      <c r="E402" s="121"/>
      <c r="F402" s="122" t="str">
        <f>IFERROR(IF($D402="","",VLOOKUP($D402,Cadastro!$C$4:$E$7,3,FALSE)),"")</f>
        <v/>
      </c>
      <c r="G402" s="114"/>
      <c r="H402" s="122" t="str">
        <f>IFERROR(IF($G402="","",$G402*$S$405/$G$405/Cadastro!$E$33),"")</f>
        <v/>
      </c>
      <c r="I402" s="129" t="str">
        <f>IFERROR(IF($D402="","",VLOOKUP($D402,Cadastro!$C$4:$G$7,5,FALSE)),"")</f>
        <v/>
      </c>
      <c r="J402" s="145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 x14ac:dyDescent="0.3">
      <c r="A403" s="69">
        <v>46249</v>
      </c>
      <c r="B403" s="32">
        <f t="shared" si="96"/>
        <v>1.25</v>
      </c>
      <c r="C403" s="33"/>
      <c r="D403" s="62"/>
      <c r="E403" s="121"/>
      <c r="F403" s="122" t="str">
        <f>IFERROR(IF($D403="","",VLOOKUP($D403,Cadastro!$C$4:$E$7,3,FALSE)),"")</f>
        <v/>
      </c>
      <c r="G403" s="114"/>
      <c r="H403" s="122" t="str">
        <f>IFERROR(IF($G403="","",$G403*$S$405/$G$405/Cadastro!$E$33),"")</f>
        <v/>
      </c>
      <c r="I403" s="129" t="str">
        <f>IFERROR(IF($D403="","",VLOOKUP($D403,Cadastro!$C$4:$G$7,5,FALSE)),"")</f>
        <v/>
      </c>
      <c r="J403" s="145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 x14ac:dyDescent="0.35">
      <c r="A404" s="68">
        <v>46249</v>
      </c>
      <c r="B404" s="25">
        <f t="shared" si="96"/>
        <v>1.2916666666666667</v>
      </c>
      <c r="C404" s="33"/>
      <c r="D404" s="62"/>
      <c r="E404" s="121"/>
      <c r="F404" s="118" t="str">
        <f>IFERROR(IF($D404="","",VLOOKUP($D404,Cadastro!$C$4:$E$7,3,FALSE)),"")</f>
        <v/>
      </c>
      <c r="G404" s="114"/>
      <c r="H404" s="118" t="str">
        <f>IFERROR(IF($G404="","",$G404*$S$405/$G$405/Cadastro!$E$33),"")</f>
        <v/>
      </c>
      <c r="I404" s="130" t="str">
        <f>IFERROR(IF($D404="","",VLOOKUP($D404,Cadastro!$C$4:$G$7,5,FALSE)),"")</f>
        <v/>
      </c>
      <c r="J404" s="146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 x14ac:dyDescent="0.35">
      <c r="A405" s="168" t="s">
        <v>234</v>
      </c>
      <c r="B405" s="169"/>
      <c r="C405" s="169"/>
      <c r="D405" s="169"/>
      <c r="E405" s="169">
        <f>SUM(E393:E404)</f>
        <v>0</v>
      </c>
      <c r="F405" s="124"/>
      <c r="G405" s="88">
        <f>SUM(G393:G404)</f>
        <v>0</v>
      </c>
      <c r="H405" s="124">
        <f>IFERROR(SUM(H393:H404),"")</f>
        <v>0</v>
      </c>
      <c r="I405" s="133"/>
      <c r="J405" s="149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232</v>
      </c>
      <c r="S405" s="39"/>
      <c r="T405" s="141">
        <f>IFERROR(J405,"")</f>
        <v>0</v>
      </c>
    </row>
    <row r="406" spans="1:20" ht="18" customHeight="1" x14ac:dyDescent="0.3">
      <c r="A406" s="165" t="s">
        <v>235</v>
      </c>
      <c r="B406" s="166"/>
      <c r="C406" s="166"/>
      <c r="D406" s="166"/>
      <c r="E406" s="166">
        <f>E392+E405</f>
        <v>0</v>
      </c>
      <c r="F406" s="125"/>
      <c r="G406" s="100">
        <f>G392+G405</f>
        <v>0</v>
      </c>
      <c r="H406" s="125">
        <f>IFERROR(H392+H405,"")</f>
        <v>0</v>
      </c>
      <c r="I406" s="134"/>
      <c r="J406" s="150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236</v>
      </c>
      <c r="S406" s="48">
        <f>IFERROR(S392+S405,"")</f>
        <v>0</v>
      </c>
      <c r="T406" s="143">
        <f>IFERROR(J406,"")</f>
        <v>0</v>
      </c>
    </row>
    <row r="407" spans="1:20" ht="15" customHeight="1" x14ac:dyDescent="0.3">
      <c r="A407" s="69">
        <v>46250</v>
      </c>
      <c r="B407" s="32">
        <v>0.33333333333333298</v>
      </c>
      <c r="C407" s="33"/>
      <c r="D407" s="62"/>
      <c r="E407" s="121"/>
      <c r="F407" s="119" t="str">
        <f>IFERROR(IF($D407="","",VLOOKUP($D407,Cadastro!$C$4:$E$7,3,FALSE)),"")</f>
        <v/>
      </c>
      <c r="G407" s="114"/>
      <c r="H407" s="119" t="str">
        <f>IFERROR(IF($G407="","",$G407*$S$419/$G$419/Cadastro!$E$33),"")</f>
        <v/>
      </c>
      <c r="I407" s="132" t="str">
        <f>IFERROR(IF($D407="","",VLOOKUP($D407,Cadastro!$C$4:$G$7,5,FALSE)),"")</f>
        <v/>
      </c>
      <c r="J407" s="148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 x14ac:dyDescent="0.3">
      <c r="A408" s="68">
        <v>46250</v>
      </c>
      <c r="B408" s="25">
        <f t="shared" ref="B408:B418" si="100">B407+TIME(0,60,0)</f>
        <v>0.37499999999999967</v>
      </c>
      <c r="C408" s="33"/>
      <c r="D408" s="62"/>
      <c r="E408" s="121"/>
      <c r="F408" s="122" t="str">
        <f>IFERROR(IF($D408="","",VLOOKUP($D408,Cadastro!$C$4:$E$7,3,FALSE)),"")</f>
        <v/>
      </c>
      <c r="G408" s="114"/>
      <c r="H408" s="122" t="str">
        <f>IFERROR(IF($G408="","",$G408*$S$419/$G$419/Cadastro!$E$33),"")</f>
        <v/>
      </c>
      <c r="I408" s="129" t="str">
        <f>IFERROR(IF($D408="","",VLOOKUP($D408,Cadastro!$C$4:$G$7,5,FALSE)),"")</f>
        <v/>
      </c>
      <c r="J408" s="145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 x14ac:dyDescent="0.3">
      <c r="A409" s="69">
        <v>46250</v>
      </c>
      <c r="B409" s="32">
        <f t="shared" si="100"/>
        <v>0.41666666666666635</v>
      </c>
      <c r="C409" s="33"/>
      <c r="D409" s="62"/>
      <c r="E409" s="121"/>
      <c r="F409" s="122" t="str">
        <f>IFERROR(IF($D409="","",VLOOKUP($D409,Cadastro!$C$4:$E$7,3,FALSE)),"")</f>
        <v/>
      </c>
      <c r="G409" s="114"/>
      <c r="H409" s="122" t="str">
        <f>IFERROR(IF($G409="","",$G409*$S$419/$G$419/Cadastro!$E$33),"")</f>
        <v/>
      </c>
      <c r="I409" s="129" t="str">
        <f>IFERROR(IF($D409="","",VLOOKUP($D409,Cadastro!$C$4:$G$7,5,FALSE)),"")</f>
        <v/>
      </c>
      <c r="J409" s="145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 x14ac:dyDescent="0.3">
      <c r="A410" s="68">
        <v>46250</v>
      </c>
      <c r="B410" s="25">
        <f t="shared" si="100"/>
        <v>0.45833333333333304</v>
      </c>
      <c r="C410" s="33"/>
      <c r="D410" s="62"/>
      <c r="E410" s="121"/>
      <c r="F410" s="122" t="str">
        <f>IFERROR(IF($D410="","",VLOOKUP($D410,Cadastro!$C$4:$E$7,3,FALSE)),"")</f>
        <v/>
      </c>
      <c r="G410" s="114"/>
      <c r="H410" s="122" t="str">
        <f>IFERROR(IF($G410="","",$G410*$S$419/$G$419/Cadastro!$E$33),"")</f>
        <v/>
      </c>
      <c r="I410" s="129" t="str">
        <f>IFERROR(IF($D410="","",VLOOKUP($D410,Cadastro!$C$4:$G$7,5,FALSE)),"")</f>
        <v/>
      </c>
      <c r="J410" s="145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 x14ac:dyDescent="0.3">
      <c r="A411" s="69">
        <v>46250</v>
      </c>
      <c r="B411" s="32">
        <f t="shared" si="100"/>
        <v>0.49999999999999972</v>
      </c>
      <c r="C411" s="33"/>
      <c r="D411" s="62"/>
      <c r="E411" s="121"/>
      <c r="F411" s="122" t="str">
        <f>IFERROR(IF($D411="","",VLOOKUP($D411,Cadastro!$C$4:$E$7,3,FALSE)),"")</f>
        <v/>
      </c>
      <c r="G411" s="114"/>
      <c r="H411" s="122" t="str">
        <f>IFERROR(IF($G411="","",$G411*$S$419/$G$419/Cadastro!$E$33),"")</f>
        <v/>
      </c>
      <c r="I411" s="129" t="str">
        <f>IFERROR(IF($D411="","",VLOOKUP($D411,Cadastro!$C$4:$G$7,5,FALSE)),"")</f>
        <v/>
      </c>
      <c r="J411" s="145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 x14ac:dyDescent="0.3">
      <c r="A412" s="68">
        <v>46250</v>
      </c>
      <c r="B412" s="25">
        <f t="shared" si="100"/>
        <v>0.54166666666666641</v>
      </c>
      <c r="C412" s="33"/>
      <c r="D412" s="62"/>
      <c r="E412" s="121"/>
      <c r="F412" s="122" t="str">
        <f>IFERROR(IF($D412="","",VLOOKUP($D412,Cadastro!$C$4:$E$7,3,FALSE)),"")</f>
        <v/>
      </c>
      <c r="G412" s="114"/>
      <c r="H412" s="122" t="str">
        <f>IFERROR(IF($G412="","",$G412*$S$419/$G$419/Cadastro!$E$33),"")</f>
        <v/>
      </c>
      <c r="I412" s="129" t="str">
        <f>IFERROR(IF($D412="","",VLOOKUP($D412,Cadastro!$C$4:$G$7,5,FALSE)),"")</f>
        <v/>
      </c>
      <c r="J412" s="145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 x14ac:dyDescent="0.3">
      <c r="A413" s="69">
        <v>46250</v>
      </c>
      <c r="B413" s="32">
        <f t="shared" si="100"/>
        <v>0.58333333333333304</v>
      </c>
      <c r="C413" s="33"/>
      <c r="D413" s="62"/>
      <c r="E413" s="121"/>
      <c r="F413" s="122" t="str">
        <f>IFERROR(IF($D413="","",VLOOKUP($D413,Cadastro!$C$4:$E$7,3,FALSE)),"")</f>
        <v/>
      </c>
      <c r="G413" s="114"/>
      <c r="H413" s="122" t="str">
        <f>IFERROR(IF($G413="","",$G413*$S$419/$G$419/Cadastro!$E$33),"")</f>
        <v/>
      </c>
      <c r="I413" s="129" t="str">
        <f>IFERROR(IF($D413="","",VLOOKUP($D413,Cadastro!$C$4:$G$7,5,FALSE)),"")</f>
        <v/>
      </c>
      <c r="J413" s="145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 x14ac:dyDescent="0.3">
      <c r="A414" s="68">
        <v>46250</v>
      </c>
      <c r="B414" s="25">
        <f t="shared" si="100"/>
        <v>0.62499999999999967</v>
      </c>
      <c r="C414" s="33"/>
      <c r="D414" s="62"/>
      <c r="E414" s="121"/>
      <c r="F414" s="122" t="str">
        <f>IFERROR(IF($D414="","",VLOOKUP($D414,Cadastro!$C$4:$E$7,3,FALSE)),"")</f>
        <v/>
      </c>
      <c r="G414" s="114"/>
      <c r="H414" s="122" t="str">
        <f>IFERROR(IF($G414="","",$G414*$S$419/$G$419/Cadastro!$E$33),"")</f>
        <v/>
      </c>
      <c r="I414" s="129" t="str">
        <f>IFERROR(IF($D414="","",VLOOKUP($D414,Cadastro!$C$4:$G$7,5,FALSE)),"")</f>
        <v/>
      </c>
      <c r="J414" s="145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 x14ac:dyDescent="0.3">
      <c r="A415" s="69">
        <v>46250</v>
      </c>
      <c r="B415" s="32">
        <f t="shared" si="100"/>
        <v>0.6666666666666663</v>
      </c>
      <c r="C415" s="33"/>
      <c r="D415" s="62"/>
      <c r="E415" s="121"/>
      <c r="F415" s="122" t="str">
        <f>IFERROR(IF($D415="","",VLOOKUP($D415,Cadastro!$C$4:$E$7,3,FALSE)),"")</f>
        <v/>
      </c>
      <c r="G415" s="114"/>
      <c r="H415" s="122" t="str">
        <f>IFERROR(IF($G415="","",$G415*$S$419/$G$419/Cadastro!$E$33),"")</f>
        <v/>
      </c>
      <c r="I415" s="129" t="str">
        <f>IFERROR(IF($D415="","",VLOOKUP($D415,Cadastro!$C$4:$G$7,5,FALSE)),"")</f>
        <v/>
      </c>
      <c r="J415" s="145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 x14ac:dyDescent="0.3">
      <c r="A416" s="68">
        <v>46250</v>
      </c>
      <c r="B416" s="25">
        <f t="shared" si="100"/>
        <v>0.70833333333333293</v>
      </c>
      <c r="C416" s="33"/>
      <c r="D416" s="62"/>
      <c r="E416" s="121"/>
      <c r="F416" s="122" t="str">
        <f>IFERROR(IF($D416="","",VLOOKUP($D416,Cadastro!$C$4:$E$7,3,FALSE)),"")</f>
        <v/>
      </c>
      <c r="G416" s="114"/>
      <c r="H416" s="122" t="str">
        <f>IFERROR(IF($G416="","",$G416*$S$419/$G$419/Cadastro!$E$33),"")</f>
        <v/>
      </c>
      <c r="I416" s="129" t="str">
        <f>IFERROR(IF($D416="","",VLOOKUP($D416,Cadastro!$C$4:$G$7,5,FALSE)),"")</f>
        <v/>
      </c>
      <c r="J416" s="145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 x14ac:dyDescent="0.3">
      <c r="A417" s="69">
        <v>46250</v>
      </c>
      <c r="B417" s="32">
        <f t="shared" si="100"/>
        <v>0.74999999999999956</v>
      </c>
      <c r="C417" s="33"/>
      <c r="D417" s="62"/>
      <c r="E417" s="121"/>
      <c r="F417" s="122" t="str">
        <f>IFERROR(IF($D417="","",VLOOKUP($D417,Cadastro!$C$4:$E$7,3,FALSE)),"")</f>
        <v/>
      </c>
      <c r="G417" s="114"/>
      <c r="H417" s="122" t="str">
        <f>IFERROR(IF($G417="","",$G417*$S$419/$G$419/Cadastro!$E$33),"")</f>
        <v/>
      </c>
      <c r="I417" s="129" t="str">
        <f>IFERROR(IF($D417="","",VLOOKUP($D417,Cadastro!$C$4:$G$7,5,FALSE)),"")</f>
        <v/>
      </c>
      <c r="J417" s="145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 x14ac:dyDescent="0.35">
      <c r="A418" s="68">
        <v>46250</v>
      </c>
      <c r="B418" s="25">
        <f t="shared" si="100"/>
        <v>0.79166666666666619</v>
      </c>
      <c r="C418" s="33"/>
      <c r="D418" s="62"/>
      <c r="E418" s="121"/>
      <c r="F418" s="118" t="str">
        <f>IFERROR(IF($D418="","",VLOOKUP($D418,Cadastro!$C$4:$E$7,3,FALSE)),"")</f>
        <v/>
      </c>
      <c r="G418" s="114"/>
      <c r="H418" s="118" t="str">
        <f>IFERROR(IF($G418="","",$G418*$S$419/$G$419/Cadastro!$E$33),"")</f>
        <v/>
      </c>
      <c r="I418" s="130" t="str">
        <f>IFERROR(IF($D418="","",VLOOKUP($D418,Cadastro!$C$4:$G$7,5,FALSE)),"")</f>
        <v/>
      </c>
      <c r="J418" s="146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 x14ac:dyDescent="0.35">
      <c r="A419" s="168" t="s">
        <v>231</v>
      </c>
      <c r="B419" s="169"/>
      <c r="C419" s="169"/>
      <c r="D419" s="169"/>
      <c r="E419" s="169">
        <f>SUM(E407:E418)</f>
        <v>0</v>
      </c>
      <c r="F419" s="123"/>
      <c r="G419" s="88">
        <f>SUM(G407:G418)</f>
        <v>0</v>
      </c>
      <c r="H419" s="123">
        <f>IFERROR(SUM(H407:H418),"")</f>
        <v>0</v>
      </c>
      <c r="I419" s="131"/>
      <c r="J419" s="147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232</v>
      </c>
      <c r="S419" s="39"/>
      <c r="T419" s="141">
        <f>IFERROR(J419,"")</f>
        <v>0</v>
      </c>
    </row>
    <row r="420" spans="1:20" ht="15" customHeight="1" x14ac:dyDescent="0.3">
      <c r="A420" s="68">
        <v>46250</v>
      </c>
      <c r="B420" s="25">
        <v>0.83333333333333304</v>
      </c>
      <c r="C420" s="26"/>
      <c r="D420" s="59"/>
      <c r="E420" s="120"/>
      <c r="F420" s="119" t="str">
        <f>IFERROR(IF($D420="","",VLOOKUP($D420,Cadastro!$C$4:$E$7,3,FALSE)),"")</f>
        <v/>
      </c>
      <c r="G420" s="114"/>
      <c r="H420" s="119" t="str">
        <f>IFERROR(IF($G420="","",$G420*$S$432/$G$432/Cadastro!$E$33),"")</f>
        <v/>
      </c>
      <c r="I420" s="132" t="str">
        <f>IFERROR(IF($D420="","",VLOOKUP($D420,Cadastro!$C$4:$G$7,5,FALSE)),"")</f>
        <v/>
      </c>
      <c r="J420" s="148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94"/>
    </row>
    <row r="421" spans="1:20" ht="15" customHeight="1" x14ac:dyDescent="0.3">
      <c r="A421" s="69">
        <v>46250</v>
      </c>
      <c r="B421" s="32">
        <f t="shared" ref="B421:B431" si="104">B420+TIME(0,60,0)</f>
        <v>0.87499999999999967</v>
      </c>
      <c r="C421" s="26"/>
      <c r="D421" s="59"/>
      <c r="E421" s="120"/>
      <c r="F421" s="122" t="str">
        <f>IFERROR(IF($D421="","",VLOOKUP($D421,Cadastro!$C$4:$E$7,3,FALSE)),"")</f>
        <v/>
      </c>
      <c r="G421" s="114"/>
      <c r="H421" s="122" t="str">
        <f>IFERROR(IF($G421="","",$G421*$S$432/$G$432/Cadastro!$E$33),"")</f>
        <v/>
      </c>
      <c r="I421" s="129" t="str">
        <f>IFERROR(IF($D421="","",VLOOKUP($D421,Cadastro!$C$4:$G$7,5,FALSE)),"")</f>
        <v/>
      </c>
      <c r="J421" s="145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93" t="str">
        <f t="shared" ca="1" si="103"/>
        <v/>
      </c>
      <c r="R421" s="95"/>
      <c r="S421" s="47"/>
    </row>
    <row r="422" spans="1:20" ht="15" customHeight="1" x14ac:dyDescent="0.3">
      <c r="A422" s="68">
        <v>46250</v>
      </c>
      <c r="B422" s="25">
        <f t="shared" si="104"/>
        <v>0.9166666666666663</v>
      </c>
      <c r="C422" s="26"/>
      <c r="D422" s="59"/>
      <c r="E422" s="120"/>
      <c r="F422" s="122" t="str">
        <f>IFERROR(IF($D422="","",VLOOKUP($D422,Cadastro!$C$4:$E$7,3,FALSE)),"")</f>
        <v/>
      </c>
      <c r="G422" s="114"/>
      <c r="H422" s="122" t="str">
        <f>IFERROR(IF($G422="","",$G422*$S$432/$G$432/Cadastro!$E$33),"")</f>
        <v/>
      </c>
      <c r="I422" s="129" t="str">
        <f>IFERROR(IF($D422="","",VLOOKUP($D422,Cadastro!$C$4:$G$7,5,FALSE)),"")</f>
        <v/>
      </c>
      <c r="J422" s="145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92"/>
      <c r="S422" s="47"/>
    </row>
    <row r="423" spans="1:20" ht="15" customHeight="1" x14ac:dyDescent="0.3">
      <c r="A423" s="69">
        <v>46250</v>
      </c>
      <c r="B423" s="32">
        <f t="shared" si="104"/>
        <v>0.95833333333333293</v>
      </c>
      <c r="C423" s="26"/>
      <c r="D423" s="59"/>
      <c r="E423" s="120"/>
      <c r="F423" s="122" t="str">
        <f>IFERROR(IF($D423="","",VLOOKUP($D423,Cadastro!$C$4:$E$7,3,FALSE)),"")</f>
        <v/>
      </c>
      <c r="G423" s="114"/>
      <c r="H423" s="122" t="str">
        <f>IFERROR(IF($G423="","",$G423*$S$432/$G$432/Cadastro!$E$33),"")</f>
        <v/>
      </c>
      <c r="I423" s="129" t="str">
        <f>IFERROR(IF($D423="","",VLOOKUP($D423,Cadastro!$C$4:$G$7,5,FALSE)),"")</f>
        <v/>
      </c>
      <c r="J423" s="145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 x14ac:dyDescent="0.3">
      <c r="A424" s="68">
        <v>46250</v>
      </c>
      <c r="B424" s="25">
        <f t="shared" si="104"/>
        <v>0.99999999999999956</v>
      </c>
      <c r="C424" s="26"/>
      <c r="D424" s="59"/>
      <c r="E424" s="120"/>
      <c r="F424" s="122" t="str">
        <f>IFERROR(IF($D424="","",VLOOKUP($D424,Cadastro!$C$4:$E$7,3,FALSE)),"")</f>
        <v/>
      </c>
      <c r="G424" s="114"/>
      <c r="H424" s="122" t="str">
        <f>IFERROR(IF($G424="","",$G424*$S$432/$G$432/Cadastro!$E$33),"")</f>
        <v/>
      </c>
      <c r="I424" s="129" t="str">
        <f>IFERROR(IF($D424="","",VLOOKUP($D424,Cadastro!$C$4:$G$7,5,FALSE)),"")</f>
        <v/>
      </c>
      <c r="J424" s="145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 x14ac:dyDescent="0.3">
      <c r="A425" s="69">
        <v>46250</v>
      </c>
      <c r="B425" s="32">
        <f t="shared" si="104"/>
        <v>1.0416666666666663</v>
      </c>
      <c r="C425" s="26"/>
      <c r="D425" s="59"/>
      <c r="E425" s="120"/>
      <c r="F425" s="122" t="str">
        <f>IFERROR(IF($D425="","",VLOOKUP($D425,Cadastro!$C$4:$E$7,3,FALSE)),"")</f>
        <v/>
      </c>
      <c r="G425" s="114"/>
      <c r="H425" s="122" t="str">
        <f>IFERROR(IF($G425="","",$G425*$S$432/$G$432/Cadastro!$E$33),"")</f>
        <v/>
      </c>
      <c r="I425" s="129" t="str">
        <f>IFERROR(IF($D425="","",VLOOKUP($D425,Cadastro!$C$4:$G$7,5,FALSE)),"")</f>
        <v/>
      </c>
      <c r="J425" s="145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 x14ac:dyDescent="0.3">
      <c r="A426" s="68">
        <v>46250</v>
      </c>
      <c r="B426" s="25">
        <f t="shared" si="104"/>
        <v>1.083333333333333</v>
      </c>
      <c r="C426" s="26"/>
      <c r="D426" s="59"/>
      <c r="E426" s="120"/>
      <c r="F426" s="122" t="str">
        <f>IFERROR(IF($D426="","",VLOOKUP($D426,Cadastro!$C$4:$E$7,3,FALSE)),"")</f>
        <v/>
      </c>
      <c r="G426" s="114"/>
      <c r="H426" s="122" t="str">
        <f>IFERROR(IF($G426="","",$G426*$S$432/$G$432/Cadastro!$E$33),"")</f>
        <v/>
      </c>
      <c r="I426" s="129" t="str">
        <f>IFERROR(IF($D426="","",VLOOKUP($D426,Cadastro!$C$4:$G$7,5,FALSE)),"")</f>
        <v/>
      </c>
      <c r="J426" s="145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 x14ac:dyDescent="0.3">
      <c r="A427" s="69">
        <v>46250</v>
      </c>
      <c r="B427" s="32">
        <f t="shared" si="104"/>
        <v>1.1249999999999998</v>
      </c>
      <c r="C427" s="26"/>
      <c r="D427" s="59"/>
      <c r="E427" s="120"/>
      <c r="F427" s="122" t="str">
        <f>IFERROR(IF($D427="","",VLOOKUP($D427,Cadastro!$C$4:$E$7,3,FALSE)),"")</f>
        <v/>
      </c>
      <c r="G427" s="114"/>
      <c r="H427" s="122" t="str">
        <f>IFERROR(IF($G427="","",$G427*$S$432/$G$432/Cadastro!$E$33),"")</f>
        <v/>
      </c>
      <c r="I427" s="129" t="str">
        <f>IFERROR(IF($D427="","",VLOOKUP($D427,Cadastro!$C$4:$G$7,5,FALSE)),"")</f>
        <v/>
      </c>
      <c r="J427" s="145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 x14ac:dyDescent="0.3">
      <c r="A428" s="68">
        <v>46250</v>
      </c>
      <c r="B428" s="25">
        <f t="shared" si="104"/>
        <v>1.1666666666666665</v>
      </c>
      <c r="C428" s="26"/>
      <c r="D428" s="59"/>
      <c r="E428" s="120"/>
      <c r="F428" s="122" t="str">
        <f>IFERROR(IF($D428="","",VLOOKUP($D428,Cadastro!$C$4:$E$7,3,FALSE)),"")</f>
        <v/>
      </c>
      <c r="G428" s="114"/>
      <c r="H428" s="122" t="str">
        <f>IFERROR(IF($G428="","",$G428*$S$432/$G$432/Cadastro!$E$33),"")</f>
        <v/>
      </c>
      <c r="I428" s="129" t="str">
        <f>IFERROR(IF($D428="","",VLOOKUP($D428,Cadastro!$C$4:$G$7,5,FALSE)),"")</f>
        <v/>
      </c>
      <c r="J428" s="145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 x14ac:dyDescent="0.3">
      <c r="A429" s="69">
        <v>46250</v>
      </c>
      <c r="B429" s="32">
        <f t="shared" si="104"/>
        <v>1.2083333333333333</v>
      </c>
      <c r="C429" s="26"/>
      <c r="D429" s="59"/>
      <c r="E429" s="120"/>
      <c r="F429" s="122" t="str">
        <f>IFERROR(IF($D429="","",VLOOKUP($D429,Cadastro!$C$4:$E$7,3,FALSE)),"")</f>
        <v/>
      </c>
      <c r="G429" s="114"/>
      <c r="H429" s="122" t="str">
        <f>IFERROR(IF($G429="","",$G429*$S$432/$G$432/Cadastro!$E$33),"")</f>
        <v/>
      </c>
      <c r="I429" s="129" t="str">
        <f>IFERROR(IF($D429="","",VLOOKUP($D429,Cadastro!$C$4:$G$7,5,FALSE)),"")</f>
        <v/>
      </c>
      <c r="J429" s="145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 x14ac:dyDescent="0.3">
      <c r="A430" s="68">
        <v>46250</v>
      </c>
      <c r="B430" s="25">
        <f t="shared" si="104"/>
        <v>1.25</v>
      </c>
      <c r="C430" s="26"/>
      <c r="D430" s="59"/>
      <c r="E430" s="120"/>
      <c r="F430" s="122" t="str">
        <f>IFERROR(IF($D430="","",VLOOKUP($D430,Cadastro!$C$4:$E$7,3,FALSE)),"")</f>
        <v/>
      </c>
      <c r="G430" s="114"/>
      <c r="H430" s="122" t="str">
        <f>IFERROR(IF($G430="","",$G430*$S$432/$G$432/Cadastro!$E$33),"")</f>
        <v/>
      </c>
      <c r="I430" s="129" t="str">
        <f>IFERROR(IF($D430="","",VLOOKUP($D430,Cadastro!$C$4:$G$7,5,FALSE)),"")</f>
        <v/>
      </c>
      <c r="J430" s="145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 x14ac:dyDescent="0.35">
      <c r="A431" s="69">
        <v>46250</v>
      </c>
      <c r="B431" s="32">
        <f t="shared" si="104"/>
        <v>1.2916666666666667</v>
      </c>
      <c r="C431" s="26"/>
      <c r="D431" s="59"/>
      <c r="E431" s="120"/>
      <c r="F431" s="118" t="str">
        <f>IFERROR(IF($D431="","",VLOOKUP($D431,Cadastro!$C$4:$E$7,3,FALSE)),"")</f>
        <v/>
      </c>
      <c r="G431" s="114"/>
      <c r="H431" s="118" t="str">
        <f>IFERROR(IF($G431="","",$G431*$S$432/$G$432/Cadastro!$E$33),"")</f>
        <v/>
      </c>
      <c r="I431" s="130" t="str">
        <f>IFERROR(IF($D431="","",VLOOKUP($D431,Cadastro!$C$4:$G$7,5,FALSE)),"")</f>
        <v/>
      </c>
      <c r="J431" s="146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 x14ac:dyDescent="0.35">
      <c r="A432" s="168" t="s">
        <v>234</v>
      </c>
      <c r="B432" s="169"/>
      <c r="C432" s="169"/>
      <c r="D432" s="169"/>
      <c r="E432" s="169">
        <f>SUM(E420:E431)</f>
        <v>0</v>
      </c>
      <c r="F432" s="124"/>
      <c r="G432" s="88">
        <f>SUM(G420:G431)</f>
        <v>0</v>
      </c>
      <c r="H432" s="124">
        <f>IFERROR(SUM(H420:H431),"")</f>
        <v>0</v>
      </c>
      <c r="I432" s="133"/>
      <c r="J432" s="149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232</v>
      </c>
      <c r="S432" s="39"/>
      <c r="T432" s="141">
        <f>IFERROR(J432,"")</f>
        <v>0</v>
      </c>
    </row>
    <row r="433" spans="1:20" ht="18" customHeight="1" x14ac:dyDescent="0.3">
      <c r="A433" s="165" t="s">
        <v>235</v>
      </c>
      <c r="B433" s="166"/>
      <c r="C433" s="166"/>
      <c r="D433" s="166"/>
      <c r="E433" s="166">
        <f>E419+E432</f>
        <v>0</v>
      </c>
      <c r="F433" s="125"/>
      <c r="G433" s="100">
        <f>G419+G432</f>
        <v>0</v>
      </c>
      <c r="H433" s="125">
        <f>IFERROR(H419+H432,"")</f>
        <v>0</v>
      </c>
      <c r="I433" s="134"/>
      <c r="J433" s="150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236</v>
      </c>
      <c r="S433" s="48">
        <f>IFERROR(S419+S432,"")</f>
        <v>0</v>
      </c>
      <c r="T433" s="143">
        <f>IFERROR(J433,"")</f>
        <v>0</v>
      </c>
    </row>
    <row r="434" spans="1:20" ht="15" customHeight="1" x14ac:dyDescent="0.3">
      <c r="A434" s="68">
        <v>46251</v>
      </c>
      <c r="B434" s="25">
        <v>0.33333333333333298</v>
      </c>
      <c r="C434" s="26"/>
      <c r="D434" s="59"/>
      <c r="E434" s="120"/>
      <c r="F434" s="119" t="str">
        <f>IFERROR(IF($D434="","",VLOOKUP($D434,Cadastro!$C$4:$E$7,3,FALSE)),"")</f>
        <v/>
      </c>
      <c r="G434" s="114"/>
      <c r="H434" s="119" t="str">
        <f>IFERROR(IF($G434="","",$G434*$S$446/$G$446/Cadastro!$E$33),"")</f>
        <v/>
      </c>
      <c r="I434" s="132" t="str">
        <f>IFERROR(IF($D434="","",VLOOKUP($D434,Cadastro!$C$4:$G$7,5,FALSE)),"")</f>
        <v/>
      </c>
      <c r="J434" s="148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 x14ac:dyDescent="0.3">
      <c r="A435" s="69">
        <v>46251</v>
      </c>
      <c r="B435" s="32">
        <f t="shared" ref="B435:B445" si="108">B434+TIME(0,60,0)</f>
        <v>0.37499999999999967</v>
      </c>
      <c r="C435" s="26"/>
      <c r="D435" s="59"/>
      <c r="E435" s="120"/>
      <c r="F435" s="122" t="str">
        <f>IFERROR(IF($D435="","",VLOOKUP($D435,Cadastro!$C$4:$E$7,3,FALSE)),"")</f>
        <v/>
      </c>
      <c r="G435" s="114"/>
      <c r="H435" s="122" t="str">
        <f>IFERROR(IF($G435="","",$G435*$S$446/$G$446/Cadastro!$E$33),"")</f>
        <v/>
      </c>
      <c r="I435" s="129" t="str">
        <f>IFERROR(IF($D435="","",VLOOKUP($D435,Cadastro!$C$4:$G$7,5,FALSE)),"")</f>
        <v/>
      </c>
      <c r="J435" s="145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 x14ac:dyDescent="0.3">
      <c r="A436" s="68">
        <v>46251</v>
      </c>
      <c r="B436" s="25">
        <f t="shared" si="108"/>
        <v>0.41666666666666635</v>
      </c>
      <c r="C436" s="26"/>
      <c r="D436" s="59"/>
      <c r="E436" s="120"/>
      <c r="F436" s="122" t="str">
        <f>IFERROR(IF($D436="","",VLOOKUP($D436,Cadastro!$C$4:$E$7,3,FALSE)),"")</f>
        <v/>
      </c>
      <c r="G436" s="114"/>
      <c r="H436" s="122" t="str">
        <f>IFERROR(IF($G436="","",$G436*$S$446/$G$446/Cadastro!$E$33),"")</f>
        <v/>
      </c>
      <c r="I436" s="129" t="str">
        <f>IFERROR(IF($D436="","",VLOOKUP($D436,Cadastro!$C$4:$G$7,5,FALSE)),"")</f>
        <v/>
      </c>
      <c r="J436" s="145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 x14ac:dyDescent="0.3">
      <c r="A437" s="69">
        <v>46251</v>
      </c>
      <c r="B437" s="32">
        <f t="shared" si="108"/>
        <v>0.45833333333333304</v>
      </c>
      <c r="C437" s="26"/>
      <c r="D437" s="59"/>
      <c r="E437" s="120"/>
      <c r="F437" s="122" t="str">
        <f>IFERROR(IF($D437="","",VLOOKUP($D437,Cadastro!$C$4:$E$7,3,FALSE)),"")</f>
        <v/>
      </c>
      <c r="G437" s="114"/>
      <c r="H437" s="122" t="str">
        <f>IFERROR(IF($G437="","",$G437*$S$446/$G$446/Cadastro!$E$33),"")</f>
        <v/>
      </c>
      <c r="I437" s="129" t="str">
        <f>IFERROR(IF($D437="","",VLOOKUP($D437,Cadastro!$C$4:$G$7,5,FALSE)),"")</f>
        <v/>
      </c>
      <c r="J437" s="145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 x14ac:dyDescent="0.3">
      <c r="A438" s="68">
        <v>46251</v>
      </c>
      <c r="B438" s="25">
        <f t="shared" si="108"/>
        <v>0.49999999999999972</v>
      </c>
      <c r="C438" s="26"/>
      <c r="D438" s="59"/>
      <c r="E438" s="120"/>
      <c r="F438" s="122" t="str">
        <f>IFERROR(IF($D438="","",VLOOKUP($D438,Cadastro!$C$4:$E$7,3,FALSE)),"")</f>
        <v/>
      </c>
      <c r="G438" s="114"/>
      <c r="H438" s="122" t="str">
        <f>IFERROR(IF($G438="","",$G438*$S$446/$G$446/Cadastro!$E$33),"")</f>
        <v/>
      </c>
      <c r="I438" s="129" t="str">
        <f>IFERROR(IF($D438="","",VLOOKUP($D438,Cadastro!$C$4:$G$7,5,FALSE)),"")</f>
        <v/>
      </c>
      <c r="J438" s="145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 x14ac:dyDescent="0.3">
      <c r="A439" s="69">
        <v>46251</v>
      </c>
      <c r="B439" s="32">
        <f t="shared" si="108"/>
        <v>0.54166666666666641</v>
      </c>
      <c r="C439" s="26"/>
      <c r="D439" s="59"/>
      <c r="E439" s="120"/>
      <c r="F439" s="122" t="str">
        <f>IFERROR(IF($D439="","",VLOOKUP($D439,Cadastro!$C$4:$E$7,3,FALSE)),"")</f>
        <v/>
      </c>
      <c r="G439" s="114"/>
      <c r="H439" s="122" t="str">
        <f>IFERROR(IF($G439="","",$G439*$S$446/$G$446/Cadastro!$E$33),"")</f>
        <v/>
      </c>
      <c r="I439" s="129" t="str">
        <f>IFERROR(IF($D439="","",VLOOKUP($D439,Cadastro!$C$4:$G$7,5,FALSE)),"")</f>
        <v/>
      </c>
      <c r="J439" s="145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 x14ac:dyDescent="0.3">
      <c r="A440" s="68">
        <v>46251</v>
      </c>
      <c r="B440" s="25">
        <f t="shared" si="108"/>
        <v>0.58333333333333304</v>
      </c>
      <c r="C440" s="26"/>
      <c r="D440" s="59"/>
      <c r="E440" s="120"/>
      <c r="F440" s="122" t="str">
        <f>IFERROR(IF($D440="","",VLOOKUP($D440,Cadastro!$C$4:$E$7,3,FALSE)),"")</f>
        <v/>
      </c>
      <c r="G440" s="114"/>
      <c r="H440" s="122" t="str">
        <f>IFERROR(IF($G440="","",$G440*$S$446/$G$446/Cadastro!$E$33),"")</f>
        <v/>
      </c>
      <c r="I440" s="129" t="str">
        <f>IFERROR(IF($D440="","",VLOOKUP($D440,Cadastro!$C$4:$G$7,5,FALSE)),"")</f>
        <v/>
      </c>
      <c r="J440" s="145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 x14ac:dyDescent="0.3">
      <c r="A441" s="69">
        <v>46251</v>
      </c>
      <c r="B441" s="32">
        <f t="shared" si="108"/>
        <v>0.62499999999999967</v>
      </c>
      <c r="C441" s="26"/>
      <c r="D441" s="59"/>
      <c r="E441" s="120"/>
      <c r="F441" s="122" t="str">
        <f>IFERROR(IF($D441="","",VLOOKUP($D441,Cadastro!$C$4:$E$7,3,FALSE)),"")</f>
        <v/>
      </c>
      <c r="G441" s="114"/>
      <c r="H441" s="122" t="str">
        <f>IFERROR(IF($G441="","",$G441*$S$446/$G$446/Cadastro!$E$33),"")</f>
        <v/>
      </c>
      <c r="I441" s="129" t="str">
        <f>IFERROR(IF($D441="","",VLOOKUP($D441,Cadastro!$C$4:$G$7,5,FALSE)),"")</f>
        <v/>
      </c>
      <c r="J441" s="145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 x14ac:dyDescent="0.3">
      <c r="A442" s="68">
        <v>46251</v>
      </c>
      <c r="B442" s="25">
        <f t="shared" si="108"/>
        <v>0.6666666666666663</v>
      </c>
      <c r="C442" s="26"/>
      <c r="D442" s="59"/>
      <c r="E442" s="120"/>
      <c r="F442" s="122" t="str">
        <f>IFERROR(IF($D442="","",VLOOKUP($D442,Cadastro!$C$4:$E$7,3,FALSE)),"")</f>
        <v/>
      </c>
      <c r="G442" s="114"/>
      <c r="H442" s="122" t="str">
        <f>IFERROR(IF($G442="","",$G442*$S$446/$G$446/Cadastro!$E$33),"")</f>
        <v/>
      </c>
      <c r="I442" s="129" t="str">
        <f>IFERROR(IF($D442="","",VLOOKUP($D442,Cadastro!$C$4:$G$7,5,FALSE)),"")</f>
        <v/>
      </c>
      <c r="J442" s="145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 x14ac:dyDescent="0.3">
      <c r="A443" s="69">
        <v>46251</v>
      </c>
      <c r="B443" s="32">
        <f t="shared" si="108"/>
        <v>0.70833333333333293</v>
      </c>
      <c r="C443" s="26"/>
      <c r="D443" s="59"/>
      <c r="E443" s="120"/>
      <c r="F443" s="122" t="str">
        <f>IFERROR(IF($D443="","",VLOOKUP($D443,Cadastro!$C$4:$E$7,3,FALSE)),"")</f>
        <v/>
      </c>
      <c r="G443" s="114"/>
      <c r="H443" s="122" t="str">
        <f>IFERROR(IF($G443="","",$G443*$S$446/$G$446/Cadastro!$E$33),"")</f>
        <v/>
      </c>
      <c r="I443" s="129" t="str">
        <f>IFERROR(IF($D443="","",VLOOKUP($D443,Cadastro!$C$4:$G$7,5,FALSE)),"")</f>
        <v/>
      </c>
      <c r="J443" s="145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 x14ac:dyDescent="0.3">
      <c r="A444" s="68">
        <v>46251</v>
      </c>
      <c r="B444" s="25">
        <f t="shared" si="108"/>
        <v>0.74999999999999956</v>
      </c>
      <c r="C444" s="26"/>
      <c r="D444" s="59"/>
      <c r="E444" s="120"/>
      <c r="F444" s="122" t="str">
        <f>IFERROR(IF($D444="","",VLOOKUP($D444,Cadastro!$C$4:$E$7,3,FALSE)),"")</f>
        <v/>
      </c>
      <c r="G444" s="114"/>
      <c r="H444" s="122" t="str">
        <f>IFERROR(IF($G444="","",$G444*$S$446/$G$446/Cadastro!$E$33),"")</f>
        <v/>
      </c>
      <c r="I444" s="129" t="str">
        <f>IFERROR(IF($D444="","",VLOOKUP($D444,Cadastro!$C$4:$G$7,5,FALSE)),"")</f>
        <v/>
      </c>
      <c r="J444" s="145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 x14ac:dyDescent="0.35">
      <c r="A445" s="69">
        <v>46251</v>
      </c>
      <c r="B445" s="32">
        <f t="shared" si="108"/>
        <v>0.79166666666666619</v>
      </c>
      <c r="C445" s="26"/>
      <c r="D445" s="59"/>
      <c r="E445" s="120"/>
      <c r="F445" s="118" t="str">
        <f>IFERROR(IF($D445="","",VLOOKUP($D445,Cadastro!$C$4:$E$7,3,FALSE)),"")</f>
        <v/>
      </c>
      <c r="G445" s="114"/>
      <c r="H445" s="118" t="str">
        <f>IFERROR(IF($G445="","",$G445*$S$446/$G$446/Cadastro!$E$33),"")</f>
        <v/>
      </c>
      <c r="I445" s="130" t="str">
        <f>IFERROR(IF($D445="","",VLOOKUP($D445,Cadastro!$C$4:$G$7,5,FALSE)),"")</f>
        <v/>
      </c>
      <c r="J445" s="146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 x14ac:dyDescent="0.35">
      <c r="A446" s="168" t="s">
        <v>231</v>
      </c>
      <c r="B446" s="169"/>
      <c r="C446" s="169"/>
      <c r="D446" s="169"/>
      <c r="E446" s="169">
        <f>SUM(E434:E445)</f>
        <v>0</v>
      </c>
      <c r="F446" s="123"/>
      <c r="G446" s="88">
        <f>SUM(G434:G445)</f>
        <v>0</v>
      </c>
      <c r="H446" s="123">
        <f>IFERROR(SUM(H434:H445),"")</f>
        <v>0</v>
      </c>
      <c r="I446" s="131"/>
      <c r="J446" s="147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232</v>
      </c>
      <c r="S446" s="39"/>
      <c r="T446" s="141">
        <f>IFERROR(J446,"")</f>
        <v>0</v>
      </c>
    </row>
    <row r="447" spans="1:20" ht="15" customHeight="1" x14ac:dyDescent="0.3">
      <c r="A447" s="69">
        <v>46251</v>
      </c>
      <c r="B447" s="32">
        <v>0.83333333333333304</v>
      </c>
      <c r="C447" s="33"/>
      <c r="D447" s="62"/>
      <c r="E447" s="121"/>
      <c r="F447" s="119" t="str">
        <f>IFERROR(IF($D447="","",VLOOKUP($D447,Cadastro!$C$4:$E$7,3,FALSE)),"")</f>
        <v/>
      </c>
      <c r="G447" s="114"/>
      <c r="H447" s="119" t="str">
        <f>IFERROR(IF($G447="","",$G447*$S$459/$G$459/Cadastro!$E$33),"")</f>
        <v/>
      </c>
      <c r="I447" s="132" t="str">
        <f>IFERROR(IF($D447="","",VLOOKUP($D447,Cadastro!$C$4:$G$7,5,FALSE)),"")</f>
        <v/>
      </c>
      <c r="J447" s="148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 x14ac:dyDescent="0.3">
      <c r="A448" s="68">
        <v>46251</v>
      </c>
      <c r="B448" s="25">
        <f t="shared" ref="B448:B458" si="112">B447+TIME(0,60,0)</f>
        <v>0.87499999999999967</v>
      </c>
      <c r="C448" s="33"/>
      <c r="D448" s="62"/>
      <c r="E448" s="121"/>
      <c r="F448" s="122" t="str">
        <f>IFERROR(IF($D448="","",VLOOKUP($D448,Cadastro!$C$4:$E$7,3,FALSE)),"")</f>
        <v/>
      </c>
      <c r="G448" s="114"/>
      <c r="H448" s="122" t="str">
        <f>IFERROR(IF($G448="","",$G448*$S$459/$G$459/Cadastro!$E$33),"")</f>
        <v/>
      </c>
      <c r="I448" s="129" t="str">
        <f>IFERROR(IF($D448="","",VLOOKUP($D448,Cadastro!$C$4:$G$7,5,FALSE)),"")</f>
        <v/>
      </c>
      <c r="J448" s="145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 x14ac:dyDescent="0.3">
      <c r="A449" s="69">
        <v>46251</v>
      </c>
      <c r="B449" s="32">
        <f t="shared" si="112"/>
        <v>0.9166666666666663</v>
      </c>
      <c r="C449" s="33"/>
      <c r="D449" s="62"/>
      <c r="E449" s="121"/>
      <c r="F449" s="122" t="str">
        <f>IFERROR(IF($D449="","",VLOOKUP($D449,Cadastro!$C$4:$E$7,3,FALSE)),"")</f>
        <v/>
      </c>
      <c r="G449" s="114"/>
      <c r="H449" s="122" t="str">
        <f>IFERROR(IF($G449="","",$G449*$S$459/$G$459/Cadastro!$E$33),"")</f>
        <v/>
      </c>
      <c r="I449" s="129" t="str">
        <f>IFERROR(IF($D449="","",VLOOKUP($D449,Cadastro!$C$4:$G$7,5,FALSE)),"")</f>
        <v/>
      </c>
      <c r="J449" s="145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 x14ac:dyDescent="0.3">
      <c r="A450" s="68">
        <v>46251</v>
      </c>
      <c r="B450" s="25">
        <f t="shared" si="112"/>
        <v>0.95833333333333293</v>
      </c>
      <c r="C450" s="33"/>
      <c r="D450" s="62"/>
      <c r="E450" s="121"/>
      <c r="F450" s="122" t="str">
        <f>IFERROR(IF($D450="","",VLOOKUP($D450,Cadastro!$C$4:$E$7,3,FALSE)),"")</f>
        <v/>
      </c>
      <c r="G450" s="114"/>
      <c r="H450" s="122" t="str">
        <f>IFERROR(IF($G450="","",$G450*$S$459/$G$459/Cadastro!$E$33),"")</f>
        <v/>
      </c>
      <c r="I450" s="129" t="str">
        <f>IFERROR(IF($D450="","",VLOOKUP($D450,Cadastro!$C$4:$G$7,5,FALSE)),"")</f>
        <v/>
      </c>
      <c r="J450" s="145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 x14ac:dyDescent="0.3">
      <c r="A451" s="69">
        <v>46251</v>
      </c>
      <c r="B451" s="32">
        <f t="shared" si="112"/>
        <v>0.99999999999999956</v>
      </c>
      <c r="C451" s="33"/>
      <c r="D451" s="62"/>
      <c r="E451" s="121"/>
      <c r="F451" s="122" t="str">
        <f>IFERROR(IF($D451="","",VLOOKUP($D451,Cadastro!$C$4:$E$7,3,FALSE)),"")</f>
        <v/>
      </c>
      <c r="G451" s="114"/>
      <c r="H451" s="122" t="str">
        <f>IFERROR(IF($G451="","",$G451*$S$459/$G$459/Cadastro!$E$33),"")</f>
        <v/>
      </c>
      <c r="I451" s="129" t="str">
        <f>IFERROR(IF($D451="","",VLOOKUP($D451,Cadastro!$C$4:$G$7,5,FALSE)),"")</f>
        <v/>
      </c>
      <c r="J451" s="145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 x14ac:dyDescent="0.3">
      <c r="A452" s="68">
        <v>46251</v>
      </c>
      <c r="B452" s="25">
        <f t="shared" si="112"/>
        <v>1.0416666666666663</v>
      </c>
      <c r="C452" s="33"/>
      <c r="D452" s="62"/>
      <c r="E452" s="121"/>
      <c r="F452" s="122" t="str">
        <f>IFERROR(IF($D452="","",VLOOKUP($D452,Cadastro!$C$4:$E$7,3,FALSE)),"")</f>
        <v/>
      </c>
      <c r="G452" s="114"/>
      <c r="H452" s="122" t="str">
        <f>IFERROR(IF($G452="","",$G452*$S$459/$G$459/Cadastro!$E$33),"")</f>
        <v/>
      </c>
      <c r="I452" s="129" t="str">
        <f>IFERROR(IF($D452="","",VLOOKUP($D452,Cadastro!$C$4:$G$7,5,FALSE)),"")</f>
        <v/>
      </c>
      <c r="J452" s="145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 x14ac:dyDescent="0.3">
      <c r="A453" s="69">
        <v>46251</v>
      </c>
      <c r="B453" s="32">
        <f t="shared" si="112"/>
        <v>1.083333333333333</v>
      </c>
      <c r="C453" s="33"/>
      <c r="D453" s="62"/>
      <c r="E453" s="121"/>
      <c r="F453" s="122" t="str">
        <f>IFERROR(IF($D453="","",VLOOKUP($D453,Cadastro!$C$4:$E$7,3,FALSE)),"")</f>
        <v/>
      </c>
      <c r="G453" s="114"/>
      <c r="H453" s="122" t="str">
        <f>IFERROR(IF($G453="","",$G453*$S$459/$G$459/Cadastro!$E$33),"")</f>
        <v/>
      </c>
      <c r="I453" s="129" t="str">
        <f>IFERROR(IF($D453="","",VLOOKUP($D453,Cadastro!$C$4:$G$7,5,FALSE)),"")</f>
        <v/>
      </c>
      <c r="J453" s="145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 x14ac:dyDescent="0.3">
      <c r="A454" s="68">
        <v>46251</v>
      </c>
      <c r="B454" s="25">
        <f t="shared" si="112"/>
        <v>1.1249999999999998</v>
      </c>
      <c r="C454" s="33"/>
      <c r="D454" s="62"/>
      <c r="E454" s="121"/>
      <c r="F454" s="122" t="str">
        <f>IFERROR(IF($D454="","",VLOOKUP($D454,Cadastro!$C$4:$E$7,3,FALSE)),"")</f>
        <v/>
      </c>
      <c r="G454" s="114"/>
      <c r="H454" s="122" t="str">
        <f>IFERROR(IF($G454="","",$G454*$S$459/$G$459/Cadastro!$E$33),"")</f>
        <v/>
      </c>
      <c r="I454" s="129" t="str">
        <f>IFERROR(IF($D454="","",VLOOKUP($D454,Cadastro!$C$4:$G$7,5,FALSE)),"")</f>
        <v/>
      </c>
      <c r="J454" s="145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 x14ac:dyDescent="0.3">
      <c r="A455" s="69">
        <v>46251</v>
      </c>
      <c r="B455" s="32">
        <f t="shared" si="112"/>
        <v>1.1666666666666665</v>
      </c>
      <c r="C455" s="33"/>
      <c r="D455" s="62"/>
      <c r="E455" s="121"/>
      <c r="F455" s="122" t="str">
        <f>IFERROR(IF($D455="","",VLOOKUP($D455,Cadastro!$C$4:$E$7,3,FALSE)),"")</f>
        <v/>
      </c>
      <c r="G455" s="114"/>
      <c r="H455" s="122" t="str">
        <f>IFERROR(IF($G455="","",$G455*$S$459/$G$459/Cadastro!$E$33),"")</f>
        <v/>
      </c>
      <c r="I455" s="129" t="str">
        <f>IFERROR(IF($D455="","",VLOOKUP($D455,Cadastro!$C$4:$G$7,5,FALSE)),"")</f>
        <v/>
      </c>
      <c r="J455" s="145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 x14ac:dyDescent="0.3">
      <c r="A456" s="68">
        <v>46251</v>
      </c>
      <c r="B456" s="25">
        <f t="shared" si="112"/>
        <v>1.2083333333333333</v>
      </c>
      <c r="C456" s="33"/>
      <c r="D456" s="62"/>
      <c r="E456" s="121"/>
      <c r="F456" s="122" t="str">
        <f>IFERROR(IF($D456="","",VLOOKUP($D456,Cadastro!$C$4:$E$7,3,FALSE)),"")</f>
        <v/>
      </c>
      <c r="G456" s="114"/>
      <c r="H456" s="122" t="str">
        <f>IFERROR(IF($G456="","",$G456*$S$459/$G$459/Cadastro!$E$33),"")</f>
        <v/>
      </c>
      <c r="I456" s="129" t="str">
        <f>IFERROR(IF($D456="","",VLOOKUP($D456,Cadastro!$C$4:$G$7,5,FALSE)),"")</f>
        <v/>
      </c>
      <c r="J456" s="145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 x14ac:dyDescent="0.3">
      <c r="A457" s="69">
        <v>46251</v>
      </c>
      <c r="B457" s="32">
        <f t="shared" si="112"/>
        <v>1.25</v>
      </c>
      <c r="C457" s="33"/>
      <c r="D457" s="62"/>
      <c r="E457" s="121"/>
      <c r="F457" s="122" t="str">
        <f>IFERROR(IF($D457="","",VLOOKUP($D457,Cadastro!$C$4:$E$7,3,FALSE)),"")</f>
        <v/>
      </c>
      <c r="G457" s="114"/>
      <c r="H457" s="122" t="str">
        <f>IFERROR(IF($G457="","",$G457*$S$459/$G$459/Cadastro!$E$33),"")</f>
        <v/>
      </c>
      <c r="I457" s="129" t="str">
        <f>IFERROR(IF($D457="","",VLOOKUP($D457,Cadastro!$C$4:$G$7,5,FALSE)),"")</f>
        <v/>
      </c>
      <c r="J457" s="145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 x14ac:dyDescent="0.35">
      <c r="A458" s="68">
        <v>46251</v>
      </c>
      <c r="B458" s="25">
        <f t="shared" si="112"/>
        <v>1.2916666666666667</v>
      </c>
      <c r="C458" s="33"/>
      <c r="D458" s="62"/>
      <c r="E458" s="121"/>
      <c r="F458" s="118" t="str">
        <f>IFERROR(IF($D458="","",VLOOKUP($D458,Cadastro!$C$4:$E$7,3,FALSE)),"")</f>
        <v/>
      </c>
      <c r="G458" s="114"/>
      <c r="H458" s="118" t="str">
        <f>IFERROR(IF($G458="","",$G458*$S$459/$G$459/Cadastro!$E$33),"")</f>
        <v/>
      </c>
      <c r="I458" s="130" t="str">
        <f>IFERROR(IF($D458="","",VLOOKUP($D458,Cadastro!$C$4:$G$7,5,FALSE)),"")</f>
        <v/>
      </c>
      <c r="J458" s="146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 x14ac:dyDescent="0.35">
      <c r="A459" s="168" t="s">
        <v>234</v>
      </c>
      <c r="B459" s="169"/>
      <c r="C459" s="169"/>
      <c r="D459" s="169"/>
      <c r="E459" s="169">
        <f>SUM(E447:E458)</f>
        <v>0</v>
      </c>
      <c r="F459" s="124"/>
      <c r="G459" s="88">
        <f>SUM(G447:G458)</f>
        <v>0</v>
      </c>
      <c r="H459" s="124">
        <f>IFERROR(SUM(H447:H458),"")</f>
        <v>0</v>
      </c>
      <c r="I459" s="133"/>
      <c r="J459" s="149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232</v>
      </c>
      <c r="S459" s="39"/>
      <c r="T459" s="141">
        <f>IFERROR(J459,"")</f>
        <v>0</v>
      </c>
    </row>
    <row r="460" spans="1:20" ht="18" customHeight="1" x14ac:dyDescent="0.3">
      <c r="A460" s="165" t="s">
        <v>235</v>
      </c>
      <c r="B460" s="166"/>
      <c r="C460" s="166"/>
      <c r="D460" s="166"/>
      <c r="E460" s="166">
        <f>E446+E459</f>
        <v>0</v>
      </c>
      <c r="F460" s="125"/>
      <c r="G460" s="100">
        <f>G446+G459</f>
        <v>0</v>
      </c>
      <c r="H460" s="125">
        <f>IFERROR(H446+H459,"")</f>
        <v>0</v>
      </c>
      <c r="I460" s="134"/>
      <c r="J460" s="150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236</v>
      </c>
      <c r="S460" s="48">
        <f>IFERROR(S446+S459,"")</f>
        <v>0</v>
      </c>
      <c r="T460" s="143">
        <f>IFERROR(J460,"")</f>
        <v>0</v>
      </c>
    </row>
    <row r="461" spans="1:20" ht="15" customHeight="1" x14ac:dyDescent="0.3">
      <c r="A461" s="69">
        <v>46252</v>
      </c>
      <c r="B461" s="32">
        <v>0.33333333333333298</v>
      </c>
      <c r="C461" s="33"/>
      <c r="D461" s="62"/>
      <c r="E461" s="121"/>
      <c r="F461" s="119" t="str">
        <f>IFERROR(IF($D461="","",VLOOKUP($D461,Cadastro!$C$4:$E$7,3,FALSE)),"")</f>
        <v/>
      </c>
      <c r="G461" s="114"/>
      <c r="H461" s="119" t="str">
        <f>IFERROR(IF($G461="","",$G461*$S$473/$G$473/Cadastro!$E$33),"")</f>
        <v/>
      </c>
      <c r="I461" s="132" t="str">
        <f>IFERROR(IF($D461="","",VLOOKUP($D461,Cadastro!$C$4:$G$7,5,FALSE)),"")</f>
        <v/>
      </c>
      <c r="J461" s="148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 x14ac:dyDescent="0.3">
      <c r="A462" s="68">
        <v>46252</v>
      </c>
      <c r="B462" s="25">
        <f t="shared" ref="B462:B472" si="116">B461+TIME(0,60,0)</f>
        <v>0.37499999999999967</v>
      </c>
      <c r="C462" s="33"/>
      <c r="D462" s="62"/>
      <c r="E462" s="121"/>
      <c r="F462" s="122" t="str">
        <f>IFERROR(IF($D462="","",VLOOKUP($D462,Cadastro!$C$4:$E$7,3,FALSE)),"")</f>
        <v/>
      </c>
      <c r="G462" s="114"/>
      <c r="H462" s="122" t="str">
        <f>IFERROR(IF($G462="","",$G462*$S$473/$G$473/Cadastro!$E$33),"")</f>
        <v/>
      </c>
      <c r="I462" s="129" t="str">
        <f>IFERROR(IF($D462="","",VLOOKUP($D462,Cadastro!$C$4:$G$7,5,FALSE)),"")</f>
        <v/>
      </c>
      <c r="J462" s="145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 x14ac:dyDescent="0.3">
      <c r="A463" s="69">
        <v>46252</v>
      </c>
      <c r="B463" s="32">
        <f t="shared" si="116"/>
        <v>0.41666666666666635</v>
      </c>
      <c r="C463" s="33"/>
      <c r="D463" s="62"/>
      <c r="E463" s="121"/>
      <c r="F463" s="122" t="str">
        <f>IFERROR(IF($D463="","",VLOOKUP($D463,Cadastro!$C$4:$E$7,3,FALSE)),"")</f>
        <v/>
      </c>
      <c r="G463" s="114"/>
      <c r="H463" s="122" t="str">
        <f>IFERROR(IF($G463="","",$G463*$S$473/$G$473/Cadastro!$E$33),"")</f>
        <v/>
      </c>
      <c r="I463" s="129" t="str">
        <f>IFERROR(IF($D463="","",VLOOKUP($D463,Cadastro!$C$4:$G$7,5,FALSE)),"")</f>
        <v/>
      </c>
      <c r="J463" s="145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 x14ac:dyDescent="0.3">
      <c r="A464" s="68">
        <v>46252</v>
      </c>
      <c r="B464" s="25">
        <f t="shared" si="116"/>
        <v>0.45833333333333304</v>
      </c>
      <c r="C464" s="33"/>
      <c r="D464" s="62"/>
      <c r="E464" s="121"/>
      <c r="F464" s="122" t="str">
        <f>IFERROR(IF($D464="","",VLOOKUP($D464,Cadastro!$C$4:$E$7,3,FALSE)),"")</f>
        <v/>
      </c>
      <c r="G464" s="114"/>
      <c r="H464" s="122" t="str">
        <f>IFERROR(IF($G464="","",$G464*$S$473/$G$473/Cadastro!$E$33),"")</f>
        <v/>
      </c>
      <c r="I464" s="129" t="str">
        <f>IFERROR(IF($D464="","",VLOOKUP($D464,Cadastro!$C$4:$G$7,5,FALSE)),"")</f>
        <v/>
      </c>
      <c r="J464" s="145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 x14ac:dyDescent="0.3">
      <c r="A465" s="69">
        <v>46252</v>
      </c>
      <c r="B465" s="32">
        <f t="shared" si="116"/>
        <v>0.49999999999999972</v>
      </c>
      <c r="C465" s="33"/>
      <c r="D465" s="62"/>
      <c r="E465" s="121"/>
      <c r="F465" s="122" t="str">
        <f>IFERROR(IF($D465="","",VLOOKUP($D465,Cadastro!$C$4:$E$7,3,FALSE)),"")</f>
        <v/>
      </c>
      <c r="G465" s="114"/>
      <c r="H465" s="122" t="str">
        <f>IFERROR(IF($G465="","",$G465*$S$473/$G$473/Cadastro!$E$33),"")</f>
        <v/>
      </c>
      <c r="I465" s="129" t="str">
        <f>IFERROR(IF($D465="","",VLOOKUP($D465,Cadastro!$C$4:$G$7,5,FALSE)),"")</f>
        <v/>
      </c>
      <c r="J465" s="145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 x14ac:dyDescent="0.3">
      <c r="A466" s="68">
        <v>46252</v>
      </c>
      <c r="B466" s="25">
        <f t="shared" si="116"/>
        <v>0.54166666666666641</v>
      </c>
      <c r="C466" s="33"/>
      <c r="D466" s="62"/>
      <c r="E466" s="121"/>
      <c r="F466" s="122" t="str">
        <f>IFERROR(IF($D466="","",VLOOKUP($D466,Cadastro!$C$4:$E$7,3,FALSE)),"")</f>
        <v/>
      </c>
      <c r="G466" s="114"/>
      <c r="H466" s="122" t="str">
        <f>IFERROR(IF($G466="","",$G466*$S$473/$G$473/Cadastro!$E$33),"")</f>
        <v/>
      </c>
      <c r="I466" s="129" t="str">
        <f>IFERROR(IF($D466="","",VLOOKUP($D466,Cadastro!$C$4:$G$7,5,FALSE)),"")</f>
        <v/>
      </c>
      <c r="J466" s="145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 x14ac:dyDescent="0.3">
      <c r="A467" s="69">
        <v>46252</v>
      </c>
      <c r="B467" s="32">
        <f t="shared" si="116"/>
        <v>0.58333333333333304</v>
      </c>
      <c r="C467" s="33"/>
      <c r="D467" s="62"/>
      <c r="E467" s="121"/>
      <c r="F467" s="122" t="str">
        <f>IFERROR(IF($D467="","",VLOOKUP($D467,Cadastro!$C$4:$E$7,3,FALSE)),"")</f>
        <v/>
      </c>
      <c r="G467" s="114"/>
      <c r="H467" s="122" t="str">
        <f>IFERROR(IF($G467="","",$G467*$S$473/$G$473/Cadastro!$E$33),"")</f>
        <v/>
      </c>
      <c r="I467" s="129" t="str">
        <f>IFERROR(IF($D467="","",VLOOKUP($D467,Cadastro!$C$4:$G$7,5,FALSE)),"")</f>
        <v/>
      </c>
      <c r="J467" s="145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 x14ac:dyDescent="0.3">
      <c r="A468" s="68">
        <v>46252</v>
      </c>
      <c r="B468" s="25">
        <f t="shared" si="116"/>
        <v>0.62499999999999967</v>
      </c>
      <c r="C468" s="33"/>
      <c r="D468" s="62"/>
      <c r="E468" s="121"/>
      <c r="F468" s="122" t="str">
        <f>IFERROR(IF($D468="","",VLOOKUP($D468,Cadastro!$C$4:$E$7,3,FALSE)),"")</f>
        <v/>
      </c>
      <c r="G468" s="114"/>
      <c r="H468" s="122" t="str">
        <f>IFERROR(IF($G468="","",$G468*$S$473/$G$473/Cadastro!$E$33),"")</f>
        <v/>
      </c>
      <c r="I468" s="129" t="str">
        <f>IFERROR(IF($D468="","",VLOOKUP($D468,Cadastro!$C$4:$G$7,5,FALSE)),"")</f>
        <v/>
      </c>
      <c r="J468" s="145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 x14ac:dyDescent="0.3">
      <c r="A469" s="69">
        <v>46252</v>
      </c>
      <c r="B469" s="32">
        <f t="shared" si="116"/>
        <v>0.6666666666666663</v>
      </c>
      <c r="C469" s="33"/>
      <c r="D469" s="62"/>
      <c r="E469" s="121"/>
      <c r="F469" s="122" t="str">
        <f>IFERROR(IF($D469="","",VLOOKUP($D469,Cadastro!$C$4:$E$7,3,FALSE)),"")</f>
        <v/>
      </c>
      <c r="G469" s="114"/>
      <c r="H469" s="122" t="str">
        <f>IFERROR(IF($G469="","",$G469*$S$473/$G$473/Cadastro!$E$33),"")</f>
        <v/>
      </c>
      <c r="I469" s="129" t="str">
        <f>IFERROR(IF($D469="","",VLOOKUP($D469,Cadastro!$C$4:$G$7,5,FALSE)),"")</f>
        <v/>
      </c>
      <c r="J469" s="145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 x14ac:dyDescent="0.3">
      <c r="A470" s="68">
        <v>46252</v>
      </c>
      <c r="B470" s="25">
        <f t="shared" si="116"/>
        <v>0.70833333333333293</v>
      </c>
      <c r="C470" s="33"/>
      <c r="D470" s="62"/>
      <c r="E470" s="121"/>
      <c r="F470" s="122" t="str">
        <f>IFERROR(IF($D470="","",VLOOKUP($D470,Cadastro!$C$4:$E$7,3,FALSE)),"")</f>
        <v/>
      </c>
      <c r="G470" s="114"/>
      <c r="H470" s="122" t="str">
        <f>IFERROR(IF($G470="","",$G470*$S$473/$G$473/Cadastro!$E$33),"")</f>
        <v/>
      </c>
      <c r="I470" s="129" t="str">
        <f>IFERROR(IF($D470="","",VLOOKUP($D470,Cadastro!$C$4:$G$7,5,FALSE)),"")</f>
        <v/>
      </c>
      <c r="J470" s="145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 x14ac:dyDescent="0.3">
      <c r="A471" s="69">
        <v>46252</v>
      </c>
      <c r="B471" s="32">
        <f t="shared" si="116"/>
        <v>0.74999999999999956</v>
      </c>
      <c r="C471" s="33"/>
      <c r="D471" s="62"/>
      <c r="E471" s="121"/>
      <c r="F471" s="122" t="str">
        <f>IFERROR(IF($D471="","",VLOOKUP($D471,Cadastro!$C$4:$E$7,3,FALSE)),"")</f>
        <v/>
      </c>
      <c r="G471" s="114"/>
      <c r="H471" s="122" t="str">
        <f>IFERROR(IF($G471="","",$G471*$S$473/$G$473/Cadastro!$E$33),"")</f>
        <v/>
      </c>
      <c r="I471" s="129" t="str">
        <f>IFERROR(IF($D471="","",VLOOKUP($D471,Cadastro!$C$4:$G$7,5,FALSE)),"")</f>
        <v/>
      </c>
      <c r="J471" s="145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 x14ac:dyDescent="0.35">
      <c r="A472" s="68">
        <v>46252</v>
      </c>
      <c r="B472" s="25">
        <f t="shared" si="116"/>
        <v>0.79166666666666619</v>
      </c>
      <c r="C472" s="33"/>
      <c r="D472" s="62"/>
      <c r="E472" s="121"/>
      <c r="F472" s="118" t="str">
        <f>IFERROR(IF($D472="","",VLOOKUP($D472,Cadastro!$C$4:$E$7,3,FALSE)),"")</f>
        <v/>
      </c>
      <c r="G472" s="114"/>
      <c r="H472" s="118" t="str">
        <f>IFERROR(IF($G472="","",$G472*$S$473/$G$473/Cadastro!$E$33),"")</f>
        <v/>
      </c>
      <c r="I472" s="130" t="str">
        <f>IFERROR(IF($D472="","",VLOOKUP($D472,Cadastro!$C$4:$G$7,5,FALSE)),"")</f>
        <v/>
      </c>
      <c r="J472" s="146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 x14ac:dyDescent="0.35">
      <c r="A473" s="168" t="s">
        <v>231</v>
      </c>
      <c r="B473" s="169"/>
      <c r="C473" s="169"/>
      <c r="D473" s="169"/>
      <c r="E473" s="169">
        <f>SUM(E461:E472)</f>
        <v>0</v>
      </c>
      <c r="F473" s="123"/>
      <c r="G473" s="88">
        <f>SUM(G461:G472)</f>
        <v>0</v>
      </c>
      <c r="H473" s="123">
        <f>IFERROR(SUM(H461:H472),"")</f>
        <v>0</v>
      </c>
      <c r="I473" s="131"/>
      <c r="J473" s="147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232</v>
      </c>
      <c r="S473" s="39"/>
      <c r="T473" s="141">
        <f>IFERROR(J473,"")</f>
        <v>0</v>
      </c>
    </row>
    <row r="474" spans="1:20" ht="15" customHeight="1" x14ac:dyDescent="0.3">
      <c r="A474" s="68">
        <v>46252</v>
      </c>
      <c r="B474" s="25">
        <v>0.83333333333333304</v>
      </c>
      <c r="C474" s="26"/>
      <c r="D474" s="59"/>
      <c r="E474" s="120"/>
      <c r="F474" s="119" t="str">
        <f>IFERROR(IF($D474="","",VLOOKUP($D474,Cadastro!$C$4:$E$7,3,FALSE)),"")</f>
        <v/>
      </c>
      <c r="G474" s="114"/>
      <c r="H474" s="119" t="str">
        <f>IFERROR(IF($G474="","",$G474*$S$486/$G$486/Cadastro!$E$33),"")</f>
        <v/>
      </c>
      <c r="I474" s="132" t="str">
        <f>IFERROR(IF($D474="","",VLOOKUP($D474,Cadastro!$C$4:$G$7,5,FALSE)),"")</f>
        <v/>
      </c>
      <c r="J474" s="148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 x14ac:dyDescent="0.3">
      <c r="A475" s="69">
        <v>46252</v>
      </c>
      <c r="B475" s="32">
        <f t="shared" ref="B475:B485" si="120">B474+TIME(0,60,0)</f>
        <v>0.87499999999999967</v>
      </c>
      <c r="C475" s="26"/>
      <c r="D475" s="59"/>
      <c r="E475" s="120"/>
      <c r="F475" s="122" t="str">
        <f>IFERROR(IF($D475="","",VLOOKUP($D475,Cadastro!$C$4:$E$7,3,FALSE)),"")</f>
        <v/>
      </c>
      <c r="G475" s="114"/>
      <c r="H475" s="122" t="str">
        <f>IFERROR(IF($G475="","",$G475*$S$486/$G$486/Cadastro!$E$33),"")</f>
        <v/>
      </c>
      <c r="I475" s="129" t="str">
        <f>IFERROR(IF($D475="","",VLOOKUP($D475,Cadastro!$C$4:$G$7,5,FALSE)),"")</f>
        <v/>
      </c>
      <c r="J475" s="145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 x14ac:dyDescent="0.3">
      <c r="A476" s="68">
        <v>46252</v>
      </c>
      <c r="B476" s="25">
        <f t="shared" si="120"/>
        <v>0.9166666666666663</v>
      </c>
      <c r="C476" s="26"/>
      <c r="D476" s="59"/>
      <c r="E476" s="120"/>
      <c r="F476" s="122" t="str">
        <f>IFERROR(IF($D476="","",VLOOKUP($D476,Cadastro!$C$4:$E$7,3,FALSE)),"")</f>
        <v/>
      </c>
      <c r="G476" s="114"/>
      <c r="H476" s="122" t="str">
        <f>IFERROR(IF($G476="","",$G476*$S$486/$G$486/Cadastro!$E$33),"")</f>
        <v/>
      </c>
      <c r="I476" s="129" t="str">
        <f>IFERROR(IF($D476="","",VLOOKUP($D476,Cadastro!$C$4:$G$7,5,FALSE)),"")</f>
        <v/>
      </c>
      <c r="J476" s="145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 x14ac:dyDescent="0.3">
      <c r="A477" s="69">
        <v>46252</v>
      </c>
      <c r="B477" s="32">
        <f t="shared" si="120"/>
        <v>0.95833333333333293</v>
      </c>
      <c r="C477" s="26"/>
      <c r="D477" s="59"/>
      <c r="E477" s="120"/>
      <c r="F477" s="122" t="str">
        <f>IFERROR(IF($D477="","",VLOOKUP($D477,Cadastro!$C$4:$E$7,3,FALSE)),"")</f>
        <v/>
      </c>
      <c r="G477" s="114"/>
      <c r="H477" s="122" t="str">
        <f>IFERROR(IF($G477="","",$G477*$S$486/$G$486/Cadastro!$E$33),"")</f>
        <v/>
      </c>
      <c r="I477" s="129" t="str">
        <f>IFERROR(IF($D477="","",VLOOKUP($D477,Cadastro!$C$4:$G$7,5,FALSE)),"")</f>
        <v/>
      </c>
      <c r="J477" s="145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 x14ac:dyDescent="0.3">
      <c r="A478" s="68">
        <v>46252</v>
      </c>
      <c r="B478" s="25">
        <f t="shared" si="120"/>
        <v>0.99999999999999956</v>
      </c>
      <c r="C478" s="26"/>
      <c r="D478" s="59"/>
      <c r="E478" s="120"/>
      <c r="F478" s="122" t="str">
        <f>IFERROR(IF($D478="","",VLOOKUP($D478,Cadastro!$C$4:$E$7,3,FALSE)),"")</f>
        <v/>
      </c>
      <c r="G478" s="114"/>
      <c r="H478" s="122" t="str">
        <f>IFERROR(IF($G478="","",$G478*$S$486/$G$486/Cadastro!$E$33),"")</f>
        <v/>
      </c>
      <c r="I478" s="129" t="str">
        <f>IFERROR(IF($D478="","",VLOOKUP($D478,Cadastro!$C$4:$G$7,5,FALSE)),"")</f>
        <v/>
      </c>
      <c r="J478" s="145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 x14ac:dyDescent="0.3">
      <c r="A479" s="69">
        <v>46252</v>
      </c>
      <c r="B479" s="32">
        <f t="shared" si="120"/>
        <v>1.0416666666666663</v>
      </c>
      <c r="C479" s="26"/>
      <c r="D479" s="59"/>
      <c r="E479" s="120"/>
      <c r="F479" s="122" t="str">
        <f>IFERROR(IF($D479="","",VLOOKUP($D479,Cadastro!$C$4:$E$7,3,FALSE)),"")</f>
        <v/>
      </c>
      <c r="G479" s="114"/>
      <c r="H479" s="122" t="str">
        <f>IFERROR(IF($G479="","",$G479*$S$486/$G$486/Cadastro!$E$33),"")</f>
        <v/>
      </c>
      <c r="I479" s="129" t="str">
        <f>IFERROR(IF($D479="","",VLOOKUP($D479,Cadastro!$C$4:$G$7,5,FALSE)),"")</f>
        <v/>
      </c>
      <c r="J479" s="145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 x14ac:dyDescent="0.3">
      <c r="A480" s="68">
        <v>46252</v>
      </c>
      <c r="B480" s="25">
        <f t="shared" si="120"/>
        <v>1.083333333333333</v>
      </c>
      <c r="C480" s="26"/>
      <c r="D480" s="59"/>
      <c r="E480" s="120"/>
      <c r="F480" s="122" t="str">
        <f>IFERROR(IF($D480="","",VLOOKUP($D480,Cadastro!$C$4:$E$7,3,FALSE)),"")</f>
        <v/>
      </c>
      <c r="G480" s="114"/>
      <c r="H480" s="122" t="str">
        <f>IFERROR(IF($G480="","",$G480*$S$486/$G$486/Cadastro!$E$33),"")</f>
        <v/>
      </c>
      <c r="I480" s="129" t="str">
        <f>IFERROR(IF($D480="","",VLOOKUP($D480,Cadastro!$C$4:$G$7,5,FALSE)),"")</f>
        <v/>
      </c>
      <c r="J480" s="145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 x14ac:dyDescent="0.3">
      <c r="A481" s="69">
        <v>46252</v>
      </c>
      <c r="B481" s="32">
        <f t="shared" si="120"/>
        <v>1.1249999999999998</v>
      </c>
      <c r="C481" s="26"/>
      <c r="D481" s="59"/>
      <c r="E481" s="120"/>
      <c r="F481" s="122" t="str">
        <f>IFERROR(IF($D481="","",VLOOKUP($D481,Cadastro!$C$4:$E$7,3,FALSE)),"")</f>
        <v/>
      </c>
      <c r="G481" s="114"/>
      <c r="H481" s="122" t="str">
        <f>IFERROR(IF($G481="","",$G481*$S$486/$G$486/Cadastro!$E$33),"")</f>
        <v/>
      </c>
      <c r="I481" s="129" t="str">
        <f>IFERROR(IF($D481="","",VLOOKUP($D481,Cadastro!$C$4:$G$7,5,FALSE)),"")</f>
        <v/>
      </c>
      <c r="J481" s="145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 x14ac:dyDescent="0.3">
      <c r="A482" s="68">
        <v>46252</v>
      </c>
      <c r="B482" s="25">
        <f t="shared" si="120"/>
        <v>1.1666666666666665</v>
      </c>
      <c r="C482" s="26"/>
      <c r="D482" s="59"/>
      <c r="E482" s="120"/>
      <c r="F482" s="122" t="str">
        <f>IFERROR(IF($D482="","",VLOOKUP($D482,Cadastro!$C$4:$E$7,3,FALSE)),"")</f>
        <v/>
      </c>
      <c r="G482" s="114"/>
      <c r="H482" s="122" t="str">
        <f>IFERROR(IF($G482="","",$G482*$S$486/$G$486/Cadastro!$E$33),"")</f>
        <v/>
      </c>
      <c r="I482" s="129" t="str">
        <f>IFERROR(IF($D482="","",VLOOKUP($D482,Cadastro!$C$4:$G$7,5,FALSE)),"")</f>
        <v/>
      </c>
      <c r="J482" s="145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 x14ac:dyDescent="0.3">
      <c r="A483" s="69">
        <v>46252</v>
      </c>
      <c r="B483" s="32">
        <f t="shared" si="120"/>
        <v>1.2083333333333333</v>
      </c>
      <c r="C483" s="26"/>
      <c r="D483" s="59"/>
      <c r="E483" s="120"/>
      <c r="F483" s="122" t="str">
        <f>IFERROR(IF($D483="","",VLOOKUP($D483,Cadastro!$C$4:$E$7,3,FALSE)),"")</f>
        <v/>
      </c>
      <c r="G483" s="114"/>
      <c r="H483" s="122" t="str">
        <f>IFERROR(IF($G483="","",$G483*$S$486/$G$486/Cadastro!$E$33),"")</f>
        <v/>
      </c>
      <c r="I483" s="129" t="str">
        <f>IFERROR(IF($D483="","",VLOOKUP($D483,Cadastro!$C$4:$G$7,5,FALSE)),"")</f>
        <v/>
      </c>
      <c r="J483" s="145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 x14ac:dyDescent="0.3">
      <c r="A484" s="68">
        <v>46252</v>
      </c>
      <c r="B484" s="25">
        <f t="shared" si="120"/>
        <v>1.25</v>
      </c>
      <c r="C484" s="26"/>
      <c r="D484" s="59"/>
      <c r="E484" s="120"/>
      <c r="F484" s="122" t="str">
        <f>IFERROR(IF($D484="","",VLOOKUP($D484,Cadastro!$C$4:$E$7,3,FALSE)),"")</f>
        <v/>
      </c>
      <c r="G484" s="114"/>
      <c r="H484" s="122" t="str">
        <f>IFERROR(IF($G484="","",$G484*$S$486/$G$486/Cadastro!$E$33),"")</f>
        <v/>
      </c>
      <c r="I484" s="129" t="str">
        <f>IFERROR(IF($D484="","",VLOOKUP($D484,Cadastro!$C$4:$G$7,5,FALSE)),"")</f>
        <v/>
      </c>
      <c r="J484" s="145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 x14ac:dyDescent="0.35">
      <c r="A485" s="69">
        <v>46252</v>
      </c>
      <c r="B485" s="32">
        <f t="shared" si="120"/>
        <v>1.2916666666666667</v>
      </c>
      <c r="C485" s="26"/>
      <c r="D485" s="59"/>
      <c r="E485" s="120"/>
      <c r="F485" s="118" t="str">
        <f>IFERROR(IF($D485="","",VLOOKUP($D485,Cadastro!$C$4:$E$7,3,FALSE)),"")</f>
        <v/>
      </c>
      <c r="G485" s="114"/>
      <c r="H485" s="118" t="str">
        <f>IFERROR(IF($G485="","",$G485*$S$486/$G$486/Cadastro!$E$33),"")</f>
        <v/>
      </c>
      <c r="I485" s="130" t="str">
        <f>IFERROR(IF($D485="","",VLOOKUP($D485,Cadastro!$C$4:$G$7,5,FALSE)),"")</f>
        <v/>
      </c>
      <c r="J485" s="146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 x14ac:dyDescent="0.35">
      <c r="A486" s="168" t="s">
        <v>234</v>
      </c>
      <c r="B486" s="169"/>
      <c r="C486" s="169"/>
      <c r="D486" s="169"/>
      <c r="E486" s="169">
        <f>SUM(E474:E485)</f>
        <v>0</v>
      </c>
      <c r="F486" s="124"/>
      <c r="G486" s="88">
        <f>SUM(G474:G485)</f>
        <v>0</v>
      </c>
      <c r="H486" s="124">
        <f>IFERROR(SUM(H474:H485),"")</f>
        <v>0</v>
      </c>
      <c r="I486" s="133"/>
      <c r="J486" s="149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232</v>
      </c>
      <c r="S486" s="39"/>
      <c r="T486" s="141">
        <f>IFERROR(J486,"")</f>
        <v>0</v>
      </c>
    </row>
    <row r="487" spans="1:20" ht="18" customHeight="1" x14ac:dyDescent="0.3">
      <c r="A487" s="165" t="s">
        <v>235</v>
      </c>
      <c r="B487" s="166"/>
      <c r="C487" s="166"/>
      <c r="D487" s="166"/>
      <c r="E487" s="166">
        <f>E473+E486</f>
        <v>0</v>
      </c>
      <c r="F487" s="125"/>
      <c r="G487" s="100">
        <f>G473+G486</f>
        <v>0</v>
      </c>
      <c r="H487" s="125">
        <f>IFERROR(H473+H486,"")</f>
        <v>0</v>
      </c>
      <c r="I487" s="134"/>
      <c r="J487" s="150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236</v>
      </c>
      <c r="S487" s="48">
        <f>IFERROR(S473+S486,"")</f>
        <v>0</v>
      </c>
      <c r="T487" s="143">
        <f>IFERROR(J487,"")</f>
        <v>0</v>
      </c>
    </row>
    <row r="488" spans="1:20" ht="15" customHeight="1" x14ac:dyDescent="0.3">
      <c r="A488" s="68">
        <v>46253</v>
      </c>
      <c r="B488" s="25">
        <v>0.33333333333333298</v>
      </c>
      <c r="C488" s="26"/>
      <c r="D488" s="59"/>
      <c r="E488" s="120"/>
      <c r="F488" s="119" t="str">
        <f>IFERROR(IF($D488="","",VLOOKUP($D488,Cadastro!$C$4:$E$7,3,FALSE)),"")</f>
        <v/>
      </c>
      <c r="G488" s="114"/>
      <c r="H488" s="119" t="str">
        <f>IFERROR(IF($G488="","",$G488*$S$500/$G$500/Cadastro!$E$33),"")</f>
        <v/>
      </c>
      <c r="I488" s="132" t="str">
        <f>IFERROR(IF($D488="","",VLOOKUP($D488,Cadastro!$C$4:$G$7,5,FALSE)),"")</f>
        <v/>
      </c>
      <c r="J488" s="148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9">
        <v>46253</v>
      </c>
      <c r="B489" s="32">
        <f t="shared" ref="B489:B499" si="124">B488+TIME(0,60,0)</f>
        <v>0.37499999999999967</v>
      </c>
      <c r="C489" s="26"/>
      <c r="D489" s="59"/>
      <c r="E489" s="120"/>
      <c r="F489" s="122" t="str">
        <f>IFERROR(IF($D489="","",VLOOKUP($D489,Cadastro!$C$4:$E$7,3,FALSE)),"")</f>
        <v/>
      </c>
      <c r="G489" s="114"/>
      <c r="H489" s="122" t="str">
        <f>IFERROR(IF($G489="","",$G489*$S$500/$G$500/Cadastro!$E$33),"")</f>
        <v/>
      </c>
      <c r="I489" s="129" t="str">
        <f>IFERROR(IF($D489="","",VLOOKUP($D489,Cadastro!$C$4:$G$7,5,FALSE)),"")</f>
        <v/>
      </c>
      <c r="J489" s="145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 x14ac:dyDescent="0.3">
      <c r="A490" s="68">
        <v>46253</v>
      </c>
      <c r="B490" s="25">
        <f t="shared" si="124"/>
        <v>0.41666666666666635</v>
      </c>
      <c r="C490" s="26"/>
      <c r="D490" s="59"/>
      <c r="E490" s="120"/>
      <c r="F490" s="122" t="str">
        <f>IFERROR(IF($D490="","",VLOOKUP($D490,Cadastro!$C$4:$E$7,3,FALSE)),"")</f>
        <v/>
      </c>
      <c r="G490" s="114"/>
      <c r="H490" s="122" t="str">
        <f>IFERROR(IF($G490="","",$G490*$S$500/$G$500/Cadastro!$E$33),"")</f>
        <v/>
      </c>
      <c r="I490" s="129" t="str">
        <f>IFERROR(IF($D490="","",VLOOKUP($D490,Cadastro!$C$4:$G$7,5,FALSE)),"")</f>
        <v/>
      </c>
      <c r="J490" s="145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 x14ac:dyDescent="0.3">
      <c r="A491" s="69">
        <v>46253</v>
      </c>
      <c r="B491" s="32">
        <f t="shared" si="124"/>
        <v>0.45833333333333304</v>
      </c>
      <c r="C491" s="26"/>
      <c r="D491" s="59"/>
      <c r="E491" s="120"/>
      <c r="F491" s="122" t="str">
        <f>IFERROR(IF($D491="","",VLOOKUP($D491,Cadastro!$C$4:$E$7,3,FALSE)),"")</f>
        <v/>
      </c>
      <c r="G491" s="114"/>
      <c r="H491" s="122" t="str">
        <f>IFERROR(IF($G491="","",$G491*$S$500/$G$500/Cadastro!$E$33),"")</f>
        <v/>
      </c>
      <c r="I491" s="129" t="str">
        <f>IFERROR(IF($D491="","",VLOOKUP($D491,Cadastro!$C$4:$G$7,5,FALSE)),"")</f>
        <v/>
      </c>
      <c r="J491" s="145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 x14ac:dyDescent="0.3">
      <c r="A492" s="68">
        <v>46253</v>
      </c>
      <c r="B492" s="25">
        <f t="shared" si="124"/>
        <v>0.49999999999999972</v>
      </c>
      <c r="C492" s="26"/>
      <c r="D492" s="59"/>
      <c r="E492" s="120"/>
      <c r="F492" s="122" t="str">
        <f>IFERROR(IF($D492="","",VLOOKUP($D492,Cadastro!$C$4:$E$7,3,FALSE)),"")</f>
        <v/>
      </c>
      <c r="G492" s="114"/>
      <c r="H492" s="122" t="str">
        <f>IFERROR(IF($G492="","",$G492*$S$500/$G$500/Cadastro!$E$33),"")</f>
        <v/>
      </c>
      <c r="I492" s="129" t="str">
        <f>IFERROR(IF($D492="","",VLOOKUP($D492,Cadastro!$C$4:$G$7,5,FALSE)),"")</f>
        <v/>
      </c>
      <c r="J492" s="145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 x14ac:dyDescent="0.3">
      <c r="A493" s="69">
        <v>46253</v>
      </c>
      <c r="B493" s="32">
        <f t="shared" si="124"/>
        <v>0.54166666666666641</v>
      </c>
      <c r="C493" s="26"/>
      <c r="D493" s="59"/>
      <c r="E493" s="120"/>
      <c r="F493" s="122" t="str">
        <f>IFERROR(IF($D493="","",VLOOKUP($D493,Cadastro!$C$4:$E$7,3,FALSE)),"")</f>
        <v/>
      </c>
      <c r="G493" s="114"/>
      <c r="H493" s="122" t="str">
        <f>IFERROR(IF($G493="","",$G493*$S$500/$G$500/Cadastro!$E$33),"")</f>
        <v/>
      </c>
      <c r="I493" s="129" t="str">
        <f>IFERROR(IF($D493="","",VLOOKUP($D493,Cadastro!$C$4:$G$7,5,FALSE)),"")</f>
        <v/>
      </c>
      <c r="J493" s="145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 x14ac:dyDescent="0.3">
      <c r="A494" s="68">
        <v>46253</v>
      </c>
      <c r="B494" s="25">
        <f t="shared" si="124"/>
        <v>0.58333333333333304</v>
      </c>
      <c r="C494" s="26"/>
      <c r="D494" s="59"/>
      <c r="E494" s="120"/>
      <c r="F494" s="122" t="str">
        <f>IFERROR(IF($D494="","",VLOOKUP($D494,Cadastro!$C$4:$E$7,3,FALSE)),"")</f>
        <v/>
      </c>
      <c r="G494" s="114"/>
      <c r="H494" s="122" t="str">
        <f>IFERROR(IF($G494="","",$G494*$S$500/$G$500/Cadastro!$E$33),"")</f>
        <v/>
      </c>
      <c r="I494" s="129" t="str">
        <f>IFERROR(IF($D494="","",VLOOKUP($D494,Cadastro!$C$4:$G$7,5,FALSE)),"")</f>
        <v/>
      </c>
      <c r="J494" s="145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 x14ac:dyDescent="0.3">
      <c r="A495" s="69">
        <v>46253</v>
      </c>
      <c r="B495" s="32">
        <f t="shared" si="124"/>
        <v>0.62499999999999967</v>
      </c>
      <c r="C495" s="26"/>
      <c r="D495" s="59"/>
      <c r="E495" s="120"/>
      <c r="F495" s="122" t="str">
        <f>IFERROR(IF($D495="","",VLOOKUP($D495,Cadastro!$C$4:$E$7,3,FALSE)),"")</f>
        <v/>
      </c>
      <c r="G495" s="114"/>
      <c r="H495" s="122" t="str">
        <f>IFERROR(IF($G495="","",$G495*$S$500/$G$500/Cadastro!$E$33),"")</f>
        <v/>
      </c>
      <c r="I495" s="129" t="str">
        <f>IFERROR(IF($D495="","",VLOOKUP($D495,Cadastro!$C$4:$G$7,5,FALSE)),"")</f>
        <v/>
      </c>
      <c r="J495" s="145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 x14ac:dyDescent="0.3">
      <c r="A496" s="68">
        <v>46253</v>
      </c>
      <c r="B496" s="25">
        <f t="shared" si="124"/>
        <v>0.6666666666666663</v>
      </c>
      <c r="C496" s="26"/>
      <c r="D496" s="59"/>
      <c r="E496" s="120"/>
      <c r="F496" s="122" t="str">
        <f>IFERROR(IF($D496="","",VLOOKUP($D496,Cadastro!$C$4:$E$7,3,FALSE)),"")</f>
        <v/>
      </c>
      <c r="G496" s="114"/>
      <c r="H496" s="122" t="str">
        <f>IFERROR(IF($G496="","",$G496*$S$500/$G$500/Cadastro!$E$33),"")</f>
        <v/>
      </c>
      <c r="I496" s="129" t="str">
        <f>IFERROR(IF($D496="","",VLOOKUP($D496,Cadastro!$C$4:$G$7,5,FALSE)),"")</f>
        <v/>
      </c>
      <c r="J496" s="145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 x14ac:dyDescent="0.3">
      <c r="A497" s="69">
        <v>46253</v>
      </c>
      <c r="B497" s="32">
        <f t="shared" si="124"/>
        <v>0.70833333333333293</v>
      </c>
      <c r="C497" s="26"/>
      <c r="D497" s="59"/>
      <c r="E497" s="120"/>
      <c r="F497" s="122" t="str">
        <f>IFERROR(IF($D497="","",VLOOKUP($D497,Cadastro!$C$4:$E$7,3,FALSE)),"")</f>
        <v/>
      </c>
      <c r="G497" s="114"/>
      <c r="H497" s="122" t="str">
        <f>IFERROR(IF($G497="","",$G497*$S$500/$G$500/Cadastro!$E$33),"")</f>
        <v/>
      </c>
      <c r="I497" s="129" t="str">
        <f>IFERROR(IF($D497="","",VLOOKUP($D497,Cadastro!$C$4:$G$7,5,FALSE)),"")</f>
        <v/>
      </c>
      <c r="J497" s="145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 x14ac:dyDescent="0.3">
      <c r="A498" s="68">
        <v>46253</v>
      </c>
      <c r="B498" s="25">
        <f t="shared" si="124"/>
        <v>0.74999999999999956</v>
      </c>
      <c r="C498" s="26"/>
      <c r="D498" s="59"/>
      <c r="E498" s="120"/>
      <c r="F498" s="122" t="str">
        <f>IFERROR(IF($D498="","",VLOOKUP($D498,Cadastro!$C$4:$E$7,3,FALSE)),"")</f>
        <v/>
      </c>
      <c r="G498" s="114"/>
      <c r="H498" s="122" t="str">
        <f>IFERROR(IF($G498="","",$G498*$S$500/$G$500/Cadastro!$E$33),"")</f>
        <v/>
      </c>
      <c r="I498" s="129" t="str">
        <f>IFERROR(IF($D498="","",VLOOKUP($D498,Cadastro!$C$4:$G$7,5,FALSE)),"")</f>
        <v/>
      </c>
      <c r="J498" s="145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 x14ac:dyDescent="0.35">
      <c r="A499" s="69">
        <v>46253</v>
      </c>
      <c r="B499" s="32">
        <f t="shared" si="124"/>
        <v>0.79166666666666619</v>
      </c>
      <c r="C499" s="26"/>
      <c r="D499" s="59"/>
      <c r="E499" s="120"/>
      <c r="F499" s="118" t="str">
        <f>IFERROR(IF($D499="","",VLOOKUP($D499,Cadastro!$C$4:$E$7,3,FALSE)),"")</f>
        <v/>
      </c>
      <c r="G499" s="114"/>
      <c r="H499" s="118" t="str">
        <f>IFERROR(IF($G499="","",$G499*$S$500/$G$500/Cadastro!$E$33),"")</f>
        <v/>
      </c>
      <c r="I499" s="130" t="str">
        <f>IFERROR(IF($D499="","",VLOOKUP($D499,Cadastro!$C$4:$G$7,5,FALSE)),"")</f>
        <v/>
      </c>
      <c r="J499" s="146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 x14ac:dyDescent="0.35">
      <c r="A500" s="168" t="s">
        <v>231</v>
      </c>
      <c r="B500" s="169"/>
      <c r="C500" s="169"/>
      <c r="D500" s="169"/>
      <c r="E500" s="169">
        <f>SUM(E488:E499)</f>
        <v>0</v>
      </c>
      <c r="F500" s="123"/>
      <c r="G500" s="88">
        <f>SUM(G488:G499)</f>
        <v>0</v>
      </c>
      <c r="H500" s="123">
        <f>IFERROR(SUM(H488:H499),"")</f>
        <v>0</v>
      </c>
      <c r="I500" s="131"/>
      <c r="J500" s="147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232</v>
      </c>
      <c r="S500" s="39"/>
      <c r="T500" s="141">
        <f>IFERROR(J500,"")</f>
        <v>0</v>
      </c>
    </row>
    <row r="501" spans="1:20" ht="15" customHeight="1" x14ac:dyDescent="0.3">
      <c r="A501" s="69">
        <v>46253</v>
      </c>
      <c r="B501" s="32">
        <v>0.83333333333333304</v>
      </c>
      <c r="C501" s="33"/>
      <c r="D501" s="62"/>
      <c r="E501" s="121"/>
      <c r="F501" s="119" t="str">
        <f>IFERROR(IF($D501="","",VLOOKUP($D501,Cadastro!$C$4:$E$7,3,FALSE)),"")</f>
        <v/>
      </c>
      <c r="G501" s="114"/>
      <c r="H501" s="119" t="str">
        <f>IFERROR(IF($G501="","",$G501*$S$513/$G$513/Cadastro!$E$33),"")</f>
        <v/>
      </c>
      <c r="I501" s="132" t="str">
        <f>IFERROR(IF($D501="","",VLOOKUP($D501,Cadastro!$C$4:$G$7,5,FALSE)),"")</f>
        <v/>
      </c>
      <c r="J501" s="148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8">
        <v>46253</v>
      </c>
      <c r="B502" s="25">
        <f t="shared" ref="B502:B512" si="128">B501+TIME(0,60,0)</f>
        <v>0.87499999999999967</v>
      </c>
      <c r="C502" s="33"/>
      <c r="D502" s="62"/>
      <c r="E502" s="121"/>
      <c r="F502" s="122" t="str">
        <f>IFERROR(IF($D502="","",VLOOKUP($D502,Cadastro!$C$4:$E$7,3,FALSE)),"")</f>
        <v/>
      </c>
      <c r="G502" s="114"/>
      <c r="H502" s="122" t="str">
        <f>IFERROR(IF($G502="","",$G502*$S$513/$G$513/Cadastro!$E$33),"")</f>
        <v/>
      </c>
      <c r="I502" s="129" t="str">
        <f>IFERROR(IF($D502="","",VLOOKUP($D502,Cadastro!$C$4:$G$7,5,FALSE)),"")</f>
        <v/>
      </c>
      <c r="J502" s="145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 x14ac:dyDescent="0.3">
      <c r="A503" s="69">
        <v>46253</v>
      </c>
      <c r="B503" s="32">
        <f t="shared" si="128"/>
        <v>0.9166666666666663</v>
      </c>
      <c r="C503" s="33"/>
      <c r="D503" s="62"/>
      <c r="E503" s="121"/>
      <c r="F503" s="122" t="str">
        <f>IFERROR(IF($D503="","",VLOOKUP($D503,Cadastro!$C$4:$E$7,3,FALSE)),"")</f>
        <v/>
      </c>
      <c r="G503" s="114"/>
      <c r="H503" s="122" t="str">
        <f>IFERROR(IF($G503="","",$G503*$S$513/$G$513/Cadastro!$E$33),"")</f>
        <v/>
      </c>
      <c r="I503" s="129" t="str">
        <f>IFERROR(IF($D503="","",VLOOKUP($D503,Cadastro!$C$4:$G$7,5,FALSE)),"")</f>
        <v/>
      </c>
      <c r="J503" s="145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 x14ac:dyDescent="0.3">
      <c r="A504" s="68">
        <v>46253</v>
      </c>
      <c r="B504" s="25">
        <f t="shared" si="128"/>
        <v>0.95833333333333293</v>
      </c>
      <c r="C504" s="33"/>
      <c r="D504" s="62"/>
      <c r="E504" s="121"/>
      <c r="F504" s="122" t="str">
        <f>IFERROR(IF($D504="","",VLOOKUP($D504,Cadastro!$C$4:$E$7,3,FALSE)),"")</f>
        <v/>
      </c>
      <c r="G504" s="114"/>
      <c r="H504" s="122" t="str">
        <f>IFERROR(IF($G504="","",$G504*$S$513/$G$513/Cadastro!$E$33),"")</f>
        <v/>
      </c>
      <c r="I504" s="129" t="str">
        <f>IFERROR(IF($D504="","",VLOOKUP($D504,Cadastro!$C$4:$G$7,5,FALSE)),"")</f>
        <v/>
      </c>
      <c r="J504" s="145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 x14ac:dyDescent="0.3">
      <c r="A505" s="69">
        <v>46253</v>
      </c>
      <c r="B505" s="32">
        <f t="shared" si="128"/>
        <v>0.99999999999999956</v>
      </c>
      <c r="C505" s="33"/>
      <c r="D505" s="62"/>
      <c r="E505" s="121"/>
      <c r="F505" s="122" t="str">
        <f>IFERROR(IF($D505="","",VLOOKUP($D505,Cadastro!$C$4:$E$7,3,FALSE)),"")</f>
        <v/>
      </c>
      <c r="G505" s="114"/>
      <c r="H505" s="122" t="str">
        <f>IFERROR(IF($G505="","",$G505*$S$513/$G$513/Cadastro!$E$33),"")</f>
        <v/>
      </c>
      <c r="I505" s="129" t="str">
        <f>IFERROR(IF($D505="","",VLOOKUP($D505,Cadastro!$C$4:$G$7,5,FALSE)),"")</f>
        <v/>
      </c>
      <c r="J505" s="145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 x14ac:dyDescent="0.3">
      <c r="A506" s="68">
        <v>46253</v>
      </c>
      <c r="B506" s="25">
        <f t="shared" si="128"/>
        <v>1.0416666666666663</v>
      </c>
      <c r="C506" s="33"/>
      <c r="D506" s="62"/>
      <c r="E506" s="121"/>
      <c r="F506" s="122" t="str">
        <f>IFERROR(IF($D506="","",VLOOKUP($D506,Cadastro!$C$4:$E$7,3,FALSE)),"")</f>
        <v/>
      </c>
      <c r="G506" s="114"/>
      <c r="H506" s="122" t="str">
        <f>IFERROR(IF($G506="","",$G506*$S$513/$G$513/Cadastro!$E$33),"")</f>
        <v/>
      </c>
      <c r="I506" s="129" t="str">
        <f>IFERROR(IF($D506="","",VLOOKUP($D506,Cadastro!$C$4:$G$7,5,FALSE)),"")</f>
        <v/>
      </c>
      <c r="J506" s="145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 x14ac:dyDescent="0.3">
      <c r="A507" s="69">
        <v>46253</v>
      </c>
      <c r="B507" s="32">
        <f t="shared" si="128"/>
        <v>1.083333333333333</v>
      </c>
      <c r="C507" s="33"/>
      <c r="D507" s="62"/>
      <c r="E507" s="121"/>
      <c r="F507" s="122" t="str">
        <f>IFERROR(IF($D507="","",VLOOKUP($D507,Cadastro!$C$4:$E$7,3,FALSE)),"")</f>
        <v/>
      </c>
      <c r="G507" s="114"/>
      <c r="H507" s="122" t="str">
        <f>IFERROR(IF($G507="","",$G507*$S$513/$G$513/Cadastro!$E$33),"")</f>
        <v/>
      </c>
      <c r="I507" s="129" t="str">
        <f>IFERROR(IF($D507="","",VLOOKUP($D507,Cadastro!$C$4:$G$7,5,FALSE)),"")</f>
        <v/>
      </c>
      <c r="J507" s="145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 x14ac:dyDescent="0.3">
      <c r="A508" s="68">
        <v>46253</v>
      </c>
      <c r="B508" s="25">
        <f t="shared" si="128"/>
        <v>1.1249999999999998</v>
      </c>
      <c r="C508" s="33"/>
      <c r="D508" s="62"/>
      <c r="E508" s="121"/>
      <c r="F508" s="122" t="str">
        <f>IFERROR(IF($D508="","",VLOOKUP($D508,Cadastro!$C$4:$E$7,3,FALSE)),"")</f>
        <v/>
      </c>
      <c r="G508" s="114"/>
      <c r="H508" s="122" t="str">
        <f>IFERROR(IF($G508="","",$G508*$S$513/$G$513/Cadastro!$E$33),"")</f>
        <v/>
      </c>
      <c r="I508" s="129" t="str">
        <f>IFERROR(IF($D508="","",VLOOKUP($D508,Cadastro!$C$4:$G$7,5,FALSE)),"")</f>
        <v/>
      </c>
      <c r="J508" s="145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 x14ac:dyDescent="0.3">
      <c r="A509" s="69">
        <v>46253</v>
      </c>
      <c r="B509" s="32">
        <f t="shared" si="128"/>
        <v>1.1666666666666665</v>
      </c>
      <c r="C509" s="33"/>
      <c r="D509" s="62"/>
      <c r="E509" s="121"/>
      <c r="F509" s="122" t="str">
        <f>IFERROR(IF($D509="","",VLOOKUP($D509,Cadastro!$C$4:$E$7,3,FALSE)),"")</f>
        <v/>
      </c>
      <c r="G509" s="114"/>
      <c r="H509" s="122" t="str">
        <f>IFERROR(IF($G509="","",$G509*$S$513/$G$513/Cadastro!$E$33),"")</f>
        <v/>
      </c>
      <c r="I509" s="129" t="str">
        <f>IFERROR(IF($D509="","",VLOOKUP($D509,Cadastro!$C$4:$G$7,5,FALSE)),"")</f>
        <v/>
      </c>
      <c r="J509" s="145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 x14ac:dyDescent="0.3">
      <c r="A510" s="68">
        <v>46253</v>
      </c>
      <c r="B510" s="25">
        <f t="shared" si="128"/>
        <v>1.2083333333333333</v>
      </c>
      <c r="C510" s="33"/>
      <c r="D510" s="62"/>
      <c r="E510" s="121"/>
      <c r="F510" s="122" t="str">
        <f>IFERROR(IF($D510="","",VLOOKUP($D510,Cadastro!$C$4:$E$7,3,FALSE)),"")</f>
        <v/>
      </c>
      <c r="G510" s="114"/>
      <c r="H510" s="122" t="str">
        <f>IFERROR(IF($G510="","",$G510*$S$513/$G$513/Cadastro!$E$33),"")</f>
        <v/>
      </c>
      <c r="I510" s="129" t="str">
        <f>IFERROR(IF($D510="","",VLOOKUP($D510,Cadastro!$C$4:$G$7,5,FALSE)),"")</f>
        <v/>
      </c>
      <c r="J510" s="145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 x14ac:dyDescent="0.3">
      <c r="A511" s="69">
        <v>46253</v>
      </c>
      <c r="B511" s="32">
        <f t="shared" si="128"/>
        <v>1.25</v>
      </c>
      <c r="C511" s="33"/>
      <c r="D511" s="62"/>
      <c r="E511" s="121"/>
      <c r="F511" s="122" t="str">
        <f>IFERROR(IF($D511="","",VLOOKUP($D511,Cadastro!$C$4:$E$7,3,FALSE)),"")</f>
        <v/>
      </c>
      <c r="G511" s="114"/>
      <c r="H511" s="122" t="str">
        <f>IFERROR(IF($G511="","",$G511*$S$513/$G$513/Cadastro!$E$33),"")</f>
        <v/>
      </c>
      <c r="I511" s="129" t="str">
        <f>IFERROR(IF($D511="","",VLOOKUP($D511,Cadastro!$C$4:$G$7,5,FALSE)),"")</f>
        <v/>
      </c>
      <c r="J511" s="145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 x14ac:dyDescent="0.35">
      <c r="A512" s="68">
        <v>46253</v>
      </c>
      <c r="B512" s="25">
        <f t="shared" si="128"/>
        <v>1.2916666666666667</v>
      </c>
      <c r="C512" s="33"/>
      <c r="D512" s="62"/>
      <c r="E512" s="121"/>
      <c r="F512" s="118" t="str">
        <f>IFERROR(IF($D512="","",VLOOKUP($D512,Cadastro!$C$4:$E$7,3,FALSE)),"")</f>
        <v/>
      </c>
      <c r="G512" s="114"/>
      <c r="H512" s="118" t="str">
        <f>IFERROR(IF($G512="","",$G512*$S$513/$G$513/Cadastro!$E$33),"")</f>
        <v/>
      </c>
      <c r="I512" s="130" t="str">
        <f>IFERROR(IF($D512="","",VLOOKUP($D512,Cadastro!$C$4:$G$7,5,FALSE)),"")</f>
        <v/>
      </c>
      <c r="J512" s="146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 x14ac:dyDescent="0.35">
      <c r="A513" s="168" t="s">
        <v>234</v>
      </c>
      <c r="B513" s="169"/>
      <c r="C513" s="169"/>
      <c r="D513" s="169"/>
      <c r="E513" s="169">
        <f>SUM(E501:E512)</f>
        <v>0</v>
      </c>
      <c r="F513" s="124"/>
      <c r="G513" s="88">
        <f>SUM(G501:G512)</f>
        <v>0</v>
      </c>
      <c r="H513" s="124">
        <f>IFERROR(SUM(H501:H512),"")</f>
        <v>0</v>
      </c>
      <c r="I513" s="133"/>
      <c r="J513" s="149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232</v>
      </c>
      <c r="S513" s="39"/>
      <c r="T513" s="141">
        <f>IFERROR(J513,"")</f>
        <v>0</v>
      </c>
    </row>
    <row r="514" spans="1:20" ht="18" customHeight="1" x14ac:dyDescent="0.3">
      <c r="A514" s="165" t="s">
        <v>235</v>
      </c>
      <c r="B514" s="166"/>
      <c r="C514" s="166"/>
      <c r="D514" s="166"/>
      <c r="E514" s="166">
        <f>E500+E513</f>
        <v>0</v>
      </c>
      <c r="F514" s="125"/>
      <c r="G514" s="100">
        <f>G500+G513</f>
        <v>0</v>
      </c>
      <c r="H514" s="125">
        <f>IFERROR(H500+H513,"")</f>
        <v>0</v>
      </c>
      <c r="I514" s="134"/>
      <c r="J514" s="150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236</v>
      </c>
      <c r="S514" s="48">
        <f>IFERROR(S500+S513,"")</f>
        <v>0</v>
      </c>
      <c r="T514" s="143">
        <f>IFERROR(J514,"")</f>
        <v>0</v>
      </c>
    </row>
    <row r="515" spans="1:20" ht="15" customHeight="1" x14ac:dyDescent="0.3">
      <c r="A515" s="69">
        <v>46254</v>
      </c>
      <c r="B515" s="32">
        <v>0.33333333333333298</v>
      </c>
      <c r="C515" s="33"/>
      <c r="D515" s="62"/>
      <c r="E515" s="121"/>
      <c r="F515" s="119" t="str">
        <f>IFERROR(IF($D515="","",VLOOKUP($D515,Cadastro!$C$4:$E$7,3,FALSE)),"")</f>
        <v/>
      </c>
      <c r="G515" s="114"/>
      <c r="H515" s="119" t="str">
        <f>IFERROR(IF($G515="","",$G515*$S$527/$G$527/Cadastro!$E$33),"")</f>
        <v/>
      </c>
      <c r="I515" s="132" t="str">
        <f>IFERROR(IF($D515="","",VLOOKUP($D515,Cadastro!$C$4:$G$7,5,FALSE)),"")</f>
        <v/>
      </c>
      <c r="J515" s="148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8">
        <v>46254</v>
      </c>
      <c r="B516" s="25">
        <f t="shared" ref="B516:B526" si="132">B515+TIME(0,60,0)</f>
        <v>0.37499999999999967</v>
      </c>
      <c r="C516" s="33"/>
      <c r="D516" s="62"/>
      <c r="E516" s="121"/>
      <c r="F516" s="122" t="str">
        <f>IFERROR(IF($D516="","",VLOOKUP($D516,Cadastro!$C$4:$E$7,3,FALSE)),"")</f>
        <v/>
      </c>
      <c r="G516" s="114"/>
      <c r="H516" s="122" t="str">
        <f>IFERROR(IF($G516="","",$G516*$S$527/$G$527/Cadastro!$E$33),"")</f>
        <v/>
      </c>
      <c r="I516" s="129" t="str">
        <f>IFERROR(IF($D516="","",VLOOKUP($D516,Cadastro!$C$4:$G$7,5,FALSE)),"")</f>
        <v/>
      </c>
      <c r="J516" s="145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 x14ac:dyDescent="0.3">
      <c r="A517" s="69">
        <v>46254</v>
      </c>
      <c r="B517" s="32">
        <f t="shared" si="132"/>
        <v>0.41666666666666635</v>
      </c>
      <c r="C517" s="33"/>
      <c r="D517" s="62"/>
      <c r="E517" s="121"/>
      <c r="F517" s="122" t="str">
        <f>IFERROR(IF($D517="","",VLOOKUP($D517,Cadastro!$C$4:$E$7,3,FALSE)),"")</f>
        <v/>
      </c>
      <c r="G517" s="114"/>
      <c r="H517" s="122" t="str">
        <f>IFERROR(IF($G517="","",$G517*$S$527/$G$527/Cadastro!$E$33),"")</f>
        <v/>
      </c>
      <c r="I517" s="129" t="str">
        <f>IFERROR(IF($D517="","",VLOOKUP($D517,Cadastro!$C$4:$G$7,5,FALSE)),"")</f>
        <v/>
      </c>
      <c r="J517" s="145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 x14ac:dyDescent="0.3">
      <c r="A518" s="68">
        <v>46254</v>
      </c>
      <c r="B518" s="25">
        <f t="shared" si="132"/>
        <v>0.45833333333333304</v>
      </c>
      <c r="C518" s="33"/>
      <c r="D518" s="62"/>
      <c r="E518" s="121"/>
      <c r="F518" s="122" t="str">
        <f>IFERROR(IF($D518="","",VLOOKUP($D518,Cadastro!$C$4:$E$7,3,FALSE)),"")</f>
        <v/>
      </c>
      <c r="G518" s="114"/>
      <c r="H518" s="122" t="str">
        <f>IFERROR(IF($G518="","",$G518*$S$527/$G$527/Cadastro!$E$33),"")</f>
        <v/>
      </c>
      <c r="I518" s="129" t="str">
        <f>IFERROR(IF($D518="","",VLOOKUP($D518,Cadastro!$C$4:$G$7,5,FALSE)),"")</f>
        <v/>
      </c>
      <c r="J518" s="145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 x14ac:dyDescent="0.3">
      <c r="A519" s="69">
        <v>46254</v>
      </c>
      <c r="B519" s="32">
        <f t="shared" si="132"/>
        <v>0.49999999999999972</v>
      </c>
      <c r="C519" s="33"/>
      <c r="D519" s="62"/>
      <c r="E519" s="121"/>
      <c r="F519" s="122" t="str">
        <f>IFERROR(IF($D519="","",VLOOKUP($D519,Cadastro!$C$4:$E$7,3,FALSE)),"")</f>
        <v/>
      </c>
      <c r="G519" s="114"/>
      <c r="H519" s="122" t="str">
        <f>IFERROR(IF($G519="","",$G519*$S$527/$G$527/Cadastro!$E$33),"")</f>
        <v/>
      </c>
      <c r="I519" s="129" t="str">
        <f>IFERROR(IF($D519="","",VLOOKUP($D519,Cadastro!$C$4:$G$7,5,FALSE)),"")</f>
        <v/>
      </c>
      <c r="J519" s="145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 x14ac:dyDescent="0.3">
      <c r="A520" s="68">
        <v>46254</v>
      </c>
      <c r="B520" s="25">
        <f t="shared" si="132"/>
        <v>0.54166666666666641</v>
      </c>
      <c r="C520" s="33"/>
      <c r="D520" s="62"/>
      <c r="E520" s="121"/>
      <c r="F520" s="122" t="str">
        <f>IFERROR(IF($D520="","",VLOOKUP($D520,Cadastro!$C$4:$E$7,3,FALSE)),"")</f>
        <v/>
      </c>
      <c r="G520" s="114"/>
      <c r="H520" s="122" t="str">
        <f>IFERROR(IF($G520="","",$G520*$S$527/$G$527/Cadastro!$E$33),"")</f>
        <v/>
      </c>
      <c r="I520" s="129" t="str">
        <f>IFERROR(IF($D520="","",VLOOKUP($D520,Cadastro!$C$4:$G$7,5,FALSE)),"")</f>
        <v/>
      </c>
      <c r="J520" s="145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 x14ac:dyDescent="0.3">
      <c r="A521" s="69">
        <v>46254</v>
      </c>
      <c r="B521" s="32">
        <f t="shared" si="132"/>
        <v>0.58333333333333304</v>
      </c>
      <c r="C521" s="33"/>
      <c r="D521" s="62"/>
      <c r="E521" s="121"/>
      <c r="F521" s="122" t="str">
        <f>IFERROR(IF($D521="","",VLOOKUP($D521,Cadastro!$C$4:$E$7,3,FALSE)),"")</f>
        <v/>
      </c>
      <c r="G521" s="114"/>
      <c r="H521" s="122" t="str">
        <f>IFERROR(IF($G521="","",$G521*$S$527/$G$527/Cadastro!$E$33),"")</f>
        <v/>
      </c>
      <c r="I521" s="129" t="str">
        <f>IFERROR(IF($D521="","",VLOOKUP($D521,Cadastro!$C$4:$G$7,5,FALSE)),"")</f>
        <v/>
      </c>
      <c r="J521" s="145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 x14ac:dyDescent="0.3">
      <c r="A522" s="68">
        <v>46254</v>
      </c>
      <c r="B522" s="25">
        <f t="shared" si="132"/>
        <v>0.62499999999999967</v>
      </c>
      <c r="C522" s="33"/>
      <c r="D522" s="62"/>
      <c r="E522" s="121"/>
      <c r="F522" s="122" t="str">
        <f>IFERROR(IF($D522="","",VLOOKUP($D522,Cadastro!$C$4:$E$7,3,FALSE)),"")</f>
        <v/>
      </c>
      <c r="G522" s="114"/>
      <c r="H522" s="122" t="str">
        <f>IFERROR(IF($G522="","",$G522*$S$527/$G$527/Cadastro!$E$33),"")</f>
        <v/>
      </c>
      <c r="I522" s="129" t="str">
        <f>IFERROR(IF($D522="","",VLOOKUP($D522,Cadastro!$C$4:$G$7,5,FALSE)),"")</f>
        <v/>
      </c>
      <c r="J522" s="145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 x14ac:dyDescent="0.3">
      <c r="A523" s="69">
        <v>46254</v>
      </c>
      <c r="B523" s="32">
        <f t="shared" si="132"/>
        <v>0.6666666666666663</v>
      </c>
      <c r="C523" s="33"/>
      <c r="D523" s="62"/>
      <c r="E523" s="121"/>
      <c r="F523" s="122" t="str">
        <f>IFERROR(IF($D523="","",VLOOKUP($D523,Cadastro!$C$4:$E$7,3,FALSE)),"")</f>
        <v/>
      </c>
      <c r="G523" s="114"/>
      <c r="H523" s="122" t="str">
        <f>IFERROR(IF($G523="","",$G523*$S$527/$G$527/Cadastro!$E$33),"")</f>
        <v/>
      </c>
      <c r="I523" s="129" t="str">
        <f>IFERROR(IF($D523="","",VLOOKUP($D523,Cadastro!$C$4:$G$7,5,FALSE)),"")</f>
        <v/>
      </c>
      <c r="J523" s="145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 x14ac:dyDescent="0.3">
      <c r="A524" s="68">
        <v>46254</v>
      </c>
      <c r="B524" s="25">
        <f t="shared" si="132"/>
        <v>0.70833333333333293</v>
      </c>
      <c r="C524" s="33"/>
      <c r="D524" s="62"/>
      <c r="E524" s="121"/>
      <c r="F524" s="122" t="str">
        <f>IFERROR(IF($D524="","",VLOOKUP($D524,Cadastro!$C$4:$E$7,3,FALSE)),"")</f>
        <v/>
      </c>
      <c r="G524" s="114"/>
      <c r="H524" s="122" t="str">
        <f>IFERROR(IF($G524="","",$G524*$S$527/$G$527/Cadastro!$E$33),"")</f>
        <v/>
      </c>
      <c r="I524" s="129" t="str">
        <f>IFERROR(IF($D524="","",VLOOKUP($D524,Cadastro!$C$4:$G$7,5,FALSE)),"")</f>
        <v/>
      </c>
      <c r="J524" s="145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 x14ac:dyDescent="0.3">
      <c r="A525" s="69">
        <v>46254</v>
      </c>
      <c r="B525" s="32">
        <f t="shared" si="132"/>
        <v>0.74999999999999956</v>
      </c>
      <c r="C525" s="33"/>
      <c r="D525" s="62"/>
      <c r="E525" s="121"/>
      <c r="F525" s="122" t="str">
        <f>IFERROR(IF($D525="","",VLOOKUP($D525,Cadastro!$C$4:$E$7,3,FALSE)),"")</f>
        <v/>
      </c>
      <c r="G525" s="114"/>
      <c r="H525" s="122" t="str">
        <f>IFERROR(IF($G525="","",$G525*$S$527/$G$527/Cadastro!$E$33),"")</f>
        <v/>
      </c>
      <c r="I525" s="129" t="str">
        <f>IFERROR(IF($D525="","",VLOOKUP($D525,Cadastro!$C$4:$G$7,5,FALSE)),"")</f>
        <v/>
      </c>
      <c r="J525" s="145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 x14ac:dyDescent="0.35">
      <c r="A526" s="68">
        <v>46254</v>
      </c>
      <c r="B526" s="25">
        <f t="shared" si="132"/>
        <v>0.79166666666666619</v>
      </c>
      <c r="C526" s="33"/>
      <c r="D526" s="62"/>
      <c r="E526" s="121"/>
      <c r="F526" s="118" t="str">
        <f>IFERROR(IF($D526="","",VLOOKUP($D526,Cadastro!$C$4:$E$7,3,FALSE)),"")</f>
        <v/>
      </c>
      <c r="G526" s="114"/>
      <c r="H526" s="118" t="str">
        <f>IFERROR(IF($G526="","",$G526*$S$527/$G$527/Cadastro!$E$33),"")</f>
        <v/>
      </c>
      <c r="I526" s="130" t="str">
        <f>IFERROR(IF($D526="","",VLOOKUP($D526,Cadastro!$C$4:$G$7,5,FALSE)),"")</f>
        <v/>
      </c>
      <c r="J526" s="146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 x14ac:dyDescent="0.35">
      <c r="A527" s="168" t="s">
        <v>231</v>
      </c>
      <c r="B527" s="169"/>
      <c r="C527" s="169"/>
      <c r="D527" s="169"/>
      <c r="E527" s="169">
        <f>SUM(E515:E526)</f>
        <v>0</v>
      </c>
      <c r="F527" s="123"/>
      <c r="G527" s="88">
        <f>SUM(G515:G526)</f>
        <v>0</v>
      </c>
      <c r="H527" s="123">
        <f>IFERROR(SUM(H515:H526),"")</f>
        <v>0</v>
      </c>
      <c r="I527" s="131"/>
      <c r="J527" s="147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232</v>
      </c>
      <c r="S527" s="39"/>
      <c r="T527" s="141">
        <f>IFERROR(J527,"")</f>
        <v>0</v>
      </c>
    </row>
    <row r="528" spans="1:20" ht="15" customHeight="1" x14ac:dyDescent="0.3">
      <c r="A528" s="68">
        <v>46254</v>
      </c>
      <c r="B528" s="25">
        <v>0.83333333333333304</v>
      </c>
      <c r="C528" s="26"/>
      <c r="D528" s="59"/>
      <c r="E528" s="120"/>
      <c r="F528" s="119" t="str">
        <f>IFERROR(IF($D528="","",VLOOKUP($D528,Cadastro!$C$4:$E$7,3,FALSE)),"")</f>
        <v/>
      </c>
      <c r="G528" s="114"/>
      <c r="H528" s="119" t="str">
        <f>IFERROR(IF($G528="","",$G528*$S$540/$G$540/Cadastro!$E$33),"")</f>
        <v/>
      </c>
      <c r="I528" s="132" t="str">
        <f>IFERROR(IF($D528="","",VLOOKUP($D528,Cadastro!$C$4:$G$7,5,FALSE)),"")</f>
        <v/>
      </c>
      <c r="J528" s="148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9">
        <v>46254</v>
      </c>
      <c r="B529" s="32">
        <f t="shared" ref="B529:B539" si="136">B528+TIME(0,60,0)</f>
        <v>0.87499999999999967</v>
      </c>
      <c r="C529" s="26"/>
      <c r="D529" s="59"/>
      <c r="E529" s="120"/>
      <c r="F529" s="122" t="str">
        <f>IFERROR(IF($D529="","",VLOOKUP($D529,Cadastro!$C$4:$E$7,3,FALSE)),"")</f>
        <v/>
      </c>
      <c r="G529" s="114"/>
      <c r="H529" s="122" t="str">
        <f>IFERROR(IF($G529="","",$G529*$S$540/$G$540/Cadastro!$E$33),"")</f>
        <v/>
      </c>
      <c r="I529" s="129" t="str">
        <f>IFERROR(IF($D529="","",VLOOKUP($D529,Cadastro!$C$4:$G$7,5,FALSE)),"")</f>
        <v/>
      </c>
      <c r="J529" s="145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 x14ac:dyDescent="0.3">
      <c r="A530" s="68">
        <v>46254</v>
      </c>
      <c r="B530" s="25">
        <f t="shared" si="136"/>
        <v>0.9166666666666663</v>
      </c>
      <c r="C530" s="26"/>
      <c r="D530" s="59"/>
      <c r="E530" s="120"/>
      <c r="F530" s="122" t="str">
        <f>IFERROR(IF($D530="","",VLOOKUP($D530,Cadastro!$C$4:$E$7,3,FALSE)),"")</f>
        <v/>
      </c>
      <c r="G530" s="114"/>
      <c r="H530" s="122" t="str">
        <f>IFERROR(IF($G530="","",$G530*$S$540/$G$540/Cadastro!$E$33),"")</f>
        <v/>
      </c>
      <c r="I530" s="129" t="str">
        <f>IFERROR(IF($D530="","",VLOOKUP($D530,Cadastro!$C$4:$G$7,5,FALSE)),"")</f>
        <v/>
      </c>
      <c r="J530" s="145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 x14ac:dyDescent="0.3">
      <c r="A531" s="69">
        <v>46254</v>
      </c>
      <c r="B531" s="32">
        <f t="shared" si="136"/>
        <v>0.95833333333333293</v>
      </c>
      <c r="C531" s="26"/>
      <c r="D531" s="59"/>
      <c r="E531" s="120"/>
      <c r="F531" s="122" t="str">
        <f>IFERROR(IF($D531="","",VLOOKUP($D531,Cadastro!$C$4:$E$7,3,FALSE)),"")</f>
        <v/>
      </c>
      <c r="G531" s="114"/>
      <c r="H531" s="122" t="str">
        <f>IFERROR(IF($G531="","",$G531*$S$540/$G$540/Cadastro!$E$33),"")</f>
        <v/>
      </c>
      <c r="I531" s="129" t="str">
        <f>IFERROR(IF($D531="","",VLOOKUP($D531,Cadastro!$C$4:$G$7,5,FALSE)),"")</f>
        <v/>
      </c>
      <c r="J531" s="145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 x14ac:dyDescent="0.3">
      <c r="A532" s="68">
        <v>46254</v>
      </c>
      <c r="B532" s="25">
        <f t="shared" si="136"/>
        <v>0.99999999999999956</v>
      </c>
      <c r="C532" s="26"/>
      <c r="D532" s="59"/>
      <c r="E532" s="120"/>
      <c r="F532" s="122" t="str">
        <f>IFERROR(IF($D532="","",VLOOKUP($D532,Cadastro!$C$4:$E$7,3,FALSE)),"")</f>
        <v/>
      </c>
      <c r="G532" s="114"/>
      <c r="H532" s="122" t="str">
        <f>IFERROR(IF($G532="","",$G532*$S$540/$G$540/Cadastro!$E$33),"")</f>
        <v/>
      </c>
      <c r="I532" s="129" t="str">
        <f>IFERROR(IF($D532="","",VLOOKUP($D532,Cadastro!$C$4:$G$7,5,FALSE)),"")</f>
        <v/>
      </c>
      <c r="J532" s="145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 x14ac:dyDescent="0.3">
      <c r="A533" s="69">
        <v>46254</v>
      </c>
      <c r="B533" s="32">
        <f t="shared" si="136"/>
        <v>1.0416666666666663</v>
      </c>
      <c r="C533" s="26"/>
      <c r="D533" s="59"/>
      <c r="E533" s="120"/>
      <c r="F533" s="122" t="str">
        <f>IFERROR(IF($D533="","",VLOOKUP($D533,Cadastro!$C$4:$E$7,3,FALSE)),"")</f>
        <v/>
      </c>
      <c r="G533" s="114"/>
      <c r="H533" s="122" t="str">
        <f>IFERROR(IF($G533="","",$G533*$S$540/$G$540/Cadastro!$E$33),"")</f>
        <v/>
      </c>
      <c r="I533" s="129" t="str">
        <f>IFERROR(IF($D533="","",VLOOKUP($D533,Cadastro!$C$4:$G$7,5,FALSE)),"")</f>
        <v/>
      </c>
      <c r="J533" s="145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 x14ac:dyDescent="0.3">
      <c r="A534" s="68">
        <v>46254</v>
      </c>
      <c r="B534" s="25">
        <f t="shared" si="136"/>
        <v>1.083333333333333</v>
      </c>
      <c r="C534" s="26"/>
      <c r="D534" s="59"/>
      <c r="E534" s="120"/>
      <c r="F534" s="122" t="str">
        <f>IFERROR(IF($D534="","",VLOOKUP($D534,Cadastro!$C$4:$E$7,3,FALSE)),"")</f>
        <v/>
      </c>
      <c r="G534" s="114"/>
      <c r="H534" s="122" t="str">
        <f>IFERROR(IF($G534="","",$G534*$S$540/$G$540/Cadastro!$E$33),"")</f>
        <v/>
      </c>
      <c r="I534" s="129" t="str">
        <f>IFERROR(IF($D534="","",VLOOKUP($D534,Cadastro!$C$4:$G$7,5,FALSE)),"")</f>
        <v/>
      </c>
      <c r="J534" s="145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 x14ac:dyDescent="0.3">
      <c r="A535" s="69">
        <v>46254</v>
      </c>
      <c r="B535" s="32">
        <f t="shared" si="136"/>
        <v>1.1249999999999998</v>
      </c>
      <c r="C535" s="26"/>
      <c r="D535" s="59"/>
      <c r="E535" s="120"/>
      <c r="F535" s="122" t="str">
        <f>IFERROR(IF($D535="","",VLOOKUP($D535,Cadastro!$C$4:$E$7,3,FALSE)),"")</f>
        <v/>
      </c>
      <c r="G535" s="114"/>
      <c r="H535" s="122" t="str">
        <f>IFERROR(IF($G535="","",$G535*$S$540/$G$540/Cadastro!$E$33),"")</f>
        <v/>
      </c>
      <c r="I535" s="129" t="str">
        <f>IFERROR(IF($D535="","",VLOOKUP($D535,Cadastro!$C$4:$G$7,5,FALSE)),"")</f>
        <v/>
      </c>
      <c r="J535" s="145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 x14ac:dyDescent="0.3">
      <c r="A536" s="68">
        <v>46254</v>
      </c>
      <c r="B536" s="25">
        <f t="shared" si="136"/>
        <v>1.1666666666666665</v>
      </c>
      <c r="C536" s="26"/>
      <c r="D536" s="59"/>
      <c r="E536" s="120"/>
      <c r="F536" s="122" t="str">
        <f>IFERROR(IF($D536="","",VLOOKUP($D536,Cadastro!$C$4:$E$7,3,FALSE)),"")</f>
        <v/>
      </c>
      <c r="G536" s="114"/>
      <c r="H536" s="122" t="str">
        <f>IFERROR(IF($G536="","",$G536*$S$540/$G$540/Cadastro!$E$33),"")</f>
        <v/>
      </c>
      <c r="I536" s="129" t="str">
        <f>IFERROR(IF($D536="","",VLOOKUP($D536,Cadastro!$C$4:$G$7,5,FALSE)),"")</f>
        <v/>
      </c>
      <c r="J536" s="145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 x14ac:dyDescent="0.3">
      <c r="A537" s="69">
        <v>46254</v>
      </c>
      <c r="B537" s="32">
        <f t="shared" si="136"/>
        <v>1.2083333333333333</v>
      </c>
      <c r="C537" s="26"/>
      <c r="D537" s="59"/>
      <c r="E537" s="120"/>
      <c r="F537" s="122" t="str">
        <f>IFERROR(IF($D537="","",VLOOKUP($D537,Cadastro!$C$4:$E$7,3,FALSE)),"")</f>
        <v/>
      </c>
      <c r="G537" s="114"/>
      <c r="H537" s="122" t="str">
        <f>IFERROR(IF($G537="","",$G537*$S$540/$G$540/Cadastro!$E$33),"")</f>
        <v/>
      </c>
      <c r="I537" s="129" t="str">
        <f>IFERROR(IF($D537="","",VLOOKUP($D537,Cadastro!$C$4:$G$7,5,FALSE)),"")</f>
        <v/>
      </c>
      <c r="J537" s="145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 x14ac:dyDescent="0.3">
      <c r="A538" s="68">
        <v>46254</v>
      </c>
      <c r="B538" s="25">
        <f t="shared" si="136"/>
        <v>1.25</v>
      </c>
      <c r="C538" s="26"/>
      <c r="D538" s="59"/>
      <c r="E538" s="120"/>
      <c r="F538" s="122" t="str">
        <f>IFERROR(IF($D538="","",VLOOKUP($D538,Cadastro!$C$4:$E$7,3,FALSE)),"")</f>
        <v/>
      </c>
      <c r="G538" s="114"/>
      <c r="H538" s="122" t="str">
        <f>IFERROR(IF($G538="","",$G538*$S$540/$G$540/Cadastro!$E$33),"")</f>
        <v/>
      </c>
      <c r="I538" s="129" t="str">
        <f>IFERROR(IF($D538="","",VLOOKUP($D538,Cadastro!$C$4:$G$7,5,FALSE)),"")</f>
        <v/>
      </c>
      <c r="J538" s="145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 x14ac:dyDescent="0.35">
      <c r="A539" s="69">
        <v>46254</v>
      </c>
      <c r="B539" s="32">
        <f t="shared" si="136"/>
        <v>1.2916666666666667</v>
      </c>
      <c r="C539" s="26"/>
      <c r="D539" s="59"/>
      <c r="E539" s="120"/>
      <c r="F539" s="118" t="str">
        <f>IFERROR(IF($D539="","",VLOOKUP($D539,Cadastro!$C$4:$E$7,3,FALSE)),"")</f>
        <v/>
      </c>
      <c r="G539" s="114"/>
      <c r="H539" s="118" t="str">
        <f>IFERROR(IF($G539="","",$G539*$S$540/$G$540/Cadastro!$E$33),"")</f>
        <v/>
      </c>
      <c r="I539" s="130" t="str">
        <f>IFERROR(IF($D539="","",VLOOKUP($D539,Cadastro!$C$4:$G$7,5,FALSE)),"")</f>
        <v/>
      </c>
      <c r="J539" s="146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 x14ac:dyDescent="0.35">
      <c r="A540" s="168" t="s">
        <v>234</v>
      </c>
      <c r="B540" s="169"/>
      <c r="C540" s="169"/>
      <c r="D540" s="169"/>
      <c r="E540" s="169">
        <f>SUM(E528:E539)</f>
        <v>0</v>
      </c>
      <c r="F540" s="124"/>
      <c r="G540" s="88">
        <f>SUM(G528:G539)</f>
        <v>0</v>
      </c>
      <c r="H540" s="124">
        <f>IFERROR(SUM(H528:H539),"")</f>
        <v>0</v>
      </c>
      <c r="I540" s="133"/>
      <c r="J540" s="149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232</v>
      </c>
      <c r="S540" s="39"/>
      <c r="T540" s="141">
        <f>IFERROR(J540,"")</f>
        <v>0</v>
      </c>
    </row>
    <row r="541" spans="1:20" ht="18" customHeight="1" x14ac:dyDescent="0.3">
      <c r="A541" s="165" t="s">
        <v>235</v>
      </c>
      <c r="B541" s="166"/>
      <c r="C541" s="166"/>
      <c r="D541" s="166"/>
      <c r="E541" s="166">
        <f>E527+E540</f>
        <v>0</v>
      </c>
      <c r="F541" s="125"/>
      <c r="G541" s="100">
        <f>G527+G540</f>
        <v>0</v>
      </c>
      <c r="H541" s="125">
        <f>IFERROR(H527+H540,"")</f>
        <v>0</v>
      </c>
      <c r="I541" s="134"/>
      <c r="J541" s="150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236</v>
      </c>
      <c r="S541" s="48">
        <f>IFERROR(S527+S540,"")</f>
        <v>0</v>
      </c>
      <c r="T541" s="143">
        <f>IFERROR(J541,"")</f>
        <v>0</v>
      </c>
    </row>
    <row r="542" spans="1:20" ht="15" customHeight="1" x14ac:dyDescent="0.3">
      <c r="A542" s="68">
        <v>46255</v>
      </c>
      <c r="B542" s="25">
        <v>0.33333333333333298</v>
      </c>
      <c r="C542" s="26"/>
      <c r="D542" s="59"/>
      <c r="E542" s="120"/>
      <c r="F542" s="119" t="str">
        <f>IFERROR(IF($D542="","",VLOOKUP($D542,Cadastro!$C$4:$E$7,3,FALSE)),"")</f>
        <v/>
      </c>
      <c r="G542" s="114"/>
      <c r="H542" s="119" t="str">
        <f>IFERROR(IF($G542="","",$G542*$S$554/$G$554/Cadastro!$E$33),"")</f>
        <v/>
      </c>
      <c r="I542" s="132" t="str">
        <f>IFERROR(IF($D542="","",VLOOKUP($D542,Cadastro!$C$4:$G$7,5,FALSE)),"")</f>
        <v/>
      </c>
      <c r="J542" s="148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9">
        <v>46255</v>
      </c>
      <c r="B543" s="32">
        <f t="shared" ref="B543:B553" si="140">B542+TIME(0,60,0)</f>
        <v>0.37499999999999967</v>
      </c>
      <c r="C543" s="26"/>
      <c r="D543" s="59"/>
      <c r="E543" s="120"/>
      <c r="F543" s="122" t="str">
        <f>IFERROR(IF($D543="","",VLOOKUP($D543,Cadastro!$C$4:$E$7,3,FALSE)),"")</f>
        <v/>
      </c>
      <c r="G543" s="114"/>
      <c r="H543" s="122" t="str">
        <f>IFERROR(IF($G543="","",$G543*$S$554/$G$554/Cadastro!$E$33),"")</f>
        <v/>
      </c>
      <c r="I543" s="129" t="str">
        <f>IFERROR(IF($D543="","",VLOOKUP($D543,Cadastro!$C$4:$G$7,5,FALSE)),"")</f>
        <v/>
      </c>
      <c r="J543" s="145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 x14ac:dyDescent="0.3">
      <c r="A544" s="68">
        <v>46255</v>
      </c>
      <c r="B544" s="25">
        <f t="shared" si="140"/>
        <v>0.41666666666666635</v>
      </c>
      <c r="C544" s="26"/>
      <c r="D544" s="59"/>
      <c r="E544" s="120"/>
      <c r="F544" s="122" t="str">
        <f>IFERROR(IF($D544="","",VLOOKUP($D544,Cadastro!$C$4:$E$7,3,FALSE)),"")</f>
        <v/>
      </c>
      <c r="G544" s="114"/>
      <c r="H544" s="122" t="str">
        <f>IFERROR(IF($G544="","",$G544*$S$554/$G$554/Cadastro!$E$33),"")</f>
        <v/>
      </c>
      <c r="I544" s="129" t="str">
        <f>IFERROR(IF($D544="","",VLOOKUP($D544,Cadastro!$C$4:$G$7,5,FALSE)),"")</f>
        <v/>
      </c>
      <c r="J544" s="145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 x14ac:dyDescent="0.3">
      <c r="A545" s="69">
        <v>46255</v>
      </c>
      <c r="B545" s="32">
        <f t="shared" si="140"/>
        <v>0.45833333333333304</v>
      </c>
      <c r="C545" s="26"/>
      <c r="D545" s="59"/>
      <c r="E545" s="120"/>
      <c r="F545" s="122" t="str">
        <f>IFERROR(IF($D545="","",VLOOKUP($D545,Cadastro!$C$4:$E$7,3,FALSE)),"")</f>
        <v/>
      </c>
      <c r="G545" s="114"/>
      <c r="H545" s="122" t="str">
        <f>IFERROR(IF($G545="","",$G545*$S$554/$G$554/Cadastro!$E$33),"")</f>
        <v/>
      </c>
      <c r="I545" s="129" t="str">
        <f>IFERROR(IF($D545="","",VLOOKUP($D545,Cadastro!$C$4:$G$7,5,FALSE)),"")</f>
        <v/>
      </c>
      <c r="J545" s="145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 x14ac:dyDescent="0.3">
      <c r="A546" s="68">
        <v>46255</v>
      </c>
      <c r="B546" s="25">
        <f t="shared" si="140"/>
        <v>0.49999999999999972</v>
      </c>
      <c r="C546" s="26"/>
      <c r="D546" s="59"/>
      <c r="E546" s="120"/>
      <c r="F546" s="122" t="str">
        <f>IFERROR(IF($D546="","",VLOOKUP($D546,Cadastro!$C$4:$E$7,3,FALSE)),"")</f>
        <v/>
      </c>
      <c r="G546" s="114"/>
      <c r="H546" s="122" t="str">
        <f>IFERROR(IF($G546="","",$G546*$S$554/$G$554/Cadastro!$E$33),"")</f>
        <v/>
      </c>
      <c r="I546" s="129" t="str">
        <f>IFERROR(IF($D546="","",VLOOKUP($D546,Cadastro!$C$4:$G$7,5,FALSE)),"")</f>
        <v/>
      </c>
      <c r="J546" s="145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 x14ac:dyDescent="0.3">
      <c r="A547" s="69">
        <v>46255</v>
      </c>
      <c r="B547" s="32">
        <f t="shared" si="140"/>
        <v>0.54166666666666641</v>
      </c>
      <c r="C547" s="26"/>
      <c r="D547" s="59"/>
      <c r="E547" s="120"/>
      <c r="F547" s="122" t="str">
        <f>IFERROR(IF($D547="","",VLOOKUP($D547,Cadastro!$C$4:$E$7,3,FALSE)),"")</f>
        <v/>
      </c>
      <c r="G547" s="114"/>
      <c r="H547" s="122" t="str">
        <f>IFERROR(IF($G547="","",$G547*$S$554/$G$554/Cadastro!$E$33),"")</f>
        <v/>
      </c>
      <c r="I547" s="129" t="str">
        <f>IFERROR(IF($D547="","",VLOOKUP($D547,Cadastro!$C$4:$G$7,5,FALSE)),"")</f>
        <v/>
      </c>
      <c r="J547" s="145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 x14ac:dyDescent="0.3">
      <c r="A548" s="68">
        <v>46255</v>
      </c>
      <c r="B548" s="25">
        <f t="shared" si="140"/>
        <v>0.58333333333333304</v>
      </c>
      <c r="C548" s="26"/>
      <c r="D548" s="59"/>
      <c r="E548" s="120"/>
      <c r="F548" s="122" t="str">
        <f>IFERROR(IF($D548="","",VLOOKUP($D548,Cadastro!$C$4:$E$7,3,FALSE)),"")</f>
        <v/>
      </c>
      <c r="G548" s="114"/>
      <c r="H548" s="122" t="str">
        <f>IFERROR(IF($G548="","",$G548*$S$554/$G$554/Cadastro!$E$33),"")</f>
        <v/>
      </c>
      <c r="I548" s="129" t="str">
        <f>IFERROR(IF($D548="","",VLOOKUP($D548,Cadastro!$C$4:$G$7,5,FALSE)),"")</f>
        <v/>
      </c>
      <c r="J548" s="145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 x14ac:dyDescent="0.3">
      <c r="A549" s="69">
        <v>46255</v>
      </c>
      <c r="B549" s="32">
        <f t="shared" si="140"/>
        <v>0.62499999999999967</v>
      </c>
      <c r="C549" s="26"/>
      <c r="D549" s="59"/>
      <c r="E549" s="120"/>
      <c r="F549" s="122" t="str">
        <f>IFERROR(IF($D549="","",VLOOKUP($D549,Cadastro!$C$4:$E$7,3,FALSE)),"")</f>
        <v/>
      </c>
      <c r="G549" s="114"/>
      <c r="H549" s="122" t="str">
        <f>IFERROR(IF($G549="","",$G549*$S$554/$G$554/Cadastro!$E$33),"")</f>
        <v/>
      </c>
      <c r="I549" s="129" t="str">
        <f>IFERROR(IF($D549="","",VLOOKUP($D549,Cadastro!$C$4:$G$7,5,FALSE)),"")</f>
        <v/>
      </c>
      <c r="J549" s="145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 x14ac:dyDescent="0.3">
      <c r="A550" s="68">
        <v>46255</v>
      </c>
      <c r="B550" s="25">
        <f t="shared" si="140"/>
        <v>0.6666666666666663</v>
      </c>
      <c r="C550" s="26"/>
      <c r="D550" s="59"/>
      <c r="E550" s="120"/>
      <c r="F550" s="122" t="str">
        <f>IFERROR(IF($D550="","",VLOOKUP($D550,Cadastro!$C$4:$E$7,3,FALSE)),"")</f>
        <v/>
      </c>
      <c r="G550" s="114"/>
      <c r="H550" s="122" t="str">
        <f>IFERROR(IF($G550="","",$G550*$S$554/$G$554/Cadastro!$E$33),"")</f>
        <v/>
      </c>
      <c r="I550" s="129" t="str">
        <f>IFERROR(IF($D550="","",VLOOKUP($D550,Cadastro!$C$4:$G$7,5,FALSE)),"")</f>
        <v/>
      </c>
      <c r="J550" s="145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 x14ac:dyDescent="0.3">
      <c r="A551" s="69">
        <v>46255</v>
      </c>
      <c r="B551" s="32">
        <f t="shared" si="140"/>
        <v>0.70833333333333293</v>
      </c>
      <c r="C551" s="26"/>
      <c r="D551" s="59"/>
      <c r="E551" s="120"/>
      <c r="F551" s="122" t="str">
        <f>IFERROR(IF($D551="","",VLOOKUP($D551,Cadastro!$C$4:$E$7,3,FALSE)),"")</f>
        <v/>
      </c>
      <c r="G551" s="114"/>
      <c r="H551" s="122" t="str">
        <f>IFERROR(IF($G551="","",$G551*$S$554/$G$554/Cadastro!$E$33),"")</f>
        <v/>
      </c>
      <c r="I551" s="129" t="str">
        <f>IFERROR(IF($D551="","",VLOOKUP($D551,Cadastro!$C$4:$G$7,5,FALSE)),"")</f>
        <v/>
      </c>
      <c r="J551" s="145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 x14ac:dyDescent="0.3">
      <c r="A552" s="68">
        <v>46255</v>
      </c>
      <c r="B552" s="25">
        <f t="shared" si="140"/>
        <v>0.74999999999999956</v>
      </c>
      <c r="C552" s="26"/>
      <c r="D552" s="59"/>
      <c r="E552" s="120"/>
      <c r="F552" s="122" t="str">
        <f>IFERROR(IF($D552="","",VLOOKUP($D552,Cadastro!$C$4:$E$7,3,FALSE)),"")</f>
        <v/>
      </c>
      <c r="G552" s="114"/>
      <c r="H552" s="122" t="str">
        <f>IFERROR(IF($G552="","",$G552*$S$554/$G$554/Cadastro!$E$33),"")</f>
        <v/>
      </c>
      <c r="I552" s="129" t="str">
        <f>IFERROR(IF($D552="","",VLOOKUP($D552,Cadastro!$C$4:$G$7,5,FALSE)),"")</f>
        <v/>
      </c>
      <c r="J552" s="145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 x14ac:dyDescent="0.35">
      <c r="A553" s="69">
        <v>46255</v>
      </c>
      <c r="B553" s="32">
        <f t="shared" si="140"/>
        <v>0.79166666666666619</v>
      </c>
      <c r="C553" s="26"/>
      <c r="D553" s="59"/>
      <c r="E553" s="120"/>
      <c r="F553" s="118" t="str">
        <f>IFERROR(IF($D553="","",VLOOKUP($D553,Cadastro!$C$4:$E$7,3,FALSE)),"")</f>
        <v/>
      </c>
      <c r="G553" s="114"/>
      <c r="H553" s="118" t="str">
        <f>IFERROR(IF($G553="","",$G553*$S$554/$G$554/Cadastro!$E$33),"")</f>
        <v/>
      </c>
      <c r="I553" s="130" t="str">
        <f>IFERROR(IF($D553="","",VLOOKUP($D553,Cadastro!$C$4:$G$7,5,FALSE)),"")</f>
        <v/>
      </c>
      <c r="J553" s="146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 x14ac:dyDescent="0.35">
      <c r="A554" s="168" t="s">
        <v>231</v>
      </c>
      <c r="B554" s="169"/>
      <c r="C554" s="169"/>
      <c r="D554" s="169"/>
      <c r="E554" s="169">
        <f>SUM(E542:E553)</f>
        <v>0</v>
      </c>
      <c r="F554" s="123"/>
      <c r="G554" s="88">
        <f>SUM(G542:G553)</f>
        <v>0</v>
      </c>
      <c r="H554" s="123">
        <f>IFERROR(SUM(H542:H553),"")</f>
        <v>0</v>
      </c>
      <c r="I554" s="131"/>
      <c r="J554" s="147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232</v>
      </c>
      <c r="S554" s="39"/>
      <c r="T554" s="141">
        <f>IFERROR(J554,"")</f>
        <v>0</v>
      </c>
    </row>
    <row r="555" spans="1:20" ht="15" customHeight="1" x14ac:dyDescent="0.3">
      <c r="A555" s="69">
        <v>46255</v>
      </c>
      <c r="B555" s="32">
        <v>0.83333333333333304</v>
      </c>
      <c r="C555" s="33"/>
      <c r="D555" s="62"/>
      <c r="E555" s="121"/>
      <c r="F555" s="119" t="str">
        <f>IFERROR(IF($D555="","",VLOOKUP($D555,Cadastro!$C$4:$E$7,3,FALSE)),"")</f>
        <v/>
      </c>
      <c r="G555" s="114"/>
      <c r="H555" s="119" t="str">
        <f>IFERROR(IF($G555="","",$G555*$S$567/$G$567/Cadastro!$E$33),"")</f>
        <v/>
      </c>
      <c r="I555" s="132" t="str">
        <f>IFERROR(IF($D555="","",VLOOKUP($D555,Cadastro!$C$4:$G$7,5,FALSE)),"")</f>
        <v/>
      </c>
      <c r="J555" s="148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8">
        <v>46255</v>
      </c>
      <c r="B556" s="25">
        <f t="shared" ref="B556:B566" si="144">B555+TIME(0,60,0)</f>
        <v>0.87499999999999967</v>
      </c>
      <c r="C556" s="33"/>
      <c r="D556" s="62"/>
      <c r="E556" s="121"/>
      <c r="F556" s="122" t="str">
        <f>IFERROR(IF($D556="","",VLOOKUP($D556,Cadastro!$C$4:$E$7,3,FALSE)),"")</f>
        <v/>
      </c>
      <c r="G556" s="114"/>
      <c r="H556" s="122" t="str">
        <f>IFERROR(IF($G556="","",$G556*$S$567/$G$567/Cadastro!$E$33),"")</f>
        <v/>
      </c>
      <c r="I556" s="129" t="str">
        <f>IFERROR(IF($D556="","",VLOOKUP($D556,Cadastro!$C$4:$G$7,5,FALSE)),"")</f>
        <v/>
      </c>
      <c r="J556" s="145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 x14ac:dyDescent="0.3">
      <c r="A557" s="69">
        <v>46255</v>
      </c>
      <c r="B557" s="32">
        <f t="shared" si="144"/>
        <v>0.9166666666666663</v>
      </c>
      <c r="C557" s="33"/>
      <c r="D557" s="62"/>
      <c r="E557" s="121"/>
      <c r="F557" s="122" t="str">
        <f>IFERROR(IF($D557="","",VLOOKUP($D557,Cadastro!$C$4:$E$7,3,FALSE)),"")</f>
        <v/>
      </c>
      <c r="G557" s="114"/>
      <c r="H557" s="122" t="str">
        <f>IFERROR(IF($G557="","",$G557*$S$567/$G$567/Cadastro!$E$33),"")</f>
        <v/>
      </c>
      <c r="I557" s="129" t="str">
        <f>IFERROR(IF($D557="","",VLOOKUP($D557,Cadastro!$C$4:$G$7,5,FALSE)),"")</f>
        <v/>
      </c>
      <c r="J557" s="145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 x14ac:dyDescent="0.3">
      <c r="A558" s="68">
        <v>46255</v>
      </c>
      <c r="B558" s="25">
        <f t="shared" si="144"/>
        <v>0.95833333333333293</v>
      </c>
      <c r="C558" s="33"/>
      <c r="D558" s="62"/>
      <c r="E558" s="121"/>
      <c r="F558" s="122" t="str">
        <f>IFERROR(IF($D558="","",VLOOKUP($D558,Cadastro!$C$4:$E$7,3,FALSE)),"")</f>
        <v/>
      </c>
      <c r="G558" s="114"/>
      <c r="H558" s="122" t="str">
        <f>IFERROR(IF($G558="","",$G558*$S$567/$G$567/Cadastro!$E$33),"")</f>
        <v/>
      </c>
      <c r="I558" s="129" t="str">
        <f>IFERROR(IF($D558="","",VLOOKUP($D558,Cadastro!$C$4:$G$7,5,FALSE)),"")</f>
        <v/>
      </c>
      <c r="J558" s="145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 x14ac:dyDescent="0.3">
      <c r="A559" s="69">
        <v>46255</v>
      </c>
      <c r="B559" s="32">
        <f t="shared" si="144"/>
        <v>0.99999999999999956</v>
      </c>
      <c r="C559" s="33"/>
      <c r="D559" s="62"/>
      <c r="E559" s="121"/>
      <c r="F559" s="122" t="str">
        <f>IFERROR(IF($D559="","",VLOOKUP($D559,Cadastro!$C$4:$E$7,3,FALSE)),"")</f>
        <v/>
      </c>
      <c r="G559" s="114"/>
      <c r="H559" s="122" t="str">
        <f>IFERROR(IF($G559="","",$G559*$S$567/$G$567/Cadastro!$E$33),"")</f>
        <v/>
      </c>
      <c r="I559" s="129" t="str">
        <f>IFERROR(IF($D559="","",VLOOKUP($D559,Cadastro!$C$4:$G$7,5,FALSE)),"")</f>
        <v/>
      </c>
      <c r="J559" s="145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 x14ac:dyDescent="0.3">
      <c r="A560" s="68">
        <v>46255</v>
      </c>
      <c r="B560" s="25">
        <f t="shared" si="144"/>
        <v>1.0416666666666663</v>
      </c>
      <c r="C560" s="33"/>
      <c r="D560" s="62"/>
      <c r="E560" s="121"/>
      <c r="F560" s="122" t="str">
        <f>IFERROR(IF($D560="","",VLOOKUP($D560,Cadastro!$C$4:$E$7,3,FALSE)),"")</f>
        <v/>
      </c>
      <c r="G560" s="114"/>
      <c r="H560" s="122" t="str">
        <f>IFERROR(IF($G560="","",$G560*$S$567/$G$567/Cadastro!$E$33),"")</f>
        <v/>
      </c>
      <c r="I560" s="129" t="str">
        <f>IFERROR(IF($D560="","",VLOOKUP($D560,Cadastro!$C$4:$G$7,5,FALSE)),"")</f>
        <v/>
      </c>
      <c r="J560" s="145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 x14ac:dyDescent="0.3">
      <c r="A561" s="69">
        <v>46255</v>
      </c>
      <c r="B561" s="32">
        <f t="shared" si="144"/>
        <v>1.083333333333333</v>
      </c>
      <c r="C561" s="33"/>
      <c r="D561" s="62"/>
      <c r="E561" s="121"/>
      <c r="F561" s="122" t="str">
        <f>IFERROR(IF($D561="","",VLOOKUP($D561,Cadastro!$C$4:$E$7,3,FALSE)),"")</f>
        <v/>
      </c>
      <c r="G561" s="114"/>
      <c r="H561" s="122" t="str">
        <f>IFERROR(IF($G561="","",$G561*$S$567/$G$567/Cadastro!$E$33),"")</f>
        <v/>
      </c>
      <c r="I561" s="129" t="str">
        <f>IFERROR(IF($D561="","",VLOOKUP($D561,Cadastro!$C$4:$G$7,5,FALSE)),"")</f>
        <v/>
      </c>
      <c r="J561" s="145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 x14ac:dyDescent="0.3">
      <c r="A562" s="68">
        <v>46255</v>
      </c>
      <c r="B562" s="25">
        <f t="shared" si="144"/>
        <v>1.1249999999999998</v>
      </c>
      <c r="C562" s="33"/>
      <c r="D562" s="62"/>
      <c r="E562" s="121"/>
      <c r="F562" s="122" t="str">
        <f>IFERROR(IF($D562="","",VLOOKUP($D562,Cadastro!$C$4:$E$7,3,FALSE)),"")</f>
        <v/>
      </c>
      <c r="G562" s="114"/>
      <c r="H562" s="122" t="str">
        <f>IFERROR(IF($G562="","",$G562*$S$567/$G$567/Cadastro!$E$33),"")</f>
        <v/>
      </c>
      <c r="I562" s="129" t="str">
        <f>IFERROR(IF($D562="","",VLOOKUP($D562,Cadastro!$C$4:$G$7,5,FALSE)),"")</f>
        <v/>
      </c>
      <c r="J562" s="145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 x14ac:dyDescent="0.3">
      <c r="A563" s="69">
        <v>46255</v>
      </c>
      <c r="B563" s="32">
        <f t="shared" si="144"/>
        <v>1.1666666666666665</v>
      </c>
      <c r="C563" s="33"/>
      <c r="D563" s="62"/>
      <c r="E563" s="121"/>
      <c r="F563" s="122" t="str">
        <f>IFERROR(IF($D563="","",VLOOKUP($D563,Cadastro!$C$4:$E$7,3,FALSE)),"")</f>
        <v/>
      </c>
      <c r="G563" s="114"/>
      <c r="H563" s="122" t="str">
        <f>IFERROR(IF($G563="","",$G563*$S$567/$G$567/Cadastro!$E$33),"")</f>
        <v/>
      </c>
      <c r="I563" s="129" t="str">
        <f>IFERROR(IF($D563="","",VLOOKUP($D563,Cadastro!$C$4:$G$7,5,FALSE)),"")</f>
        <v/>
      </c>
      <c r="J563" s="145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 x14ac:dyDescent="0.3">
      <c r="A564" s="68">
        <v>46255</v>
      </c>
      <c r="B564" s="25">
        <f t="shared" si="144"/>
        <v>1.2083333333333333</v>
      </c>
      <c r="C564" s="33"/>
      <c r="D564" s="62"/>
      <c r="E564" s="121"/>
      <c r="F564" s="122" t="str">
        <f>IFERROR(IF($D564="","",VLOOKUP($D564,Cadastro!$C$4:$E$7,3,FALSE)),"")</f>
        <v/>
      </c>
      <c r="G564" s="114"/>
      <c r="H564" s="122" t="str">
        <f>IFERROR(IF($G564="","",$G564*$S$567/$G$567/Cadastro!$E$33),"")</f>
        <v/>
      </c>
      <c r="I564" s="129" t="str">
        <f>IFERROR(IF($D564="","",VLOOKUP($D564,Cadastro!$C$4:$G$7,5,FALSE)),"")</f>
        <v/>
      </c>
      <c r="J564" s="145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 x14ac:dyDescent="0.3">
      <c r="A565" s="69">
        <v>46255</v>
      </c>
      <c r="B565" s="32">
        <f t="shared" si="144"/>
        <v>1.25</v>
      </c>
      <c r="C565" s="33"/>
      <c r="D565" s="62"/>
      <c r="E565" s="121"/>
      <c r="F565" s="122" t="str">
        <f>IFERROR(IF($D565="","",VLOOKUP($D565,Cadastro!$C$4:$E$7,3,FALSE)),"")</f>
        <v/>
      </c>
      <c r="G565" s="114"/>
      <c r="H565" s="122" t="str">
        <f>IFERROR(IF($G565="","",$G565*$S$567/$G$567/Cadastro!$E$33),"")</f>
        <v/>
      </c>
      <c r="I565" s="129" t="str">
        <f>IFERROR(IF($D565="","",VLOOKUP($D565,Cadastro!$C$4:$G$7,5,FALSE)),"")</f>
        <v/>
      </c>
      <c r="J565" s="145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 x14ac:dyDescent="0.35">
      <c r="A566" s="68">
        <v>46255</v>
      </c>
      <c r="B566" s="25">
        <f t="shared" si="144"/>
        <v>1.2916666666666667</v>
      </c>
      <c r="C566" s="33"/>
      <c r="D566" s="62"/>
      <c r="E566" s="121"/>
      <c r="F566" s="118" t="str">
        <f>IFERROR(IF($D566="","",VLOOKUP($D566,Cadastro!$C$4:$E$7,3,FALSE)),"")</f>
        <v/>
      </c>
      <c r="G566" s="114"/>
      <c r="H566" s="118" t="str">
        <f>IFERROR(IF($G566="","",$G566*$S$567/$G$567/Cadastro!$E$33),"")</f>
        <v/>
      </c>
      <c r="I566" s="130" t="str">
        <f>IFERROR(IF($D566="","",VLOOKUP($D566,Cadastro!$C$4:$G$7,5,FALSE)),"")</f>
        <v/>
      </c>
      <c r="J566" s="146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 x14ac:dyDescent="0.35">
      <c r="A567" s="168" t="s">
        <v>234</v>
      </c>
      <c r="B567" s="169"/>
      <c r="C567" s="169"/>
      <c r="D567" s="169"/>
      <c r="E567" s="169">
        <f>SUM(E555:E566)</f>
        <v>0</v>
      </c>
      <c r="F567" s="124"/>
      <c r="G567" s="88">
        <f>SUM(G555:G566)</f>
        <v>0</v>
      </c>
      <c r="H567" s="124">
        <f>IFERROR(SUM(H555:H566),"")</f>
        <v>0</v>
      </c>
      <c r="I567" s="133"/>
      <c r="J567" s="149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232</v>
      </c>
      <c r="S567" s="39"/>
      <c r="T567" s="141">
        <f>IFERROR(J567,"")</f>
        <v>0</v>
      </c>
    </row>
    <row r="568" spans="1:20" ht="18" customHeight="1" x14ac:dyDescent="0.3">
      <c r="A568" s="165" t="s">
        <v>235</v>
      </c>
      <c r="B568" s="166"/>
      <c r="C568" s="166"/>
      <c r="D568" s="166"/>
      <c r="E568" s="166">
        <f>E554+E567</f>
        <v>0</v>
      </c>
      <c r="F568" s="125"/>
      <c r="G568" s="100">
        <f>G554+G567</f>
        <v>0</v>
      </c>
      <c r="H568" s="125">
        <f>IFERROR(H554+H567,"")</f>
        <v>0</v>
      </c>
      <c r="I568" s="134"/>
      <c r="J568" s="150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236</v>
      </c>
      <c r="S568" s="48">
        <f>IFERROR(S554+S567,"")</f>
        <v>0</v>
      </c>
      <c r="T568" s="143">
        <f>IFERROR(J568,"")</f>
        <v>0</v>
      </c>
    </row>
    <row r="569" spans="1:20" ht="15" customHeight="1" x14ac:dyDescent="0.3">
      <c r="A569" s="69">
        <v>46256</v>
      </c>
      <c r="B569" s="32">
        <v>0.33333333333333298</v>
      </c>
      <c r="C569" s="33"/>
      <c r="D569" s="62"/>
      <c r="E569" s="121"/>
      <c r="F569" s="119" t="str">
        <f>IFERROR(IF($D569="","",VLOOKUP($D569,Cadastro!$C$4:$E$7,3,FALSE)),"")</f>
        <v/>
      </c>
      <c r="G569" s="114"/>
      <c r="H569" s="119" t="str">
        <f>IFERROR(IF($G569="","",$G569*$S$581/$G$581/Cadastro!$E$33),"")</f>
        <v/>
      </c>
      <c r="I569" s="132" t="str">
        <f>IFERROR(IF($D569="","",VLOOKUP($D569,Cadastro!$C$4:$G$7,5,FALSE)),"")</f>
        <v/>
      </c>
      <c r="J569" s="148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8">
        <v>46256</v>
      </c>
      <c r="B570" s="25">
        <f t="shared" ref="B570:B580" si="148">B569+TIME(0,60,0)</f>
        <v>0.37499999999999967</v>
      </c>
      <c r="C570" s="33"/>
      <c r="D570" s="62"/>
      <c r="E570" s="121"/>
      <c r="F570" s="122" t="str">
        <f>IFERROR(IF($D570="","",VLOOKUP($D570,Cadastro!$C$4:$E$7,3,FALSE)),"")</f>
        <v/>
      </c>
      <c r="G570" s="114"/>
      <c r="H570" s="122" t="str">
        <f>IFERROR(IF($G570="","",$G570*$S$581/$G$581/Cadastro!$E$33),"")</f>
        <v/>
      </c>
      <c r="I570" s="129" t="str">
        <f>IFERROR(IF($D570="","",VLOOKUP($D570,Cadastro!$C$4:$G$7,5,FALSE)),"")</f>
        <v/>
      </c>
      <c r="J570" s="145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 x14ac:dyDescent="0.3">
      <c r="A571" s="69">
        <v>46256</v>
      </c>
      <c r="B571" s="32">
        <f t="shared" si="148"/>
        <v>0.41666666666666635</v>
      </c>
      <c r="C571" s="33"/>
      <c r="D571" s="62"/>
      <c r="E571" s="121"/>
      <c r="F571" s="122" t="str">
        <f>IFERROR(IF($D571="","",VLOOKUP($D571,Cadastro!$C$4:$E$7,3,FALSE)),"")</f>
        <v/>
      </c>
      <c r="G571" s="114"/>
      <c r="H571" s="122" t="str">
        <f>IFERROR(IF($G571="","",$G571*$S$581/$G$581/Cadastro!$E$33),"")</f>
        <v/>
      </c>
      <c r="I571" s="129" t="str">
        <f>IFERROR(IF($D571="","",VLOOKUP($D571,Cadastro!$C$4:$G$7,5,FALSE)),"")</f>
        <v/>
      </c>
      <c r="J571" s="145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 x14ac:dyDescent="0.3">
      <c r="A572" s="68">
        <v>46256</v>
      </c>
      <c r="B572" s="25">
        <f t="shared" si="148"/>
        <v>0.45833333333333304</v>
      </c>
      <c r="C572" s="33"/>
      <c r="D572" s="62"/>
      <c r="E572" s="121"/>
      <c r="F572" s="122" t="str">
        <f>IFERROR(IF($D572="","",VLOOKUP($D572,Cadastro!$C$4:$E$7,3,FALSE)),"")</f>
        <v/>
      </c>
      <c r="G572" s="114"/>
      <c r="H572" s="122" t="str">
        <f>IFERROR(IF($G572="","",$G572*$S$581/$G$581/Cadastro!$E$33),"")</f>
        <v/>
      </c>
      <c r="I572" s="129" t="str">
        <f>IFERROR(IF($D572="","",VLOOKUP($D572,Cadastro!$C$4:$G$7,5,FALSE)),"")</f>
        <v/>
      </c>
      <c r="J572" s="145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 x14ac:dyDescent="0.3">
      <c r="A573" s="69">
        <v>46256</v>
      </c>
      <c r="B573" s="32">
        <f t="shared" si="148"/>
        <v>0.49999999999999972</v>
      </c>
      <c r="C573" s="33"/>
      <c r="D573" s="62"/>
      <c r="E573" s="121"/>
      <c r="F573" s="122" t="str">
        <f>IFERROR(IF($D573="","",VLOOKUP($D573,Cadastro!$C$4:$E$7,3,FALSE)),"")</f>
        <v/>
      </c>
      <c r="G573" s="114"/>
      <c r="H573" s="122" t="str">
        <f>IFERROR(IF($G573="","",$G573*$S$581/$G$581/Cadastro!$E$33),"")</f>
        <v/>
      </c>
      <c r="I573" s="129" t="str">
        <f>IFERROR(IF($D573="","",VLOOKUP($D573,Cadastro!$C$4:$G$7,5,FALSE)),"")</f>
        <v/>
      </c>
      <c r="J573" s="145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 x14ac:dyDescent="0.3">
      <c r="A574" s="68">
        <v>46256</v>
      </c>
      <c r="B574" s="25">
        <f t="shared" si="148"/>
        <v>0.54166666666666641</v>
      </c>
      <c r="C574" s="33"/>
      <c r="D574" s="62"/>
      <c r="E574" s="121"/>
      <c r="F574" s="122" t="str">
        <f>IFERROR(IF($D574="","",VLOOKUP($D574,Cadastro!$C$4:$E$7,3,FALSE)),"")</f>
        <v/>
      </c>
      <c r="G574" s="114"/>
      <c r="H574" s="122" t="str">
        <f>IFERROR(IF($G574="","",$G574*$S$581/$G$581/Cadastro!$E$33),"")</f>
        <v/>
      </c>
      <c r="I574" s="129" t="str">
        <f>IFERROR(IF($D574="","",VLOOKUP($D574,Cadastro!$C$4:$G$7,5,FALSE)),"")</f>
        <v/>
      </c>
      <c r="J574" s="145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 x14ac:dyDescent="0.3">
      <c r="A575" s="69">
        <v>46256</v>
      </c>
      <c r="B575" s="32">
        <f t="shared" si="148"/>
        <v>0.58333333333333304</v>
      </c>
      <c r="C575" s="33"/>
      <c r="D575" s="62"/>
      <c r="E575" s="121"/>
      <c r="F575" s="122" t="str">
        <f>IFERROR(IF($D575="","",VLOOKUP($D575,Cadastro!$C$4:$E$7,3,FALSE)),"")</f>
        <v/>
      </c>
      <c r="G575" s="114"/>
      <c r="H575" s="122" t="str">
        <f>IFERROR(IF($G575="","",$G575*$S$581/$G$581/Cadastro!$E$33),"")</f>
        <v/>
      </c>
      <c r="I575" s="129" t="str">
        <f>IFERROR(IF($D575="","",VLOOKUP($D575,Cadastro!$C$4:$G$7,5,FALSE)),"")</f>
        <v/>
      </c>
      <c r="J575" s="145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 x14ac:dyDescent="0.3">
      <c r="A576" s="68">
        <v>46256</v>
      </c>
      <c r="B576" s="25">
        <f t="shared" si="148"/>
        <v>0.62499999999999967</v>
      </c>
      <c r="C576" s="33"/>
      <c r="D576" s="62"/>
      <c r="E576" s="121"/>
      <c r="F576" s="122" t="str">
        <f>IFERROR(IF($D576="","",VLOOKUP($D576,Cadastro!$C$4:$E$7,3,FALSE)),"")</f>
        <v/>
      </c>
      <c r="G576" s="116"/>
      <c r="H576" s="122" t="str">
        <f>IFERROR(IF($G576="","",$G576*$S$581/$G$581/Cadastro!$E$33),"")</f>
        <v/>
      </c>
      <c r="I576" s="129" t="str">
        <f>IFERROR(IF($D576="","",VLOOKUP($D576,Cadastro!$C$4:$G$7,5,FALSE)),"")</f>
        <v/>
      </c>
      <c r="J576" s="145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 x14ac:dyDescent="0.3">
      <c r="A577" s="69">
        <v>46256</v>
      </c>
      <c r="B577" s="32">
        <f t="shared" si="148"/>
        <v>0.6666666666666663</v>
      </c>
      <c r="C577" s="33"/>
      <c r="D577" s="62"/>
      <c r="E577" s="121"/>
      <c r="F577" s="122" t="str">
        <f>IFERROR(IF($D577="","",VLOOKUP($D577,Cadastro!$C$4:$E$7,3,FALSE)),"")</f>
        <v/>
      </c>
      <c r="G577" s="114"/>
      <c r="H577" s="122" t="str">
        <f>IFERROR(IF($G577="","",$G577*$S$581/$G$581/Cadastro!$E$33),"")</f>
        <v/>
      </c>
      <c r="I577" s="129" t="str">
        <f>IFERROR(IF($D577="","",VLOOKUP($D577,Cadastro!$C$4:$G$7,5,FALSE)),"")</f>
        <v/>
      </c>
      <c r="J577" s="145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 x14ac:dyDescent="0.3">
      <c r="A578" s="68">
        <v>46256</v>
      </c>
      <c r="B578" s="25">
        <f t="shared" si="148"/>
        <v>0.70833333333333293</v>
      </c>
      <c r="C578" s="33"/>
      <c r="D578" s="62"/>
      <c r="E578" s="121"/>
      <c r="F578" s="122" t="str">
        <f>IFERROR(IF($D578="","",VLOOKUP($D578,Cadastro!$C$4:$E$7,3,FALSE)),"")</f>
        <v/>
      </c>
      <c r="G578" s="114"/>
      <c r="H578" s="122" t="str">
        <f>IFERROR(IF($G578="","",$G578*$S$581/$G$581/Cadastro!$E$33),"")</f>
        <v/>
      </c>
      <c r="I578" s="129" t="str">
        <f>IFERROR(IF($D578="","",VLOOKUP($D578,Cadastro!$C$4:$G$7,5,FALSE)),"")</f>
        <v/>
      </c>
      <c r="J578" s="145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 x14ac:dyDescent="0.3">
      <c r="A579" s="69">
        <v>46256</v>
      </c>
      <c r="B579" s="32">
        <f t="shared" si="148"/>
        <v>0.74999999999999956</v>
      </c>
      <c r="C579" s="33"/>
      <c r="D579" s="62"/>
      <c r="E579" s="121"/>
      <c r="F579" s="122" t="str">
        <f>IFERROR(IF($D579="","",VLOOKUP($D579,Cadastro!$C$4:$E$7,3,FALSE)),"")</f>
        <v/>
      </c>
      <c r="G579" s="114"/>
      <c r="H579" s="122" t="str">
        <f>IFERROR(IF($G579="","",$G579*$S$581/$G$581/Cadastro!$E$33),"")</f>
        <v/>
      </c>
      <c r="I579" s="129" t="str">
        <f>IFERROR(IF($D579="","",VLOOKUP($D579,Cadastro!$C$4:$G$7,5,FALSE)),"")</f>
        <v/>
      </c>
      <c r="J579" s="145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 x14ac:dyDescent="0.35">
      <c r="A580" s="68">
        <v>46256</v>
      </c>
      <c r="B580" s="25">
        <f t="shared" si="148"/>
        <v>0.79166666666666619</v>
      </c>
      <c r="C580" s="33"/>
      <c r="D580" s="62"/>
      <c r="E580" s="121"/>
      <c r="F580" s="118" t="str">
        <f>IFERROR(IF($D580="","",VLOOKUP($D580,Cadastro!$C$4:$E$7,3,FALSE)),"")</f>
        <v/>
      </c>
      <c r="G580" s="114"/>
      <c r="H580" s="118" t="str">
        <f>IFERROR(IF($G580="","",$G580*$S$581/$G$581/Cadastro!$E$33),"")</f>
        <v/>
      </c>
      <c r="I580" s="130" t="str">
        <f>IFERROR(IF($D580="","",VLOOKUP($D580,Cadastro!$C$4:$G$7,5,FALSE)),"")</f>
        <v/>
      </c>
      <c r="J580" s="146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 x14ac:dyDescent="0.35">
      <c r="A581" s="168" t="s">
        <v>231</v>
      </c>
      <c r="B581" s="169"/>
      <c r="C581" s="169"/>
      <c r="D581" s="169"/>
      <c r="E581" s="169">
        <f>SUM(E569:E580)</f>
        <v>0</v>
      </c>
      <c r="F581" s="123"/>
      <c r="G581" s="88">
        <f>SUM(G569:G580)</f>
        <v>0</v>
      </c>
      <c r="H581" s="123">
        <f>IFERROR(SUM(H569:H580),"")</f>
        <v>0</v>
      </c>
      <c r="I581" s="131"/>
      <c r="J581" s="147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232</v>
      </c>
      <c r="S581" s="39"/>
      <c r="T581" s="141">
        <f>IFERROR(J581,"")</f>
        <v>0</v>
      </c>
    </row>
    <row r="582" spans="1:20" ht="15" customHeight="1" x14ac:dyDescent="0.3">
      <c r="A582" s="68">
        <v>46256</v>
      </c>
      <c r="B582" s="25">
        <v>0.83333333333333304</v>
      </c>
      <c r="C582" s="26"/>
      <c r="D582" s="59"/>
      <c r="E582" s="120"/>
      <c r="F582" s="119" t="str">
        <f>IFERROR(IF($D582="","",VLOOKUP($D582,Cadastro!$C$4:$E$7,3,FALSE)),"")</f>
        <v/>
      </c>
      <c r="G582" s="114"/>
      <c r="H582" s="119" t="str">
        <f>IFERROR(IF($G582="","",$G582*$S$594/$G$594/Cadastro!$E$33),"")</f>
        <v/>
      </c>
      <c r="I582" s="132" t="str">
        <f>IFERROR(IF($D582="","",VLOOKUP($D582,Cadastro!$C$4:$G$7,5,FALSE)),"")</f>
        <v/>
      </c>
      <c r="J582" s="148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9">
        <v>46256</v>
      </c>
      <c r="B583" s="32">
        <f t="shared" ref="B583:B593" si="152">B582+TIME(0,60,0)</f>
        <v>0.87499999999999967</v>
      </c>
      <c r="C583" s="26"/>
      <c r="D583" s="59"/>
      <c r="E583" s="120"/>
      <c r="F583" s="122" t="str">
        <f>IFERROR(IF($D583="","",VLOOKUP($D583,Cadastro!$C$4:$E$7,3,FALSE)),"")</f>
        <v/>
      </c>
      <c r="G583" s="114"/>
      <c r="H583" s="122" t="str">
        <f>IFERROR(IF($G583="","",$G583*$S$594/$G$594/Cadastro!$E$33),"")</f>
        <v/>
      </c>
      <c r="I583" s="129" t="str">
        <f>IFERROR(IF($D583="","",VLOOKUP($D583,Cadastro!$C$4:$G$7,5,FALSE)),"")</f>
        <v/>
      </c>
      <c r="J583" s="145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 x14ac:dyDescent="0.3">
      <c r="A584" s="68">
        <v>46256</v>
      </c>
      <c r="B584" s="25">
        <f t="shared" si="152"/>
        <v>0.9166666666666663</v>
      </c>
      <c r="C584" s="26"/>
      <c r="D584" s="59"/>
      <c r="E584" s="120"/>
      <c r="F584" s="122" t="str">
        <f>IFERROR(IF($D584="","",VLOOKUP($D584,Cadastro!$C$4:$E$7,3,FALSE)),"")</f>
        <v/>
      </c>
      <c r="G584" s="114"/>
      <c r="H584" s="122" t="str">
        <f>IFERROR(IF($G584="","",$G584*$S$594/$G$594/Cadastro!$E$33),"")</f>
        <v/>
      </c>
      <c r="I584" s="129" t="str">
        <f>IFERROR(IF($D584="","",VLOOKUP($D584,Cadastro!$C$4:$G$7,5,FALSE)),"")</f>
        <v/>
      </c>
      <c r="J584" s="145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 x14ac:dyDescent="0.3">
      <c r="A585" s="69">
        <v>46256</v>
      </c>
      <c r="B585" s="32">
        <f t="shared" si="152"/>
        <v>0.95833333333333293</v>
      </c>
      <c r="C585" s="26"/>
      <c r="D585" s="59"/>
      <c r="E585" s="120"/>
      <c r="F585" s="122" t="str">
        <f>IFERROR(IF($D585="","",VLOOKUP($D585,Cadastro!$C$4:$E$7,3,FALSE)),"")</f>
        <v/>
      </c>
      <c r="G585" s="114"/>
      <c r="H585" s="122" t="str">
        <f>IFERROR(IF($G585="","",$G585*$S$594/$G$594/Cadastro!$E$33),"")</f>
        <v/>
      </c>
      <c r="I585" s="129" t="str">
        <f>IFERROR(IF($D585="","",VLOOKUP($D585,Cadastro!$C$4:$G$7,5,FALSE)),"")</f>
        <v/>
      </c>
      <c r="J585" s="145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 x14ac:dyDescent="0.3">
      <c r="A586" s="68">
        <v>46256</v>
      </c>
      <c r="B586" s="25">
        <f t="shared" si="152"/>
        <v>0.99999999999999956</v>
      </c>
      <c r="C586" s="26"/>
      <c r="D586" s="59"/>
      <c r="E586" s="120"/>
      <c r="F586" s="122" t="str">
        <f>IFERROR(IF($D586="","",VLOOKUP($D586,Cadastro!$C$4:$E$7,3,FALSE)),"")</f>
        <v/>
      </c>
      <c r="G586" s="114"/>
      <c r="H586" s="122" t="str">
        <f>IFERROR(IF($G586="","",$G586*$S$594/$G$594/Cadastro!$E$33),"")</f>
        <v/>
      </c>
      <c r="I586" s="129" t="str">
        <f>IFERROR(IF($D586="","",VLOOKUP($D586,Cadastro!$C$4:$G$7,5,FALSE)),"")</f>
        <v/>
      </c>
      <c r="J586" s="145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 x14ac:dyDescent="0.3">
      <c r="A587" s="69">
        <v>46256</v>
      </c>
      <c r="B587" s="32">
        <f t="shared" si="152"/>
        <v>1.0416666666666663</v>
      </c>
      <c r="C587" s="26"/>
      <c r="D587" s="59"/>
      <c r="E587" s="120"/>
      <c r="F587" s="122" t="str">
        <f>IFERROR(IF($D587="","",VLOOKUP($D587,Cadastro!$C$4:$E$7,3,FALSE)),"")</f>
        <v/>
      </c>
      <c r="G587" s="114"/>
      <c r="H587" s="122" t="str">
        <f>IFERROR(IF($G587="","",$G587*$S$594/$G$594/Cadastro!$E$33),"")</f>
        <v/>
      </c>
      <c r="I587" s="129" t="str">
        <f>IFERROR(IF($D587="","",VLOOKUP($D587,Cadastro!$C$4:$G$7,5,FALSE)),"")</f>
        <v/>
      </c>
      <c r="J587" s="145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 x14ac:dyDescent="0.3">
      <c r="A588" s="68">
        <v>46256</v>
      </c>
      <c r="B588" s="25">
        <f t="shared" si="152"/>
        <v>1.083333333333333</v>
      </c>
      <c r="C588" s="26"/>
      <c r="D588" s="59"/>
      <c r="E588" s="120"/>
      <c r="F588" s="122" t="str">
        <f>IFERROR(IF($D588="","",VLOOKUP($D588,Cadastro!$C$4:$E$7,3,FALSE)),"")</f>
        <v/>
      </c>
      <c r="G588" s="114"/>
      <c r="H588" s="122" t="str">
        <f>IFERROR(IF($G588="","",$G588*$S$594/$G$594/Cadastro!$E$33),"")</f>
        <v/>
      </c>
      <c r="I588" s="129" t="str">
        <f>IFERROR(IF($D588="","",VLOOKUP($D588,Cadastro!$C$4:$G$7,5,FALSE)),"")</f>
        <v/>
      </c>
      <c r="J588" s="145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 x14ac:dyDescent="0.3">
      <c r="A589" s="69">
        <v>46256</v>
      </c>
      <c r="B589" s="32">
        <f t="shared" si="152"/>
        <v>1.1249999999999998</v>
      </c>
      <c r="C589" s="26"/>
      <c r="D589" s="59"/>
      <c r="E589" s="120"/>
      <c r="F589" s="122" t="str">
        <f>IFERROR(IF($D589="","",VLOOKUP($D589,Cadastro!$C$4:$E$7,3,FALSE)),"")</f>
        <v/>
      </c>
      <c r="G589" s="114"/>
      <c r="H589" s="122" t="str">
        <f>IFERROR(IF($G589="","",$G589*$S$594/$G$594/Cadastro!$E$33),"")</f>
        <v/>
      </c>
      <c r="I589" s="129" t="str">
        <f>IFERROR(IF($D589="","",VLOOKUP($D589,Cadastro!$C$4:$G$7,5,FALSE)),"")</f>
        <v/>
      </c>
      <c r="J589" s="145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 x14ac:dyDescent="0.3">
      <c r="B590" s="25">
        <f t="shared" si="152"/>
        <v>1.1666666666666665</v>
      </c>
      <c r="C590" s="26"/>
      <c r="D590" s="59"/>
      <c r="E590" s="120"/>
      <c r="F590" s="122" t="str">
        <f>IFERROR(IF($D590="","",VLOOKUP($D590,Cadastro!$C$4:$E$7,3,FALSE)),"")</f>
        <v/>
      </c>
      <c r="G590" s="114"/>
      <c r="H590" s="122" t="str">
        <f>IFERROR(IF($G590="","",$G590*$S$594/$G$594/Cadastro!$E$33),"")</f>
        <v/>
      </c>
      <c r="I590" s="129" t="str">
        <f>IFERROR(IF($D590="","",VLOOKUP($D590,Cadastro!$C$4:$G$7,5,FALSE)),"")</f>
        <v/>
      </c>
      <c r="J590" s="145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 x14ac:dyDescent="0.3">
      <c r="A591" s="69">
        <v>46256</v>
      </c>
      <c r="B591" s="32">
        <f t="shared" si="152"/>
        <v>1.2083333333333333</v>
      </c>
      <c r="C591" s="26"/>
      <c r="D591" s="59"/>
      <c r="E591" s="120"/>
      <c r="F591" s="122" t="str">
        <f>IFERROR(IF($D591="","",VLOOKUP($D591,Cadastro!$C$4:$E$7,3,FALSE)),"")</f>
        <v/>
      </c>
      <c r="G591" s="114"/>
      <c r="H591" s="122" t="str">
        <f>IFERROR(IF($G591="","",$G591*$S$594/$G$594/Cadastro!$E$33),"")</f>
        <v/>
      </c>
      <c r="I591" s="129" t="str">
        <f>IFERROR(IF($D591="","",VLOOKUP($D591,Cadastro!$C$4:$G$7,5,FALSE)),"")</f>
        <v/>
      </c>
      <c r="J591" s="145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 x14ac:dyDescent="0.3">
      <c r="A592" s="68">
        <v>46256</v>
      </c>
      <c r="B592" s="25">
        <f t="shared" si="152"/>
        <v>1.25</v>
      </c>
      <c r="C592" s="26"/>
      <c r="D592" s="59"/>
      <c r="E592" s="120"/>
      <c r="F592" s="122" t="str">
        <f>IFERROR(IF($D592="","",VLOOKUP($D592,Cadastro!$C$4:$E$7,3,FALSE)),"")</f>
        <v/>
      </c>
      <c r="G592" s="114"/>
      <c r="H592" s="122" t="str">
        <f>IFERROR(IF($G592="","",$G592*$S$594/$G$594/Cadastro!$E$33),"")</f>
        <v/>
      </c>
      <c r="I592" s="129" t="str">
        <f>IFERROR(IF($D592="","",VLOOKUP($D592,Cadastro!$C$4:$G$7,5,FALSE)),"")</f>
        <v/>
      </c>
      <c r="J592" s="145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 x14ac:dyDescent="0.35">
      <c r="A593" s="69">
        <v>46256</v>
      </c>
      <c r="B593" s="32">
        <f t="shared" si="152"/>
        <v>1.2916666666666667</v>
      </c>
      <c r="C593" s="26"/>
      <c r="D593" s="59"/>
      <c r="E593" s="120"/>
      <c r="F593" s="118" t="str">
        <f>IFERROR(IF($D593="","",VLOOKUP($D593,Cadastro!$C$4:$E$7,3,FALSE)),"")</f>
        <v/>
      </c>
      <c r="G593" s="114"/>
      <c r="H593" s="118" t="str">
        <f>IFERROR(IF($G593="","",$G593*$S$594/$G$594/Cadastro!$E$33),"")</f>
        <v/>
      </c>
      <c r="I593" s="130" t="str">
        <f>IFERROR(IF($D593="","",VLOOKUP($D593,Cadastro!$C$4:$G$7,5,FALSE)),"")</f>
        <v/>
      </c>
      <c r="J593" s="146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 x14ac:dyDescent="0.35">
      <c r="A594" s="168" t="s">
        <v>234</v>
      </c>
      <c r="B594" s="169"/>
      <c r="C594" s="169"/>
      <c r="D594" s="169"/>
      <c r="E594" s="169">
        <f>SUM(E582:E593)</f>
        <v>0</v>
      </c>
      <c r="F594" s="124"/>
      <c r="G594" s="88">
        <f>SUM(G582:G593)</f>
        <v>0</v>
      </c>
      <c r="H594" s="124">
        <f>IFERROR(SUM(H582:H593),"")</f>
        <v>0</v>
      </c>
      <c r="I594" s="133"/>
      <c r="J594" s="149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232</v>
      </c>
      <c r="S594" s="39"/>
      <c r="T594" s="141">
        <f>IFERROR(J594,"")</f>
        <v>0</v>
      </c>
    </row>
    <row r="595" spans="1:20" ht="18" customHeight="1" x14ac:dyDescent="0.3">
      <c r="A595" s="165" t="s">
        <v>235</v>
      </c>
      <c r="B595" s="166"/>
      <c r="C595" s="166"/>
      <c r="D595" s="166"/>
      <c r="E595" s="166">
        <f>E581+E594</f>
        <v>0</v>
      </c>
      <c r="F595" s="125"/>
      <c r="G595" s="100">
        <f>G581+G594</f>
        <v>0</v>
      </c>
      <c r="H595" s="125">
        <f>IFERROR(H581+H594,"")</f>
        <v>0</v>
      </c>
      <c r="I595" s="134"/>
      <c r="J595" s="150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236</v>
      </c>
      <c r="S595" s="48">
        <f>IFERROR(S581+S594,"")</f>
        <v>0</v>
      </c>
      <c r="T595" s="143">
        <f>IFERROR(J595,"")</f>
        <v>0</v>
      </c>
    </row>
    <row r="596" spans="1:20" ht="15" customHeight="1" x14ac:dyDescent="0.3">
      <c r="A596" s="68">
        <v>46257</v>
      </c>
      <c r="B596" s="25">
        <v>0.33333333333333298</v>
      </c>
      <c r="C596" s="26"/>
      <c r="D596" s="59"/>
      <c r="E596" s="120"/>
      <c r="F596" s="119" t="str">
        <f>IFERROR(IF($D596="","",VLOOKUP($D596,Cadastro!$C$4:$E$7,3,FALSE)),"")</f>
        <v/>
      </c>
      <c r="G596" s="114"/>
      <c r="H596" s="119" t="str">
        <f>IFERROR(IF($G596="","",$G596*$S$608/$G$608/Cadastro!$E$33),"")</f>
        <v/>
      </c>
      <c r="I596" s="132" t="str">
        <f>IFERROR(IF($D596="","",VLOOKUP($D596,Cadastro!$C$4:$G$7,5,FALSE)),"")</f>
        <v/>
      </c>
      <c r="J596" s="148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9">
        <v>46257</v>
      </c>
      <c r="B597" s="32">
        <f t="shared" ref="B597:B607" si="156">B596+TIME(0,60,0)</f>
        <v>0.37499999999999967</v>
      </c>
      <c r="C597" s="26"/>
      <c r="D597" s="59"/>
      <c r="E597" s="120"/>
      <c r="F597" s="122" t="str">
        <f>IFERROR(IF($D597="","",VLOOKUP($D597,Cadastro!$C$4:$E$7,3,FALSE)),"")</f>
        <v/>
      </c>
      <c r="G597" s="114"/>
      <c r="H597" s="122" t="str">
        <f>IFERROR(IF($G597="","",$G597*$S$608/$G$608/Cadastro!$E$33),"")</f>
        <v/>
      </c>
      <c r="I597" s="129" t="str">
        <f>IFERROR(IF($D597="","",VLOOKUP($D597,Cadastro!$C$4:$G$7,5,FALSE)),"")</f>
        <v/>
      </c>
      <c r="J597" s="145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 x14ac:dyDescent="0.3">
      <c r="A598" s="68">
        <v>46256</v>
      </c>
      <c r="B598" s="25">
        <f t="shared" si="156"/>
        <v>0.41666666666666635</v>
      </c>
      <c r="C598" s="26"/>
      <c r="D598" s="59"/>
      <c r="E598" s="120"/>
      <c r="F598" s="122" t="str">
        <f>IFERROR(IF($D598="","",VLOOKUP($D598,Cadastro!$C$4:$E$7,3,FALSE)),"")</f>
        <v/>
      </c>
      <c r="G598" s="114"/>
      <c r="H598" s="122" t="str">
        <f>IFERROR(IF($G598="","",$G598*$S$608/$G$608/Cadastro!$E$33),"")</f>
        <v/>
      </c>
      <c r="I598" s="129" t="str">
        <f>IFERROR(IF($D598="","",VLOOKUP($D598,Cadastro!$C$4:$G$7,5,FALSE)),"")</f>
        <v/>
      </c>
      <c r="J598" s="145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 x14ac:dyDescent="0.3">
      <c r="A599" s="69">
        <v>46257</v>
      </c>
      <c r="B599" s="32">
        <f t="shared" si="156"/>
        <v>0.45833333333333304</v>
      </c>
      <c r="C599" s="26"/>
      <c r="D599" s="59"/>
      <c r="E599" s="120"/>
      <c r="F599" s="122" t="str">
        <f>IFERROR(IF($D599="","",VLOOKUP($D599,Cadastro!$C$4:$E$7,3,FALSE)),"")</f>
        <v/>
      </c>
      <c r="G599" s="114"/>
      <c r="H599" s="122" t="str">
        <f>IFERROR(IF($G599="","",$G599*$S$608/$G$608/Cadastro!$E$33),"")</f>
        <v/>
      </c>
      <c r="I599" s="129" t="str">
        <f>IFERROR(IF($D599="","",VLOOKUP($D599,Cadastro!$C$4:$G$7,5,FALSE)),"")</f>
        <v/>
      </c>
      <c r="J599" s="145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 x14ac:dyDescent="0.3">
      <c r="A600" s="68">
        <v>46257</v>
      </c>
      <c r="B600" s="25">
        <f t="shared" si="156"/>
        <v>0.49999999999999972</v>
      </c>
      <c r="C600" s="26"/>
      <c r="D600" s="59"/>
      <c r="E600" s="120"/>
      <c r="F600" s="122" t="str">
        <f>IFERROR(IF($D600="","",VLOOKUP($D600,Cadastro!$C$4:$E$7,3,FALSE)),"")</f>
        <v/>
      </c>
      <c r="G600" s="114"/>
      <c r="H600" s="122" t="str">
        <f>IFERROR(IF($G600="","",$G600*$S$608/$G$608/Cadastro!$E$33),"")</f>
        <v/>
      </c>
      <c r="I600" s="129" t="str">
        <f>IFERROR(IF($D600="","",VLOOKUP($D600,Cadastro!$C$4:$G$7,5,FALSE)),"")</f>
        <v/>
      </c>
      <c r="J600" s="145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 x14ac:dyDescent="0.3">
      <c r="A601" s="69">
        <v>46257</v>
      </c>
      <c r="B601" s="32">
        <f t="shared" si="156"/>
        <v>0.54166666666666641</v>
      </c>
      <c r="C601" s="26"/>
      <c r="D601" s="59"/>
      <c r="E601" s="120"/>
      <c r="F601" s="122" t="str">
        <f>IFERROR(IF($D601="","",VLOOKUP($D601,Cadastro!$C$4:$E$7,3,FALSE)),"")</f>
        <v/>
      </c>
      <c r="G601" s="114"/>
      <c r="H601" s="122" t="str">
        <f>IFERROR(IF($G601="","",$G601*$S$608/$G$608/Cadastro!$E$33),"")</f>
        <v/>
      </c>
      <c r="I601" s="129" t="str">
        <f>IFERROR(IF($D601="","",VLOOKUP($D601,Cadastro!$C$4:$G$7,5,FALSE)),"")</f>
        <v/>
      </c>
      <c r="J601" s="145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 x14ac:dyDescent="0.3">
      <c r="A602" s="68">
        <v>46257</v>
      </c>
      <c r="B602" s="25">
        <f t="shared" si="156"/>
        <v>0.58333333333333304</v>
      </c>
      <c r="C602" s="26"/>
      <c r="D602" s="59"/>
      <c r="E602" s="120"/>
      <c r="F602" s="122" t="str">
        <f>IFERROR(IF($D602="","",VLOOKUP($D602,Cadastro!$C$4:$E$7,3,FALSE)),"")</f>
        <v/>
      </c>
      <c r="G602" s="114"/>
      <c r="H602" s="122" t="str">
        <f>IFERROR(IF($G602="","",$G602*$S$608/$G$608/Cadastro!$E$33),"")</f>
        <v/>
      </c>
      <c r="I602" s="129" t="str">
        <f>IFERROR(IF($D602="","",VLOOKUP($D602,Cadastro!$C$4:$G$7,5,FALSE)),"")</f>
        <v/>
      </c>
      <c r="J602" s="145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 x14ac:dyDescent="0.3">
      <c r="A603" s="69">
        <v>46257</v>
      </c>
      <c r="B603" s="32">
        <f t="shared" si="156"/>
        <v>0.62499999999999967</v>
      </c>
      <c r="C603" s="26"/>
      <c r="D603" s="59"/>
      <c r="E603" s="120"/>
      <c r="F603" s="122" t="str">
        <f>IFERROR(IF($D603="","",VLOOKUP($D603,Cadastro!$C$4:$E$7,3,FALSE)),"")</f>
        <v/>
      </c>
      <c r="G603" s="114"/>
      <c r="H603" s="122" t="str">
        <f>IFERROR(IF($G603="","",$G603*$S$608/$G$608/Cadastro!$E$33),"")</f>
        <v/>
      </c>
      <c r="I603" s="129" t="str">
        <f>IFERROR(IF($D603="","",VLOOKUP($D603,Cadastro!$C$4:$G$7,5,FALSE)),"")</f>
        <v/>
      </c>
      <c r="J603" s="145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 x14ac:dyDescent="0.3">
      <c r="A604" s="68">
        <v>46257</v>
      </c>
      <c r="B604" s="25">
        <f t="shared" si="156"/>
        <v>0.6666666666666663</v>
      </c>
      <c r="C604" s="26"/>
      <c r="D604" s="59"/>
      <c r="E604" s="120"/>
      <c r="F604" s="122" t="str">
        <f>IFERROR(IF($D604="","",VLOOKUP($D604,Cadastro!$C$4:$E$7,3,FALSE)),"")</f>
        <v/>
      </c>
      <c r="G604" s="114"/>
      <c r="H604" s="122" t="str">
        <f>IFERROR(IF($G604="","",$G604*$S$608/$G$608/Cadastro!$E$33),"")</f>
        <v/>
      </c>
      <c r="I604" s="129" t="str">
        <f>IFERROR(IF($D604="","",VLOOKUP($D604,Cadastro!$C$4:$G$7,5,FALSE)),"")</f>
        <v/>
      </c>
      <c r="J604" s="145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 x14ac:dyDescent="0.3">
      <c r="A605" s="69">
        <v>46257</v>
      </c>
      <c r="B605" s="32">
        <f t="shared" si="156"/>
        <v>0.70833333333333293</v>
      </c>
      <c r="C605" s="26"/>
      <c r="D605" s="59"/>
      <c r="E605" s="120"/>
      <c r="F605" s="122" t="str">
        <f>IFERROR(IF($D605="","",VLOOKUP($D605,Cadastro!$C$4:$E$7,3,FALSE)),"")</f>
        <v/>
      </c>
      <c r="G605" s="114"/>
      <c r="H605" s="122" t="str">
        <f>IFERROR(IF($G605="","",$G605*$S$608/$G$608/Cadastro!$E$33),"")</f>
        <v/>
      </c>
      <c r="I605" s="129" t="str">
        <f>IFERROR(IF($D605="","",VLOOKUP($D605,Cadastro!$C$4:$G$7,5,FALSE)),"")</f>
        <v/>
      </c>
      <c r="J605" s="145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 x14ac:dyDescent="0.3">
      <c r="A606" s="68">
        <v>46257</v>
      </c>
      <c r="B606" s="25">
        <f t="shared" si="156"/>
        <v>0.74999999999999956</v>
      </c>
      <c r="C606" s="26"/>
      <c r="D606" s="59"/>
      <c r="E606" s="120"/>
      <c r="F606" s="122" t="str">
        <f>IFERROR(IF($D606="","",VLOOKUP($D606,Cadastro!$C$4:$E$7,3,FALSE)),"")</f>
        <v/>
      </c>
      <c r="G606" s="114"/>
      <c r="H606" s="122" t="str">
        <f>IFERROR(IF($G606="","",$G606*$S$608/$G$608/Cadastro!$E$33),"")</f>
        <v/>
      </c>
      <c r="I606" s="129" t="str">
        <f>IFERROR(IF($D606="","",VLOOKUP($D606,Cadastro!$C$4:$G$7,5,FALSE)),"")</f>
        <v/>
      </c>
      <c r="J606" s="145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 x14ac:dyDescent="0.35">
      <c r="A607" s="69">
        <v>46257</v>
      </c>
      <c r="B607" s="32">
        <f t="shared" si="156"/>
        <v>0.79166666666666619</v>
      </c>
      <c r="C607" s="26"/>
      <c r="D607" s="59"/>
      <c r="E607" s="120"/>
      <c r="F607" s="118" t="str">
        <f>IFERROR(IF($D607="","",VLOOKUP($D607,Cadastro!$C$4:$E$7,3,FALSE)),"")</f>
        <v/>
      </c>
      <c r="G607" s="114"/>
      <c r="H607" s="118" t="str">
        <f>IFERROR(IF($G607="","",$G607*$S$608/$G$608/Cadastro!$E$33),"")</f>
        <v/>
      </c>
      <c r="I607" s="130" t="str">
        <f>IFERROR(IF($D607="","",VLOOKUP($D607,Cadastro!$C$4:$G$7,5,FALSE)),"")</f>
        <v/>
      </c>
      <c r="J607" s="146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 x14ac:dyDescent="0.35">
      <c r="A608" s="168" t="s">
        <v>231</v>
      </c>
      <c r="B608" s="169"/>
      <c r="C608" s="169"/>
      <c r="D608" s="169"/>
      <c r="E608" s="169">
        <f>SUM(E596:E607)</f>
        <v>0</v>
      </c>
      <c r="F608" s="123"/>
      <c r="G608" s="88">
        <f>SUM(G596:G607)</f>
        <v>0</v>
      </c>
      <c r="H608" s="123">
        <f>IFERROR(SUM(H596:H607),"")</f>
        <v>0</v>
      </c>
      <c r="I608" s="131"/>
      <c r="J608" s="147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232</v>
      </c>
      <c r="S608" s="39"/>
      <c r="T608" s="141">
        <f>IFERROR(J608,"")</f>
        <v>0</v>
      </c>
    </row>
    <row r="609" spans="1:20" ht="15" customHeight="1" x14ac:dyDescent="0.3">
      <c r="A609" s="69">
        <v>46257</v>
      </c>
      <c r="B609" s="32">
        <v>0.83333333333333304</v>
      </c>
      <c r="C609" s="33"/>
      <c r="D609" s="62"/>
      <c r="E609" s="121"/>
      <c r="F609" s="119" t="str">
        <f>IFERROR(IF($D609="","",VLOOKUP($D609,Cadastro!$C$4:$E$7,3,FALSE)),"")</f>
        <v/>
      </c>
      <c r="G609" s="114"/>
      <c r="H609" s="119" t="str">
        <f>IFERROR(IF($G609="","",$G609*$S$621/$G$621/Cadastro!$E$33),"")</f>
        <v/>
      </c>
      <c r="I609" s="132" t="str">
        <f>IFERROR(IF($D609="","",VLOOKUP($D609,Cadastro!$C$4:$G$7,5,FALSE)),"")</f>
        <v/>
      </c>
      <c r="J609" s="148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8">
        <v>46257</v>
      </c>
      <c r="B610" s="25">
        <f t="shared" ref="B610:B620" si="160">B609+TIME(0,60,0)</f>
        <v>0.87499999999999967</v>
      </c>
      <c r="C610" s="33"/>
      <c r="D610" s="62"/>
      <c r="E610" s="121"/>
      <c r="F610" s="122" t="str">
        <f>IFERROR(IF($D610="","",VLOOKUP($D610,Cadastro!$C$4:$E$7,3,FALSE)),"")</f>
        <v/>
      </c>
      <c r="G610" s="114"/>
      <c r="H610" s="122" t="str">
        <f>IFERROR(IF($G610="","",$G610*$S$621/$G$621/Cadastro!$E$33),"")</f>
        <v/>
      </c>
      <c r="I610" s="129" t="str">
        <f>IFERROR(IF($D610="","",VLOOKUP($D610,Cadastro!$C$4:$G$7,5,FALSE)),"")</f>
        <v/>
      </c>
      <c r="J610" s="145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 x14ac:dyDescent="0.3">
      <c r="A611" s="69">
        <v>46257</v>
      </c>
      <c r="B611" s="32">
        <f t="shared" si="160"/>
        <v>0.9166666666666663</v>
      </c>
      <c r="C611" s="33"/>
      <c r="D611" s="62"/>
      <c r="E611" s="121"/>
      <c r="F611" s="122" t="str">
        <f>IFERROR(IF($D611="","",VLOOKUP($D611,Cadastro!$C$4:$E$7,3,FALSE)),"")</f>
        <v/>
      </c>
      <c r="G611" s="114"/>
      <c r="H611" s="122" t="str">
        <f>IFERROR(IF($G611="","",$G611*$S$621/$G$621/Cadastro!$E$33),"")</f>
        <v/>
      </c>
      <c r="I611" s="129" t="str">
        <f>IFERROR(IF($D611="","",VLOOKUP($D611,Cadastro!$C$4:$G$7,5,FALSE)),"")</f>
        <v/>
      </c>
      <c r="J611" s="145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 x14ac:dyDescent="0.3">
      <c r="A612" s="68">
        <v>46257</v>
      </c>
      <c r="B612" s="25">
        <f t="shared" si="160"/>
        <v>0.95833333333333293</v>
      </c>
      <c r="C612" s="33"/>
      <c r="D612" s="62"/>
      <c r="E612" s="121"/>
      <c r="F612" s="122" t="str">
        <f>IFERROR(IF($D612="","",VLOOKUP($D612,Cadastro!$C$4:$E$7,3,FALSE)),"")</f>
        <v/>
      </c>
      <c r="G612" s="114"/>
      <c r="H612" s="122" t="str">
        <f>IFERROR(IF($G612="","",$G612*$S$621/$G$621/Cadastro!$E$33),"")</f>
        <v/>
      </c>
      <c r="I612" s="129" t="str">
        <f>IFERROR(IF($D612="","",VLOOKUP($D612,Cadastro!$C$4:$G$7,5,FALSE)),"")</f>
        <v/>
      </c>
      <c r="J612" s="145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 x14ac:dyDescent="0.3">
      <c r="A613" s="69">
        <v>46257</v>
      </c>
      <c r="B613" s="32">
        <f t="shared" si="160"/>
        <v>0.99999999999999956</v>
      </c>
      <c r="C613" s="33"/>
      <c r="D613" s="62"/>
      <c r="E613" s="121"/>
      <c r="F613" s="122" t="str">
        <f>IFERROR(IF($D613="","",VLOOKUP($D613,Cadastro!$C$4:$E$7,3,FALSE)),"")</f>
        <v/>
      </c>
      <c r="G613" s="114"/>
      <c r="H613" s="122" t="str">
        <f>IFERROR(IF($G613="","",$G613*$S$621/$G$621/Cadastro!$E$33),"")</f>
        <v/>
      </c>
      <c r="I613" s="129" t="str">
        <f>IFERROR(IF($D613="","",VLOOKUP($D613,Cadastro!$C$4:$G$7,5,FALSE)),"")</f>
        <v/>
      </c>
      <c r="J613" s="145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 x14ac:dyDescent="0.3">
      <c r="A614" s="68">
        <v>46257</v>
      </c>
      <c r="B614" s="25">
        <f t="shared" si="160"/>
        <v>1.0416666666666663</v>
      </c>
      <c r="C614" s="33"/>
      <c r="D614" s="62"/>
      <c r="E614" s="121"/>
      <c r="F614" s="122" t="str">
        <f>IFERROR(IF($D614="","",VLOOKUP($D614,Cadastro!$C$4:$E$7,3,FALSE)),"")</f>
        <v/>
      </c>
      <c r="G614" s="114"/>
      <c r="H614" s="122" t="str">
        <f>IFERROR(IF($G614="","",$G614*$S$621/$G$621/Cadastro!$E$33),"")</f>
        <v/>
      </c>
      <c r="I614" s="129" t="str">
        <f>IFERROR(IF($D614="","",VLOOKUP($D614,Cadastro!$C$4:$G$7,5,FALSE)),"")</f>
        <v/>
      </c>
      <c r="J614" s="145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 x14ac:dyDescent="0.3">
      <c r="A615" s="69">
        <v>46257</v>
      </c>
      <c r="B615" s="32">
        <f t="shared" si="160"/>
        <v>1.083333333333333</v>
      </c>
      <c r="C615" s="33"/>
      <c r="D615" s="62"/>
      <c r="E615" s="121"/>
      <c r="F615" s="122" t="str">
        <f>IFERROR(IF($D615="","",VLOOKUP($D615,Cadastro!$C$4:$E$7,3,FALSE)),"")</f>
        <v/>
      </c>
      <c r="G615" s="114"/>
      <c r="H615" s="122" t="str">
        <f>IFERROR(IF($G615="","",$G615*$S$621/$G$621/Cadastro!$E$33),"")</f>
        <v/>
      </c>
      <c r="I615" s="129" t="str">
        <f>IFERROR(IF($D615="","",VLOOKUP($D615,Cadastro!$C$4:$G$7,5,FALSE)),"")</f>
        <v/>
      </c>
      <c r="J615" s="145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 x14ac:dyDescent="0.3">
      <c r="A616" s="68">
        <v>46257</v>
      </c>
      <c r="B616" s="25">
        <f t="shared" si="160"/>
        <v>1.1249999999999998</v>
      </c>
      <c r="C616" s="33"/>
      <c r="D616" s="62"/>
      <c r="E616" s="121"/>
      <c r="F616" s="122" t="str">
        <f>IFERROR(IF($D616="","",VLOOKUP($D616,Cadastro!$C$4:$E$7,3,FALSE)),"")</f>
        <v/>
      </c>
      <c r="G616" s="114"/>
      <c r="H616" s="122" t="str">
        <f>IFERROR(IF($G616="","",$G616*$S$621/$G$621/Cadastro!$E$33),"")</f>
        <v/>
      </c>
      <c r="I616" s="129" t="str">
        <f>IFERROR(IF($D616="","",VLOOKUP($D616,Cadastro!$C$4:$G$7,5,FALSE)),"")</f>
        <v/>
      </c>
      <c r="J616" s="145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 x14ac:dyDescent="0.3">
      <c r="A617" s="69">
        <v>46257</v>
      </c>
      <c r="B617" s="32">
        <f t="shared" si="160"/>
        <v>1.1666666666666665</v>
      </c>
      <c r="C617" s="33"/>
      <c r="D617" s="62"/>
      <c r="E617" s="121"/>
      <c r="F617" s="122" t="str">
        <f>IFERROR(IF($D617="","",VLOOKUP($D617,Cadastro!$C$4:$E$7,3,FALSE)),"")</f>
        <v/>
      </c>
      <c r="G617" s="114"/>
      <c r="H617" s="122" t="str">
        <f>IFERROR(IF($G617="","",$G617*$S$621/$G$621/Cadastro!$E$33),"")</f>
        <v/>
      </c>
      <c r="I617" s="129" t="str">
        <f>IFERROR(IF($D617="","",VLOOKUP($D617,Cadastro!$C$4:$G$7,5,FALSE)),"")</f>
        <v/>
      </c>
      <c r="J617" s="145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 x14ac:dyDescent="0.3">
      <c r="A618" s="68">
        <v>46257</v>
      </c>
      <c r="B618" s="25">
        <f t="shared" si="160"/>
        <v>1.2083333333333333</v>
      </c>
      <c r="C618" s="33"/>
      <c r="D618" s="62"/>
      <c r="E618" s="121"/>
      <c r="F618" s="122" t="str">
        <f>IFERROR(IF($D618="","",VLOOKUP($D618,Cadastro!$C$4:$E$7,3,FALSE)),"")</f>
        <v/>
      </c>
      <c r="G618" s="114"/>
      <c r="H618" s="122" t="str">
        <f>IFERROR(IF($G618="","",$G618*$S$621/$G$621/Cadastro!$E$33),"")</f>
        <v/>
      </c>
      <c r="I618" s="129" t="str">
        <f>IFERROR(IF($D618="","",VLOOKUP($D618,Cadastro!$C$4:$G$7,5,FALSE)),"")</f>
        <v/>
      </c>
      <c r="J618" s="145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 x14ac:dyDescent="0.3">
      <c r="A619" s="69">
        <v>46257</v>
      </c>
      <c r="B619" s="32">
        <f t="shared" si="160"/>
        <v>1.25</v>
      </c>
      <c r="C619" s="33"/>
      <c r="D619" s="62"/>
      <c r="E619" s="121"/>
      <c r="F619" s="122" t="str">
        <f>IFERROR(IF($D619="","",VLOOKUP($D619,Cadastro!$C$4:$E$7,3,FALSE)),"")</f>
        <v/>
      </c>
      <c r="G619" s="114"/>
      <c r="H619" s="122" t="str">
        <f>IFERROR(IF($G619="","",$G619*$S$621/$G$621/Cadastro!$E$33),"")</f>
        <v/>
      </c>
      <c r="I619" s="129" t="str">
        <f>IFERROR(IF($D619="","",VLOOKUP($D619,Cadastro!$C$4:$G$7,5,FALSE)),"")</f>
        <v/>
      </c>
      <c r="J619" s="145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 x14ac:dyDescent="0.35">
      <c r="A620" s="68">
        <v>46257</v>
      </c>
      <c r="B620" s="25">
        <f t="shared" si="160"/>
        <v>1.2916666666666667</v>
      </c>
      <c r="C620" s="33"/>
      <c r="D620" s="62"/>
      <c r="E620" s="121"/>
      <c r="F620" s="118" t="str">
        <f>IFERROR(IF($D620="","",VLOOKUP($D620,Cadastro!$C$4:$E$7,3,FALSE)),"")</f>
        <v/>
      </c>
      <c r="G620" s="114"/>
      <c r="H620" s="118" t="str">
        <f>IFERROR(IF($G620="","",$G620*$S$621/$G$621/Cadastro!$E$33),"")</f>
        <v/>
      </c>
      <c r="I620" s="130" t="str">
        <f>IFERROR(IF($D620="","",VLOOKUP($D620,Cadastro!$C$4:$G$7,5,FALSE)),"")</f>
        <v/>
      </c>
      <c r="J620" s="146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 x14ac:dyDescent="0.35">
      <c r="A621" s="168" t="s">
        <v>234</v>
      </c>
      <c r="B621" s="169"/>
      <c r="C621" s="169"/>
      <c r="D621" s="169"/>
      <c r="E621" s="169">
        <f>SUM(E609:E620)</f>
        <v>0</v>
      </c>
      <c r="F621" s="124"/>
      <c r="G621" s="88">
        <f>SUM(G609:G620)</f>
        <v>0</v>
      </c>
      <c r="H621" s="124">
        <f>IFERROR(SUM(H609:H620),"")</f>
        <v>0</v>
      </c>
      <c r="I621" s="133"/>
      <c r="J621" s="149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232</v>
      </c>
      <c r="S621" s="39"/>
      <c r="T621" s="141">
        <f>IFERROR(J621,"")</f>
        <v>0</v>
      </c>
    </row>
    <row r="622" spans="1:20" ht="18" customHeight="1" x14ac:dyDescent="0.3">
      <c r="A622" s="165" t="s">
        <v>235</v>
      </c>
      <c r="B622" s="166"/>
      <c r="C622" s="166"/>
      <c r="D622" s="166"/>
      <c r="E622" s="166">
        <f>E608+E621</f>
        <v>0</v>
      </c>
      <c r="F622" s="125"/>
      <c r="G622" s="100">
        <f>G608+G621</f>
        <v>0</v>
      </c>
      <c r="H622" s="125">
        <f>IFERROR(H608+H621,"")</f>
        <v>0</v>
      </c>
      <c r="I622" s="134"/>
      <c r="J622" s="150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236</v>
      </c>
      <c r="S622" s="48">
        <f>IFERROR(S608+S621,"")</f>
        <v>0</v>
      </c>
      <c r="T622" s="143">
        <f>IFERROR(J622,"")</f>
        <v>0</v>
      </c>
    </row>
    <row r="623" spans="1:20" ht="15" customHeight="1" x14ac:dyDescent="0.3">
      <c r="A623" s="69">
        <v>46258</v>
      </c>
      <c r="B623" s="32">
        <v>0.33333333333333298</v>
      </c>
      <c r="C623" s="33"/>
      <c r="D623" s="62"/>
      <c r="E623" s="121"/>
      <c r="F623" s="119" t="str">
        <f>IFERROR(IF($D623="","",VLOOKUP($D623,Cadastro!$C$4:$E$7,3,FALSE)),"")</f>
        <v/>
      </c>
      <c r="G623" s="114"/>
      <c r="H623" s="119" t="str">
        <f>IFERROR(IF($G623="","",$G623*$S$635/$G$635/Cadastro!$E$33),"")</f>
        <v/>
      </c>
      <c r="I623" s="132" t="str">
        <f>IFERROR(IF($D623="","",VLOOKUP($D623,Cadastro!$C$4:$G$7,5,FALSE)),"")</f>
        <v/>
      </c>
      <c r="J623" s="148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8">
        <v>46258</v>
      </c>
      <c r="B624" s="25">
        <f t="shared" ref="B624:B634" si="164">B623+TIME(0,60,0)</f>
        <v>0.37499999999999967</v>
      </c>
      <c r="C624" s="33"/>
      <c r="D624" s="62"/>
      <c r="E624" s="121"/>
      <c r="F624" s="122" t="str">
        <f>IFERROR(IF($D624="","",VLOOKUP($D624,Cadastro!$C$4:$E$7,3,FALSE)),"")</f>
        <v/>
      </c>
      <c r="G624" s="114"/>
      <c r="H624" s="122" t="str">
        <f>IFERROR(IF($G624="","",$G624*$S$635/$G$635/Cadastro!$E$33),"")</f>
        <v/>
      </c>
      <c r="I624" s="129" t="str">
        <f>IFERROR(IF($D624="","",VLOOKUP($D624,Cadastro!$C$4:$G$7,5,FALSE)),"")</f>
        <v/>
      </c>
      <c r="J624" s="145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 x14ac:dyDescent="0.3">
      <c r="A625" s="69">
        <v>46258</v>
      </c>
      <c r="B625" s="32">
        <f t="shared" si="164"/>
        <v>0.41666666666666635</v>
      </c>
      <c r="C625" s="33"/>
      <c r="D625" s="62"/>
      <c r="E625" s="121"/>
      <c r="F625" s="122" t="str">
        <f>IFERROR(IF($D625="","",VLOOKUP($D625,Cadastro!$C$4:$E$7,3,FALSE)),"")</f>
        <v/>
      </c>
      <c r="G625" s="114"/>
      <c r="H625" s="122" t="str">
        <f>IFERROR(IF($G625="","",$G625*$S$635/$G$635/Cadastro!$E$33),"")</f>
        <v/>
      </c>
      <c r="I625" s="129" t="str">
        <f>IFERROR(IF($D625="","",VLOOKUP($D625,Cadastro!$C$4:$G$7,5,FALSE)),"")</f>
        <v/>
      </c>
      <c r="J625" s="145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 x14ac:dyDescent="0.3">
      <c r="A626" s="68">
        <v>46258</v>
      </c>
      <c r="B626" s="25">
        <f t="shared" si="164"/>
        <v>0.45833333333333304</v>
      </c>
      <c r="C626" s="33"/>
      <c r="D626" s="62"/>
      <c r="E626" s="121"/>
      <c r="F626" s="122" t="str">
        <f>IFERROR(IF($D626="","",VLOOKUP($D626,Cadastro!$C$4:$E$7,3,FALSE)),"")</f>
        <v/>
      </c>
      <c r="G626" s="114"/>
      <c r="H626" s="122" t="str">
        <f>IFERROR(IF($G626="","",$G626*$S$635/$G$635/Cadastro!$E$33),"")</f>
        <v/>
      </c>
      <c r="I626" s="129" t="str">
        <f>IFERROR(IF($D626="","",VLOOKUP($D626,Cadastro!$C$4:$G$7,5,FALSE)),"")</f>
        <v/>
      </c>
      <c r="J626" s="145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 x14ac:dyDescent="0.3">
      <c r="A627" s="69">
        <v>46258</v>
      </c>
      <c r="B627" s="32">
        <f t="shared" si="164"/>
        <v>0.49999999999999972</v>
      </c>
      <c r="C627" s="33"/>
      <c r="D627" s="62"/>
      <c r="E627" s="121"/>
      <c r="F627" s="122" t="str">
        <f>IFERROR(IF($D627="","",VLOOKUP($D627,Cadastro!$C$4:$E$7,3,FALSE)),"")</f>
        <v/>
      </c>
      <c r="G627" s="114"/>
      <c r="H627" s="122" t="str">
        <f>IFERROR(IF($G627="","",$G627*$S$635/$G$635/Cadastro!$E$33),"")</f>
        <v/>
      </c>
      <c r="I627" s="129" t="str">
        <f>IFERROR(IF($D627="","",VLOOKUP($D627,Cadastro!$C$4:$G$7,5,FALSE)),"")</f>
        <v/>
      </c>
      <c r="J627" s="145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 x14ac:dyDescent="0.3">
      <c r="A628" s="68">
        <v>46258</v>
      </c>
      <c r="B628" s="25">
        <f t="shared" si="164"/>
        <v>0.54166666666666641</v>
      </c>
      <c r="C628" s="33"/>
      <c r="D628" s="62"/>
      <c r="E628" s="121"/>
      <c r="F628" s="122" t="str">
        <f>IFERROR(IF($D628="","",VLOOKUP($D628,Cadastro!$C$4:$E$7,3,FALSE)),"")</f>
        <v/>
      </c>
      <c r="G628" s="114"/>
      <c r="H628" s="122" t="str">
        <f>IFERROR(IF($G628="","",$G628*$S$635/$G$635/Cadastro!$E$33),"")</f>
        <v/>
      </c>
      <c r="I628" s="129" t="str">
        <f>IFERROR(IF($D628="","",VLOOKUP($D628,Cadastro!$C$4:$G$7,5,FALSE)),"")</f>
        <v/>
      </c>
      <c r="J628" s="145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 x14ac:dyDescent="0.3">
      <c r="A629" s="69">
        <v>46258</v>
      </c>
      <c r="B629" s="32">
        <f t="shared" si="164"/>
        <v>0.58333333333333304</v>
      </c>
      <c r="C629" s="33"/>
      <c r="D629" s="62"/>
      <c r="E629" s="121"/>
      <c r="F629" s="122" t="str">
        <f>IFERROR(IF($D629="","",VLOOKUP($D629,Cadastro!$C$4:$E$7,3,FALSE)),"")</f>
        <v/>
      </c>
      <c r="G629" s="114"/>
      <c r="H629" s="122" t="str">
        <f>IFERROR(IF($G629="","",$G629*$S$635/$G$635/Cadastro!$E$33),"")</f>
        <v/>
      </c>
      <c r="I629" s="129" t="str">
        <f>IFERROR(IF($D629="","",VLOOKUP($D629,Cadastro!$C$4:$G$7,5,FALSE)),"")</f>
        <v/>
      </c>
      <c r="J629" s="145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 x14ac:dyDescent="0.3">
      <c r="A630" s="68">
        <v>46258</v>
      </c>
      <c r="B630" s="25">
        <f t="shared" si="164"/>
        <v>0.62499999999999967</v>
      </c>
      <c r="C630" s="33"/>
      <c r="D630" s="62"/>
      <c r="E630" s="121"/>
      <c r="F630" s="122" t="str">
        <f>IFERROR(IF($D630="","",VLOOKUP($D630,Cadastro!$C$4:$E$7,3,FALSE)),"")</f>
        <v/>
      </c>
      <c r="G630" s="114"/>
      <c r="H630" s="122" t="str">
        <f>IFERROR(IF($G630="","",$G630*$S$635/$G$635/Cadastro!$E$33),"")</f>
        <v/>
      </c>
      <c r="I630" s="129" t="str">
        <f>IFERROR(IF($D630="","",VLOOKUP($D630,Cadastro!$C$4:$G$7,5,FALSE)),"")</f>
        <v/>
      </c>
      <c r="J630" s="145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 x14ac:dyDescent="0.3">
      <c r="A631" s="69">
        <v>46258</v>
      </c>
      <c r="B631" s="32">
        <f t="shared" si="164"/>
        <v>0.6666666666666663</v>
      </c>
      <c r="C631" s="33"/>
      <c r="D631" s="62"/>
      <c r="E631" s="121"/>
      <c r="F631" s="122" t="str">
        <f>IFERROR(IF($D631="","",VLOOKUP($D631,Cadastro!$C$4:$E$7,3,FALSE)),"")</f>
        <v/>
      </c>
      <c r="G631" s="114"/>
      <c r="H631" s="122" t="str">
        <f>IFERROR(IF($G631="","",$G631*$S$635/$G$635/Cadastro!$E$33),"")</f>
        <v/>
      </c>
      <c r="I631" s="129" t="str">
        <f>IFERROR(IF($D631="","",VLOOKUP($D631,Cadastro!$C$4:$G$7,5,FALSE)),"")</f>
        <v/>
      </c>
      <c r="J631" s="145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 x14ac:dyDescent="0.3">
      <c r="A632" s="68">
        <v>46258</v>
      </c>
      <c r="B632" s="25">
        <f t="shared" si="164"/>
        <v>0.70833333333333293</v>
      </c>
      <c r="C632" s="33"/>
      <c r="D632" s="62"/>
      <c r="E632" s="121"/>
      <c r="F632" s="122" t="str">
        <f>IFERROR(IF($D632="","",VLOOKUP($D632,Cadastro!$C$4:$E$7,3,FALSE)),"")</f>
        <v/>
      </c>
      <c r="G632" s="114"/>
      <c r="H632" s="122" t="str">
        <f>IFERROR(IF($G632="","",$G632*$S$635/$G$635/Cadastro!$E$33),"")</f>
        <v/>
      </c>
      <c r="I632" s="129" t="str">
        <f>IFERROR(IF($D632="","",VLOOKUP($D632,Cadastro!$C$4:$G$7,5,FALSE)),"")</f>
        <v/>
      </c>
      <c r="J632" s="145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 x14ac:dyDescent="0.3">
      <c r="A633" s="69">
        <v>46258</v>
      </c>
      <c r="B633" s="32">
        <f t="shared" si="164"/>
        <v>0.74999999999999956</v>
      </c>
      <c r="C633" s="33"/>
      <c r="D633" s="62"/>
      <c r="E633" s="121"/>
      <c r="F633" s="122" t="str">
        <f>IFERROR(IF($D633="","",VLOOKUP($D633,Cadastro!$C$4:$E$7,3,FALSE)),"")</f>
        <v/>
      </c>
      <c r="G633" s="114"/>
      <c r="H633" s="122" t="str">
        <f>IFERROR(IF($G633="","",$G633*$S$635/$G$635/Cadastro!$E$33),"")</f>
        <v/>
      </c>
      <c r="I633" s="129" t="str">
        <f>IFERROR(IF($D633="","",VLOOKUP($D633,Cadastro!$C$4:$G$7,5,FALSE)),"")</f>
        <v/>
      </c>
      <c r="J633" s="145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 x14ac:dyDescent="0.35">
      <c r="A634" s="68">
        <v>46258</v>
      </c>
      <c r="B634" s="25">
        <f t="shared" si="164"/>
        <v>0.79166666666666619</v>
      </c>
      <c r="C634" s="33"/>
      <c r="D634" s="62"/>
      <c r="E634" s="121"/>
      <c r="F634" s="118" t="str">
        <f>IFERROR(IF($D634="","",VLOOKUP($D634,Cadastro!$C$4:$E$7,3,FALSE)),"")</f>
        <v/>
      </c>
      <c r="G634" s="114"/>
      <c r="H634" s="118" t="str">
        <f>IFERROR(IF($G634="","",$G634*$S$635/$G$635/Cadastro!$E$33),"")</f>
        <v/>
      </c>
      <c r="I634" s="130" t="str">
        <f>IFERROR(IF($D634="","",VLOOKUP($D634,Cadastro!$C$4:$G$7,5,FALSE)),"")</f>
        <v/>
      </c>
      <c r="J634" s="146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 x14ac:dyDescent="0.35">
      <c r="A635" s="168" t="s">
        <v>231</v>
      </c>
      <c r="B635" s="169"/>
      <c r="C635" s="169"/>
      <c r="D635" s="169"/>
      <c r="E635" s="169">
        <f>SUM(E623:E634)</f>
        <v>0</v>
      </c>
      <c r="F635" s="123"/>
      <c r="G635" s="88">
        <f>SUM(G623:G634)</f>
        <v>0</v>
      </c>
      <c r="H635" s="123">
        <f>IFERROR(SUM(H623:H634),"")</f>
        <v>0</v>
      </c>
      <c r="I635" s="131"/>
      <c r="J635" s="147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232</v>
      </c>
      <c r="S635" s="39"/>
      <c r="T635" s="141">
        <f>IFERROR(J635,"")</f>
        <v>0</v>
      </c>
    </row>
    <row r="636" spans="1:20" ht="15" customHeight="1" x14ac:dyDescent="0.3">
      <c r="A636" s="68">
        <v>46258</v>
      </c>
      <c r="B636" s="25">
        <v>0.83333333333333304</v>
      </c>
      <c r="C636" s="26"/>
      <c r="D636" s="59"/>
      <c r="E636" s="120"/>
      <c r="F636" s="119" t="str">
        <f>IFERROR(IF($D636="","",VLOOKUP($D636,Cadastro!$C$4:$E$7,3,FALSE)),"")</f>
        <v/>
      </c>
      <c r="G636" s="114"/>
      <c r="H636" s="119" t="str">
        <f>IFERROR(IF($G636="","",$G636*$S$648/$G$648/Cadastro!$E$33),"")</f>
        <v/>
      </c>
      <c r="I636" s="132" t="str">
        <f>IFERROR(IF($D636="","",VLOOKUP($D636,Cadastro!$C$4:$G$7,5,FALSE)),"")</f>
        <v/>
      </c>
      <c r="J636" s="148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9">
        <v>46258</v>
      </c>
      <c r="B637" s="32">
        <f t="shared" ref="B637:B647" si="168">B636+TIME(0,60,0)</f>
        <v>0.87499999999999967</v>
      </c>
      <c r="C637" s="26"/>
      <c r="D637" s="59"/>
      <c r="E637" s="120"/>
      <c r="F637" s="122" t="str">
        <f>IFERROR(IF($D637="","",VLOOKUP($D637,Cadastro!$C$4:$E$7,3,FALSE)),"")</f>
        <v/>
      </c>
      <c r="G637" s="114"/>
      <c r="H637" s="122" t="str">
        <f>IFERROR(IF($G637="","",$G637*$S$648/$G$648/Cadastro!$E$33),"")</f>
        <v/>
      </c>
      <c r="I637" s="129" t="str">
        <f>IFERROR(IF($D637="","",VLOOKUP($D637,Cadastro!$C$4:$G$7,5,FALSE)),"")</f>
        <v/>
      </c>
      <c r="J637" s="145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 x14ac:dyDescent="0.3">
      <c r="A638" s="68">
        <v>46258</v>
      </c>
      <c r="B638" s="25">
        <f t="shared" si="168"/>
        <v>0.9166666666666663</v>
      </c>
      <c r="C638" s="26"/>
      <c r="D638" s="59"/>
      <c r="E638" s="120"/>
      <c r="F638" s="122" t="str">
        <f>IFERROR(IF($D638="","",VLOOKUP($D638,Cadastro!$C$4:$E$7,3,FALSE)),"")</f>
        <v/>
      </c>
      <c r="G638" s="114"/>
      <c r="H638" s="122" t="str">
        <f>IFERROR(IF($G638="","",$G638*$S$648/$G$648/Cadastro!$E$33),"")</f>
        <v/>
      </c>
      <c r="I638" s="129" t="str">
        <f>IFERROR(IF($D638="","",VLOOKUP($D638,Cadastro!$C$4:$G$7,5,FALSE)),"")</f>
        <v/>
      </c>
      <c r="J638" s="145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 x14ac:dyDescent="0.3">
      <c r="A639" s="69">
        <v>46258</v>
      </c>
      <c r="B639" s="32">
        <f t="shared" si="168"/>
        <v>0.95833333333333293</v>
      </c>
      <c r="C639" s="26"/>
      <c r="D639" s="59"/>
      <c r="E639" s="120"/>
      <c r="F639" s="122" t="str">
        <f>IFERROR(IF($D639="","",VLOOKUP($D639,Cadastro!$C$4:$E$7,3,FALSE)),"")</f>
        <v/>
      </c>
      <c r="G639" s="114"/>
      <c r="H639" s="122" t="str">
        <f>IFERROR(IF($G639="","",$G639*$S$648/$G$648/Cadastro!$E$33),"")</f>
        <v/>
      </c>
      <c r="I639" s="129" t="str">
        <f>IFERROR(IF($D639="","",VLOOKUP($D639,Cadastro!$C$4:$G$7,5,FALSE)),"")</f>
        <v/>
      </c>
      <c r="J639" s="145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 x14ac:dyDescent="0.3">
      <c r="A640" s="68">
        <v>46258</v>
      </c>
      <c r="B640" s="25">
        <f t="shared" si="168"/>
        <v>0.99999999999999956</v>
      </c>
      <c r="C640" s="26"/>
      <c r="D640" s="59"/>
      <c r="E640" s="120"/>
      <c r="F640" s="122" t="str">
        <f>IFERROR(IF($D640="","",VLOOKUP($D640,Cadastro!$C$4:$E$7,3,FALSE)),"")</f>
        <v/>
      </c>
      <c r="G640" s="114"/>
      <c r="H640" s="122" t="str">
        <f>IFERROR(IF($G640="","",$G640*$S$648/$G$648/Cadastro!$E$33),"")</f>
        <v/>
      </c>
      <c r="I640" s="129" t="str">
        <f>IFERROR(IF($D640="","",VLOOKUP($D640,Cadastro!$C$4:$G$7,5,FALSE)),"")</f>
        <v/>
      </c>
      <c r="J640" s="145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 x14ac:dyDescent="0.3">
      <c r="A641" s="69">
        <v>46258</v>
      </c>
      <c r="B641" s="32">
        <f t="shared" si="168"/>
        <v>1.0416666666666663</v>
      </c>
      <c r="C641" s="26"/>
      <c r="D641" s="59"/>
      <c r="E641" s="120"/>
      <c r="F641" s="122" t="str">
        <f>IFERROR(IF($D641="","",VLOOKUP($D641,Cadastro!$C$4:$E$7,3,FALSE)),"")</f>
        <v/>
      </c>
      <c r="G641" s="114"/>
      <c r="H641" s="122" t="str">
        <f>IFERROR(IF($G641="","",$G641*$S$648/$G$648/Cadastro!$E$33),"")</f>
        <v/>
      </c>
      <c r="I641" s="129" t="str">
        <f>IFERROR(IF($D641="","",VLOOKUP($D641,Cadastro!$C$4:$G$7,5,FALSE)),"")</f>
        <v/>
      </c>
      <c r="J641" s="145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 x14ac:dyDescent="0.3">
      <c r="A642" s="68">
        <v>46258</v>
      </c>
      <c r="B642" s="25">
        <f t="shared" si="168"/>
        <v>1.083333333333333</v>
      </c>
      <c r="C642" s="26"/>
      <c r="D642" s="59"/>
      <c r="E642" s="120"/>
      <c r="F642" s="122" t="str">
        <f>IFERROR(IF($D642="","",VLOOKUP($D642,Cadastro!$C$4:$E$7,3,FALSE)),"")</f>
        <v/>
      </c>
      <c r="G642" s="114"/>
      <c r="H642" s="122" t="str">
        <f>IFERROR(IF($G642="","",$G642*$S$648/$G$648/Cadastro!$E$33),"")</f>
        <v/>
      </c>
      <c r="I642" s="129" t="str">
        <f>IFERROR(IF($D642="","",VLOOKUP($D642,Cadastro!$C$4:$G$7,5,FALSE)),"")</f>
        <v/>
      </c>
      <c r="J642" s="145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 x14ac:dyDescent="0.3">
      <c r="A643" s="69">
        <v>46258</v>
      </c>
      <c r="B643" s="32">
        <f t="shared" si="168"/>
        <v>1.1249999999999998</v>
      </c>
      <c r="C643" s="26"/>
      <c r="D643" s="59"/>
      <c r="E643" s="120"/>
      <c r="F643" s="122" t="str">
        <f>IFERROR(IF($D643="","",VLOOKUP($D643,Cadastro!$C$4:$E$7,3,FALSE)),"")</f>
        <v/>
      </c>
      <c r="G643" s="114"/>
      <c r="H643" s="122" t="str">
        <f>IFERROR(IF($G643="","",$G643*$S$648/$G$648/Cadastro!$E$33),"")</f>
        <v/>
      </c>
      <c r="I643" s="129" t="str">
        <f>IFERROR(IF($D643="","",VLOOKUP($D643,Cadastro!$C$4:$G$7,5,FALSE)),"")</f>
        <v/>
      </c>
      <c r="J643" s="145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 x14ac:dyDescent="0.3">
      <c r="A644" s="68">
        <v>46258</v>
      </c>
      <c r="B644" s="25">
        <f t="shared" si="168"/>
        <v>1.1666666666666665</v>
      </c>
      <c r="C644" s="26"/>
      <c r="D644" s="59"/>
      <c r="E644" s="120"/>
      <c r="F644" s="122" t="str">
        <f>IFERROR(IF($D644="","",VLOOKUP($D644,Cadastro!$C$4:$E$7,3,FALSE)),"")</f>
        <v/>
      </c>
      <c r="G644" s="114"/>
      <c r="H644" s="122" t="str">
        <f>IFERROR(IF($G644="","",$G644*$S$648/$G$648/Cadastro!$E$33),"")</f>
        <v/>
      </c>
      <c r="I644" s="129" t="str">
        <f>IFERROR(IF($D644="","",VLOOKUP($D644,Cadastro!$C$4:$G$7,5,FALSE)),"")</f>
        <v/>
      </c>
      <c r="J644" s="145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 x14ac:dyDescent="0.3">
      <c r="A645" s="69">
        <v>46258</v>
      </c>
      <c r="B645" s="32">
        <f t="shared" si="168"/>
        <v>1.2083333333333333</v>
      </c>
      <c r="C645" s="26"/>
      <c r="D645" s="59"/>
      <c r="E645" s="120"/>
      <c r="F645" s="122" t="str">
        <f>IFERROR(IF($D645="","",VLOOKUP($D645,Cadastro!$C$4:$E$7,3,FALSE)),"")</f>
        <v/>
      </c>
      <c r="G645" s="114"/>
      <c r="H645" s="122" t="str">
        <f>IFERROR(IF($G645="","",$G645*$S$648/$G$648/Cadastro!$E$33),"")</f>
        <v/>
      </c>
      <c r="I645" s="129" t="str">
        <f>IFERROR(IF($D645="","",VLOOKUP($D645,Cadastro!$C$4:$G$7,5,FALSE)),"")</f>
        <v/>
      </c>
      <c r="J645" s="145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 x14ac:dyDescent="0.3">
      <c r="A646" s="68">
        <v>46258</v>
      </c>
      <c r="B646" s="25">
        <f t="shared" si="168"/>
        <v>1.25</v>
      </c>
      <c r="C646" s="26"/>
      <c r="D646" s="59"/>
      <c r="E646" s="120"/>
      <c r="F646" s="122" t="str">
        <f>IFERROR(IF($D646="","",VLOOKUP($D646,Cadastro!$C$4:$E$7,3,FALSE)),"")</f>
        <v/>
      </c>
      <c r="G646" s="114"/>
      <c r="H646" s="122" t="str">
        <f>IFERROR(IF($G646="","",$G646*$S$648/$G$648/Cadastro!$E$33),"")</f>
        <v/>
      </c>
      <c r="I646" s="129" t="str">
        <f>IFERROR(IF($D646="","",VLOOKUP($D646,Cadastro!$C$4:$G$7,5,FALSE)),"")</f>
        <v/>
      </c>
      <c r="J646" s="145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 x14ac:dyDescent="0.35">
      <c r="A647" s="69">
        <v>46258</v>
      </c>
      <c r="B647" s="32">
        <f t="shared" si="168"/>
        <v>1.2916666666666667</v>
      </c>
      <c r="C647" s="26"/>
      <c r="D647" s="59"/>
      <c r="E647" s="120"/>
      <c r="F647" s="118" t="str">
        <f>IFERROR(IF($D647="","",VLOOKUP($D647,Cadastro!$C$4:$E$7,3,FALSE)),"")</f>
        <v/>
      </c>
      <c r="G647" s="114"/>
      <c r="H647" s="118" t="str">
        <f>IFERROR(IF($G647="","",$G647*$S$648/$G$648/Cadastro!$E$33),"")</f>
        <v/>
      </c>
      <c r="I647" s="130" t="str">
        <f>IFERROR(IF($D647="","",VLOOKUP($D647,Cadastro!$C$4:$G$7,5,FALSE)),"")</f>
        <v/>
      </c>
      <c r="J647" s="146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 x14ac:dyDescent="0.35">
      <c r="A648" s="168" t="s">
        <v>234</v>
      </c>
      <c r="B648" s="169"/>
      <c r="C648" s="169"/>
      <c r="D648" s="169"/>
      <c r="E648" s="169">
        <f>SUM(E636:E647)</f>
        <v>0</v>
      </c>
      <c r="F648" s="124"/>
      <c r="G648" s="88">
        <f>SUM(G636:G647)</f>
        <v>0</v>
      </c>
      <c r="H648" s="124">
        <f>IFERROR(SUM(H636:H647),"")</f>
        <v>0</v>
      </c>
      <c r="I648" s="133"/>
      <c r="J648" s="149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232</v>
      </c>
      <c r="S648" s="39"/>
      <c r="T648" s="141">
        <f>IFERROR(J648,"")</f>
        <v>0</v>
      </c>
    </row>
    <row r="649" spans="1:20" ht="18" customHeight="1" x14ac:dyDescent="0.3">
      <c r="A649" s="165" t="s">
        <v>235</v>
      </c>
      <c r="B649" s="166"/>
      <c r="C649" s="166"/>
      <c r="D649" s="166"/>
      <c r="E649" s="166">
        <f>E635+E648</f>
        <v>0</v>
      </c>
      <c r="F649" s="125"/>
      <c r="G649" s="100">
        <f>G635+G648</f>
        <v>0</v>
      </c>
      <c r="H649" s="125">
        <f>IFERROR(H635+H648,"")</f>
        <v>0</v>
      </c>
      <c r="I649" s="134"/>
      <c r="J649" s="150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236</v>
      </c>
      <c r="S649" s="48">
        <f>IFERROR(S635+S648,"")</f>
        <v>0</v>
      </c>
      <c r="T649" s="143">
        <f>IFERROR(J649,"")</f>
        <v>0</v>
      </c>
    </row>
    <row r="650" spans="1:20" ht="15" customHeight="1" x14ac:dyDescent="0.3">
      <c r="A650" s="68">
        <v>46259</v>
      </c>
      <c r="B650" s="25">
        <v>0.33333333333333298</v>
      </c>
      <c r="C650" s="26"/>
      <c r="D650" s="59"/>
      <c r="E650" s="120"/>
      <c r="F650" s="119" t="str">
        <f>IFERROR(IF($D650="","",VLOOKUP($D650,Cadastro!$C$4:$E$7,3,FALSE)),"")</f>
        <v/>
      </c>
      <c r="G650" s="114"/>
      <c r="H650" s="119" t="str">
        <f>IFERROR(IF($G650="","",$G650*$S$662/$G$662/Cadastro!$E$33),"")</f>
        <v/>
      </c>
      <c r="I650" s="132" t="str">
        <f>IFERROR(IF($D650="","",VLOOKUP($D650,Cadastro!$C$4:$G$7,5,FALSE)),"")</f>
        <v/>
      </c>
      <c r="J650" s="148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9">
        <v>46259</v>
      </c>
      <c r="B651" s="32">
        <f t="shared" ref="B651:B661" si="172">B650+TIME(0,60,0)</f>
        <v>0.37499999999999967</v>
      </c>
      <c r="C651" s="26"/>
      <c r="D651" s="59"/>
      <c r="E651" s="120"/>
      <c r="F651" s="122" t="str">
        <f>IFERROR(IF($D651="","",VLOOKUP($D651,Cadastro!$C$4:$E$7,3,FALSE)),"")</f>
        <v/>
      </c>
      <c r="G651" s="114"/>
      <c r="H651" s="122" t="str">
        <f>IFERROR(IF($G651="","",$G651*$S$662/$G$662/Cadastro!$E$33),"")</f>
        <v/>
      </c>
      <c r="I651" s="129" t="str">
        <f>IFERROR(IF($D651="","",VLOOKUP($D651,Cadastro!$C$4:$G$7,5,FALSE)),"")</f>
        <v/>
      </c>
      <c r="J651" s="145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 x14ac:dyDescent="0.3">
      <c r="A652" s="68">
        <v>46259</v>
      </c>
      <c r="B652" s="25">
        <f t="shared" si="172"/>
        <v>0.41666666666666635</v>
      </c>
      <c r="C652" s="26"/>
      <c r="D652" s="59"/>
      <c r="E652" s="120"/>
      <c r="F652" s="122" t="str">
        <f>IFERROR(IF($D652="","",VLOOKUP($D652,Cadastro!$C$4:$E$7,3,FALSE)),"")</f>
        <v/>
      </c>
      <c r="G652" s="114"/>
      <c r="H652" s="122" t="str">
        <f>IFERROR(IF($G652="","",$G652*$S$662/$G$662/Cadastro!$E$33),"")</f>
        <v/>
      </c>
      <c r="I652" s="129" t="str">
        <f>IFERROR(IF($D652="","",VLOOKUP($D652,Cadastro!$C$4:$G$7,5,FALSE)),"")</f>
        <v/>
      </c>
      <c r="J652" s="145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 x14ac:dyDescent="0.3">
      <c r="A653" s="69">
        <v>46259</v>
      </c>
      <c r="B653" s="32">
        <f t="shared" si="172"/>
        <v>0.45833333333333304</v>
      </c>
      <c r="C653" s="26"/>
      <c r="D653" s="59"/>
      <c r="E653" s="120"/>
      <c r="F653" s="122" t="str">
        <f>IFERROR(IF($D653="","",VLOOKUP($D653,Cadastro!$C$4:$E$7,3,FALSE)),"")</f>
        <v/>
      </c>
      <c r="G653" s="114"/>
      <c r="H653" s="122" t="str">
        <f>IFERROR(IF($G653="","",$G653*$S$662/$G$662/Cadastro!$E$33),"")</f>
        <v/>
      </c>
      <c r="I653" s="129" t="str">
        <f>IFERROR(IF($D653="","",VLOOKUP($D653,Cadastro!$C$4:$G$7,5,FALSE)),"")</f>
        <v/>
      </c>
      <c r="J653" s="145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 x14ac:dyDescent="0.3">
      <c r="A654" s="68">
        <v>46259</v>
      </c>
      <c r="B654" s="25">
        <f t="shared" si="172"/>
        <v>0.49999999999999972</v>
      </c>
      <c r="C654" s="26"/>
      <c r="D654" s="59"/>
      <c r="E654" s="120"/>
      <c r="F654" s="122" t="str">
        <f>IFERROR(IF($D654="","",VLOOKUP($D654,Cadastro!$C$4:$E$7,3,FALSE)),"")</f>
        <v/>
      </c>
      <c r="G654" s="114"/>
      <c r="H654" s="122" t="str">
        <f>IFERROR(IF($G654="","",$G654*$S$662/$G$662/Cadastro!$E$33),"")</f>
        <v/>
      </c>
      <c r="I654" s="129" t="str">
        <f>IFERROR(IF($D654="","",VLOOKUP($D654,Cadastro!$C$4:$G$7,5,FALSE)),"")</f>
        <v/>
      </c>
      <c r="J654" s="145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 x14ac:dyDescent="0.3">
      <c r="A655" s="69">
        <v>46259</v>
      </c>
      <c r="B655" s="32">
        <f t="shared" si="172"/>
        <v>0.54166666666666641</v>
      </c>
      <c r="C655" s="26"/>
      <c r="D655" s="59"/>
      <c r="E655" s="120"/>
      <c r="F655" s="122" t="str">
        <f>IFERROR(IF($D655="","",VLOOKUP($D655,Cadastro!$C$4:$E$7,3,FALSE)),"")</f>
        <v/>
      </c>
      <c r="G655" s="114"/>
      <c r="H655" s="122" t="str">
        <f>IFERROR(IF($G655="","",$G655*$S$662/$G$662/Cadastro!$E$33),"")</f>
        <v/>
      </c>
      <c r="I655" s="129" t="str">
        <f>IFERROR(IF($D655="","",VLOOKUP($D655,Cadastro!$C$4:$G$7,5,FALSE)),"")</f>
        <v/>
      </c>
      <c r="J655" s="145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 x14ac:dyDescent="0.3">
      <c r="A656" s="68">
        <v>46259</v>
      </c>
      <c r="B656" s="25">
        <f t="shared" si="172"/>
        <v>0.58333333333333304</v>
      </c>
      <c r="C656" s="26"/>
      <c r="D656" s="59"/>
      <c r="E656" s="120"/>
      <c r="F656" s="122" t="str">
        <f>IFERROR(IF($D656="","",VLOOKUP($D656,Cadastro!$C$4:$E$7,3,FALSE)),"")</f>
        <v/>
      </c>
      <c r="G656" s="114"/>
      <c r="H656" s="122" t="str">
        <f>IFERROR(IF($G656="","",$G656*$S$662/$G$662/Cadastro!$E$33),"")</f>
        <v/>
      </c>
      <c r="I656" s="129" t="str">
        <f>IFERROR(IF($D656="","",VLOOKUP($D656,Cadastro!$C$4:$G$7,5,FALSE)),"")</f>
        <v/>
      </c>
      <c r="J656" s="145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 x14ac:dyDescent="0.3">
      <c r="A657" s="69">
        <v>46259</v>
      </c>
      <c r="B657" s="32">
        <f t="shared" si="172"/>
        <v>0.62499999999999967</v>
      </c>
      <c r="C657" s="26"/>
      <c r="D657" s="59"/>
      <c r="E657" s="120"/>
      <c r="F657" s="122" t="str">
        <f>IFERROR(IF($D657="","",VLOOKUP($D657,Cadastro!$C$4:$E$7,3,FALSE)),"")</f>
        <v/>
      </c>
      <c r="G657" s="114"/>
      <c r="H657" s="122" t="str">
        <f>IFERROR(IF($G657="","",$G657*$S$662/$G$662/Cadastro!$E$33),"")</f>
        <v/>
      </c>
      <c r="I657" s="129" t="str">
        <f>IFERROR(IF($D657="","",VLOOKUP($D657,Cadastro!$C$4:$G$7,5,FALSE)),"")</f>
        <v/>
      </c>
      <c r="J657" s="145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 x14ac:dyDescent="0.3">
      <c r="A658" s="68">
        <v>46259</v>
      </c>
      <c r="B658" s="25">
        <f t="shared" si="172"/>
        <v>0.6666666666666663</v>
      </c>
      <c r="C658" s="26"/>
      <c r="D658" s="59"/>
      <c r="E658" s="120"/>
      <c r="F658" s="122" t="str">
        <f>IFERROR(IF($D658="","",VLOOKUP($D658,Cadastro!$C$4:$E$7,3,FALSE)),"")</f>
        <v/>
      </c>
      <c r="G658" s="114"/>
      <c r="H658" s="122" t="str">
        <f>IFERROR(IF($G658="","",$G658*$S$662/$G$662/Cadastro!$E$33),"")</f>
        <v/>
      </c>
      <c r="I658" s="129" t="str">
        <f>IFERROR(IF($D658="","",VLOOKUP($D658,Cadastro!$C$4:$G$7,5,FALSE)),"")</f>
        <v/>
      </c>
      <c r="J658" s="145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 x14ac:dyDescent="0.3">
      <c r="A659" s="69">
        <v>46259</v>
      </c>
      <c r="B659" s="32">
        <f t="shared" si="172"/>
        <v>0.70833333333333293</v>
      </c>
      <c r="C659" s="26"/>
      <c r="D659" s="59"/>
      <c r="E659" s="120"/>
      <c r="F659" s="122" t="str">
        <f>IFERROR(IF($D659="","",VLOOKUP($D659,Cadastro!$C$4:$E$7,3,FALSE)),"")</f>
        <v/>
      </c>
      <c r="G659" s="114"/>
      <c r="H659" s="122" t="str">
        <f>IFERROR(IF($G659="","",$G659*$S$662/$G$662/Cadastro!$E$33),"")</f>
        <v/>
      </c>
      <c r="I659" s="129" t="str">
        <f>IFERROR(IF($D659="","",VLOOKUP($D659,Cadastro!$C$4:$G$7,5,FALSE)),"")</f>
        <v/>
      </c>
      <c r="J659" s="145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 x14ac:dyDescent="0.3">
      <c r="A660" s="68">
        <v>46259</v>
      </c>
      <c r="B660" s="25">
        <f t="shared" si="172"/>
        <v>0.74999999999999956</v>
      </c>
      <c r="C660" s="26"/>
      <c r="D660" s="59"/>
      <c r="E660" s="120"/>
      <c r="F660" s="122" t="str">
        <f>IFERROR(IF($D660="","",VLOOKUP($D660,Cadastro!$C$4:$E$7,3,FALSE)),"")</f>
        <v/>
      </c>
      <c r="G660" s="114"/>
      <c r="H660" s="122" t="str">
        <f>IFERROR(IF($G660="","",$G660*$S$662/$G$662/Cadastro!$E$33),"")</f>
        <v/>
      </c>
      <c r="I660" s="129" t="str">
        <f>IFERROR(IF($D660="","",VLOOKUP($D660,Cadastro!$C$4:$G$7,5,FALSE)),"")</f>
        <v/>
      </c>
      <c r="J660" s="145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 x14ac:dyDescent="0.35">
      <c r="A661" s="69">
        <v>46259</v>
      </c>
      <c r="B661" s="32">
        <f t="shared" si="172"/>
        <v>0.79166666666666619</v>
      </c>
      <c r="C661" s="26"/>
      <c r="D661" s="59"/>
      <c r="E661" s="120"/>
      <c r="F661" s="118" t="str">
        <f>IFERROR(IF($D661="","",VLOOKUP($D661,Cadastro!$C$4:$E$7,3,FALSE)),"")</f>
        <v/>
      </c>
      <c r="G661" s="114"/>
      <c r="H661" s="118" t="str">
        <f>IFERROR(IF($G661="","",$G661*$S$662/$G$662/Cadastro!$E$33),"")</f>
        <v/>
      </c>
      <c r="I661" s="130" t="str">
        <f>IFERROR(IF($D661="","",VLOOKUP($D661,Cadastro!$C$4:$G$7,5,FALSE)),"")</f>
        <v/>
      </c>
      <c r="J661" s="146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 x14ac:dyDescent="0.35">
      <c r="A662" s="168" t="s">
        <v>231</v>
      </c>
      <c r="B662" s="169"/>
      <c r="C662" s="169"/>
      <c r="D662" s="169"/>
      <c r="E662" s="169">
        <f>SUM(E650:E661)</f>
        <v>0</v>
      </c>
      <c r="F662" s="123"/>
      <c r="G662" s="88">
        <f>SUM(G650:G661)</f>
        <v>0</v>
      </c>
      <c r="H662" s="123">
        <f>IFERROR(SUM(H650:H661),"")</f>
        <v>0</v>
      </c>
      <c r="I662" s="131"/>
      <c r="J662" s="147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232</v>
      </c>
      <c r="S662" s="39"/>
      <c r="T662" s="141">
        <f>IFERROR(J662,"")</f>
        <v>0</v>
      </c>
    </row>
    <row r="663" spans="1:20" ht="15" customHeight="1" x14ac:dyDescent="0.3">
      <c r="A663" s="69">
        <v>46259</v>
      </c>
      <c r="B663" s="32">
        <v>0.83333333333333304</v>
      </c>
      <c r="C663" s="33"/>
      <c r="D663" s="62"/>
      <c r="E663" s="121"/>
      <c r="F663" s="119" t="str">
        <f>IFERROR(IF($D663="","",VLOOKUP($D663,Cadastro!$C$4:$E$7,3,FALSE)),"")</f>
        <v/>
      </c>
      <c r="G663" s="114"/>
      <c r="H663" s="119" t="str">
        <f>IFERROR(IF($G663="","",$G663*$S$675/$G$675/Cadastro!$E$33),"")</f>
        <v/>
      </c>
      <c r="I663" s="132" t="str">
        <f>IFERROR(IF($D663="","",VLOOKUP($D663,Cadastro!$C$4:$G$7,5,FALSE)),"")</f>
        <v/>
      </c>
      <c r="J663" s="148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8">
        <v>46259</v>
      </c>
      <c r="B664" s="25">
        <f t="shared" ref="B664:B674" si="176">B663+TIME(0,60,0)</f>
        <v>0.87499999999999967</v>
      </c>
      <c r="C664" s="33"/>
      <c r="D664" s="62"/>
      <c r="E664" s="121"/>
      <c r="F664" s="122" t="str">
        <f>IFERROR(IF($D664="","",VLOOKUP($D664,Cadastro!$C$4:$E$7,3,FALSE)),"")</f>
        <v/>
      </c>
      <c r="G664" s="114"/>
      <c r="H664" s="122" t="str">
        <f>IFERROR(IF($G664="","",$G664*$S$675/$G$675/Cadastro!$E$33),"")</f>
        <v/>
      </c>
      <c r="I664" s="129" t="str">
        <f>IFERROR(IF($D664="","",VLOOKUP($D664,Cadastro!$C$4:$G$7,5,FALSE)),"")</f>
        <v/>
      </c>
      <c r="J664" s="145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 x14ac:dyDescent="0.3">
      <c r="A665" s="69">
        <v>46259</v>
      </c>
      <c r="B665" s="32">
        <f t="shared" si="176"/>
        <v>0.9166666666666663</v>
      </c>
      <c r="C665" s="33"/>
      <c r="D665" s="62"/>
      <c r="E665" s="121"/>
      <c r="F665" s="122" t="str">
        <f>IFERROR(IF($D665="","",VLOOKUP($D665,Cadastro!$C$4:$E$7,3,FALSE)),"")</f>
        <v/>
      </c>
      <c r="G665" s="114"/>
      <c r="H665" s="122" t="str">
        <f>IFERROR(IF($G665="","",$G665*$S$675/$G$675/Cadastro!$E$33),"")</f>
        <v/>
      </c>
      <c r="I665" s="129" t="str">
        <f>IFERROR(IF($D665="","",VLOOKUP($D665,Cadastro!$C$4:$G$7,5,FALSE)),"")</f>
        <v/>
      </c>
      <c r="J665" s="145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 x14ac:dyDescent="0.3">
      <c r="A666" s="68">
        <v>46259</v>
      </c>
      <c r="B666" s="25">
        <f t="shared" si="176"/>
        <v>0.95833333333333293</v>
      </c>
      <c r="C666" s="33"/>
      <c r="D666" s="62"/>
      <c r="E666" s="121"/>
      <c r="F666" s="122" t="str">
        <f>IFERROR(IF($D666="","",VLOOKUP($D666,Cadastro!$C$4:$E$7,3,FALSE)),"")</f>
        <v/>
      </c>
      <c r="G666" s="114"/>
      <c r="H666" s="122" t="str">
        <f>IFERROR(IF($G666="","",$G666*$S$675/$G$675/Cadastro!$E$33),"")</f>
        <v/>
      </c>
      <c r="I666" s="129" t="str">
        <f>IFERROR(IF($D666="","",VLOOKUP($D666,Cadastro!$C$4:$G$7,5,FALSE)),"")</f>
        <v/>
      </c>
      <c r="J666" s="145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 x14ac:dyDescent="0.3">
      <c r="A667" s="69">
        <v>46259</v>
      </c>
      <c r="B667" s="32">
        <f t="shared" si="176"/>
        <v>0.99999999999999956</v>
      </c>
      <c r="C667" s="33"/>
      <c r="D667" s="62"/>
      <c r="E667" s="121"/>
      <c r="F667" s="122" t="str">
        <f>IFERROR(IF($D667="","",VLOOKUP($D667,Cadastro!$C$4:$E$7,3,FALSE)),"")</f>
        <v/>
      </c>
      <c r="G667" s="114"/>
      <c r="H667" s="122" t="str">
        <f>IFERROR(IF($G667="","",$G667*$S$675/$G$675/Cadastro!$E$33),"")</f>
        <v/>
      </c>
      <c r="I667" s="129" t="str">
        <f>IFERROR(IF($D667="","",VLOOKUP($D667,Cadastro!$C$4:$G$7,5,FALSE)),"")</f>
        <v/>
      </c>
      <c r="J667" s="145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 x14ac:dyDescent="0.3">
      <c r="A668" s="68">
        <v>46259</v>
      </c>
      <c r="B668" s="25">
        <f t="shared" si="176"/>
        <v>1.0416666666666663</v>
      </c>
      <c r="C668" s="33"/>
      <c r="D668" s="62"/>
      <c r="E668" s="121"/>
      <c r="F668" s="122" t="str">
        <f>IFERROR(IF($D668="","",VLOOKUP($D668,Cadastro!$C$4:$E$7,3,FALSE)),"")</f>
        <v/>
      </c>
      <c r="G668" s="114"/>
      <c r="H668" s="122" t="str">
        <f>IFERROR(IF($G668="","",$G668*$S$675/$G$675/Cadastro!$E$33),"")</f>
        <v/>
      </c>
      <c r="I668" s="129" t="str">
        <f>IFERROR(IF($D668="","",VLOOKUP($D668,Cadastro!$C$4:$G$7,5,FALSE)),"")</f>
        <v/>
      </c>
      <c r="J668" s="145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 x14ac:dyDescent="0.3">
      <c r="A669" s="69">
        <v>46259</v>
      </c>
      <c r="B669" s="32">
        <f t="shared" si="176"/>
        <v>1.083333333333333</v>
      </c>
      <c r="C669" s="33"/>
      <c r="D669" s="62"/>
      <c r="E669" s="121"/>
      <c r="F669" s="122" t="str">
        <f>IFERROR(IF($D669="","",VLOOKUP($D669,Cadastro!$C$4:$E$7,3,FALSE)),"")</f>
        <v/>
      </c>
      <c r="G669" s="114"/>
      <c r="H669" s="122" t="str">
        <f>IFERROR(IF($G669="","",$G669*$S$675/$G$675/Cadastro!$E$33),"")</f>
        <v/>
      </c>
      <c r="I669" s="129" t="str">
        <f>IFERROR(IF($D669="","",VLOOKUP($D669,Cadastro!$C$4:$G$7,5,FALSE)),"")</f>
        <v/>
      </c>
      <c r="J669" s="145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 x14ac:dyDescent="0.3">
      <c r="A670" s="68">
        <v>46259</v>
      </c>
      <c r="B670" s="25">
        <f t="shared" si="176"/>
        <v>1.1249999999999998</v>
      </c>
      <c r="C670" s="33"/>
      <c r="D670" s="62"/>
      <c r="E670" s="121"/>
      <c r="F670" s="122" t="str">
        <f>IFERROR(IF($D670="","",VLOOKUP($D670,Cadastro!$C$4:$E$7,3,FALSE)),"")</f>
        <v/>
      </c>
      <c r="G670" s="114"/>
      <c r="H670" s="122" t="str">
        <f>IFERROR(IF($G670="","",$G670*$S$675/$G$675/Cadastro!$E$33),"")</f>
        <v/>
      </c>
      <c r="I670" s="129" t="str">
        <f>IFERROR(IF($D670="","",VLOOKUP($D670,Cadastro!$C$4:$G$7,5,FALSE)),"")</f>
        <v/>
      </c>
      <c r="J670" s="145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 x14ac:dyDescent="0.3">
      <c r="A671" s="69">
        <v>46259</v>
      </c>
      <c r="B671" s="32">
        <f t="shared" si="176"/>
        <v>1.1666666666666665</v>
      </c>
      <c r="C671" s="33"/>
      <c r="D671" s="62"/>
      <c r="E671" s="121"/>
      <c r="F671" s="122" t="str">
        <f>IFERROR(IF($D671="","",VLOOKUP($D671,Cadastro!$C$4:$E$7,3,FALSE)),"")</f>
        <v/>
      </c>
      <c r="G671" s="114"/>
      <c r="H671" s="122" t="str">
        <f>IFERROR(IF($G671="","",$G671*$S$675/$G$675/Cadastro!$E$33),"")</f>
        <v/>
      </c>
      <c r="I671" s="129" t="str">
        <f>IFERROR(IF($D671="","",VLOOKUP($D671,Cadastro!$C$4:$G$7,5,FALSE)),"")</f>
        <v/>
      </c>
      <c r="J671" s="145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 x14ac:dyDescent="0.3">
      <c r="A672" s="68">
        <v>46259</v>
      </c>
      <c r="B672" s="25">
        <f t="shared" si="176"/>
        <v>1.2083333333333333</v>
      </c>
      <c r="C672" s="33"/>
      <c r="D672" s="62"/>
      <c r="E672" s="121"/>
      <c r="F672" s="122" t="str">
        <f>IFERROR(IF($D672="","",VLOOKUP($D672,Cadastro!$C$4:$E$7,3,FALSE)),"")</f>
        <v/>
      </c>
      <c r="G672" s="114"/>
      <c r="H672" s="122" t="str">
        <f>IFERROR(IF($G672="","",$G672*$S$675/$G$675/Cadastro!$E$33),"")</f>
        <v/>
      </c>
      <c r="I672" s="129" t="str">
        <f>IFERROR(IF($D672="","",VLOOKUP($D672,Cadastro!$C$4:$G$7,5,FALSE)),"")</f>
        <v/>
      </c>
      <c r="J672" s="145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 x14ac:dyDescent="0.3">
      <c r="A673" s="69">
        <v>46259</v>
      </c>
      <c r="B673" s="32">
        <f t="shared" si="176"/>
        <v>1.25</v>
      </c>
      <c r="C673" s="33"/>
      <c r="D673" s="62"/>
      <c r="E673" s="121"/>
      <c r="F673" s="122" t="str">
        <f>IFERROR(IF($D673="","",VLOOKUP($D673,Cadastro!$C$4:$E$7,3,FALSE)),"")</f>
        <v/>
      </c>
      <c r="G673" s="114"/>
      <c r="H673" s="122" t="str">
        <f>IFERROR(IF($G673="","",$G673*$S$675/$G$675/Cadastro!$E$33),"")</f>
        <v/>
      </c>
      <c r="I673" s="129" t="str">
        <f>IFERROR(IF($D673="","",VLOOKUP($D673,Cadastro!$C$4:$G$7,5,FALSE)),"")</f>
        <v/>
      </c>
      <c r="J673" s="145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 x14ac:dyDescent="0.35">
      <c r="A674" s="68">
        <v>46259</v>
      </c>
      <c r="B674" s="25">
        <f t="shared" si="176"/>
        <v>1.2916666666666667</v>
      </c>
      <c r="C674" s="26"/>
      <c r="D674" s="59"/>
      <c r="E674" s="120"/>
      <c r="F674" s="118" t="str">
        <f>IFERROR(IF($D674="","",VLOOKUP($D674,Cadastro!$C$4:$E$7,3,FALSE)),"")</f>
        <v/>
      </c>
      <c r="G674" s="114"/>
      <c r="H674" s="118" t="str">
        <f>IFERROR(IF($G674="","",$G674*$S$675/$G$675/Cadastro!$E$33),"")</f>
        <v/>
      </c>
      <c r="I674" s="130" t="str">
        <f>IFERROR(IF($D674="","",VLOOKUP($D674,Cadastro!$C$4:$G$7,5,FALSE)),"")</f>
        <v/>
      </c>
      <c r="J674" s="146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 x14ac:dyDescent="0.35">
      <c r="A675" s="168" t="s">
        <v>234</v>
      </c>
      <c r="B675" s="169"/>
      <c r="C675" s="169"/>
      <c r="D675" s="169"/>
      <c r="E675" s="169">
        <f>SUM(E663:E674)</f>
        <v>0</v>
      </c>
      <c r="F675" s="124"/>
      <c r="G675" s="88">
        <f>SUM(G663:G674)</f>
        <v>0</v>
      </c>
      <c r="H675" s="124">
        <f>IFERROR(SUM(H663:H674),"")</f>
        <v>0</v>
      </c>
      <c r="I675" s="133"/>
      <c r="J675" s="149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232</v>
      </c>
      <c r="S675" s="39"/>
      <c r="T675" s="141">
        <f>IFERROR(J675,"")</f>
        <v>0</v>
      </c>
    </row>
    <row r="676" spans="1:20" ht="18" customHeight="1" x14ac:dyDescent="0.3">
      <c r="A676" s="165" t="s">
        <v>235</v>
      </c>
      <c r="B676" s="166"/>
      <c r="C676" s="166"/>
      <c r="D676" s="166"/>
      <c r="E676" s="166">
        <f>E662+E675</f>
        <v>0</v>
      </c>
      <c r="F676" s="125"/>
      <c r="G676" s="100">
        <f>G662+G675</f>
        <v>0</v>
      </c>
      <c r="H676" s="125">
        <f>IFERROR(H662+H675,"")</f>
        <v>0</v>
      </c>
      <c r="I676" s="134"/>
      <c r="J676" s="150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236</v>
      </c>
      <c r="S676" s="48">
        <f>IFERROR(S662+S675,"")</f>
        <v>0</v>
      </c>
      <c r="T676" s="143">
        <f>IFERROR(J676,"")</f>
        <v>0</v>
      </c>
    </row>
    <row r="677" spans="1:20" ht="15" customHeight="1" x14ac:dyDescent="0.3">
      <c r="A677" s="69">
        <v>46260</v>
      </c>
      <c r="B677" s="32">
        <v>0.33333333333333298</v>
      </c>
      <c r="C677" s="33"/>
      <c r="D677" s="62"/>
      <c r="E677" s="121"/>
      <c r="F677" s="119" t="str">
        <f>IFERROR(IF($D677="","",VLOOKUP($D677,Cadastro!$C$4:$E$7,3,FALSE)),"")</f>
        <v/>
      </c>
      <c r="G677" s="114"/>
      <c r="H677" s="119" t="str">
        <f>IFERROR(IF($G677="","",$G677*$S$689/$G$689/Cadastro!$E$33),"")</f>
        <v/>
      </c>
      <c r="I677" s="132" t="str">
        <f>IFERROR(IF($D677="","",VLOOKUP($D677,Cadastro!$C$4:$G$7,5,FALSE)),"")</f>
        <v/>
      </c>
      <c r="J677" s="148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8">
        <v>46260</v>
      </c>
      <c r="B678" s="25">
        <f t="shared" ref="B678:B688" si="180">B677+TIME(0,60,0)</f>
        <v>0.37499999999999967</v>
      </c>
      <c r="C678" s="33"/>
      <c r="D678" s="62"/>
      <c r="E678" s="121"/>
      <c r="F678" s="122" t="str">
        <f>IFERROR(IF($D678="","",VLOOKUP($D678,Cadastro!$C$4:$E$7,3,FALSE)),"")</f>
        <v/>
      </c>
      <c r="G678" s="114"/>
      <c r="H678" s="122" t="str">
        <f>IFERROR(IF($G678="","",$G678*$S$689/$G$689/Cadastro!$E$33),"")</f>
        <v/>
      </c>
      <c r="I678" s="129" t="str">
        <f>IFERROR(IF($D678="","",VLOOKUP($D678,Cadastro!$C$4:$G$7,5,FALSE)),"")</f>
        <v/>
      </c>
      <c r="J678" s="145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 x14ac:dyDescent="0.3">
      <c r="A679" s="69">
        <v>46260</v>
      </c>
      <c r="B679" s="32">
        <f t="shared" si="180"/>
        <v>0.41666666666666635</v>
      </c>
      <c r="C679" s="33"/>
      <c r="D679" s="62"/>
      <c r="E679" s="121"/>
      <c r="F679" s="122" t="str">
        <f>IFERROR(IF($D679="","",VLOOKUP($D679,Cadastro!$C$4:$E$7,3,FALSE)),"")</f>
        <v/>
      </c>
      <c r="G679" s="114"/>
      <c r="H679" s="122" t="str">
        <f>IFERROR(IF($G679="","",$G679*$S$689/$G$689/Cadastro!$E$33),"")</f>
        <v/>
      </c>
      <c r="I679" s="129" t="str">
        <f>IFERROR(IF($D679="","",VLOOKUP($D679,Cadastro!$C$4:$G$7,5,FALSE)),"")</f>
        <v/>
      </c>
      <c r="J679" s="145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 x14ac:dyDescent="0.3">
      <c r="A680" s="68">
        <v>46260</v>
      </c>
      <c r="B680" s="25">
        <f t="shared" si="180"/>
        <v>0.45833333333333304</v>
      </c>
      <c r="C680" s="33"/>
      <c r="D680" s="62"/>
      <c r="E680" s="121"/>
      <c r="F680" s="122" t="str">
        <f>IFERROR(IF($D680="","",VLOOKUP($D680,Cadastro!$C$4:$E$7,3,FALSE)),"")</f>
        <v/>
      </c>
      <c r="G680" s="114"/>
      <c r="H680" s="122" t="str">
        <f>IFERROR(IF($G680="","",$G680*$S$689/$G$689/Cadastro!$E$33),"")</f>
        <v/>
      </c>
      <c r="I680" s="129" t="str">
        <f>IFERROR(IF($D680="","",VLOOKUP($D680,Cadastro!$C$4:$G$7,5,FALSE)),"")</f>
        <v/>
      </c>
      <c r="J680" s="145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 x14ac:dyDescent="0.3">
      <c r="A681" s="69">
        <v>46260</v>
      </c>
      <c r="B681" s="32">
        <f t="shared" si="180"/>
        <v>0.49999999999999972</v>
      </c>
      <c r="C681" s="33"/>
      <c r="D681" s="62"/>
      <c r="E681" s="121"/>
      <c r="F681" s="122" t="str">
        <f>IFERROR(IF($D681="","",VLOOKUP($D681,Cadastro!$C$4:$E$7,3,FALSE)),"")</f>
        <v/>
      </c>
      <c r="G681" s="114"/>
      <c r="H681" s="122" t="str">
        <f>IFERROR(IF($G681="","",$G681*$S$689/$G$689/Cadastro!$E$33),"")</f>
        <v/>
      </c>
      <c r="I681" s="129" t="str">
        <f>IFERROR(IF($D681="","",VLOOKUP($D681,Cadastro!$C$4:$G$7,5,FALSE)),"")</f>
        <v/>
      </c>
      <c r="J681" s="145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 x14ac:dyDescent="0.3">
      <c r="A682" s="68">
        <v>46260</v>
      </c>
      <c r="B682" s="25">
        <f t="shared" si="180"/>
        <v>0.54166666666666641</v>
      </c>
      <c r="C682" s="33"/>
      <c r="D682" s="62"/>
      <c r="E682" s="121"/>
      <c r="F682" s="122" t="str">
        <f>IFERROR(IF($D682="","",VLOOKUP($D682,Cadastro!$C$4:$E$7,3,FALSE)),"")</f>
        <v/>
      </c>
      <c r="G682" s="114"/>
      <c r="H682" s="122" t="str">
        <f>IFERROR(IF($G682="","",$G682*$S$689/$G$689/Cadastro!$E$33),"")</f>
        <v/>
      </c>
      <c r="I682" s="129" t="str">
        <f>IFERROR(IF($D682="","",VLOOKUP($D682,Cadastro!$C$4:$G$7,5,FALSE)),"")</f>
        <v/>
      </c>
      <c r="J682" s="145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 x14ac:dyDescent="0.3">
      <c r="A683" s="69">
        <v>46260</v>
      </c>
      <c r="B683" s="32">
        <f t="shared" si="180"/>
        <v>0.58333333333333304</v>
      </c>
      <c r="C683" s="33"/>
      <c r="D683" s="62"/>
      <c r="E683" s="121"/>
      <c r="F683" s="122" t="str">
        <f>IFERROR(IF($D683="","",VLOOKUP($D683,Cadastro!$C$4:$E$7,3,FALSE)),"")</f>
        <v/>
      </c>
      <c r="G683" s="114"/>
      <c r="H683" s="122" t="str">
        <f>IFERROR(IF($G683="","",$G683*$S$689/$G$689/Cadastro!$E$33),"")</f>
        <v/>
      </c>
      <c r="I683" s="129" t="str">
        <f>IFERROR(IF($D683="","",VLOOKUP($D683,Cadastro!$C$4:$G$7,5,FALSE)),"")</f>
        <v/>
      </c>
      <c r="J683" s="145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 x14ac:dyDescent="0.3">
      <c r="A684" s="68">
        <v>46260</v>
      </c>
      <c r="B684" s="25">
        <f t="shared" si="180"/>
        <v>0.62499999999999967</v>
      </c>
      <c r="C684" s="33"/>
      <c r="D684" s="62"/>
      <c r="E684" s="121"/>
      <c r="F684" s="122" t="str">
        <f>IFERROR(IF($D684="","",VLOOKUP($D684,Cadastro!$C$4:$E$7,3,FALSE)),"")</f>
        <v/>
      </c>
      <c r="G684" s="114"/>
      <c r="H684" s="122" t="str">
        <f>IFERROR(IF($G684="","",$G684*$S$689/$G$689/Cadastro!$E$33),"")</f>
        <v/>
      </c>
      <c r="I684" s="129" t="str">
        <f>IFERROR(IF($D684="","",VLOOKUP($D684,Cadastro!$C$4:$G$7,5,FALSE)),"")</f>
        <v/>
      </c>
      <c r="J684" s="145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 x14ac:dyDescent="0.3">
      <c r="A685" s="69">
        <v>46260</v>
      </c>
      <c r="B685" s="32">
        <f t="shared" si="180"/>
        <v>0.6666666666666663</v>
      </c>
      <c r="C685" s="33"/>
      <c r="D685" s="62"/>
      <c r="E685" s="121"/>
      <c r="F685" s="122" t="str">
        <f>IFERROR(IF($D685="","",VLOOKUP($D685,Cadastro!$C$4:$E$7,3,FALSE)),"")</f>
        <v/>
      </c>
      <c r="G685" s="114"/>
      <c r="H685" s="122" t="str">
        <f>IFERROR(IF($G685="","",$G685*$S$689/$G$689/Cadastro!$E$33),"")</f>
        <v/>
      </c>
      <c r="I685" s="129" t="str">
        <f>IFERROR(IF($D685="","",VLOOKUP($D685,Cadastro!$C$4:$G$7,5,FALSE)),"")</f>
        <v/>
      </c>
      <c r="J685" s="145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 x14ac:dyDescent="0.3">
      <c r="A686" s="68">
        <v>46260</v>
      </c>
      <c r="B686" s="25">
        <f t="shared" si="180"/>
        <v>0.70833333333333293</v>
      </c>
      <c r="C686" s="33"/>
      <c r="D686" s="62"/>
      <c r="E686" s="121"/>
      <c r="F686" s="122" t="str">
        <f>IFERROR(IF($D686="","",VLOOKUP($D686,Cadastro!$C$4:$E$7,3,FALSE)),"")</f>
        <v/>
      </c>
      <c r="G686" s="114"/>
      <c r="H686" s="122" t="str">
        <f>IFERROR(IF($G686="","",$G686*$S$689/$G$689/Cadastro!$E$33),"")</f>
        <v/>
      </c>
      <c r="I686" s="129" t="str">
        <f>IFERROR(IF($D686="","",VLOOKUP($D686,Cadastro!$C$4:$G$7,5,FALSE)),"")</f>
        <v/>
      </c>
      <c r="J686" s="145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 x14ac:dyDescent="0.3">
      <c r="A687" s="69">
        <v>46260</v>
      </c>
      <c r="B687" s="32">
        <f t="shared" si="180"/>
        <v>0.74999999999999956</v>
      </c>
      <c r="C687" s="33"/>
      <c r="D687" s="62"/>
      <c r="E687" s="121"/>
      <c r="F687" s="122" t="str">
        <f>IFERROR(IF($D687="","",VLOOKUP($D687,Cadastro!$C$4:$E$7,3,FALSE)),"")</f>
        <v/>
      </c>
      <c r="G687" s="114"/>
      <c r="H687" s="122" t="str">
        <f>IFERROR(IF($G687="","",$G687*$S$689/$G$689/Cadastro!$E$33),"")</f>
        <v/>
      </c>
      <c r="I687" s="129" t="str">
        <f>IFERROR(IF($D687="","",VLOOKUP($D687,Cadastro!$C$4:$G$7,5,FALSE)),"")</f>
        <v/>
      </c>
      <c r="J687" s="145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 x14ac:dyDescent="0.35">
      <c r="A688" s="68">
        <v>46260</v>
      </c>
      <c r="B688" s="25">
        <f t="shared" si="180"/>
        <v>0.79166666666666619</v>
      </c>
      <c r="C688" s="33"/>
      <c r="D688" s="62"/>
      <c r="E688" s="121"/>
      <c r="F688" s="118" t="str">
        <f>IFERROR(IF($D688="","",VLOOKUP($D688,Cadastro!$C$4:$E$7,3,FALSE)),"")</f>
        <v/>
      </c>
      <c r="G688" s="114"/>
      <c r="H688" s="118" t="str">
        <f>IFERROR(IF($G688="","",$G688*$S$689/$G$689/Cadastro!$E$33),"")</f>
        <v/>
      </c>
      <c r="I688" s="130" t="str">
        <f>IFERROR(IF($D688="","",VLOOKUP($D688,Cadastro!$C$4:$G$7,5,FALSE)),"")</f>
        <v/>
      </c>
      <c r="J688" s="146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 x14ac:dyDescent="0.35">
      <c r="A689" s="168" t="s">
        <v>231</v>
      </c>
      <c r="B689" s="169"/>
      <c r="C689" s="169"/>
      <c r="D689" s="169"/>
      <c r="E689" s="169">
        <f>SUM(E677:E688)</f>
        <v>0</v>
      </c>
      <c r="F689" s="123"/>
      <c r="G689" s="88">
        <f>SUM(G677:G688)</f>
        <v>0</v>
      </c>
      <c r="H689" s="123">
        <f>IFERROR(SUM(H677:H688),"")</f>
        <v>0</v>
      </c>
      <c r="I689" s="131"/>
      <c r="J689" s="147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232</v>
      </c>
      <c r="S689" s="39"/>
      <c r="T689" s="141">
        <f>IFERROR(J689,"")</f>
        <v>0</v>
      </c>
    </row>
    <row r="690" spans="1:20" ht="15" customHeight="1" x14ac:dyDescent="0.3">
      <c r="A690" s="68">
        <v>46260</v>
      </c>
      <c r="B690" s="25">
        <v>0.83333333333333304</v>
      </c>
      <c r="C690" s="26"/>
      <c r="D690" s="59"/>
      <c r="E690" s="120"/>
      <c r="F690" s="119" t="str">
        <f>IFERROR(IF($D690="","",VLOOKUP($D690,Cadastro!$C$4:$E$7,3,FALSE)),"")</f>
        <v/>
      </c>
      <c r="G690" s="114"/>
      <c r="H690" s="119" t="str">
        <f>IFERROR(IF($G690="","",$G690*$S$702/$G$702/Cadastro!$E$33),"")</f>
        <v/>
      </c>
      <c r="I690" s="132" t="str">
        <f>IFERROR(IF($D690="","",VLOOKUP($D690,Cadastro!$C$4:$G$7,5,FALSE)),"")</f>
        <v/>
      </c>
      <c r="J690" s="148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9">
        <v>46260</v>
      </c>
      <c r="B691" s="32">
        <f t="shared" ref="B691:B701" si="184">B690+TIME(0,60,0)</f>
        <v>0.87499999999999967</v>
      </c>
      <c r="C691" s="26"/>
      <c r="D691" s="59"/>
      <c r="E691" s="120"/>
      <c r="F691" s="122" t="str">
        <f>IFERROR(IF($D691="","",VLOOKUP($D691,Cadastro!$C$4:$E$7,3,FALSE)),"")</f>
        <v/>
      </c>
      <c r="G691" s="114"/>
      <c r="H691" s="122" t="str">
        <f>IFERROR(IF($G691="","",$G691*$S$702/$G$702/Cadastro!$E$33),"")</f>
        <v/>
      </c>
      <c r="I691" s="129" t="str">
        <f>IFERROR(IF($D691="","",VLOOKUP($D691,Cadastro!$C$4:$G$7,5,FALSE)),"")</f>
        <v/>
      </c>
      <c r="J691" s="145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 x14ac:dyDescent="0.3">
      <c r="A692" s="68">
        <v>46260</v>
      </c>
      <c r="B692" s="25">
        <f t="shared" si="184"/>
        <v>0.9166666666666663</v>
      </c>
      <c r="C692" s="26"/>
      <c r="D692" s="59"/>
      <c r="E692" s="120"/>
      <c r="F692" s="122" t="str">
        <f>IFERROR(IF($D692="","",VLOOKUP($D692,Cadastro!$C$4:$E$7,3,FALSE)),"")</f>
        <v/>
      </c>
      <c r="G692" s="114"/>
      <c r="H692" s="122" t="str">
        <f>IFERROR(IF($G692="","",$G692*$S$702/$G$702/Cadastro!$E$33),"")</f>
        <v/>
      </c>
      <c r="I692" s="129" t="str">
        <f>IFERROR(IF($D692="","",VLOOKUP($D692,Cadastro!$C$4:$G$7,5,FALSE)),"")</f>
        <v/>
      </c>
      <c r="J692" s="145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 x14ac:dyDescent="0.3">
      <c r="A693" s="69">
        <v>46260</v>
      </c>
      <c r="B693" s="32">
        <f t="shared" si="184"/>
        <v>0.95833333333333293</v>
      </c>
      <c r="C693" s="26"/>
      <c r="D693" s="59"/>
      <c r="E693" s="120"/>
      <c r="F693" s="122" t="str">
        <f>IFERROR(IF($D693="","",VLOOKUP($D693,Cadastro!$C$4:$E$7,3,FALSE)),"")</f>
        <v/>
      </c>
      <c r="G693" s="114"/>
      <c r="H693" s="122" t="str">
        <f>IFERROR(IF($G693="","",$G693*$S$702/$G$702/Cadastro!$E$33),"")</f>
        <v/>
      </c>
      <c r="I693" s="129" t="str">
        <f>IFERROR(IF($D693="","",VLOOKUP($D693,Cadastro!$C$4:$G$7,5,FALSE)),"")</f>
        <v/>
      </c>
      <c r="J693" s="145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 x14ac:dyDescent="0.3">
      <c r="A694" s="68">
        <v>46260</v>
      </c>
      <c r="B694" s="25">
        <f t="shared" si="184"/>
        <v>0.99999999999999956</v>
      </c>
      <c r="C694" s="26"/>
      <c r="D694" s="59"/>
      <c r="E694" s="120"/>
      <c r="F694" s="122" t="str">
        <f>IFERROR(IF($D694="","",VLOOKUP($D694,Cadastro!$C$4:$E$7,3,FALSE)),"")</f>
        <v/>
      </c>
      <c r="G694" s="114"/>
      <c r="H694" s="122" t="str">
        <f>IFERROR(IF($G694="","",$G694*$S$702/$G$702/Cadastro!$E$33),"")</f>
        <v/>
      </c>
      <c r="I694" s="129" t="str">
        <f>IFERROR(IF($D694="","",VLOOKUP($D694,Cadastro!$C$4:$G$7,5,FALSE)),"")</f>
        <v/>
      </c>
      <c r="J694" s="145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 x14ac:dyDescent="0.3">
      <c r="A695" s="69">
        <v>46260</v>
      </c>
      <c r="B695" s="32">
        <f t="shared" si="184"/>
        <v>1.0416666666666663</v>
      </c>
      <c r="C695" s="26"/>
      <c r="D695" s="59"/>
      <c r="E695" s="120"/>
      <c r="F695" s="122" t="str">
        <f>IFERROR(IF($D695="","",VLOOKUP($D695,Cadastro!$C$4:$E$7,3,FALSE)),"")</f>
        <v/>
      </c>
      <c r="G695" s="114"/>
      <c r="H695" s="122" t="str">
        <f>IFERROR(IF($G695="","",$G695*$S$702/$G$702/Cadastro!$E$33),"")</f>
        <v/>
      </c>
      <c r="I695" s="129" t="str">
        <f>IFERROR(IF($D695="","",VLOOKUP($D695,Cadastro!$C$4:$G$7,5,FALSE)),"")</f>
        <v/>
      </c>
      <c r="J695" s="145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 x14ac:dyDescent="0.3">
      <c r="A696" s="68">
        <v>46260</v>
      </c>
      <c r="B696" s="25">
        <f t="shared" si="184"/>
        <v>1.083333333333333</v>
      </c>
      <c r="C696" s="26"/>
      <c r="D696" s="59"/>
      <c r="E696" s="120"/>
      <c r="F696" s="122" t="str">
        <f>IFERROR(IF($D696="","",VLOOKUP($D696,Cadastro!$C$4:$E$7,3,FALSE)),"")</f>
        <v/>
      </c>
      <c r="G696" s="114"/>
      <c r="H696" s="122" t="str">
        <f>IFERROR(IF($G696="","",$G696*$S$702/$G$702/Cadastro!$E$33),"")</f>
        <v/>
      </c>
      <c r="I696" s="129" t="str">
        <f>IFERROR(IF($D696="","",VLOOKUP($D696,Cadastro!$C$4:$G$7,5,FALSE)),"")</f>
        <v/>
      </c>
      <c r="J696" s="145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 x14ac:dyDescent="0.3">
      <c r="A697" s="69">
        <v>46260</v>
      </c>
      <c r="B697" s="32">
        <f t="shared" si="184"/>
        <v>1.1249999999999998</v>
      </c>
      <c r="C697" s="26"/>
      <c r="D697" s="59"/>
      <c r="E697" s="120"/>
      <c r="F697" s="122" t="str">
        <f>IFERROR(IF($D697="","",VLOOKUP($D697,Cadastro!$C$4:$E$7,3,FALSE)),"")</f>
        <v/>
      </c>
      <c r="G697" s="114"/>
      <c r="H697" s="122" t="str">
        <f>IFERROR(IF($G697="","",$G697*$S$702/$G$702/Cadastro!$E$33),"")</f>
        <v/>
      </c>
      <c r="I697" s="129" t="str">
        <f>IFERROR(IF($D697="","",VLOOKUP($D697,Cadastro!$C$4:$G$7,5,FALSE)),"")</f>
        <v/>
      </c>
      <c r="J697" s="145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 x14ac:dyDescent="0.3">
      <c r="A698" s="68">
        <v>46260</v>
      </c>
      <c r="B698" s="25">
        <f t="shared" si="184"/>
        <v>1.1666666666666665</v>
      </c>
      <c r="C698" s="26"/>
      <c r="D698" s="59"/>
      <c r="E698" s="120"/>
      <c r="F698" s="122" t="str">
        <f>IFERROR(IF($D698="","",VLOOKUP($D698,Cadastro!$C$4:$E$7,3,FALSE)),"")</f>
        <v/>
      </c>
      <c r="G698" s="114"/>
      <c r="H698" s="122" t="str">
        <f>IFERROR(IF($G698="","",$G698*$S$702/$G$702/Cadastro!$E$33),"")</f>
        <v/>
      </c>
      <c r="I698" s="129" t="str">
        <f>IFERROR(IF($D698="","",VLOOKUP($D698,Cadastro!$C$4:$G$7,5,FALSE)),"")</f>
        <v/>
      </c>
      <c r="J698" s="145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 x14ac:dyDescent="0.3">
      <c r="A699" s="69">
        <v>46260</v>
      </c>
      <c r="B699" s="32">
        <f t="shared" si="184"/>
        <v>1.2083333333333333</v>
      </c>
      <c r="C699" s="26"/>
      <c r="D699" s="59"/>
      <c r="E699" s="120"/>
      <c r="F699" s="122" t="str">
        <f>IFERROR(IF($D699="","",VLOOKUP($D699,Cadastro!$C$4:$E$7,3,FALSE)),"")</f>
        <v/>
      </c>
      <c r="G699" s="114"/>
      <c r="H699" s="122" t="str">
        <f>IFERROR(IF($G699="","",$G699*$S$702/$G$702/Cadastro!$E$33),"")</f>
        <v/>
      </c>
      <c r="I699" s="129" t="str">
        <f>IFERROR(IF($D699="","",VLOOKUP($D699,Cadastro!$C$4:$G$7,5,FALSE)),"")</f>
        <v/>
      </c>
      <c r="J699" s="145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 x14ac:dyDescent="0.3">
      <c r="A700" s="68">
        <v>46260</v>
      </c>
      <c r="B700" s="25">
        <f t="shared" si="184"/>
        <v>1.25</v>
      </c>
      <c r="C700" s="26"/>
      <c r="D700" s="59"/>
      <c r="E700" s="120"/>
      <c r="F700" s="122" t="str">
        <f>IFERROR(IF($D700="","",VLOOKUP($D700,Cadastro!$C$4:$E$7,3,FALSE)),"")</f>
        <v/>
      </c>
      <c r="G700" s="114"/>
      <c r="H700" s="122" t="str">
        <f>IFERROR(IF($G700="","",$G700*$S$702/$G$702/Cadastro!$E$33),"")</f>
        <v/>
      </c>
      <c r="I700" s="129" t="str">
        <f>IFERROR(IF($D700="","",VLOOKUP($D700,Cadastro!$C$4:$G$7,5,FALSE)),"")</f>
        <v/>
      </c>
      <c r="J700" s="145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 x14ac:dyDescent="0.35">
      <c r="A701" s="69">
        <v>46260</v>
      </c>
      <c r="B701" s="32">
        <f t="shared" si="184"/>
        <v>1.2916666666666667</v>
      </c>
      <c r="C701" s="26"/>
      <c r="D701" s="59"/>
      <c r="E701" s="120"/>
      <c r="F701" s="118" t="str">
        <f>IFERROR(IF($D701="","",VLOOKUP($D701,Cadastro!$C$4:$E$7,3,FALSE)),"")</f>
        <v/>
      </c>
      <c r="G701" s="114"/>
      <c r="H701" s="118" t="str">
        <f>IFERROR(IF($G701="","",$G701*$S$702/$G$702/Cadastro!$E$33),"")</f>
        <v/>
      </c>
      <c r="I701" s="130" t="str">
        <f>IFERROR(IF($D701="","",VLOOKUP($D701,Cadastro!$C$4:$G$7,5,FALSE)),"")</f>
        <v/>
      </c>
      <c r="J701" s="146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 x14ac:dyDescent="0.35">
      <c r="A702" s="168" t="s">
        <v>234</v>
      </c>
      <c r="B702" s="169"/>
      <c r="C702" s="169"/>
      <c r="D702" s="169"/>
      <c r="E702" s="169">
        <f>SUM(E690:E701)</f>
        <v>0</v>
      </c>
      <c r="F702" s="124"/>
      <c r="G702" s="88">
        <f>SUM(G690:G701)</f>
        <v>0</v>
      </c>
      <c r="H702" s="124">
        <f>IFERROR(SUM(H690:H701),"")</f>
        <v>0</v>
      </c>
      <c r="I702" s="133"/>
      <c r="J702" s="149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232</v>
      </c>
      <c r="S702" s="39"/>
      <c r="T702" s="141">
        <f>IFERROR(J702,"")</f>
        <v>0</v>
      </c>
    </row>
    <row r="703" spans="1:20" ht="18" customHeight="1" x14ac:dyDescent="0.3">
      <c r="A703" s="165" t="s">
        <v>235</v>
      </c>
      <c r="B703" s="166"/>
      <c r="C703" s="166"/>
      <c r="D703" s="166"/>
      <c r="E703" s="166">
        <f>E689+E702</f>
        <v>0</v>
      </c>
      <c r="F703" s="125"/>
      <c r="G703" s="100">
        <f>G689+G702</f>
        <v>0</v>
      </c>
      <c r="H703" s="125">
        <f>IFERROR(H689+H702,"")</f>
        <v>0</v>
      </c>
      <c r="I703" s="134"/>
      <c r="J703" s="150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236</v>
      </c>
      <c r="S703" s="48">
        <f>IFERROR(S689+S702,"")</f>
        <v>0</v>
      </c>
      <c r="T703" s="143">
        <f>IFERROR(J703,"")</f>
        <v>0</v>
      </c>
    </row>
    <row r="704" spans="1:20" ht="15" customHeight="1" x14ac:dyDescent="0.3">
      <c r="A704" s="68">
        <v>46261</v>
      </c>
      <c r="B704" s="25">
        <v>0.33333333333333298</v>
      </c>
      <c r="C704" s="26"/>
      <c r="D704" s="59"/>
      <c r="E704" s="120"/>
      <c r="F704" s="119" t="str">
        <f>IFERROR(IF($D704="","",VLOOKUP($D704,Cadastro!$C$4:$E$7,3,FALSE)),"")</f>
        <v/>
      </c>
      <c r="G704" s="114"/>
      <c r="H704" s="119" t="str">
        <f>IFERROR(IF($G704="","",$G704*$S$716/$G$716/Cadastro!$E$33),"")</f>
        <v/>
      </c>
      <c r="I704" s="132" t="str">
        <f>IFERROR(IF($D704="","",VLOOKUP($D704,Cadastro!$C$4:$G$7,5,FALSE)),"")</f>
        <v/>
      </c>
      <c r="J704" s="148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9">
        <v>46261</v>
      </c>
      <c r="B705" s="32">
        <f t="shared" ref="B705:B715" si="188">B704+TIME(0,60,0)</f>
        <v>0.37499999999999967</v>
      </c>
      <c r="C705" s="26"/>
      <c r="D705" s="59"/>
      <c r="E705" s="120"/>
      <c r="F705" s="122" t="str">
        <f>IFERROR(IF($D705="","",VLOOKUP($D705,Cadastro!$C$4:$E$7,3,FALSE)),"")</f>
        <v/>
      </c>
      <c r="G705" s="114"/>
      <c r="H705" s="122" t="str">
        <f>IFERROR(IF($G705="","",$G705*$S$716/$G$716/Cadastro!$E$33),"")</f>
        <v/>
      </c>
      <c r="I705" s="129" t="str">
        <f>IFERROR(IF($D705="","",VLOOKUP($D705,Cadastro!$C$4:$G$7,5,FALSE)),"")</f>
        <v/>
      </c>
      <c r="J705" s="145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 x14ac:dyDescent="0.3">
      <c r="A706" s="68">
        <v>46261</v>
      </c>
      <c r="B706" s="25">
        <f t="shared" si="188"/>
        <v>0.41666666666666635</v>
      </c>
      <c r="C706" s="26"/>
      <c r="D706" s="59"/>
      <c r="E706" s="120"/>
      <c r="F706" s="122" t="str">
        <f>IFERROR(IF($D706="","",VLOOKUP($D706,Cadastro!$C$4:$E$7,3,FALSE)),"")</f>
        <v/>
      </c>
      <c r="G706" s="114"/>
      <c r="H706" s="122" t="str">
        <f>IFERROR(IF($G706="","",$G706*$S$716/$G$716/Cadastro!$E$33),"")</f>
        <v/>
      </c>
      <c r="I706" s="129" t="str">
        <f>IFERROR(IF($D706="","",VLOOKUP($D706,Cadastro!$C$4:$G$7,5,FALSE)),"")</f>
        <v/>
      </c>
      <c r="J706" s="145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 x14ac:dyDescent="0.3">
      <c r="A707" s="69">
        <v>46261</v>
      </c>
      <c r="B707" s="32">
        <f t="shared" si="188"/>
        <v>0.45833333333333304</v>
      </c>
      <c r="C707" s="26"/>
      <c r="D707" s="59"/>
      <c r="E707" s="120"/>
      <c r="F707" s="122" t="str">
        <f>IFERROR(IF($D707="","",VLOOKUP($D707,Cadastro!$C$4:$E$7,3,FALSE)),"")</f>
        <v/>
      </c>
      <c r="G707" s="114"/>
      <c r="H707" s="122" t="str">
        <f>IFERROR(IF($G707="","",$G707*$S$716/$G$716/Cadastro!$E$33),"")</f>
        <v/>
      </c>
      <c r="I707" s="129" t="str">
        <f>IFERROR(IF($D707="","",VLOOKUP($D707,Cadastro!$C$4:$G$7,5,FALSE)),"")</f>
        <v/>
      </c>
      <c r="J707" s="145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 x14ac:dyDescent="0.3">
      <c r="A708" s="68">
        <v>46261</v>
      </c>
      <c r="B708" s="25">
        <f t="shared" si="188"/>
        <v>0.49999999999999972</v>
      </c>
      <c r="C708" s="26"/>
      <c r="D708" s="59"/>
      <c r="E708" s="120"/>
      <c r="F708" s="122" t="str">
        <f>IFERROR(IF($D708="","",VLOOKUP($D708,Cadastro!$C$4:$E$7,3,FALSE)),"")</f>
        <v/>
      </c>
      <c r="G708" s="114"/>
      <c r="H708" s="122" t="str">
        <f>IFERROR(IF($G708="","",$G708*$S$716/$G$716/Cadastro!$E$33),"")</f>
        <v/>
      </c>
      <c r="I708" s="129" t="str">
        <f>IFERROR(IF($D708="","",VLOOKUP($D708,Cadastro!$C$4:$G$7,5,FALSE)),"")</f>
        <v/>
      </c>
      <c r="J708" s="145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 x14ac:dyDescent="0.3">
      <c r="A709" s="69">
        <v>46261</v>
      </c>
      <c r="B709" s="32">
        <f t="shared" si="188"/>
        <v>0.54166666666666641</v>
      </c>
      <c r="C709" s="26"/>
      <c r="D709" s="59"/>
      <c r="E709" s="120"/>
      <c r="F709" s="122" t="str">
        <f>IFERROR(IF($D709="","",VLOOKUP($D709,Cadastro!$C$4:$E$7,3,FALSE)),"")</f>
        <v/>
      </c>
      <c r="G709" s="114"/>
      <c r="H709" s="122" t="str">
        <f>IFERROR(IF($G709="","",$G709*$S$716/$G$716/Cadastro!$E$33),"")</f>
        <v/>
      </c>
      <c r="I709" s="129" t="str">
        <f>IFERROR(IF($D709="","",VLOOKUP($D709,Cadastro!$C$4:$G$7,5,FALSE)),"")</f>
        <v/>
      </c>
      <c r="J709" s="145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 x14ac:dyDescent="0.3">
      <c r="A710" s="68">
        <v>46261</v>
      </c>
      <c r="B710" s="25">
        <f t="shared" si="188"/>
        <v>0.58333333333333304</v>
      </c>
      <c r="C710" s="26"/>
      <c r="D710" s="59"/>
      <c r="E710" s="120"/>
      <c r="F710" s="122" t="str">
        <f>IFERROR(IF($D710="","",VLOOKUP($D710,Cadastro!$C$4:$E$7,3,FALSE)),"")</f>
        <v/>
      </c>
      <c r="G710" s="114"/>
      <c r="H710" s="122" t="str">
        <f>IFERROR(IF($G710="","",$G710*$S$716/$G$716/Cadastro!$E$33),"")</f>
        <v/>
      </c>
      <c r="I710" s="129" t="str">
        <f>IFERROR(IF($D710="","",VLOOKUP($D710,Cadastro!$C$4:$G$7,5,FALSE)),"")</f>
        <v/>
      </c>
      <c r="J710" s="145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 x14ac:dyDescent="0.3">
      <c r="A711" s="69">
        <v>46261</v>
      </c>
      <c r="B711" s="32">
        <f t="shared" si="188"/>
        <v>0.62499999999999967</v>
      </c>
      <c r="C711" s="26"/>
      <c r="D711" s="59"/>
      <c r="E711" s="120"/>
      <c r="F711" s="122" t="str">
        <f>IFERROR(IF($D711="","",VLOOKUP($D711,Cadastro!$C$4:$E$7,3,FALSE)),"")</f>
        <v/>
      </c>
      <c r="G711" s="114"/>
      <c r="H711" s="122" t="str">
        <f>IFERROR(IF($G711="","",$G711*$S$716/$G$716/Cadastro!$E$33),"")</f>
        <v/>
      </c>
      <c r="I711" s="129" t="str">
        <f>IFERROR(IF($D711="","",VLOOKUP($D711,Cadastro!$C$4:$G$7,5,FALSE)),"")</f>
        <v/>
      </c>
      <c r="J711" s="145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 x14ac:dyDescent="0.3">
      <c r="A712" s="68">
        <v>46261</v>
      </c>
      <c r="B712" s="25">
        <f t="shared" si="188"/>
        <v>0.6666666666666663</v>
      </c>
      <c r="C712" s="26"/>
      <c r="D712" s="59"/>
      <c r="E712" s="120"/>
      <c r="F712" s="122" t="str">
        <f>IFERROR(IF($D712="","",VLOOKUP($D712,Cadastro!$C$4:$E$7,3,FALSE)),"")</f>
        <v/>
      </c>
      <c r="G712" s="114"/>
      <c r="H712" s="122" t="str">
        <f>IFERROR(IF($G712="","",$G712*$S$716/$G$716/Cadastro!$E$33),"")</f>
        <v/>
      </c>
      <c r="I712" s="129" t="str">
        <f>IFERROR(IF($D712="","",VLOOKUP($D712,Cadastro!$C$4:$G$7,5,FALSE)),"")</f>
        <v/>
      </c>
      <c r="J712" s="145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 x14ac:dyDescent="0.3">
      <c r="A713" s="69">
        <v>46261</v>
      </c>
      <c r="B713" s="32">
        <f t="shared" si="188"/>
        <v>0.70833333333333293</v>
      </c>
      <c r="C713" s="26"/>
      <c r="D713" s="59"/>
      <c r="E713" s="120"/>
      <c r="F713" s="122" t="str">
        <f>IFERROR(IF($D713="","",VLOOKUP($D713,Cadastro!$C$4:$E$7,3,FALSE)),"")</f>
        <v/>
      </c>
      <c r="G713" s="114"/>
      <c r="H713" s="122" t="str">
        <f>IFERROR(IF($G713="","",$G713*$S$716/$G$716/Cadastro!$E$33),"")</f>
        <v/>
      </c>
      <c r="I713" s="129" t="str">
        <f>IFERROR(IF($D713="","",VLOOKUP($D713,Cadastro!$C$4:$G$7,5,FALSE)),"")</f>
        <v/>
      </c>
      <c r="J713" s="145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 x14ac:dyDescent="0.3">
      <c r="A714" s="68">
        <v>46261</v>
      </c>
      <c r="B714" s="25">
        <f t="shared" si="188"/>
        <v>0.74999999999999956</v>
      </c>
      <c r="C714" s="26"/>
      <c r="D714" s="59"/>
      <c r="E714" s="120"/>
      <c r="F714" s="122" t="str">
        <f>IFERROR(IF($D714="","",VLOOKUP($D714,Cadastro!$C$4:$E$7,3,FALSE)),"")</f>
        <v/>
      </c>
      <c r="G714" s="114"/>
      <c r="H714" s="122" t="str">
        <f>IFERROR(IF($G714="","",$G714*$S$716/$G$716/Cadastro!$E$33),"")</f>
        <v/>
      </c>
      <c r="I714" s="129" t="str">
        <f>IFERROR(IF($D714="","",VLOOKUP($D714,Cadastro!$C$4:$G$7,5,FALSE)),"")</f>
        <v/>
      </c>
      <c r="J714" s="145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 x14ac:dyDescent="0.35">
      <c r="A715" s="69">
        <v>46261</v>
      </c>
      <c r="B715" s="32">
        <f t="shared" si="188"/>
        <v>0.79166666666666619</v>
      </c>
      <c r="C715" s="26"/>
      <c r="D715" s="59"/>
      <c r="E715" s="120"/>
      <c r="F715" s="118" t="str">
        <f>IFERROR(IF($D715="","",VLOOKUP($D715,Cadastro!$C$4:$E$7,3,FALSE)),"")</f>
        <v/>
      </c>
      <c r="G715" s="114"/>
      <c r="H715" s="118" t="str">
        <f>IFERROR(IF($G715="","",$G715*$S$716/$G$716/Cadastro!$E$33),"")</f>
        <v/>
      </c>
      <c r="I715" s="130" t="str">
        <f>IFERROR(IF($D715="","",VLOOKUP($D715,Cadastro!$C$4:$G$7,5,FALSE)),"")</f>
        <v/>
      </c>
      <c r="J715" s="146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 x14ac:dyDescent="0.35">
      <c r="A716" s="168" t="s">
        <v>231</v>
      </c>
      <c r="B716" s="169"/>
      <c r="C716" s="169"/>
      <c r="D716" s="169"/>
      <c r="E716" s="169">
        <f>SUM(E704:E715)</f>
        <v>0</v>
      </c>
      <c r="F716" s="123"/>
      <c r="G716" s="88">
        <f>SUM(G704:G715)</f>
        <v>0</v>
      </c>
      <c r="H716" s="123">
        <f>IFERROR(SUM(H704:H715),"")</f>
        <v>0</v>
      </c>
      <c r="I716" s="131"/>
      <c r="J716" s="147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232</v>
      </c>
      <c r="S716" s="39"/>
      <c r="T716" s="141">
        <f>IFERROR(J716,"")</f>
        <v>0</v>
      </c>
    </row>
    <row r="717" spans="1:20" ht="15" customHeight="1" x14ac:dyDescent="0.3">
      <c r="A717" s="69">
        <v>46261</v>
      </c>
      <c r="B717" s="32">
        <v>0.83333333333333304</v>
      </c>
      <c r="C717" s="33"/>
      <c r="D717" s="62"/>
      <c r="E717" s="121"/>
      <c r="F717" s="119" t="str">
        <f>IFERROR(IF($D717="","",VLOOKUP($D717,Cadastro!$C$4:$E$7,3,FALSE)),"")</f>
        <v/>
      </c>
      <c r="G717" s="114"/>
      <c r="H717" s="119" t="str">
        <f>IFERROR(IF($G717="","",$G717*$S$729/$G$729/Cadastro!$E$33),"")</f>
        <v/>
      </c>
      <c r="I717" s="132" t="str">
        <f>IFERROR(IF($D717="","",VLOOKUP($D717,Cadastro!$C$4:$G$7,5,FALSE)),"")</f>
        <v/>
      </c>
      <c r="J717" s="148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8">
        <v>46261</v>
      </c>
      <c r="B718" s="25">
        <f t="shared" ref="B718:B728" si="192">B717+TIME(0,60,0)</f>
        <v>0.87499999999999967</v>
      </c>
      <c r="C718" s="26"/>
      <c r="D718" s="59"/>
      <c r="E718" s="120"/>
      <c r="F718" s="122" t="str">
        <f>IFERROR(IF($D718="","",VLOOKUP($D718,Cadastro!$C$4:$E$7,3,FALSE)),"")</f>
        <v/>
      </c>
      <c r="G718" s="114"/>
      <c r="H718" s="122" t="str">
        <f>IFERROR(IF($G718="","",$G718*$S$729/$G$729/Cadastro!$E$33),"")</f>
        <v/>
      </c>
      <c r="I718" s="129" t="str">
        <f>IFERROR(IF($D718="","",VLOOKUP($D718,Cadastro!$C$4:$G$7,5,FALSE)),"")</f>
        <v/>
      </c>
      <c r="J718" s="145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 x14ac:dyDescent="0.3">
      <c r="A719" s="69">
        <v>46261</v>
      </c>
      <c r="B719" s="32">
        <f t="shared" si="192"/>
        <v>0.9166666666666663</v>
      </c>
      <c r="C719" s="33"/>
      <c r="D719" s="62"/>
      <c r="E719" s="121"/>
      <c r="F719" s="122" t="str">
        <f>IFERROR(IF($D719="","",VLOOKUP($D719,Cadastro!$C$4:$E$7,3,FALSE)),"")</f>
        <v/>
      </c>
      <c r="G719" s="114"/>
      <c r="H719" s="122" t="str">
        <f>IFERROR(IF($G719="","",$G719*$S$729/$G$729/Cadastro!$E$33),"")</f>
        <v/>
      </c>
      <c r="I719" s="129" t="str">
        <f>IFERROR(IF($D719="","",VLOOKUP($D719,Cadastro!$C$4:$G$7,5,FALSE)),"")</f>
        <v/>
      </c>
      <c r="J719" s="145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 x14ac:dyDescent="0.3">
      <c r="A720" s="68">
        <v>46261</v>
      </c>
      <c r="B720" s="25">
        <f t="shared" si="192"/>
        <v>0.95833333333333293</v>
      </c>
      <c r="C720" s="26"/>
      <c r="D720" s="59"/>
      <c r="E720" s="120"/>
      <c r="F720" s="122" t="str">
        <f>IFERROR(IF($D720="","",VLOOKUP($D720,Cadastro!$C$4:$E$7,3,FALSE)),"")</f>
        <v/>
      </c>
      <c r="G720" s="114"/>
      <c r="H720" s="122" t="str">
        <f>IFERROR(IF($G720="","",$G720*$S$729/$G$729/Cadastro!$E$33),"")</f>
        <v/>
      </c>
      <c r="I720" s="129" t="str">
        <f>IFERROR(IF($D720="","",VLOOKUP($D720,Cadastro!$C$4:$G$7,5,FALSE)),"")</f>
        <v/>
      </c>
      <c r="J720" s="145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 x14ac:dyDescent="0.3">
      <c r="A721" s="69">
        <v>46261</v>
      </c>
      <c r="B721" s="32">
        <f t="shared" si="192"/>
        <v>0.99999999999999956</v>
      </c>
      <c r="C721" s="33"/>
      <c r="D721" s="62"/>
      <c r="E721" s="121"/>
      <c r="F721" s="122" t="str">
        <f>IFERROR(IF($D721="","",VLOOKUP($D721,Cadastro!$C$4:$E$7,3,FALSE)),"")</f>
        <v/>
      </c>
      <c r="G721" s="114"/>
      <c r="H721" s="122" t="str">
        <f>IFERROR(IF($G721="","",$G721*$S$729/$G$729/Cadastro!$E$33),"")</f>
        <v/>
      </c>
      <c r="I721" s="129" t="str">
        <f>IFERROR(IF($D721="","",VLOOKUP($D721,Cadastro!$C$4:$G$7,5,FALSE)),"")</f>
        <v/>
      </c>
      <c r="J721" s="145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 x14ac:dyDescent="0.3">
      <c r="A722" s="68">
        <v>46261</v>
      </c>
      <c r="B722" s="25">
        <f t="shared" si="192"/>
        <v>1.0416666666666663</v>
      </c>
      <c r="C722" s="26"/>
      <c r="D722" s="59"/>
      <c r="E722" s="120"/>
      <c r="F722" s="122" t="str">
        <f>IFERROR(IF($D722="","",VLOOKUP($D722,Cadastro!$C$4:$E$7,3,FALSE)),"")</f>
        <v/>
      </c>
      <c r="G722" s="114"/>
      <c r="H722" s="122" t="str">
        <f>IFERROR(IF($G722="","",$G722*$S$729/$G$729/Cadastro!$E$33),"")</f>
        <v/>
      </c>
      <c r="I722" s="129" t="str">
        <f>IFERROR(IF($D722="","",VLOOKUP($D722,Cadastro!$C$4:$G$7,5,FALSE)),"")</f>
        <v/>
      </c>
      <c r="J722" s="145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 x14ac:dyDescent="0.3">
      <c r="A723" s="69">
        <v>46261</v>
      </c>
      <c r="B723" s="32">
        <f t="shared" si="192"/>
        <v>1.083333333333333</v>
      </c>
      <c r="C723" s="33"/>
      <c r="D723" s="62"/>
      <c r="E723" s="121"/>
      <c r="F723" s="122" t="str">
        <f>IFERROR(IF($D723="","",VLOOKUP($D723,Cadastro!$C$4:$E$7,3,FALSE)),"")</f>
        <v/>
      </c>
      <c r="G723" s="114"/>
      <c r="H723" s="122" t="str">
        <f>IFERROR(IF($G723="","",$G723*$S$729/$G$729/Cadastro!$E$33),"")</f>
        <v/>
      </c>
      <c r="I723" s="129" t="str">
        <f>IFERROR(IF($D723="","",VLOOKUP($D723,Cadastro!$C$4:$G$7,5,FALSE)),"")</f>
        <v/>
      </c>
      <c r="J723" s="145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 x14ac:dyDescent="0.3">
      <c r="A724" s="68">
        <v>46261</v>
      </c>
      <c r="B724" s="25">
        <f t="shared" si="192"/>
        <v>1.1249999999999998</v>
      </c>
      <c r="C724" s="26"/>
      <c r="D724" s="59"/>
      <c r="E724" s="120"/>
      <c r="F724" s="122" t="str">
        <f>IFERROR(IF($D724="","",VLOOKUP($D724,Cadastro!$C$4:$E$7,3,FALSE)),"")</f>
        <v/>
      </c>
      <c r="G724" s="114"/>
      <c r="H724" s="122" t="str">
        <f>IFERROR(IF($G724="","",$G724*$S$729/$G$729/Cadastro!$E$33),"")</f>
        <v/>
      </c>
      <c r="I724" s="129" t="str">
        <f>IFERROR(IF($D724="","",VLOOKUP($D724,Cadastro!$C$4:$G$7,5,FALSE)),"")</f>
        <v/>
      </c>
      <c r="J724" s="145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 x14ac:dyDescent="0.3">
      <c r="A725" s="69">
        <v>46261</v>
      </c>
      <c r="B725" s="32">
        <f t="shared" si="192"/>
        <v>1.1666666666666665</v>
      </c>
      <c r="C725" s="33"/>
      <c r="D725" s="62"/>
      <c r="E725" s="121"/>
      <c r="F725" s="122" t="str">
        <f>IFERROR(IF($D725="","",VLOOKUP($D725,Cadastro!$C$4:$E$7,3,FALSE)),"")</f>
        <v/>
      </c>
      <c r="G725" s="114"/>
      <c r="H725" s="122" t="str">
        <f>IFERROR(IF($G725="","",$G725*$S$729/$G$729/Cadastro!$E$33),"")</f>
        <v/>
      </c>
      <c r="I725" s="129" t="str">
        <f>IFERROR(IF($D725="","",VLOOKUP($D725,Cadastro!$C$4:$G$7,5,FALSE)),"")</f>
        <v/>
      </c>
      <c r="J725" s="145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 x14ac:dyDescent="0.3">
      <c r="A726" s="68">
        <v>46261</v>
      </c>
      <c r="B726" s="25">
        <f t="shared" si="192"/>
        <v>1.2083333333333333</v>
      </c>
      <c r="C726" s="26"/>
      <c r="D726" s="59"/>
      <c r="E726" s="120"/>
      <c r="F726" s="122" t="str">
        <f>IFERROR(IF($D726="","",VLOOKUP($D726,Cadastro!$C$4:$E$7,3,FALSE)),"")</f>
        <v/>
      </c>
      <c r="G726" s="114"/>
      <c r="H726" s="122" t="str">
        <f>IFERROR(IF($G726="","",$G726*$S$729/$G$729/Cadastro!$E$33),"")</f>
        <v/>
      </c>
      <c r="I726" s="129" t="str">
        <f>IFERROR(IF($D726="","",VLOOKUP($D726,Cadastro!$C$4:$G$7,5,FALSE)),"")</f>
        <v/>
      </c>
      <c r="J726" s="145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 x14ac:dyDescent="0.3">
      <c r="A727" s="69">
        <v>46261</v>
      </c>
      <c r="B727" s="32">
        <f t="shared" si="192"/>
        <v>1.25</v>
      </c>
      <c r="C727" s="33"/>
      <c r="D727" s="62"/>
      <c r="E727" s="121"/>
      <c r="F727" s="122" t="str">
        <f>IFERROR(IF($D727="","",VLOOKUP($D727,Cadastro!$C$4:$E$7,3,FALSE)),"")</f>
        <v/>
      </c>
      <c r="G727" s="114"/>
      <c r="H727" s="122" t="str">
        <f>IFERROR(IF($G727="","",$G727*$S$729/$G$729/Cadastro!$E$33),"")</f>
        <v/>
      </c>
      <c r="I727" s="129" t="str">
        <f>IFERROR(IF($D727="","",VLOOKUP($D727,Cadastro!$C$4:$G$7,5,FALSE)),"")</f>
        <v/>
      </c>
      <c r="J727" s="145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 x14ac:dyDescent="0.35">
      <c r="A728" s="68">
        <v>46261</v>
      </c>
      <c r="B728" s="25">
        <f t="shared" si="192"/>
        <v>1.2916666666666667</v>
      </c>
      <c r="C728" s="26"/>
      <c r="D728" s="59"/>
      <c r="E728" s="120"/>
      <c r="F728" s="118" t="str">
        <f>IFERROR(IF($D728="","",VLOOKUP($D728,Cadastro!$C$4:$E$7,3,FALSE)),"")</f>
        <v/>
      </c>
      <c r="G728" s="114"/>
      <c r="H728" s="118" t="str">
        <f>IFERROR(IF($G728="","",$G728*$S$729/$G$729/Cadastro!$E$33),"")</f>
        <v/>
      </c>
      <c r="I728" s="130" t="str">
        <f>IFERROR(IF($D728="","",VLOOKUP($D728,Cadastro!$C$4:$G$7,5,FALSE)),"")</f>
        <v/>
      </c>
      <c r="J728" s="146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 x14ac:dyDescent="0.35">
      <c r="A729" s="168" t="s">
        <v>234</v>
      </c>
      <c r="B729" s="169"/>
      <c r="C729" s="169"/>
      <c r="D729" s="169"/>
      <c r="E729" s="169">
        <f>SUM(E717:E728)</f>
        <v>0</v>
      </c>
      <c r="F729" s="124"/>
      <c r="G729" s="88">
        <f>SUM(G717:G728)</f>
        <v>0</v>
      </c>
      <c r="H729" s="124">
        <f>IFERROR(SUM(H717:H728),"")</f>
        <v>0</v>
      </c>
      <c r="I729" s="133"/>
      <c r="J729" s="149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232</v>
      </c>
      <c r="S729" s="39"/>
      <c r="T729" s="141">
        <f>IFERROR(J729,"")</f>
        <v>0</v>
      </c>
    </row>
    <row r="730" spans="1:20" ht="18" customHeight="1" x14ac:dyDescent="0.3">
      <c r="A730" s="165" t="s">
        <v>235</v>
      </c>
      <c r="B730" s="166"/>
      <c r="C730" s="166"/>
      <c r="D730" s="166"/>
      <c r="E730" s="166">
        <f>E716+E729</f>
        <v>0</v>
      </c>
      <c r="F730" s="125"/>
      <c r="G730" s="100">
        <f>G716+G729</f>
        <v>0</v>
      </c>
      <c r="H730" s="125">
        <f>IFERROR(H716+H729,"")</f>
        <v>0</v>
      </c>
      <c r="I730" s="134"/>
      <c r="J730" s="150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236</v>
      </c>
      <c r="S730" s="48">
        <f>IFERROR(S716+S729,"")</f>
        <v>0</v>
      </c>
      <c r="T730" s="143">
        <f>IFERROR(J730,"")</f>
        <v>0</v>
      </c>
    </row>
    <row r="731" spans="1:20" ht="15" customHeight="1" x14ac:dyDescent="0.3">
      <c r="A731" s="69">
        <v>46262</v>
      </c>
      <c r="B731" s="32">
        <v>0.33333333333333298</v>
      </c>
      <c r="C731" s="33"/>
      <c r="D731" s="62"/>
      <c r="E731" s="121"/>
      <c r="F731" s="119" t="str">
        <f>IFERROR(IF($D731="","",VLOOKUP($D731,Cadastro!$C$4:$E$7,3,FALSE)),"")</f>
        <v/>
      </c>
      <c r="G731" s="114"/>
      <c r="H731" s="119" t="str">
        <f>IFERROR(IF($G731="","",$G731*$S$743/$G$743/Cadastro!$E$33),"")</f>
        <v/>
      </c>
      <c r="I731" s="132" t="str">
        <f>IFERROR(IF($D731="","",VLOOKUP($D731,Cadastro!$C$4:$G$7,5,FALSE)),"")</f>
        <v/>
      </c>
      <c r="J731" s="148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8">
        <v>46262</v>
      </c>
      <c r="B732" s="25">
        <f t="shared" ref="B732:B742" si="196">B731+TIME(0,60,0)</f>
        <v>0.37499999999999967</v>
      </c>
      <c r="C732" s="26"/>
      <c r="D732" s="59"/>
      <c r="E732" s="120"/>
      <c r="F732" s="122" t="str">
        <f>IFERROR(IF($D732="","",VLOOKUP($D732,Cadastro!$C$4:$E$7,3,FALSE)),"")</f>
        <v/>
      </c>
      <c r="G732" s="114"/>
      <c r="H732" s="122" t="str">
        <f>IFERROR(IF($G732="","",$G732*$S$743/$G$743/Cadastro!$E$33),"")</f>
        <v/>
      </c>
      <c r="I732" s="129" t="str">
        <f>IFERROR(IF($D732="","",VLOOKUP($D732,Cadastro!$C$4:$G$7,5,FALSE)),"")</f>
        <v/>
      </c>
      <c r="J732" s="145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 x14ac:dyDescent="0.3">
      <c r="A733" s="69">
        <v>46262</v>
      </c>
      <c r="B733" s="32">
        <f t="shared" si="196"/>
        <v>0.41666666666666635</v>
      </c>
      <c r="C733" s="33"/>
      <c r="D733" s="62"/>
      <c r="E733" s="121"/>
      <c r="F733" s="122" t="str">
        <f>IFERROR(IF($D733="","",VLOOKUP($D733,Cadastro!$C$4:$E$7,3,FALSE)),"")</f>
        <v/>
      </c>
      <c r="G733" s="114"/>
      <c r="H733" s="122" t="str">
        <f>IFERROR(IF($G733="","",$G733*$S$743/$G$743/Cadastro!$E$33),"")</f>
        <v/>
      </c>
      <c r="I733" s="129" t="str">
        <f>IFERROR(IF($D733="","",VLOOKUP($D733,Cadastro!$C$4:$G$7,5,FALSE)),"")</f>
        <v/>
      </c>
      <c r="J733" s="145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 x14ac:dyDescent="0.3">
      <c r="A734" s="68">
        <v>46262</v>
      </c>
      <c r="B734" s="25">
        <f t="shared" si="196"/>
        <v>0.45833333333333304</v>
      </c>
      <c r="C734" s="26"/>
      <c r="D734" s="59"/>
      <c r="E734" s="120"/>
      <c r="F734" s="122" t="str">
        <f>IFERROR(IF($D734="","",VLOOKUP($D734,Cadastro!$C$4:$E$7,3,FALSE)),"")</f>
        <v/>
      </c>
      <c r="G734" s="114"/>
      <c r="H734" s="122" t="str">
        <f>IFERROR(IF($G734="","",$G734*$S$743/$G$743/Cadastro!$E$33),"")</f>
        <v/>
      </c>
      <c r="I734" s="129" t="str">
        <f>IFERROR(IF($D734="","",VLOOKUP($D734,Cadastro!$C$4:$G$7,5,FALSE)),"")</f>
        <v/>
      </c>
      <c r="J734" s="145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 x14ac:dyDescent="0.3">
      <c r="A735" s="69">
        <v>46262</v>
      </c>
      <c r="B735" s="32">
        <f t="shared" si="196"/>
        <v>0.49999999999999972</v>
      </c>
      <c r="C735" s="33"/>
      <c r="D735" s="62"/>
      <c r="E735" s="121"/>
      <c r="F735" s="122" t="str">
        <f>IFERROR(IF($D735="","",VLOOKUP($D735,Cadastro!$C$4:$E$7,3,FALSE)),"")</f>
        <v/>
      </c>
      <c r="G735" s="114"/>
      <c r="H735" s="122" t="str">
        <f>IFERROR(IF($G735="","",$G735*$S$743/$G$743/Cadastro!$E$33),"")</f>
        <v/>
      </c>
      <c r="I735" s="129" t="str">
        <f>IFERROR(IF($D735="","",VLOOKUP($D735,Cadastro!$C$4:$G$7,5,FALSE)),"")</f>
        <v/>
      </c>
      <c r="J735" s="145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 x14ac:dyDescent="0.3">
      <c r="A736" s="68">
        <v>46262</v>
      </c>
      <c r="B736" s="25">
        <f t="shared" si="196"/>
        <v>0.54166666666666641</v>
      </c>
      <c r="C736" s="26"/>
      <c r="D736" s="59"/>
      <c r="E736" s="120"/>
      <c r="F736" s="122" t="str">
        <f>IFERROR(IF($D736="","",VLOOKUP($D736,Cadastro!$C$4:$E$7,3,FALSE)),"")</f>
        <v/>
      </c>
      <c r="G736" s="114"/>
      <c r="H736" s="122" t="str">
        <f>IFERROR(IF($G736="","",$G736*$S$743/$G$743/Cadastro!$E$33),"")</f>
        <v/>
      </c>
      <c r="I736" s="129" t="str">
        <f>IFERROR(IF($D736="","",VLOOKUP($D736,Cadastro!$C$4:$G$7,5,FALSE)),"")</f>
        <v/>
      </c>
      <c r="J736" s="145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 x14ac:dyDescent="0.3">
      <c r="A737" s="69">
        <v>46262</v>
      </c>
      <c r="B737" s="32">
        <f t="shared" si="196"/>
        <v>0.58333333333333304</v>
      </c>
      <c r="C737" s="33"/>
      <c r="D737" s="62"/>
      <c r="E737" s="121"/>
      <c r="F737" s="122" t="str">
        <f>IFERROR(IF($D737="","",VLOOKUP($D737,Cadastro!$C$4:$E$7,3,FALSE)),"")</f>
        <v/>
      </c>
      <c r="G737" s="114"/>
      <c r="H737" s="122" t="str">
        <f>IFERROR(IF($G737="","",$G737*$S$743/$G$743/Cadastro!$E$33),"")</f>
        <v/>
      </c>
      <c r="I737" s="129" t="str">
        <f>IFERROR(IF($D737="","",VLOOKUP($D737,Cadastro!$C$4:$G$7,5,FALSE)),"")</f>
        <v/>
      </c>
      <c r="J737" s="145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 x14ac:dyDescent="0.3">
      <c r="A738" s="68">
        <v>46262</v>
      </c>
      <c r="B738" s="25">
        <f t="shared" si="196"/>
        <v>0.62499999999999967</v>
      </c>
      <c r="C738" s="26"/>
      <c r="D738" s="59"/>
      <c r="E738" s="120"/>
      <c r="F738" s="122" t="str">
        <f>IFERROR(IF($D738="","",VLOOKUP($D738,Cadastro!$C$4:$E$7,3,FALSE)),"")</f>
        <v/>
      </c>
      <c r="G738" s="114"/>
      <c r="H738" s="122" t="str">
        <f>IFERROR(IF($G738="","",$G738*$S$743/$G$743/Cadastro!$E$33),"")</f>
        <v/>
      </c>
      <c r="I738" s="129" t="str">
        <f>IFERROR(IF($D738="","",VLOOKUP($D738,Cadastro!$C$4:$G$7,5,FALSE)),"")</f>
        <v/>
      </c>
      <c r="J738" s="145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 x14ac:dyDescent="0.3">
      <c r="A739" s="69">
        <v>46262</v>
      </c>
      <c r="B739" s="32">
        <f t="shared" si="196"/>
        <v>0.6666666666666663</v>
      </c>
      <c r="C739" s="33"/>
      <c r="D739" s="62"/>
      <c r="E739" s="121"/>
      <c r="F739" s="122" t="str">
        <f>IFERROR(IF($D739="","",VLOOKUP($D739,Cadastro!$C$4:$E$7,3,FALSE)),"")</f>
        <v/>
      </c>
      <c r="G739" s="114"/>
      <c r="H739" s="122" t="str">
        <f>IFERROR(IF($G739="","",$G739*$S$743/$G$743/Cadastro!$E$33),"")</f>
        <v/>
      </c>
      <c r="I739" s="129" t="str">
        <f>IFERROR(IF($D739="","",VLOOKUP($D739,Cadastro!$C$4:$G$7,5,FALSE)),"")</f>
        <v/>
      </c>
      <c r="J739" s="145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 x14ac:dyDescent="0.3">
      <c r="A740" s="68">
        <v>46262</v>
      </c>
      <c r="B740" s="25">
        <f t="shared" si="196"/>
        <v>0.70833333333333293</v>
      </c>
      <c r="C740" s="26"/>
      <c r="D740" s="59"/>
      <c r="E740" s="120"/>
      <c r="F740" s="122" t="str">
        <f>IFERROR(IF($D740="","",VLOOKUP($D740,Cadastro!$C$4:$E$7,3,FALSE)),"")</f>
        <v/>
      </c>
      <c r="G740" s="114"/>
      <c r="H740" s="122" t="str">
        <f>IFERROR(IF($G740="","",$G740*$S$743/$G$743/Cadastro!$E$33),"")</f>
        <v/>
      </c>
      <c r="I740" s="129" t="str">
        <f>IFERROR(IF($D740="","",VLOOKUP($D740,Cadastro!$C$4:$G$7,5,FALSE)),"")</f>
        <v/>
      </c>
      <c r="J740" s="145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 x14ac:dyDescent="0.3">
      <c r="A741" s="69">
        <v>46262</v>
      </c>
      <c r="B741" s="32">
        <f t="shared" si="196"/>
        <v>0.74999999999999956</v>
      </c>
      <c r="C741" s="33"/>
      <c r="D741" s="62"/>
      <c r="E741" s="121"/>
      <c r="F741" s="122" t="str">
        <f>IFERROR(IF($D741="","",VLOOKUP($D741,Cadastro!$C$4:$E$7,3,FALSE)),"")</f>
        <v/>
      </c>
      <c r="G741" s="114"/>
      <c r="H741" s="122" t="str">
        <f>IFERROR(IF($G741="","",$G741*$S$743/$G$743/Cadastro!$E$33),"")</f>
        <v/>
      </c>
      <c r="I741" s="129" t="str">
        <f>IFERROR(IF($D741="","",VLOOKUP($D741,Cadastro!$C$4:$G$7,5,FALSE)),"")</f>
        <v/>
      </c>
      <c r="J741" s="145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 x14ac:dyDescent="0.35">
      <c r="A742" s="68">
        <v>46262</v>
      </c>
      <c r="B742" s="25">
        <f t="shared" si="196"/>
        <v>0.79166666666666619</v>
      </c>
      <c r="C742" s="26"/>
      <c r="D742" s="59"/>
      <c r="E742" s="120"/>
      <c r="F742" s="118" t="str">
        <f>IFERROR(IF($D742="","",VLOOKUP($D742,Cadastro!$C$4:$E$7,3,FALSE)),"")</f>
        <v/>
      </c>
      <c r="G742" s="114"/>
      <c r="H742" s="118" t="str">
        <f>IFERROR(IF($G742="","",$G742*$S$743/$G$743/Cadastro!$E$33),"")</f>
        <v/>
      </c>
      <c r="I742" s="130" t="str">
        <f>IFERROR(IF($D742="","",VLOOKUP($D742,Cadastro!$C$4:$G$7,5,FALSE)),"")</f>
        <v/>
      </c>
      <c r="J742" s="146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 x14ac:dyDescent="0.35">
      <c r="A743" s="168" t="s">
        <v>231</v>
      </c>
      <c r="B743" s="169"/>
      <c r="C743" s="169"/>
      <c r="D743" s="169"/>
      <c r="E743" s="169">
        <f>SUM(E731:E742)</f>
        <v>0</v>
      </c>
      <c r="F743" s="123"/>
      <c r="G743" s="88">
        <f>SUM(G731:G742)</f>
        <v>0</v>
      </c>
      <c r="H743" s="123">
        <f>IFERROR(SUM(H731:H742),"")</f>
        <v>0</v>
      </c>
      <c r="I743" s="131"/>
      <c r="J743" s="147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232</v>
      </c>
      <c r="S743" s="39"/>
      <c r="T743" s="141">
        <f>IFERROR(J743,"")</f>
        <v>0</v>
      </c>
    </row>
    <row r="744" spans="1:20" ht="15" customHeight="1" x14ac:dyDescent="0.3">
      <c r="A744" s="68">
        <v>46262</v>
      </c>
      <c r="B744" s="25">
        <v>0.83333333333333304</v>
      </c>
      <c r="C744" s="26"/>
      <c r="D744" s="59"/>
      <c r="E744" s="120"/>
      <c r="F744" s="119" t="str">
        <f>IFERROR(IF($D744="","",VLOOKUP($D744,Cadastro!$C$4:$E$7,3,FALSE)),"")</f>
        <v/>
      </c>
      <c r="G744" s="114"/>
      <c r="H744" s="119" t="str">
        <f>IFERROR(IF($G744="","",$G744*$S$756/$G$756/Cadastro!$E$33),"")</f>
        <v/>
      </c>
      <c r="I744" s="132" t="str">
        <f>IFERROR(IF($D744="","",VLOOKUP($D744,Cadastro!$C$4:$G$7,5,FALSE)),"")</f>
        <v/>
      </c>
      <c r="J744" s="148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9">
        <v>46262</v>
      </c>
      <c r="B745" s="32">
        <f t="shared" ref="B745:B755" si="200">B744+TIME(0,60,0)</f>
        <v>0.87499999999999967</v>
      </c>
      <c r="C745" s="33"/>
      <c r="D745" s="62"/>
      <c r="E745" s="121"/>
      <c r="F745" s="122" t="str">
        <f>IFERROR(IF($D745="","",VLOOKUP($D745,Cadastro!$C$4:$E$7,3,FALSE)),"")</f>
        <v/>
      </c>
      <c r="G745" s="114"/>
      <c r="H745" s="122" t="str">
        <f>IFERROR(IF($G745="","",$G745*$S$756/$G$756/Cadastro!$E$33),"")</f>
        <v/>
      </c>
      <c r="I745" s="129" t="str">
        <f>IFERROR(IF($D745="","",VLOOKUP($D745,Cadastro!$C$4:$G$7,5,FALSE)),"")</f>
        <v/>
      </c>
      <c r="J745" s="145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 x14ac:dyDescent="0.3">
      <c r="A746" s="68">
        <v>46262</v>
      </c>
      <c r="B746" s="25">
        <f t="shared" si="200"/>
        <v>0.9166666666666663</v>
      </c>
      <c r="C746" s="26"/>
      <c r="D746" s="59"/>
      <c r="E746" s="120"/>
      <c r="F746" s="122" t="str">
        <f>IFERROR(IF($D746="","",VLOOKUP($D746,Cadastro!$C$4:$E$7,3,FALSE)),"")</f>
        <v/>
      </c>
      <c r="G746" s="114"/>
      <c r="H746" s="122" t="str">
        <f>IFERROR(IF($G746="","",$G746*$S$756/$G$756/Cadastro!$E$33),"")</f>
        <v/>
      </c>
      <c r="I746" s="129" t="str">
        <f>IFERROR(IF($D746="","",VLOOKUP($D746,Cadastro!$C$4:$G$7,5,FALSE)),"")</f>
        <v/>
      </c>
      <c r="J746" s="145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 x14ac:dyDescent="0.3">
      <c r="A747" s="69">
        <v>46262</v>
      </c>
      <c r="B747" s="32">
        <f t="shared" si="200"/>
        <v>0.95833333333333293</v>
      </c>
      <c r="C747" s="33"/>
      <c r="D747" s="62"/>
      <c r="E747" s="121"/>
      <c r="F747" s="122" t="str">
        <f>IFERROR(IF($D747="","",VLOOKUP($D747,Cadastro!$C$4:$E$7,3,FALSE)),"")</f>
        <v/>
      </c>
      <c r="G747" s="114"/>
      <c r="H747" s="122" t="str">
        <f>IFERROR(IF($G747="","",$G747*$S$756/$G$756/Cadastro!$E$33),"")</f>
        <v/>
      </c>
      <c r="I747" s="129" t="str">
        <f>IFERROR(IF($D747="","",VLOOKUP($D747,Cadastro!$C$4:$G$7,5,FALSE)),"")</f>
        <v/>
      </c>
      <c r="J747" s="145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 x14ac:dyDescent="0.3">
      <c r="A748" s="68">
        <v>46262</v>
      </c>
      <c r="B748" s="25">
        <f t="shared" si="200"/>
        <v>0.99999999999999956</v>
      </c>
      <c r="C748" s="26"/>
      <c r="D748" s="59"/>
      <c r="E748" s="120"/>
      <c r="F748" s="122" t="str">
        <f>IFERROR(IF($D748="","",VLOOKUP($D748,Cadastro!$C$4:$E$7,3,FALSE)),"")</f>
        <v/>
      </c>
      <c r="G748" s="114"/>
      <c r="H748" s="122" t="str">
        <f>IFERROR(IF($G748="","",$G748*$S$756/$G$756/Cadastro!$E$33),"")</f>
        <v/>
      </c>
      <c r="I748" s="129" t="str">
        <f>IFERROR(IF($D748="","",VLOOKUP($D748,Cadastro!$C$4:$G$7,5,FALSE)),"")</f>
        <v/>
      </c>
      <c r="J748" s="145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 x14ac:dyDescent="0.3">
      <c r="A749" s="69">
        <v>46262</v>
      </c>
      <c r="B749" s="32">
        <f t="shared" si="200"/>
        <v>1.0416666666666663</v>
      </c>
      <c r="C749" s="33"/>
      <c r="D749" s="62"/>
      <c r="E749" s="121"/>
      <c r="F749" s="122" t="str">
        <f>IFERROR(IF($D749="","",VLOOKUP($D749,Cadastro!$C$4:$E$7,3,FALSE)),"")</f>
        <v/>
      </c>
      <c r="G749" s="114"/>
      <c r="H749" s="122" t="str">
        <f>IFERROR(IF($G749="","",$G749*$S$756/$G$756/Cadastro!$E$33),"")</f>
        <v/>
      </c>
      <c r="I749" s="129" t="str">
        <f>IFERROR(IF($D749="","",VLOOKUP($D749,Cadastro!$C$4:$G$7,5,FALSE)),"")</f>
        <v/>
      </c>
      <c r="J749" s="145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 x14ac:dyDescent="0.3">
      <c r="A750" s="68">
        <v>46262</v>
      </c>
      <c r="B750" s="25">
        <f t="shared" si="200"/>
        <v>1.083333333333333</v>
      </c>
      <c r="C750" s="26"/>
      <c r="D750" s="59"/>
      <c r="E750" s="120"/>
      <c r="F750" s="122" t="str">
        <f>IFERROR(IF($D750="","",VLOOKUP($D750,Cadastro!$C$4:$E$7,3,FALSE)),"")</f>
        <v/>
      </c>
      <c r="G750" s="114"/>
      <c r="H750" s="122" t="str">
        <f>IFERROR(IF($G750="","",$G750*$S$756/$G$756/Cadastro!$E$33),"")</f>
        <v/>
      </c>
      <c r="I750" s="129" t="str">
        <f>IFERROR(IF($D750="","",VLOOKUP($D750,Cadastro!$C$4:$G$7,5,FALSE)),"")</f>
        <v/>
      </c>
      <c r="J750" s="145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 x14ac:dyDescent="0.3">
      <c r="A751" s="69">
        <v>46262</v>
      </c>
      <c r="B751" s="32">
        <f t="shared" si="200"/>
        <v>1.1249999999999998</v>
      </c>
      <c r="C751" s="33"/>
      <c r="D751" s="62"/>
      <c r="E751" s="121"/>
      <c r="F751" s="122" t="str">
        <f>IFERROR(IF($D751="","",VLOOKUP($D751,Cadastro!$C$4:$E$7,3,FALSE)),"")</f>
        <v/>
      </c>
      <c r="G751" s="114"/>
      <c r="H751" s="122" t="str">
        <f>IFERROR(IF($G751="","",$G751*$S$756/$G$756/Cadastro!$E$33),"")</f>
        <v/>
      </c>
      <c r="I751" s="129" t="str">
        <f>IFERROR(IF($D751="","",VLOOKUP($D751,Cadastro!$C$4:$G$7,5,FALSE)),"")</f>
        <v/>
      </c>
      <c r="J751" s="145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 x14ac:dyDescent="0.3">
      <c r="A752" s="68">
        <v>46262</v>
      </c>
      <c r="B752" s="25">
        <f t="shared" si="200"/>
        <v>1.1666666666666665</v>
      </c>
      <c r="C752" s="26"/>
      <c r="D752" s="59"/>
      <c r="E752" s="120"/>
      <c r="F752" s="122" t="str">
        <f>IFERROR(IF($D752="","",VLOOKUP($D752,Cadastro!$C$4:$E$7,3,FALSE)),"")</f>
        <v/>
      </c>
      <c r="G752" s="114"/>
      <c r="H752" s="122" t="str">
        <f>IFERROR(IF($G752="","",$G752*$S$756/$G$756/Cadastro!$E$33),"")</f>
        <v/>
      </c>
      <c r="I752" s="129" t="str">
        <f>IFERROR(IF($D752="","",VLOOKUP($D752,Cadastro!$C$4:$G$7,5,FALSE)),"")</f>
        <v/>
      </c>
      <c r="J752" s="145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 x14ac:dyDescent="0.3">
      <c r="A753" s="69">
        <v>46262</v>
      </c>
      <c r="B753" s="32">
        <f t="shared" si="200"/>
        <v>1.2083333333333333</v>
      </c>
      <c r="C753" s="33"/>
      <c r="D753" s="62"/>
      <c r="E753" s="121"/>
      <c r="F753" s="122" t="str">
        <f>IFERROR(IF($D753="","",VLOOKUP($D753,Cadastro!$C$4:$E$7,3,FALSE)),"")</f>
        <v/>
      </c>
      <c r="G753" s="114"/>
      <c r="H753" s="122" t="str">
        <f>IFERROR(IF($G753="","",$G753*$S$756/$G$756/Cadastro!$E$33),"")</f>
        <v/>
      </c>
      <c r="I753" s="129" t="str">
        <f>IFERROR(IF($D753="","",VLOOKUP($D753,Cadastro!$C$4:$G$7,5,FALSE)),"")</f>
        <v/>
      </c>
      <c r="J753" s="145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 x14ac:dyDescent="0.3">
      <c r="A754" s="68">
        <v>46262</v>
      </c>
      <c r="B754" s="25">
        <f t="shared" si="200"/>
        <v>1.25</v>
      </c>
      <c r="C754" s="26"/>
      <c r="D754" s="59"/>
      <c r="E754" s="120"/>
      <c r="F754" s="122" t="str">
        <f>IFERROR(IF($D754="","",VLOOKUP($D754,Cadastro!$C$4:$E$7,3,FALSE)),"")</f>
        <v/>
      </c>
      <c r="G754" s="114"/>
      <c r="H754" s="122" t="str">
        <f>IFERROR(IF($G754="","",$G754*$S$756/$G$756/Cadastro!$E$33),"")</f>
        <v/>
      </c>
      <c r="I754" s="129" t="str">
        <f>IFERROR(IF($D754="","",VLOOKUP($D754,Cadastro!$C$4:$G$7,5,FALSE)),"")</f>
        <v/>
      </c>
      <c r="J754" s="145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 x14ac:dyDescent="0.35">
      <c r="A755" s="69">
        <v>46262</v>
      </c>
      <c r="B755" s="32">
        <f t="shared" si="200"/>
        <v>1.2916666666666667</v>
      </c>
      <c r="C755" s="33"/>
      <c r="D755" s="62"/>
      <c r="E755" s="121"/>
      <c r="F755" s="118" t="str">
        <f>IFERROR(IF($D755="","",VLOOKUP($D755,Cadastro!$C$4:$E$7,3,FALSE)),"")</f>
        <v/>
      </c>
      <c r="G755" s="114"/>
      <c r="H755" s="118" t="str">
        <f>IFERROR(IF($G755="","",$G755*$S$756/$G$756/Cadastro!$E$33),"")</f>
        <v/>
      </c>
      <c r="I755" s="130" t="str">
        <f>IFERROR(IF($D755="","",VLOOKUP($D755,Cadastro!$C$4:$G$7,5,FALSE)),"")</f>
        <v/>
      </c>
      <c r="J755" s="146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 x14ac:dyDescent="0.35">
      <c r="A756" s="168" t="s">
        <v>234</v>
      </c>
      <c r="B756" s="169"/>
      <c r="C756" s="169"/>
      <c r="D756" s="169"/>
      <c r="E756" s="169">
        <f>SUM(E744:E755)</f>
        <v>0</v>
      </c>
      <c r="F756" s="124"/>
      <c r="G756" s="88">
        <f>SUM(G744:G755)</f>
        <v>0</v>
      </c>
      <c r="H756" s="124">
        <f>IFERROR(SUM(H744:H755),"")</f>
        <v>0</v>
      </c>
      <c r="I756" s="133"/>
      <c r="J756" s="149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232</v>
      </c>
      <c r="S756" s="39"/>
      <c r="T756" s="141">
        <f>IFERROR(J756,"")</f>
        <v>0</v>
      </c>
    </row>
    <row r="757" spans="1:20" ht="18" customHeight="1" x14ac:dyDescent="0.3">
      <c r="A757" s="165" t="s">
        <v>235</v>
      </c>
      <c r="B757" s="166"/>
      <c r="C757" s="166"/>
      <c r="D757" s="166"/>
      <c r="E757" s="166">
        <f>E743+E756</f>
        <v>0</v>
      </c>
      <c r="F757" s="125"/>
      <c r="G757" s="100">
        <f>G743+G756</f>
        <v>0</v>
      </c>
      <c r="H757" s="125">
        <f>IFERROR(H743+H756,"")</f>
        <v>0</v>
      </c>
      <c r="I757" s="134"/>
      <c r="J757" s="150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236</v>
      </c>
      <c r="S757" s="48">
        <f>IFERROR(S743+S756,"")</f>
        <v>0</v>
      </c>
      <c r="T757" s="143">
        <f>IFERROR(J757,"")</f>
        <v>0</v>
      </c>
    </row>
    <row r="758" spans="1:20" ht="15" customHeight="1" x14ac:dyDescent="0.3">
      <c r="A758" s="68">
        <v>46263</v>
      </c>
      <c r="B758" s="25">
        <v>0.33333333333333298</v>
      </c>
      <c r="C758" s="26"/>
      <c r="D758" s="59"/>
      <c r="E758" s="120"/>
      <c r="F758" s="119" t="str">
        <f>IFERROR(IF($D758="","",VLOOKUP($D758,Cadastro!$C$4:$E$7,3,FALSE)),"")</f>
        <v/>
      </c>
      <c r="G758" s="114"/>
      <c r="H758" s="119" t="str">
        <f>IFERROR(IF($G758="","",$G758*$S$770/$G$770/Cadastro!$E$33),"")</f>
        <v/>
      </c>
      <c r="I758" s="132" t="str">
        <f>IFERROR(IF($D758="","",VLOOKUP($D758,Cadastro!$C$4:$G$7,5,FALSE)),"")</f>
        <v/>
      </c>
      <c r="J758" s="148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9">
        <v>46263</v>
      </c>
      <c r="B759" s="32">
        <f t="shared" ref="B759:B769" si="204">B758+TIME(0,60,0)</f>
        <v>0.37499999999999967</v>
      </c>
      <c r="C759" s="33"/>
      <c r="D759" s="62"/>
      <c r="E759" s="121"/>
      <c r="F759" s="122" t="str">
        <f>IFERROR(IF($D759="","",VLOOKUP($D759,Cadastro!$C$4:$E$7,3,FALSE)),"")</f>
        <v/>
      </c>
      <c r="G759" s="114"/>
      <c r="H759" s="122" t="str">
        <f>IFERROR(IF($G759="","",$G759*$S$770/$G$770/Cadastro!$E$33),"")</f>
        <v/>
      </c>
      <c r="I759" s="129" t="str">
        <f>IFERROR(IF($D759="","",VLOOKUP($D759,Cadastro!$C$4:$G$7,5,FALSE)),"")</f>
        <v/>
      </c>
      <c r="J759" s="145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 x14ac:dyDescent="0.3">
      <c r="A760" s="68">
        <v>46263</v>
      </c>
      <c r="B760" s="25">
        <f t="shared" si="204"/>
        <v>0.41666666666666635</v>
      </c>
      <c r="C760" s="26"/>
      <c r="D760" s="59"/>
      <c r="E760" s="120"/>
      <c r="F760" s="122" t="str">
        <f>IFERROR(IF($D760="","",VLOOKUP($D760,Cadastro!$C$4:$E$7,3,FALSE)),"")</f>
        <v/>
      </c>
      <c r="G760" s="114"/>
      <c r="H760" s="122" t="str">
        <f>IFERROR(IF($G760="","",$G760*$S$770/$G$770/Cadastro!$E$33),"")</f>
        <v/>
      </c>
      <c r="I760" s="129" t="str">
        <f>IFERROR(IF($D760="","",VLOOKUP($D760,Cadastro!$C$4:$G$7,5,FALSE)),"")</f>
        <v/>
      </c>
      <c r="J760" s="145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 x14ac:dyDescent="0.3">
      <c r="A761" s="69">
        <v>46263</v>
      </c>
      <c r="B761" s="32">
        <f t="shared" si="204"/>
        <v>0.45833333333333304</v>
      </c>
      <c r="C761" s="33"/>
      <c r="D761" s="62"/>
      <c r="E761" s="121"/>
      <c r="F761" s="122" t="str">
        <f>IFERROR(IF($D761="","",VLOOKUP($D761,Cadastro!$C$4:$E$7,3,FALSE)),"")</f>
        <v/>
      </c>
      <c r="G761" s="114"/>
      <c r="H761" s="122" t="str">
        <f>IFERROR(IF($G761="","",$G761*$S$770/$G$770/Cadastro!$E$33),"")</f>
        <v/>
      </c>
      <c r="I761" s="129" t="str">
        <f>IFERROR(IF($D761="","",VLOOKUP($D761,Cadastro!$C$4:$G$7,5,FALSE)),"")</f>
        <v/>
      </c>
      <c r="J761" s="145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 x14ac:dyDescent="0.3">
      <c r="A762" s="68">
        <v>46263</v>
      </c>
      <c r="B762" s="25">
        <f t="shared" si="204"/>
        <v>0.49999999999999972</v>
      </c>
      <c r="C762" s="26"/>
      <c r="D762" s="59"/>
      <c r="E762" s="120"/>
      <c r="F762" s="122" t="str">
        <f>IFERROR(IF($D762="","",VLOOKUP($D762,Cadastro!$C$4:$E$7,3,FALSE)),"")</f>
        <v/>
      </c>
      <c r="G762" s="114"/>
      <c r="H762" s="122" t="str">
        <f>IFERROR(IF($G762="","",$G762*$S$770/$G$770/Cadastro!$E$33),"")</f>
        <v/>
      </c>
      <c r="I762" s="129" t="str">
        <f>IFERROR(IF($D762="","",VLOOKUP($D762,Cadastro!$C$4:$G$7,5,FALSE)),"")</f>
        <v/>
      </c>
      <c r="J762" s="145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 x14ac:dyDescent="0.3">
      <c r="A763" s="69">
        <v>46263</v>
      </c>
      <c r="B763" s="32">
        <f t="shared" si="204"/>
        <v>0.54166666666666641</v>
      </c>
      <c r="C763" s="33"/>
      <c r="D763" s="62"/>
      <c r="E763" s="121"/>
      <c r="F763" s="122" t="str">
        <f>IFERROR(IF($D763="","",VLOOKUP($D763,Cadastro!$C$4:$E$7,3,FALSE)),"")</f>
        <v/>
      </c>
      <c r="G763" s="114"/>
      <c r="H763" s="122" t="str">
        <f>IFERROR(IF($G763="","",$G763*$S$770/$G$770/Cadastro!$E$33),"")</f>
        <v/>
      </c>
      <c r="I763" s="129" t="str">
        <f>IFERROR(IF($D763="","",VLOOKUP($D763,Cadastro!$C$4:$G$7,5,FALSE)),"")</f>
        <v/>
      </c>
      <c r="J763" s="145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 x14ac:dyDescent="0.3">
      <c r="A764" s="68">
        <v>46263</v>
      </c>
      <c r="B764" s="25">
        <f t="shared" si="204"/>
        <v>0.58333333333333304</v>
      </c>
      <c r="C764" s="26"/>
      <c r="D764" s="59"/>
      <c r="E764" s="120"/>
      <c r="F764" s="122" t="str">
        <f>IFERROR(IF($D764="","",VLOOKUP($D764,Cadastro!$C$4:$E$7,3,FALSE)),"")</f>
        <v/>
      </c>
      <c r="G764" s="114"/>
      <c r="H764" s="122" t="str">
        <f>IFERROR(IF($G764="","",$G764*$S$770/$G$770/Cadastro!$E$33),"")</f>
        <v/>
      </c>
      <c r="I764" s="129" t="str">
        <f>IFERROR(IF($D764="","",VLOOKUP($D764,Cadastro!$C$4:$G$7,5,FALSE)),"")</f>
        <v/>
      </c>
      <c r="J764" s="145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 x14ac:dyDescent="0.3">
      <c r="A765" s="69">
        <v>46263</v>
      </c>
      <c r="B765" s="32">
        <f t="shared" si="204"/>
        <v>0.62499999999999967</v>
      </c>
      <c r="C765" s="33"/>
      <c r="D765" s="62"/>
      <c r="E765" s="121"/>
      <c r="F765" s="122" t="str">
        <f>IFERROR(IF($D765="","",VLOOKUP($D765,Cadastro!$C$4:$E$7,3,FALSE)),"")</f>
        <v/>
      </c>
      <c r="G765" s="114"/>
      <c r="H765" s="122" t="str">
        <f>IFERROR(IF($G765="","",$G765*$S$770/$G$770/Cadastro!$E$33),"")</f>
        <v/>
      </c>
      <c r="I765" s="129" t="str">
        <f>IFERROR(IF($D765="","",VLOOKUP($D765,Cadastro!$C$4:$G$7,5,FALSE)),"")</f>
        <v/>
      </c>
      <c r="J765" s="145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 x14ac:dyDescent="0.3">
      <c r="A766" s="68">
        <v>46263</v>
      </c>
      <c r="B766" s="25">
        <f t="shared" si="204"/>
        <v>0.6666666666666663</v>
      </c>
      <c r="C766" s="26"/>
      <c r="D766" s="59"/>
      <c r="E766" s="120"/>
      <c r="F766" s="122" t="str">
        <f>IFERROR(IF($D766="","",VLOOKUP($D766,Cadastro!$C$4:$E$7,3,FALSE)),"")</f>
        <v/>
      </c>
      <c r="G766" s="114"/>
      <c r="H766" s="122" t="str">
        <f>IFERROR(IF($G766="","",$G766*$S$770/$G$770/Cadastro!$E$33),"")</f>
        <v/>
      </c>
      <c r="I766" s="129" t="str">
        <f>IFERROR(IF($D766="","",VLOOKUP($D766,Cadastro!$C$4:$G$7,5,FALSE)),"")</f>
        <v/>
      </c>
      <c r="J766" s="145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 x14ac:dyDescent="0.3">
      <c r="A767" s="69">
        <v>46263</v>
      </c>
      <c r="B767" s="32">
        <f t="shared" si="204"/>
        <v>0.70833333333333293</v>
      </c>
      <c r="C767" s="33"/>
      <c r="D767" s="62"/>
      <c r="E767" s="121"/>
      <c r="F767" s="122" t="str">
        <f>IFERROR(IF($D767="","",VLOOKUP($D767,Cadastro!$C$4:$E$7,3,FALSE)),"")</f>
        <v/>
      </c>
      <c r="G767" s="114"/>
      <c r="H767" s="122" t="str">
        <f>IFERROR(IF($G767="","",$G767*$S$770/$G$770/Cadastro!$E$33),"")</f>
        <v/>
      </c>
      <c r="I767" s="129" t="str">
        <f>IFERROR(IF($D767="","",VLOOKUP($D767,Cadastro!$C$4:$G$7,5,FALSE)),"")</f>
        <v/>
      </c>
      <c r="J767" s="145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 x14ac:dyDescent="0.3">
      <c r="A768" s="68">
        <v>46263</v>
      </c>
      <c r="B768" s="25">
        <f t="shared" si="204"/>
        <v>0.74999999999999956</v>
      </c>
      <c r="C768" s="26"/>
      <c r="D768" s="59"/>
      <c r="E768" s="120"/>
      <c r="F768" s="122" t="str">
        <f>IFERROR(IF($D768="","",VLOOKUP($D768,Cadastro!$C$4:$E$7,3,FALSE)),"")</f>
        <v/>
      </c>
      <c r="G768" s="114"/>
      <c r="H768" s="122" t="str">
        <f>IFERROR(IF($G768="","",$G768*$S$770/$G$770/Cadastro!$E$33),"")</f>
        <v/>
      </c>
      <c r="I768" s="129" t="str">
        <f>IFERROR(IF($D768="","",VLOOKUP($D768,Cadastro!$C$4:$G$7,5,FALSE)),"")</f>
        <v/>
      </c>
      <c r="J768" s="145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 x14ac:dyDescent="0.35">
      <c r="A769" s="69">
        <v>46263</v>
      </c>
      <c r="B769" s="32">
        <f t="shared" si="204"/>
        <v>0.79166666666666619</v>
      </c>
      <c r="C769" s="33"/>
      <c r="D769" s="62"/>
      <c r="E769" s="121"/>
      <c r="F769" s="118" t="str">
        <f>IFERROR(IF($D769="","",VLOOKUP($D769,Cadastro!$C$4:$E$7,3,FALSE)),"")</f>
        <v/>
      </c>
      <c r="G769" s="114"/>
      <c r="H769" s="118" t="str">
        <f>IFERROR(IF($G769="","",$G769*$S$770/$G$770/Cadastro!$E$33),"")</f>
        <v/>
      </c>
      <c r="I769" s="130" t="str">
        <f>IFERROR(IF($D769="","",VLOOKUP($D769,Cadastro!$C$4:$G$7,5,FALSE)),"")</f>
        <v/>
      </c>
      <c r="J769" s="146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 x14ac:dyDescent="0.35">
      <c r="A770" s="168" t="s">
        <v>231</v>
      </c>
      <c r="B770" s="169"/>
      <c r="C770" s="169"/>
      <c r="D770" s="169"/>
      <c r="E770" s="169">
        <f>SUM(E758:E769)</f>
        <v>0</v>
      </c>
      <c r="F770" s="123"/>
      <c r="G770" s="88">
        <f>SUM(G758:G769)</f>
        <v>0</v>
      </c>
      <c r="H770" s="123">
        <f>IFERROR(SUM(H758:H769),"")</f>
        <v>0</v>
      </c>
      <c r="I770" s="131"/>
      <c r="J770" s="147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232</v>
      </c>
      <c r="S770" s="39"/>
      <c r="T770" s="141">
        <f>IFERROR(J770,"")</f>
        <v>0</v>
      </c>
    </row>
    <row r="771" spans="1:20" ht="15" customHeight="1" x14ac:dyDescent="0.3">
      <c r="A771" s="69">
        <v>46263</v>
      </c>
      <c r="B771" s="32">
        <v>0.83333333333333304</v>
      </c>
      <c r="C771" s="33"/>
      <c r="D771" s="62"/>
      <c r="E771" s="121"/>
      <c r="F771" s="119" t="str">
        <f>IFERROR(IF($D771="","",VLOOKUP($D771,Cadastro!$C$4:$E$7,3,FALSE)),"")</f>
        <v/>
      </c>
      <c r="G771" s="114"/>
      <c r="H771" s="119" t="str">
        <f>IFERROR(IF($G771="","",$G771*$S$783/$G$783/Cadastro!$E$33),"")</f>
        <v/>
      </c>
      <c r="I771" s="132" t="str">
        <f>IFERROR(IF($D771="","",VLOOKUP($D771,Cadastro!$C$4:$G$7,5,FALSE)),"")</f>
        <v/>
      </c>
      <c r="J771" s="148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8">
        <v>46263</v>
      </c>
      <c r="B772" s="25">
        <f t="shared" ref="B772:B782" si="208">B771+TIME(0,60,0)</f>
        <v>0.87499999999999967</v>
      </c>
      <c r="C772" s="26"/>
      <c r="D772" s="59"/>
      <c r="E772" s="120"/>
      <c r="F772" s="122" t="str">
        <f>IFERROR(IF($D772="","",VLOOKUP($D772,Cadastro!$C$4:$E$7,3,FALSE)),"")</f>
        <v/>
      </c>
      <c r="G772" s="114"/>
      <c r="H772" s="122" t="str">
        <f>IFERROR(IF($G772="","",$G772*$S$783/$G$783/Cadastro!$E$33),"")</f>
        <v/>
      </c>
      <c r="I772" s="129" t="str">
        <f>IFERROR(IF($D772="","",VLOOKUP($D772,Cadastro!$C$4:$G$7,5,FALSE)),"")</f>
        <v/>
      </c>
      <c r="J772" s="145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 x14ac:dyDescent="0.3">
      <c r="A773" s="69">
        <v>46263</v>
      </c>
      <c r="B773" s="32">
        <f t="shared" si="208"/>
        <v>0.9166666666666663</v>
      </c>
      <c r="C773" s="33"/>
      <c r="D773" s="62"/>
      <c r="E773" s="121"/>
      <c r="F773" s="122" t="str">
        <f>IFERROR(IF($D773="","",VLOOKUP($D773,Cadastro!$C$4:$E$7,3,FALSE)),"")</f>
        <v/>
      </c>
      <c r="G773" s="114"/>
      <c r="H773" s="122" t="str">
        <f>IFERROR(IF($G773="","",$G773*$S$783/$G$783/Cadastro!$E$33),"")</f>
        <v/>
      </c>
      <c r="I773" s="129" t="str">
        <f>IFERROR(IF($D773="","",VLOOKUP($D773,Cadastro!$C$4:$G$7,5,FALSE)),"")</f>
        <v/>
      </c>
      <c r="J773" s="145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 x14ac:dyDescent="0.3">
      <c r="A774" s="68">
        <v>46263</v>
      </c>
      <c r="B774" s="25">
        <f t="shared" si="208"/>
        <v>0.95833333333333293</v>
      </c>
      <c r="C774" s="26"/>
      <c r="D774" s="59"/>
      <c r="E774" s="120"/>
      <c r="F774" s="122" t="str">
        <f>IFERROR(IF($D774="","",VLOOKUP($D774,Cadastro!$C$4:$E$7,3,FALSE)),"")</f>
        <v/>
      </c>
      <c r="G774" s="114"/>
      <c r="H774" s="122" t="str">
        <f>IFERROR(IF($G774="","",$G774*$S$783/$G$783/Cadastro!$E$33),"")</f>
        <v/>
      </c>
      <c r="I774" s="129" t="str">
        <f>IFERROR(IF($D774="","",VLOOKUP($D774,Cadastro!$C$4:$G$7,5,FALSE)),"")</f>
        <v/>
      </c>
      <c r="J774" s="145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 x14ac:dyDescent="0.3">
      <c r="A775" s="69">
        <v>46263</v>
      </c>
      <c r="B775" s="32">
        <f t="shared" si="208"/>
        <v>0.99999999999999956</v>
      </c>
      <c r="C775" s="33"/>
      <c r="D775" s="62"/>
      <c r="E775" s="121"/>
      <c r="F775" s="122" t="str">
        <f>IFERROR(IF($D775="","",VLOOKUP($D775,Cadastro!$C$4:$E$7,3,FALSE)),"")</f>
        <v/>
      </c>
      <c r="G775" s="114"/>
      <c r="H775" s="122" t="str">
        <f>IFERROR(IF($G775="","",$G775*$S$783/$G$783/Cadastro!$E$33),"")</f>
        <v/>
      </c>
      <c r="I775" s="129" t="str">
        <f>IFERROR(IF($D775="","",VLOOKUP($D775,Cadastro!$C$4:$G$7,5,FALSE)),"")</f>
        <v/>
      </c>
      <c r="J775" s="145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 x14ac:dyDescent="0.3">
      <c r="A776" s="68">
        <v>46263</v>
      </c>
      <c r="B776" s="25">
        <f t="shared" si="208"/>
        <v>1.0416666666666663</v>
      </c>
      <c r="C776" s="26"/>
      <c r="D776" s="59"/>
      <c r="E776" s="120"/>
      <c r="F776" s="122" t="str">
        <f>IFERROR(IF($D776="","",VLOOKUP($D776,Cadastro!$C$4:$E$7,3,FALSE)),"")</f>
        <v/>
      </c>
      <c r="G776" s="114"/>
      <c r="H776" s="122" t="str">
        <f>IFERROR(IF($G776="","",$G776*$S$783/$G$783/Cadastro!$E$33),"")</f>
        <v/>
      </c>
      <c r="I776" s="129" t="str">
        <f>IFERROR(IF($D776="","",VLOOKUP($D776,Cadastro!$C$4:$G$7,5,FALSE)),"")</f>
        <v/>
      </c>
      <c r="J776" s="145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 x14ac:dyDescent="0.3">
      <c r="A777" s="69">
        <v>46263</v>
      </c>
      <c r="B777" s="32">
        <f t="shared" si="208"/>
        <v>1.083333333333333</v>
      </c>
      <c r="C777" s="33"/>
      <c r="D777" s="62"/>
      <c r="E777" s="121"/>
      <c r="F777" s="122" t="str">
        <f>IFERROR(IF($D777="","",VLOOKUP($D777,Cadastro!$C$4:$E$7,3,FALSE)),"")</f>
        <v/>
      </c>
      <c r="G777" s="114"/>
      <c r="H777" s="122" t="str">
        <f>IFERROR(IF($G777="","",$G777*$S$783/$G$783/Cadastro!$E$33),"")</f>
        <v/>
      </c>
      <c r="I777" s="129" t="str">
        <f>IFERROR(IF($D777="","",VLOOKUP($D777,Cadastro!$C$4:$G$7,5,FALSE)),"")</f>
        <v/>
      </c>
      <c r="J777" s="145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 x14ac:dyDescent="0.3">
      <c r="A778" s="68">
        <v>46263</v>
      </c>
      <c r="B778" s="25">
        <f t="shared" si="208"/>
        <v>1.1249999999999998</v>
      </c>
      <c r="C778" s="26"/>
      <c r="D778" s="59"/>
      <c r="E778" s="120"/>
      <c r="F778" s="122" t="str">
        <f>IFERROR(IF($D778="","",VLOOKUP($D778,Cadastro!$C$4:$E$7,3,FALSE)),"")</f>
        <v/>
      </c>
      <c r="G778" s="114"/>
      <c r="H778" s="122" t="str">
        <f>IFERROR(IF($G778="","",$G778*$S$783/$G$783/Cadastro!$E$33),"")</f>
        <v/>
      </c>
      <c r="I778" s="129" t="str">
        <f>IFERROR(IF($D778="","",VLOOKUP($D778,Cadastro!$C$4:$G$7,5,FALSE)),"")</f>
        <v/>
      </c>
      <c r="J778" s="145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 x14ac:dyDescent="0.3">
      <c r="A779" s="69">
        <v>46263</v>
      </c>
      <c r="B779" s="32">
        <f t="shared" si="208"/>
        <v>1.1666666666666665</v>
      </c>
      <c r="C779" s="33"/>
      <c r="D779" s="62"/>
      <c r="E779" s="121"/>
      <c r="F779" s="122" t="str">
        <f>IFERROR(IF($D779="","",VLOOKUP($D779,Cadastro!$C$4:$E$7,3,FALSE)),"")</f>
        <v/>
      </c>
      <c r="G779" s="114"/>
      <c r="H779" s="122" t="str">
        <f>IFERROR(IF($G779="","",$G779*$S$783/$G$783/Cadastro!$E$33),"")</f>
        <v/>
      </c>
      <c r="I779" s="129" t="str">
        <f>IFERROR(IF($D779="","",VLOOKUP($D779,Cadastro!$C$4:$G$7,5,FALSE)),"")</f>
        <v/>
      </c>
      <c r="J779" s="145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 x14ac:dyDescent="0.3">
      <c r="A780" s="68">
        <v>46263</v>
      </c>
      <c r="B780" s="25">
        <f t="shared" si="208"/>
        <v>1.2083333333333333</v>
      </c>
      <c r="C780" s="26"/>
      <c r="D780" s="59"/>
      <c r="E780" s="120"/>
      <c r="F780" s="122" t="str">
        <f>IFERROR(IF($D780="","",VLOOKUP($D780,Cadastro!$C$4:$E$7,3,FALSE)),"")</f>
        <v/>
      </c>
      <c r="G780" s="114"/>
      <c r="H780" s="122" t="str">
        <f>IFERROR(IF($G780="","",$G780*$S$783/$G$783/Cadastro!$E$33),"")</f>
        <v/>
      </c>
      <c r="I780" s="129" t="str">
        <f>IFERROR(IF($D780="","",VLOOKUP($D780,Cadastro!$C$4:$G$7,5,FALSE)),"")</f>
        <v/>
      </c>
      <c r="J780" s="145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 x14ac:dyDescent="0.3">
      <c r="A781" s="69">
        <v>46263</v>
      </c>
      <c r="B781" s="32">
        <f t="shared" si="208"/>
        <v>1.25</v>
      </c>
      <c r="C781" s="33"/>
      <c r="D781" s="62"/>
      <c r="E781" s="121"/>
      <c r="F781" s="122" t="str">
        <f>IFERROR(IF($D781="","",VLOOKUP($D781,Cadastro!$C$4:$E$7,3,FALSE)),"")</f>
        <v/>
      </c>
      <c r="G781" s="114"/>
      <c r="H781" s="122" t="str">
        <f>IFERROR(IF($G781="","",$G781*$S$783/$G$783/Cadastro!$E$33),"")</f>
        <v/>
      </c>
      <c r="I781" s="129" t="str">
        <f>IFERROR(IF($D781="","",VLOOKUP($D781,Cadastro!$C$4:$G$7,5,FALSE)),"")</f>
        <v/>
      </c>
      <c r="J781" s="145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 x14ac:dyDescent="0.35">
      <c r="A782" s="68">
        <v>46263</v>
      </c>
      <c r="B782" s="25">
        <f t="shared" si="208"/>
        <v>1.2916666666666667</v>
      </c>
      <c r="C782" s="26"/>
      <c r="D782" s="59"/>
      <c r="E782" s="120"/>
      <c r="F782" s="118" t="str">
        <f>IFERROR(IF($D782="","",VLOOKUP($D782,Cadastro!$C$4:$E$7,3,FALSE)),"")</f>
        <v/>
      </c>
      <c r="G782" s="114"/>
      <c r="H782" s="118" t="str">
        <f>IFERROR(IF($G782="","",$G782*$S$783/$G$783/Cadastro!$E$33),"")</f>
        <v/>
      </c>
      <c r="I782" s="130" t="str">
        <f>IFERROR(IF($D782="","",VLOOKUP($D782,Cadastro!$C$4:$G$7,5,FALSE)),"")</f>
        <v/>
      </c>
      <c r="J782" s="146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 x14ac:dyDescent="0.35">
      <c r="A783" s="168" t="s">
        <v>234</v>
      </c>
      <c r="B783" s="169"/>
      <c r="C783" s="169"/>
      <c r="D783" s="169"/>
      <c r="E783" s="169">
        <f>SUM(E771:E782)</f>
        <v>0</v>
      </c>
      <c r="F783" s="124"/>
      <c r="G783" s="88">
        <f>SUM(G771:G782)</f>
        <v>0</v>
      </c>
      <c r="H783" s="124">
        <f>IFERROR(SUM(H771:H782),"")</f>
        <v>0</v>
      </c>
      <c r="I783" s="133"/>
      <c r="J783" s="149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232</v>
      </c>
      <c r="S783" s="39"/>
      <c r="T783" s="141">
        <f>IFERROR(J783,"")</f>
        <v>0</v>
      </c>
    </row>
    <row r="784" spans="1:20" ht="18" customHeight="1" x14ac:dyDescent="0.3">
      <c r="A784" s="165" t="s">
        <v>235</v>
      </c>
      <c r="B784" s="166"/>
      <c r="C784" s="166"/>
      <c r="D784" s="166"/>
      <c r="E784" s="166">
        <f>E770+E783</f>
        <v>0</v>
      </c>
      <c r="F784" s="125"/>
      <c r="G784" s="100">
        <f>G770+G783</f>
        <v>0</v>
      </c>
      <c r="H784" s="125">
        <f>IFERROR(H770+H783,"")</f>
        <v>0</v>
      </c>
      <c r="I784" s="134"/>
      <c r="J784" s="150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236</v>
      </c>
      <c r="S784" s="48">
        <f>IFERROR(S770+S783,"")</f>
        <v>0</v>
      </c>
      <c r="T784" s="143">
        <f>IFERROR(J784,"")</f>
        <v>0</v>
      </c>
    </row>
    <row r="785" spans="1:20" ht="15" customHeight="1" x14ac:dyDescent="0.3">
      <c r="A785" s="69">
        <v>46264</v>
      </c>
      <c r="B785" s="32">
        <v>0.33333333333333298</v>
      </c>
      <c r="C785" s="33"/>
      <c r="D785" s="62"/>
      <c r="E785" s="121"/>
      <c r="F785" s="119" t="str">
        <f>IFERROR(IF($D785="","",VLOOKUP($D785,Cadastro!$C$4:$E$7,3,FALSE)),"")</f>
        <v/>
      </c>
      <c r="G785" s="114"/>
      <c r="H785" s="119" t="str">
        <f>IFERROR(IF($G785="","",$G785*$S$797/$G$797/Cadastro!$E$33),"")</f>
        <v/>
      </c>
      <c r="I785" s="132" t="str">
        <f>IFERROR(IF($D785="","",VLOOKUP($D785,Cadastro!$C$4:$G$7,5,FALSE)),"")</f>
        <v/>
      </c>
      <c r="J785" s="148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8">
        <v>46264</v>
      </c>
      <c r="B786" s="25">
        <f t="shared" ref="B786:B796" si="211">B785+TIME(0,60,0)</f>
        <v>0.37499999999999967</v>
      </c>
      <c r="C786" s="26"/>
      <c r="D786" s="59"/>
      <c r="E786" s="120"/>
      <c r="F786" s="122" t="str">
        <f>IFERROR(IF($D786="","",VLOOKUP($D786,Cadastro!$C$4:$E$7,3,FALSE)),"")</f>
        <v/>
      </c>
      <c r="G786" s="114"/>
      <c r="H786" s="122" t="str">
        <f>IFERROR(IF($G786="","",$G786*$S$797/$G$797/Cadastro!$E$33),"")</f>
        <v/>
      </c>
      <c r="I786" s="129" t="str">
        <f>IFERROR(IF($D786="","",VLOOKUP($D786,Cadastro!$C$4:$G$7,5,FALSE)),"")</f>
        <v/>
      </c>
      <c r="J786" s="145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 x14ac:dyDescent="0.3">
      <c r="A787" s="69">
        <v>46264</v>
      </c>
      <c r="B787" s="32">
        <f t="shared" si="211"/>
        <v>0.41666666666666635</v>
      </c>
      <c r="C787" s="33"/>
      <c r="D787" s="62"/>
      <c r="E787" s="121"/>
      <c r="F787" s="122" t="str">
        <f>IFERROR(IF($D787="","",VLOOKUP($D787,Cadastro!$C$4:$E$7,3,FALSE)),"")</f>
        <v/>
      </c>
      <c r="G787" s="114"/>
      <c r="H787" s="122" t="str">
        <f>IFERROR(IF($G787="","",$G787*$S$797/$G$797/Cadastro!$E$33),"")</f>
        <v/>
      </c>
      <c r="I787" s="129" t="str">
        <f>IFERROR(IF($D787="","",VLOOKUP($D787,Cadastro!$C$4:$G$7,5,FALSE)),"")</f>
        <v/>
      </c>
      <c r="J787" s="145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 x14ac:dyDescent="0.3">
      <c r="A788" s="68">
        <v>46264</v>
      </c>
      <c r="B788" s="25">
        <f t="shared" si="211"/>
        <v>0.45833333333333304</v>
      </c>
      <c r="C788" s="26"/>
      <c r="D788" s="59"/>
      <c r="E788" s="120"/>
      <c r="F788" s="122" t="str">
        <f>IFERROR(IF($D788="","",VLOOKUP($D788,Cadastro!$C$4:$E$7,3,FALSE)),"")</f>
        <v/>
      </c>
      <c r="G788" s="114"/>
      <c r="H788" s="122" t="str">
        <f>IFERROR(IF($G788="","",$G788*$S$797/$G$797/Cadastro!$E$33),"")</f>
        <v/>
      </c>
      <c r="I788" s="129" t="str">
        <f>IFERROR(IF($D788="","",VLOOKUP($D788,Cadastro!$C$4:$G$7,5,FALSE)),"")</f>
        <v/>
      </c>
      <c r="J788" s="145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 x14ac:dyDescent="0.3">
      <c r="A789" s="69">
        <v>46264</v>
      </c>
      <c r="B789" s="32">
        <f t="shared" si="211"/>
        <v>0.49999999999999972</v>
      </c>
      <c r="C789" s="33"/>
      <c r="D789" s="62"/>
      <c r="E789" s="121"/>
      <c r="F789" s="122" t="str">
        <f>IFERROR(IF($D789="","",VLOOKUP($D789,Cadastro!$C$4:$E$7,3,FALSE)),"")</f>
        <v/>
      </c>
      <c r="G789" s="114"/>
      <c r="H789" s="122" t="str">
        <f>IFERROR(IF($G789="","",$G789*$S$797/$G$797/Cadastro!$E$33),"")</f>
        <v/>
      </c>
      <c r="I789" s="129" t="str">
        <f>IFERROR(IF($D789="","",VLOOKUP($D789,Cadastro!$C$4:$G$7,5,FALSE)),"")</f>
        <v/>
      </c>
      <c r="J789" s="145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 x14ac:dyDescent="0.3">
      <c r="A790" s="68">
        <v>46264</v>
      </c>
      <c r="B790" s="25">
        <f t="shared" si="211"/>
        <v>0.54166666666666641</v>
      </c>
      <c r="C790" s="26"/>
      <c r="D790" s="59"/>
      <c r="E790" s="120"/>
      <c r="F790" s="122" t="str">
        <f>IFERROR(IF($D790="","",VLOOKUP($D790,Cadastro!$C$4:$E$7,3,FALSE)),"")</f>
        <v/>
      </c>
      <c r="G790" s="114"/>
      <c r="H790" s="122" t="str">
        <f>IFERROR(IF($G790="","",$G790*$S$797/$G$797/Cadastro!$E$33),"")</f>
        <v/>
      </c>
      <c r="I790" s="129" t="str">
        <f>IFERROR(IF($D790="","",VLOOKUP($D790,Cadastro!$C$4:$G$7,5,FALSE)),"")</f>
        <v/>
      </c>
      <c r="J790" s="145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 x14ac:dyDescent="0.3">
      <c r="A791" s="69">
        <v>46264</v>
      </c>
      <c r="B791" s="32">
        <f t="shared" si="211"/>
        <v>0.58333333333333304</v>
      </c>
      <c r="C791" s="33"/>
      <c r="D791" s="62"/>
      <c r="E791" s="121"/>
      <c r="F791" s="122" t="str">
        <f>IFERROR(IF($D791="","",VLOOKUP($D791,Cadastro!$C$4:$E$7,3,FALSE)),"")</f>
        <v/>
      </c>
      <c r="G791" s="114"/>
      <c r="H791" s="122" t="str">
        <f>IFERROR(IF($G791="","",$G791*$S$797/$G$797/Cadastro!$E$33),"")</f>
        <v/>
      </c>
      <c r="I791" s="129" t="str">
        <f>IFERROR(IF($D791="","",VLOOKUP($D791,Cadastro!$C$4:$G$7,5,FALSE)),"")</f>
        <v/>
      </c>
      <c r="J791" s="145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 x14ac:dyDescent="0.3">
      <c r="A792" s="68">
        <v>46264</v>
      </c>
      <c r="B792" s="25">
        <f t="shared" si="211"/>
        <v>0.62499999999999967</v>
      </c>
      <c r="C792" s="26"/>
      <c r="D792" s="59"/>
      <c r="E792" s="120"/>
      <c r="F792" s="122" t="str">
        <f>IFERROR(IF($D792="","",VLOOKUP($D792,Cadastro!$C$4:$E$7,3,FALSE)),"")</f>
        <v/>
      </c>
      <c r="G792" s="114"/>
      <c r="H792" s="122" t="str">
        <f>IFERROR(IF($G792="","",$G792*$S$797/$G$797/Cadastro!$E$33),"")</f>
        <v/>
      </c>
      <c r="I792" s="129" t="str">
        <f>IFERROR(IF($D792="","",VLOOKUP($D792,Cadastro!$C$4:$G$7,5,FALSE)),"")</f>
        <v/>
      </c>
      <c r="J792" s="145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 x14ac:dyDescent="0.3">
      <c r="A793" s="69">
        <v>46264</v>
      </c>
      <c r="B793" s="32">
        <f t="shared" si="211"/>
        <v>0.6666666666666663</v>
      </c>
      <c r="C793" s="33"/>
      <c r="D793" s="62"/>
      <c r="E793" s="121"/>
      <c r="F793" s="122" t="str">
        <f>IFERROR(IF($D793="","",VLOOKUP($D793,Cadastro!$C$4:$E$7,3,FALSE)),"")</f>
        <v/>
      </c>
      <c r="G793" s="114"/>
      <c r="H793" s="122" t="str">
        <f>IFERROR(IF($G793="","",$G793*$S$797/$G$797/Cadastro!$E$33),"")</f>
        <v/>
      </c>
      <c r="I793" s="129" t="str">
        <f>IFERROR(IF($D793="","",VLOOKUP($D793,Cadastro!$C$4:$G$7,5,FALSE)),"")</f>
        <v/>
      </c>
      <c r="J793" s="145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 x14ac:dyDescent="0.3">
      <c r="A794" s="68">
        <v>46264</v>
      </c>
      <c r="B794" s="25">
        <f t="shared" si="211"/>
        <v>0.70833333333333293</v>
      </c>
      <c r="C794" s="26"/>
      <c r="D794" s="59"/>
      <c r="E794" s="120"/>
      <c r="F794" s="122" t="str">
        <f>IFERROR(IF($D794="","",VLOOKUP($D794,Cadastro!$C$4:$E$7,3,FALSE)),"")</f>
        <v/>
      </c>
      <c r="G794" s="114"/>
      <c r="H794" s="122" t="str">
        <f>IFERROR(IF($G794="","",$G794*$S$797/$G$797/Cadastro!$E$33),"")</f>
        <v/>
      </c>
      <c r="I794" s="129" t="str">
        <f>IFERROR(IF($D794="","",VLOOKUP($D794,Cadastro!$C$4:$G$7,5,FALSE)),"")</f>
        <v/>
      </c>
      <c r="J794" s="145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 x14ac:dyDescent="0.3">
      <c r="A795" s="69">
        <v>46264</v>
      </c>
      <c r="B795" s="32">
        <f t="shared" si="211"/>
        <v>0.74999999999999956</v>
      </c>
      <c r="C795" s="33"/>
      <c r="D795" s="62"/>
      <c r="E795" s="121"/>
      <c r="F795" s="122" t="str">
        <f>IFERROR(IF($D795="","",VLOOKUP($D795,Cadastro!$C$4:$E$7,3,FALSE)),"")</f>
        <v/>
      </c>
      <c r="G795" s="114"/>
      <c r="H795" s="122" t="str">
        <f>IFERROR(IF($G795="","",$G795*$S$797/$G$797/Cadastro!$E$33),"")</f>
        <v/>
      </c>
      <c r="I795" s="129" t="str">
        <f>IFERROR(IF($D795="","",VLOOKUP($D795,Cadastro!$C$4:$G$7,5,FALSE)),"")</f>
        <v/>
      </c>
      <c r="J795" s="145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 x14ac:dyDescent="0.35">
      <c r="A796" s="68">
        <v>46264</v>
      </c>
      <c r="B796" s="25">
        <f t="shared" si="211"/>
        <v>0.79166666666666619</v>
      </c>
      <c r="C796" s="26"/>
      <c r="D796" s="59"/>
      <c r="E796" s="120"/>
      <c r="F796" s="118" t="str">
        <f>IFERROR(IF($D796="","",VLOOKUP($D796,Cadastro!$C$4:$E$7,3,FALSE)),"")</f>
        <v/>
      </c>
      <c r="G796" s="114"/>
      <c r="H796" s="118" t="str">
        <f>IFERROR(IF($G796="","",$G796*$S$797/$G$797/Cadastro!$E$33),"")</f>
        <v/>
      </c>
      <c r="I796" s="130" t="str">
        <f>IFERROR(IF($D796="","",VLOOKUP($D796,Cadastro!$C$4:$G$7,5,FALSE)),"")</f>
        <v/>
      </c>
      <c r="J796" s="146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 x14ac:dyDescent="0.35">
      <c r="A797" s="168" t="s">
        <v>231</v>
      </c>
      <c r="B797" s="169"/>
      <c r="C797" s="169"/>
      <c r="D797" s="169"/>
      <c r="E797" s="169">
        <f>SUM(E785:E796)</f>
        <v>0</v>
      </c>
      <c r="F797" s="123"/>
      <c r="G797" s="88">
        <f>SUM(G785:G796)</f>
        <v>0</v>
      </c>
      <c r="H797" s="123">
        <f>IFERROR(SUM(H785:H796),"")</f>
        <v>0</v>
      </c>
      <c r="I797" s="131"/>
      <c r="J797" s="147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232</v>
      </c>
      <c r="S797" s="39"/>
      <c r="T797" s="141">
        <f>IFERROR(J797,"")</f>
        <v>0</v>
      </c>
    </row>
    <row r="798" spans="1:20" ht="15" customHeight="1" x14ac:dyDescent="0.3">
      <c r="A798" s="68">
        <v>46264</v>
      </c>
      <c r="B798" s="25">
        <v>0.83333333333333304</v>
      </c>
      <c r="C798" s="26"/>
      <c r="D798" s="59"/>
      <c r="E798" s="120"/>
      <c r="F798" s="119" t="str">
        <f>IFERROR(IF($D798="","",VLOOKUP($D798,Cadastro!$C$4:$E$7,3,FALSE)),"")</f>
        <v/>
      </c>
      <c r="G798" s="114"/>
      <c r="H798" s="119" t="str">
        <f>IFERROR(IF($G798="","",$G798*$S$810/$G$810/Cadastro!$E$33),"")</f>
        <v/>
      </c>
      <c r="I798" s="132" t="str">
        <f>IFERROR(IF($D798="","",VLOOKUP($D798,Cadastro!$C$4:$G$7,5,FALSE)),"")</f>
        <v/>
      </c>
      <c r="J798" s="148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9">
        <v>46264</v>
      </c>
      <c r="B799" s="32">
        <f t="shared" ref="B799:B809" si="214">B798+TIME(0,60,0)</f>
        <v>0.87499999999999967</v>
      </c>
      <c r="C799" s="33"/>
      <c r="D799" s="62"/>
      <c r="E799" s="121"/>
      <c r="F799" s="122" t="str">
        <f>IFERROR(IF($D799="","",VLOOKUP($D799,Cadastro!$C$4:$E$7,3,FALSE)),"")</f>
        <v/>
      </c>
      <c r="G799" s="114"/>
      <c r="H799" s="122" t="str">
        <f>IFERROR(IF($G799="","",$G799*$S$810/$G$810/Cadastro!$E$33),"")</f>
        <v/>
      </c>
      <c r="I799" s="129" t="str">
        <f>IFERROR(IF($D799="","",VLOOKUP($D799,Cadastro!$C$4:$G$7,5,FALSE)),"")</f>
        <v/>
      </c>
      <c r="J799" s="145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 x14ac:dyDescent="0.3">
      <c r="A800" s="68">
        <v>46264</v>
      </c>
      <c r="B800" s="25">
        <f t="shared" si="214"/>
        <v>0.9166666666666663</v>
      </c>
      <c r="C800" s="26"/>
      <c r="D800" s="59"/>
      <c r="E800" s="120"/>
      <c r="F800" s="122" t="str">
        <f>IFERROR(IF($D800="","",VLOOKUP($D800,Cadastro!$C$4:$E$7,3,FALSE)),"")</f>
        <v/>
      </c>
      <c r="G800" s="114"/>
      <c r="H800" s="122" t="str">
        <f>IFERROR(IF($G800="","",$G800*$S$810/$G$810/Cadastro!$E$33),"")</f>
        <v/>
      </c>
      <c r="I800" s="129" t="str">
        <f>IFERROR(IF($D800="","",VLOOKUP($D800,Cadastro!$C$4:$G$7,5,FALSE)),"")</f>
        <v/>
      </c>
      <c r="J800" s="145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 x14ac:dyDescent="0.3">
      <c r="A801" s="69">
        <v>46264</v>
      </c>
      <c r="B801" s="32">
        <f t="shared" si="214"/>
        <v>0.95833333333333293</v>
      </c>
      <c r="C801" s="33"/>
      <c r="D801" s="62"/>
      <c r="E801" s="121"/>
      <c r="F801" s="122" t="str">
        <f>IFERROR(IF($D801="","",VLOOKUP($D801,Cadastro!$C$4:$E$7,3,FALSE)),"")</f>
        <v/>
      </c>
      <c r="G801" s="114"/>
      <c r="H801" s="122" t="str">
        <f>IFERROR(IF($G801="","",$G801*$S$810/$G$810/Cadastro!$E$33),"")</f>
        <v/>
      </c>
      <c r="I801" s="129" t="str">
        <f>IFERROR(IF($D801="","",VLOOKUP($D801,Cadastro!$C$4:$G$7,5,FALSE)),"")</f>
        <v/>
      </c>
      <c r="J801" s="145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 x14ac:dyDescent="0.3">
      <c r="A802" s="68">
        <v>46264</v>
      </c>
      <c r="B802" s="25">
        <f t="shared" si="214"/>
        <v>0.99999999999999956</v>
      </c>
      <c r="C802" s="26"/>
      <c r="D802" s="59"/>
      <c r="E802" s="120"/>
      <c r="F802" s="122" t="str">
        <f>IFERROR(IF($D802="","",VLOOKUP($D802,Cadastro!$C$4:$E$7,3,FALSE)),"")</f>
        <v/>
      </c>
      <c r="G802" s="114"/>
      <c r="H802" s="122" t="str">
        <f>IFERROR(IF($G802="","",$G802*$S$810/$G$810/Cadastro!$E$33),"")</f>
        <v/>
      </c>
      <c r="I802" s="129" t="str">
        <f>IFERROR(IF($D802="","",VLOOKUP($D802,Cadastro!$C$4:$G$7,5,FALSE)),"")</f>
        <v/>
      </c>
      <c r="J802" s="145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 x14ac:dyDescent="0.3">
      <c r="A803" s="69">
        <v>46264</v>
      </c>
      <c r="B803" s="32">
        <f t="shared" si="214"/>
        <v>1.0416666666666663</v>
      </c>
      <c r="C803" s="33"/>
      <c r="D803" s="62"/>
      <c r="E803" s="121"/>
      <c r="F803" s="122" t="str">
        <f>IFERROR(IF($D803="","",VLOOKUP($D803,Cadastro!$C$4:$E$7,3,FALSE)),"")</f>
        <v/>
      </c>
      <c r="G803" s="114"/>
      <c r="H803" s="122" t="str">
        <f>IFERROR(IF($G803="","",$G803*$S$810/$G$810/Cadastro!$E$33),"")</f>
        <v/>
      </c>
      <c r="I803" s="129" t="str">
        <f>IFERROR(IF($D803="","",VLOOKUP($D803,Cadastro!$C$4:$G$7,5,FALSE)),"")</f>
        <v/>
      </c>
      <c r="J803" s="145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 x14ac:dyDescent="0.3">
      <c r="A804" s="68">
        <v>46264</v>
      </c>
      <c r="B804" s="25">
        <f t="shared" si="214"/>
        <v>1.083333333333333</v>
      </c>
      <c r="C804" s="26"/>
      <c r="D804" s="59"/>
      <c r="E804" s="120"/>
      <c r="F804" s="122" t="str">
        <f>IFERROR(IF($D804="","",VLOOKUP($D804,Cadastro!$C$4:$E$7,3,FALSE)),"")</f>
        <v/>
      </c>
      <c r="G804" s="114"/>
      <c r="H804" s="122" t="str">
        <f>IFERROR(IF($G804="","",$G804*$S$810/$G$810/Cadastro!$E$33),"")</f>
        <v/>
      </c>
      <c r="I804" s="129" t="str">
        <f>IFERROR(IF($D804="","",VLOOKUP($D804,Cadastro!$C$4:$G$7,5,FALSE)),"")</f>
        <v/>
      </c>
      <c r="J804" s="145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 x14ac:dyDescent="0.3">
      <c r="A805" s="69">
        <v>46264</v>
      </c>
      <c r="B805" s="32">
        <f t="shared" si="214"/>
        <v>1.1249999999999998</v>
      </c>
      <c r="C805" s="33"/>
      <c r="D805" s="62"/>
      <c r="E805" s="121"/>
      <c r="F805" s="122" t="str">
        <f>IFERROR(IF($D805="","",VLOOKUP($D805,Cadastro!$C$4:$E$7,3,FALSE)),"")</f>
        <v/>
      </c>
      <c r="G805" s="114"/>
      <c r="H805" s="122" t="str">
        <f>IFERROR(IF($G805="","",$G805*$S$810/$G$810/Cadastro!$E$33),"")</f>
        <v/>
      </c>
      <c r="I805" s="129" t="str">
        <f>IFERROR(IF($D805="","",VLOOKUP($D805,Cadastro!$C$4:$G$7,5,FALSE)),"")</f>
        <v/>
      </c>
      <c r="J805" s="145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 x14ac:dyDescent="0.3">
      <c r="A806" s="68">
        <v>46264</v>
      </c>
      <c r="B806" s="25">
        <f t="shared" si="214"/>
        <v>1.1666666666666665</v>
      </c>
      <c r="C806" s="26"/>
      <c r="D806" s="59"/>
      <c r="E806" s="120"/>
      <c r="F806" s="122" t="str">
        <f>IFERROR(IF($D806="","",VLOOKUP($D806,Cadastro!$C$4:$E$7,3,FALSE)),"")</f>
        <v/>
      </c>
      <c r="G806" s="114"/>
      <c r="H806" s="122" t="str">
        <f>IFERROR(IF($G806="","",$G806*$S$810/$G$810/Cadastro!$E$33),"")</f>
        <v/>
      </c>
      <c r="I806" s="129" t="str">
        <f>IFERROR(IF($D806="","",VLOOKUP($D806,Cadastro!$C$4:$G$7,5,FALSE)),"")</f>
        <v/>
      </c>
      <c r="J806" s="145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 x14ac:dyDescent="0.3">
      <c r="A807" s="69">
        <v>46264</v>
      </c>
      <c r="B807" s="32">
        <f t="shared" si="214"/>
        <v>1.2083333333333333</v>
      </c>
      <c r="C807" s="33"/>
      <c r="D807" s="62"/>
      <c r="E807" s="121"/>
      <c r="F807" s="122" t="str">
        <f>IFERROR(IF($D807="","",VLOOKUP($D807,Cadastro!$C$4:$E$7,3,FALSE)),"")</f>
        <v/>
      </c>
      <c r="G807" s="114"/>
      <c r="H807" s="122" t="str">
        <f>IFERROR(IF($G807="","",$G807*$S$810/$G$810/Cadastro!$E$33),"")</f>
        <v/>
      </c>
      <c r="I807" s="129" t="str">
        <f>IFERROR(IF($D807="","",VLOOKUP($D807,Cadastro!$C$4:$G$7,5,FALSE)),"")</f>
        <v/>
      </c>
      <c r="J807" s="145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 x14ac:dyDescent="0.3">
      <c r="A808" s="68">
        <v>46264</v>
      </c>
      <c r="B808" s="25">
        <f t="shared" si="214"/>
        <v>1.25</v>
      </c>
      <c r="C808" s="26"/>
      <c r="D808" s="59"/>
      <c r="E808" s="120"/>
      <c r="F808" s="122" t="str">
        <f>IFERROR(IF($D808="","",VLOOKUP($D808,Cadastro!$C$4:$E$7,3,FALSE)),"")</f>
        <v/>
      </c>
      <c r="G808" s="114"/>
      <c r="H808" s="122" t="str">
        <f>IFERROR(IF($G808="","",$G808*$S$810/$G$810/Cadastro!$E$33),"")</f>
        <v/>
      </c>
      <c r="I808" s="129" t="str">
        <f>IFERROR(IF($D808="","",VLOOKUP($D808,Cadastro!$C$4:$G$7,5,FALSE)),"")</f>
        <v/>
      </c>
      <c r="J808" s="145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 x14ac:dyDescent="0.35">
      <c r="A809" s="69">
        <v>46264</v>
      </c>
      <c r="B809" s="32">
        <f t="shared" si="214"/>
        <v>1.2916666666666667</v>
      </c>
      <c r="C809" s="33"/>
      <c r="D809" s="62"/>
      <c r="E809" s="121"/>
      <c r="F809" s="118" t="str">
        <f>IFERROR(IF($D809="","",VLOOKUP($D809,Cadastro!$C$4:$E$7,3,FALSE)),"")</f>
        <v/>
      </c>
      <c r="G809" s="114"/>
      <c r="H809" s="118" t="str">
        <f>IFERROR(IF($G809="","",$G809*$S$810/$G$810/Cadastro!$E$33),"")</f>
        <v/>
      </c>
      <c r="I809" s="130" t="str">
        <f>IFERROR(IF($D809="","",VLOOKUP($D809,Cadastro!$C$4:$G$7,5,FALSE)),"")</f>
        <v/>
      </c>
      <c r="J809" s="146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 x14ac:dyDescent="0.35">
      <c r="A810" s="168" t="s">
        <v>234</v>
      </c>
      <c r="B810" s="169"/>
      <c r="C810" s="169"/>
      <c r="D810" s="169"/>
      <c r="E810" s="169">
        <f>SUM(E798:E809)</f>
        <v>0</v>
      </c>
      <c r="F810" s="124"/>
      <c r="G810" s="88">
        <f>SUM(G798:G809)</f>
        <v>0</v>
      </c>
      <c r="H810" s="124">
        <f>IFERROR(SUM(H798:H809),"")</f>
        <v>0</v>
      </c>
      <c r="I810" s="133"/>
      <c r="J810" s="149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232</v>
      </c>
      <c r="S810" s="39"/>
      <c r="T810" s="141">
        <f>IFERROR(J810,"")</f>
        <v>0</v>
      </c>
    </row>
    <row r="811" spans="1:20" ht="18" customHeight="1" x14ac:dyDescent="0.3">
      <c r="A811" s="165" t="s">
        <v>235</v>
      </c>
      <c r="B811" s="166"/>
      <c r="C811" s="166"/>
      <c r="D811" s="166"/>
      <c r="E811" s="166">
        <f>E797+E810</f>
        <v>0</v>
      </c>
      <c r="F811" s="125"/>
      <c r="G811" s="100">
        <f>G797+G810</f>
        <v>0</v>
      </c>
      <c r="H811" s="125">
        <f>IFERROR(H797+H810,"")</f>
        <v>0</v>
      </c>
      <c r="I811" s="134"/>
      <c r="J811" s="150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236</v>
      </c>
      <c r="S811" s="43">
        <f>IFERROR(S797+S810,"")</f>
        <v>0</v>
      </c>
      <c r="T811" s="142">
        <f>IFERROR(J811,"")</f>
        <v>0</v>
      </c>
    </row>
    <row r="812" spans="1:20" ht="15" customHeight="1" x14ac:dyDescent="0.3">
      <c r="A812" s="68">
        <v>46265</v>
      </c>
      <c r="B812" s="25">
        <v>0.33333333333333298</v>
      </c>
      <c r="C812" s="26"/>
      <c r="D812" s="59"/>
      <c r="E812" s="120"/>
      <c r="F812" s="119" t="str">
        <f>IFERROR(IF($D812="","",VLOOKUP($D812,Cadastro!$C$4:$E$7,3,FALSE)),"")</f>
        <v/>
      </c>
      <c r="G812" s="114"/>
      <c r="H812" s="119" t="str">
        <f>IFERROR(IF($G812="","",$G812*$S$824/$G$824/Cadastro!$E$33),"")</f>
        <v/>
      </c>
      <c r="I812" s="132" t="str">
        <f>IFERROR(IF($D812="","",VLOOKUP($D812,Cadastro!$C$4:$G$7,5,FALSE)),"")</f>
        <v/>
      </c>
      <c r="J812" s="148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9">
        <v>46265</v>
      </c>
      <c r="B813" s="32">
        <f t="shared" ref="B813:B823" si="219">B812+TIME(0,60,0)</f>
        <v>0.37499999999999967</v>
      </c>
      <c r="C813" s="26"/>
      <c r="D813" s="59"/>
      <c r="E813" s="120"/>
      <c r="F813" s="122" t="str">
        <f>IFERROR(IF($D813="","",VLOOKUP($D813,Cadastro!$C$4:$E$7,3,FALSE)),"")</f>
        <v/>
      </c>
      <c r="G813" s="114"/>
      <c r="H813" s="122" t="str">
        <f>IFERROR(IF($G813="","",$G813*$S$824/$G$824/Cadastro!$E$33),"")</f>
        <v/>
      </c>
      <c r="I813" s="129" t="str">
        <f>IFERROR(IF($D813="","",VLOOKUP($D813,Cadastro!$C$4:$G$7,5,FALSE)),"")</f>
        <v/>
      </c>
      <c r="J813" s="145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 x14ac:dyDescent="0.3">
      <c r="A814" s="68">
        <v>46265</v>
      </c>
      <c r="B814" s="25">
        <f t="shared" si="219"/>
        <v>0.41666666666666635</v>
      </c>
      <c r="C814" s="26"/>
      <c r="D814" s="59"/>
      <c r="E814" s="120"/>
      <c r="F814" s="122" t="str">
        <f>IFERROR(IF($D814="","",VLOOKUP($D814,Cadastro!$C$4:$E$7,3,FALSE)),"")</f>
        <v/>
      </c>
      <c r="G814" s="114"/>
      <c r="H814" s="122" t="str">
        <f>IFERROR(IF($G814="","",$G814*$S$824/$G$824/Cadastro!$E$33),"")</f>
        <v/>
      </c>
      <c r="I814" s="129" t="str">
        <f>IFERROR(IF($D814="","",VLOOKUP($D814,Cadastro!$C$4:$G$7,5,FALSE)),"")</f>
        <v/>
      </c>
      <c r="J814" s="145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 x14ac:dyDescent="0.3">
      <c r="A815" s="69">
        <v>46265</v>
      </c>
      <c r="B815" s="32">
        <f t="shared" si="219"/>
        <v>0.45833333333333304</v>
      </c>
      <c r="C815" s="26"/>
      <c r="D815" s="59"/>
      <c r="E815" s="120"/>
      <c r="F815" s="122" t="str">
        <f>IFERROR(IF($D815="","",VLOOKUP($D815,Cadastro!$C$4:$E$7,3,FALSE)),"")</f>
        <v/>
      </c>
      <c r="G815" s="114"/>
      <c r="H815" s="122" t="str">
        <f>IFERROR(IF($G815="","",$G815*$S$824/$G$824/Cadastro!$E$33),"")</f>
        <v/>
      </c>
      <c r="I815" s="129" t="str">
        <f>IFERROR(IF($D815="","",VLOOKUP($D815,Cadastro!$C$4:$G$7,5,FALSE)),"")</f>
        <v/>
      </c>
      <c r="J815" s="145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 x14ac:dyDescent="0.3">
      <c r="A816" s="68">
        <v>46265</v>
      </c>
      <c r="B816" s="25">
        <f t="shared" si="219"/>
        <v>0.49999999999999972</v>
      </c>
      <c r="C816" s="26"/>
      <c r="D816" s="59"/>
      <c r="E816" s="120"/>
      <c r="F816" s="122" t="str">
        <f>IFERROR(IF($D816="","",VLOOKUP($D816,Cadastro!$C$4:$E$7,3,FALSE)),"")</f>
        <v/>
      </c>
      <c r="G816" s="114"/>
      <c r="H816" s="122" t="str">
        <f>IFERROR(IF($G816="","",$G816*$S$824/$G$824/Cadastro!$E$33),"")</f>
        <v/>
      </c>
      <c r="I816" s="129" t="str">
        <f>IFERROR(IF($D816="","",VLOOKUP($D816,Cadastro!$C$4:$G$7,5,FALSE)),"")</f>
        <v/>
      </c>
      <c r="J816" s="145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 x14ac:dyDescent="0.3">
      <c r="A817" s="69">
        <v>46265</v>
      </c>
      <c r="B817" s="32">
        <f t="shared" si="219"/>
        <v>0.54166666666666641</v>
      </c>
      <c r="C817" s="26"/>
      <c r="D817" s="59"/>
      <c r="E817" s="120"/>
      <c r="F817" s="122" t="str">
        <f>IFERROR(IF($D817="","",VLOOKUP($D817,Cadastro!$C$4:$E$7,3,FALSE)),"")</f>
        <v/>
      </c>
      <c r="G817" s="114"/>
      <c r="H817" s="122" t="str">
        <f>IFERROR(IF($G817="","",$G817*$S$824/$G$824/Cadastro!$E$33),"")</f>
        <v/>
      </c>
      <c r="I817" s="129" t="str">
        <f>IFERROR(IF($D817="","",VLOOKUP($D817,Cadastro!$C$4:$G$7,5,FALSE)),"")</f>
        <v/>
      </c>
      <c r="J817" s="145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 x14ac:dyDescent="0.3">
      <c r="A818" s="68">
        <v>46265</v>
      </c>
      <c r="B818" s="25">
        <f t="shared" si="219"/>
        <v>0.58333333333333304</v>
      </c>
      <c r="C818" s="26"/>
      <c r="D818" s="59"/>
      <c r="E818" s="120"/>
      <c r="F818" s="122" t="str">
        <f>IFERROR(IF($D818="","",VLOOKUP($D818,Cadastro!$C$4:$E$7,3,FALSE)),"")</f>
        <v/>
      </c>
      <c r="G818" s="114"/>
      <c r="H818" s="122" t="str">
        <f>IFERROR(IF($G818="","",$G818*$S$824/$G$824/Cadastro!$E$33),"")</f>
        <v/>
      </c>
      <c r="I818" s="129" t="str">
        <f>IFERROR(IF($D818="","",VLOOKUP($D818,Cadastro!$C$4:$G$7,5,FALSE)),"")</f>
        <v/>
      </c>
      <c r="J818" s="145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 x14ac:dyDescent="0.3">
      <c r="A819" s="69">
        <v>46265</v>
      </c>
      <c r="B819" s="32">
        <f t="shared" si="219"/>
        <v>0.62499999999999967</v>
      </c>
      <c r="C819" s="26"/>
      <c r="D819" s="59"/>
      <c r="E819" s="120"/>
      <c r="F819" s="122" t="str">
        <f>IFERROR(IF($D819="","",VLOOKUP($D819,Cadastro!$C$4:$E$7,3,FALSE)),"")</f>
        <v/>
      </c>
      <c r="G819" s="114"/>
      <c r="H819" s="122" t="str">
        <f>IFERROR(IF($G819="","",$G819*$S$824/$G$824/Cadastro!$E$33),"")</f>
        <v/>
      </c>
      <c r="I819" s="129" t="str">
        <f>IFERROR(IF($D819="","",VLOOKUP($D819,Cadastro!$C$4:$G$7,5,FALSE)),"")</f>
        <v/>
      </c>
      <c r="J819" s="145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 x14ac:dyDescent="0.3">
      <c r="A820" s="68">
        <v>46265</v>
      </c>
      <c r="B820" s="25">
        <f t="shared" si="219"/>
        <v>0.6666666666666663</v>
      </c>
      <c r="C820" s="26"/>
      <c r="D820" s="59"/>
      <c r="E820" s="120"/>
      <c r="F820" s="122" t="str">
        <f>IFERROR(IF($D820="","",VLOOKUP($D820,Cadastro!$C$4:$E$7,3,FALSE)),"")</f>
        <v/>
      </c>
      <c r="G820" s="114"/>
      <c r="H820" s="122" t="str">
        <f>IFERROR(IF($G820="","",$G820*$S$824/$G$824/Cadastro!$E$33),"")</f>
        <v/>
      </c>
      <c r="I820" s="129" t="str">
        <f>IFERROR(IF($D820="","",VLOOKUP($D820,Cadastro!$C$4:$G$7,5,FALSE)),"")</f>
        <v/>
      </c>
      <c r="J820" s="145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 x14ac:dyDescent="0.3">
      <c r="A821" s="69">
        <v>46265</v>
      </c>
      <c r="B821" s="32">
        <f t="shared" si="219"/>
        <v>0.70833333333333293</v>
      </c>
      <c r="C821" s="26"/>
      <c r="D821" s="59"/>
      <c r="E821" s="120"/>
      <c r="F821" s="122" t="str">
        <f>IFERROR(IF($D821="","",VLOOKUP($D821,Cadastro!$C$4:$E$7,3,FALSE)),"")</f>
        <v/>
      </c>
      <c r="G821" s="114"/>
      <c r="H821" s="122" t="str">
        <f>IFERROR(IF($G821="","",$G821*$S$824/$G$824/Cadastro!$E$33),"")</f>
        <v/>
      </c>
      <c r="I821" s="129" t="str">
        <f>IFERROR(IF($D821="","",VLOOKUP($D821,Cadastro!$C$4:$G$7,5,FALSE)),"")</f>
        <v/>
      </c>
      <c r="J821" s="145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 x14ac:dyDescent="0.3">
      <c r="A822" s="68">
        <v>46265</v>
      </c>
      <c r="B822" s="25">
        <f t="shared" si="219"/>
        <v>0.74999999999999956</v>
      </c>
      <c r="C822" s="26"/>
      <c r="D822" s="59"/>
      <c r="E822" s="120"/>
      <c r="F822" s="122" t="str">
        <f>IFERROR(IF($D822="","",VLOOKUP($D822,Cadastro!$C$4:$E$7,3,FALSE)),"")</f>
        <v/>
      </c>
      <c r="G822" s="114"/>
      <c r="H822" s="122" t="str">
        <f>IFERROR(IF($G822="","",$G822*$S$824/$G$824/Cadastro!$E$33),"")</f>
        <v/>
      </c>
      <c r="I822" s="129" t="str">
        <f>IFERROR(IF($D822="","",VLOOKUP($D822,Cadastro!$C$4:$G$7,5,FALSE)),"")</f>
        <v/>
      </c>
      <c r="J822" s="145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 x14ac:dyDescent="0.35">
      <c r="A823" s="69">
        <v>46265</v>
      </c>
      <c r="B823" s="32">
        <f t="shared" si="219"/>
        <v>0.79166666666666619</v>
      </c>
      <c r="C823" s="26"/>
      <c r="D823" s="59"/>
      <c r="E823" s="120"/>
      <c r="F823" s="118" t="str">
        <f>IFERROR(IF($D823="","",VLOOKUP($D823,Cadastro!$C$4:$E$7,3,FALSE)),"")</f>
        <v/>
      </c>
      <c r="G823" s="114"/>
      <c r="H823" s="118" t="str">
        <f>IFERROR(IF($G823="","",$G823*$S$824/$G$824/Cadastro!$E$33),"")</f>
        <v/>
      </c>
      <c r="I823" s="130" t="str">
        <f>IFERROR(IF($D823="","",VLOOKUP($D823,Cadastro!$C$4:$G$7,5,FALSE)),"")</f>
        <v/>
      </c>
      <c r="J823" s="146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 x14ac:dyDescent="0.35">
      <c r="A824" s="168" t="s">
        <v>231</v>
      </c>
      <c r="B824" s="169"/>
      <c r="C824" s="169"/>
      <c r="D824" s="169"/>
      <c r="E824" s="169">
        <f>SUM(E812:E823)</f>
        <v>0</v>
      </c>
      <c r="F824" s="123"/>
      <c r="G824" s="88">
        <f>SUM(G812:G823)</f>
        <v>0</v>
      </c>
      <c r="H824" s="123">
        <f>IFERROR(SUM(H812:H823),"")</f>
        <v>0</v>
      </c>
      <c r="I824" s="131"/>
      <c r="J824" s="147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232</v>
      </c>
      <c r="S824" s="39"/>
      <c r="T824" s="141">
        <f>IFERROR(J824,"")</f>
        <v>0</v>
      </c>
    </row>
    <row r="825" spans="1:20" ht="15" customHeight="1" x14ac:dyDescent="0.3">
      <c r="A825" s="69">
        <v>46265</v>
      </c>
      <c r="B825" s="32">
        <v>0.83333333333333304</v>
      </c>
      <c r="C825" s="33"/>
      <c r="D825" s="62"/>
      <c r="E825" s="121"/>
      <c r="F825" s="119" t="str">
        <f>IFERROR(IF($D825="","",VLOOKUP($D825,Cadastro!$C$4:$E$7,3,FALSE)),"")</f>
        <v/>
      </c>
      <c r="G825" s="114"/>
      <c r="H825" s="119" t="str">
        <f>IFERROR(IF($G825="","",$G825*$S$837/$G$837/Cadastro!$E$33),"")</f>
        <v/>
      </c>
      <c r="I825" s="132" t="str">
        <f>IFERROR(IF($D825="","",VLOOKUP($D825,Cadastro!$C$4:$G$7,5,FALSE)),"")</f>
        <v/>
      </c>
      <c r="J825" s="148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8">
        <v>46265</v>
      </c>
      <c r="B826" s="25">
        <f t="shared" ref="B826:B836" si="223">B825+TIME(0,60,0)</f>
        <v>0.87499999999999967</v>
      </c>
      <c r="C826" s="33"/>
      <c r="D826" s="62"/>
      <c r="E826" s="121"/>
      <c r="F826" s="122" t="str">
        <f>IFERROR(IF($D826="","",VLOOKUP($D826,Cadastro!$C$4:$E$7,3,FALSE)),"")</f>
        <v/>
      </c>
      <c r="G826" s="114"/>
      <c r="H826" s="122" t="str">
        <f>IFERROR(IF($G826="","",$G826*$S$837/$G$837/Cadastro!$E$33),"")</f>
        <v/>
      </c>
      <c r="I826" s="129" t="str">
        <f>IFERROR(IF($D826="","",VLOOKUP($D826,Cadastro!$C$4:$G$7,5,FALSE)),"")</f>
        <v/>
      </c>
      <c r="J826" s="145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 x14ac:dyDescent="0.3">
      <c r="A827" s="69">
        <v>46265</v>
      </c>
      <c r="B827" s="32">
        <f t="shared" si="223"/>
        <v>0.9166666666666663</v>
      </c>
      <c r="C827" s="33"/>
      <c r="D827" s="62"/>
      <c r="E827" s="121"/>
      <c r="F827" s="122" t="str">
        <f>IFERROR(IF($D827="","",VLOOKUP($D827,Cadastro!$C$4:$E$7,3,FALSE)),"")</f>
        <v/>
      </c>
      <c r="G827" s="114"/>
      <c r="H827" s="122" t="str">
        <f>IFERROR(IF($G827="","",$G827*$S$837/$G$837/Cadastro!$E$33),"")</f>
        <v/>
      </c>
      <c r="I827" s="129" t="str">
        <f>IFERROR(IF($D827="","",VLOOKUP($D827,Cadastro!$C$4:$G$7,5,FALSE)),"")</f>
        <v/>
      </c>
      <c r="J827" s="145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 x14ac:dyDescent="0.3">
      <c r="A828" s="68">
        <v>46265</v>
      </c>
      <c r="B828" s="25">
        <f t="shared" si="223"/>
        <v>0.95833333333333293</v>
      </c>
      <c r="C828" s="33"/>
      <c r="D828" s="62"/>
      <c r="E828" s="121"/>
      <c r="F828" s="122" t="str">
        <f>IFERROR(IF($D828="","",VLOOKUP($D828,Cadastro!$C$4:$E$7,3,FALSE)),"")</f>
        <v/>
      </c>
      <c r="G828" s="114"/>
      <c r="H828" s="122" t="str">
        <f>IFERROR(IF($G828="","",$G828*$S$837/$G$837/Cadastro!$E$33),"")</f>
        <v/>
      </c>
      <c r="I828" s="129" t="str">
        <f>IFERROR(IF($D828="","",VLOOKUP($D828,Cadastro!$C$4:$G$7,5,FALSE)),"")</f>
        <v/>
      </c>
      <c r="J828" s="145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 x14ac:dyDescent="0.3">
      <c r="A829" s="69">
        <v>46265</v>
      </c>
      <c r="B829" s="32">
        <f t="shared" si="223"/>
        <v>0.99999999999999956</v>
      </c>
      <c r="C829" s="33"/>
      <c r="D829" s="62"/>
      <c r="E829" s="121"/>
      <c r="F829" s="122" t="str">
        <f>IFERROR(IF($D829="","",VLOOKUP($D829,Cadastro!$C$4:$E$7,3,FALSE)),"")</f>
        <v/>
      </c>
      <c r="G829" s="114"/>
      <c r="H829" s="122" t="str">
        <f>IFERROR(IF($G829="","",$G829*$S$837/$G$837/Cadastro!$E$33),"")</f>
        <v/>
      </c>
      <c r="I829" s="129" t="str">
        <f>IFERROR(IF($D829="","",VLOOKUP($D829,Cadastro!$C$4:$G$7,5,FALSE)),"")</f>
        <v/>
      </c>
      <c r="J829" s="145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 x14ac:dyDescent="0.3">
      <c r="A830" s="68">
        <v>46265</v>
      </c>
      <c r="B830" s="25">
        <f t="shared" si="223"/>
        <v>1.0416666666666663</v>
      </c>
      <c r="C830" s="33"/>
      <c r="D830" s="62"/>
      <c r="E830" s="121"/>
      <c r="F830" s="122" t="str">
        <f>IFERROR(IF($D830="","",VLOOKUP($D830,Cadastro!$C$4:$E$7,3,FALSE)),"")</f>
        <v/>
      </c>
      <c r="G830" s="114"/>
      <c r="H830" s="122" t="str">
        <f>IFERROR(IF($G830="","",$G830*$S$837/$G$837/Cadastro!$E$33),"")</f>
        <v/>
      </c>
      <c r="I830" s="129" t="str">
        <f>IFERROR(IF($D830="","",VLOOKUP($D830,Cadastro!$C$4:$G$7,5,FALSE)),"")</f>
        <v/>
      </c>
      <c r="J830" s="145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 x14ac:dyDescent="0.3">
      <c r="A831" s="69">
        <v>46265</v>
      </c>
      <c r="B831" s="32">
        <f t="shared" si="223"/>
        <v>1.083333333333333</v>
      </c>
      <c r="C831" s="33"/>
      <c r="D831" s="62"/>
      <c r="E831" s="121"/>
      <c r="F831" s="122" t="str">
        <f>IFERROR(IF($D831="","",VLOOKUP($D831,Cadastro!$C$4:$E$7,3,FALSE)),"")</f>
        <v/>
      </c>
      <c r="G831" s="114"/>
      <c r="H831" s="122" t="str">
        <f>IFERROR(IF($G831="","",$G831*$S$837/$G$837/Cadastro!$E$33),"")</f>
        <v/>
      </c>
      <c r="I831" s="129" t="str">
        <f>IFERROR(IF($D831="","",VLOOKUP($D831,Cadastro!$C$4:$G$7,5,FALSE)),"")</f>
        <v/>
      </c>
      <c r="J831" s="145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 x14ac:dyDescent="0.3">
      <c r="A832" s="68">
        <v>46265</v>
      </c>
      <c r="B832" s="25">
        <f t="shared" si="223"/>
        <v>1.1249999999999998</v>
      </c>
      <c r="C832" s="33"/>
      <c r="D832" s="62"/>
      <c r="E832" s="121"/>
      <c r="F832" s="122" t="str">
        <f>IFERROR(IF($D832="","",VLOOKUP($D832,Cadastro!$C$4:$E$7,3,FALSE)),"")</f>
        <v/>
      </c>
      <c r="G832" s="114"/>
      <c r="H832" s="122" t="str">
        <f>IFERROR(IF($G832="","",$G832*$S$837/$G$837/Cadastro!$E$33),"")</f>
        <v/>
      </c>
      <c r="I832" s="129" t="str">
        <f>IFERROR(IF($D832="","",VLOOKUP($D832,Cadastro!$C$4:$G$7,5,FALSE)),"")</f>
        <v/>
      </c>
      <c r="J832" s="145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 x14ac:dyDescent="0.3">
      <c r="A833" s="69">
        <v>46265</v>
      </c>
      <c r="B833" s="32">
        <f t="shared" si="223"/>
        <v>1.1666666666666665</v>
      </c>
      <c r="C833" s="33"/>
      <c r="D833" s="62"/>
      <c r="E833" s="121"/>
      <c r="F833" s="122" t="str">
        <f>IFERROR(IF($D833="","",VLOOKUP($D833,Cadastro!$C$4:$E$7,3,FALSE)),"")</f>
        <v/>
      </c>
      <c r="G833" s="114"/>
      <c r="H833" s="122" t="str">
        <f>IFERROR(IF($G833="","",$G833*$S$837/$G$837/Cadastro!$E$33),"")</f>
        <v/>
      </c>
      <c r="I833" s="129" t="str">
        <f>IFERROR(IF($D833="","",VLOOKUP($D833,Cadastro!$C$4:$G$7,5,FALSE)),"")</f>
        <v/>
      </c>
      <c r="J833" s="145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 x14ac:dyDescent="0.3">
      <c r="A834" s="68">
        <v>46265</v>
      </c>
      <c r="B834" s="25">
        <f t="shared" si="223"/>
        <v>1.2083333333333333</v>
      </c>
      <c r="C834" s="33"/>
      <c r="D834" s="62"/>
      <c r="E834" s="121"/>
      <c r="F834" s="122" t="str">
        <f>IFERROR(IF($D834="","",VLOOKUP($D834,Cadastro!$C$4:$E$7,3,FALSE)),"")</f>
        <v/>
      </c>
      <c r="G834" s="114"/>
      <c r="H834" s="122" t="str">
        <f>IFERROR(IF($G834="","",$G834*$S$837/$G$837/Cadastro!$E$33),"")</f>
        <v/>
      </c>
      <c r="I834" s="129" t="str">
        <f>IFERROR(IF($D834="","",VLOOKUP($D834,Cadastro!$C$4:$G$7,5,FALSE)),"")</f>
        <v/>
      </c>
      <c r="J834" s="145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 x14ac:dyDescent="0.3">
      <c r="A835" s="69">
        <v>46265</v>
      </c>
      <c r="B835" s="32">
        <f t="shared" si="223"/>
        <v>1.25</v>
      </c>
      <c r="C835" s="33"/>
      <c r="D835" s="62"/>
      <c r="E835" s="121"/>
      <c r="F835" s="122" t="str">
        <f>IFERROR(IF($D835="","",VLOOKUP($D835,Cadastro!$C$4:$E$7,3,FALSE)),"")</f>
        <v/>
      </c>
      <c r="G835" s="114"/>
      <c r="H835" s="122" t="str">
        <f>IFERROR(IF($G835="","",$G835*$S$837/$G$837/Cadastro!$E$33),"")</f>
        <v/>
      </c>
      <c r="I835" s="129" t="str">
        <f>IFERROR(IF($D835="","",VLOOKUP($D835,Cadastro!$C$4:$G$7,5,FALSE)),"")</f>
        <v/>
      </c>
      <c r="J835" s="145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 x14ac:dyDescent="0.35">
      <c r="A836" s="68">
        <v>46265</v>
      </c>
      <c r="B836" s="25">
        <f t="shared" si="223"/>
        <v>1.2916666666666667</v>
      </c>
      <c r="C836" s="33"/>
      <c r="D836" s="62"/>
      <c r="E836" s="121"/>
      <c r="F836" s="118" t="str">
        <f>IFERROR(IF($D836="","",VLOOKUP($D836,Cadastro!$C$4:$E$7,3,FALSE)),"")</f>
        <v/>
      </c>
      <c r="G836" s="114"/>
      <c r="H836" s="118" t="str">
        <f>IFERROR(IF($G836="","",$G836*$S$837/$G$837/Cadastro!$E$33),"")</f>
        <v/>
      </c>
      <c r="I836" s="130" t="str">
        <f>IFERROR(IF($D836="","",VLOOKUP($D836,Cadastro!$C$4:$G$7,5,FALSE)),"")</f>
        <v/>
      </c>
      <c r="J836" s="146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 x14ac:dyDescent="0.35">
      <c r="A837" s="168" t="s">
        <v>234</v>
      </c>
      <c r="B837" s="169"/>
      <c r="C837" s="169"/>
      <c r="D837" s="169"/>
      <c r="E837" s="169">
        <f>SUM(E825:E836)</f>
        <v>0</v>
      </c>
      <c r="F837" s="124"/>
      <c r="G837" s="88">
        <f>SUM(G825:G836)</f>
        <v>0</v>
      </c>
      <c r="H837" s="124">
        <f>IFERROR(SUM(H825:H836),"")</f>
        <v>0</v>
      </c>
      <c r="I837" s="133"/>
      <c r="J837" s="149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232</v>
      </c>
      <c r="S837" s="39"/>
      <c r="T837" s="141">
        <f>IFERROR(J837,"")</f>
        <v>0</v>
      </c>
    </row>
    <row r="838" spans="1:20" ht="18" customHeight="1" x14ac:dyDescent="0.3">
      <c r="A838" s="165" t="s">
        <v>235</v>
      </c>
      <c r="B838" s="166"/>
      <c r="C838" s="166"/>
      <c r="D838" s="166"/>
      <c r="E838" s="166">
        <f>E824+E837</f>
        <v>0</v>
      </c>
      <c r="F838" s="125"/>
      <c r="G838" s="100">
        <f>G824+G837</f>
        <v>0</v>
      </c>
      <c r="H838" s="125">
        <f>IFERROR(H824+H837,"")</f>
        <v>0</v>
      </c>
      <c r="I838" s="134"/>
      <c r="J838" s="150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236</v>
      </c>
      <c r="S838" s="43">
        <f>IFERROR(S824+S837,"")</f>
        <v>0</v>
      </c>
      <c r="T838" s="142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0" activePane="bottomLeft" state="frozen"/>
      <selection pane="bottomLeft" activeCell="N324" sqref="N324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664062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3320312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6640625" hidden="1" customWidth="1"/>
  </cols>
  <sheetData>
    <row r="1" spans="1:20" ht="37.5" customHeight="1" x14ac:dyDescent="0.3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117" t="s">
        <v>319</v>
      </c>
      <c r="G1" s="23" t="s">
        <v>222</v>
      </c>
      <c r="H1" s="117" t="s">
        <v>321</v>
      </c>
      <c r="I1" s="117" t="s">
        <v>320</v>
      </c>
      <c r="J1" s="117" t="s">
        <v>323</v>
      </c>
      <c r="K1" s="23" t="s">
        <v>223</v>
      </c>
      <c r="L1" s="23" t="s">
        <v>14</v>
      </c>
      <c r="M1" s="23" t="s">
        <v>15</v>
      </c>
      <c r="N1" s="23" t="s">
        <v>224</v>
      </c>
      <c r="O1" s="23" t="s">
        <v>225</v>
      </c>
      <c r="P1" s="23" t="s">
        <v>226</v>
      </c>
      <c r="Q1" s="24" t="s">
        <v>227</v>
      </c>
      <c r="R1" s="23" t="s">
        <v>228</v>
      </c>
      <c r="S1" s="23" t="s">
        <v>229</v>
      </c>
      <c r="T1" s="23" t="s">
        <v>323</v>
      </c>
    </row>
    <row r="2" spans="1:20" ht="15" customHeight="1" x14ac:dyDescent="0.3">
      <c r="A2" s="68">
        <v>46235</v>
      </c>
      <c r="B2" s="25">
        <v>0.33333333333333298</v>
      </c>
      <c r="C2" s="26" t="s">
        <v>42</v>
      </c>
      <c r="D2" s="59" t="s">
        <v>317</v>
      </c>
      <c r="E2" s="120" t="s">
        <v>246</v>
      </c>
      <c r="F2" s="122"/>
      <c r="G2" s="114">
        <v>0</v>
      </c>
      <c r="H2" s="122"/>
      <c r="I2" s="129"/>
      <c r="J2" s="145"/>
      <c r="K2" s="28">
        <f t="shared" ref="K2:K13" si="0">IF(G2="","",IF(E2="PC 17",G2*4.2,IF(E2="PC 19",G2*5,IF(E2="CB",G2*24,""))))</f>
        <v>0</v>
      </c>
      <c r="L2" s="26" t="s">
        <v>19</v>
      </c>
      <c r="M2" s="26" t="s">
        <v>48</v>
      </c>
      <c r="N2" s="26" t="s">
        <v>26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42</v>
      </c>
      <c r="D3" s="59" t="s">
        <v>317</v>
      </c>
      <c r="E3" s="120" t="s">
        <v>246</v>
      </c>
      <c r="F3" s="122"/>
      <c r="G3" s="114">
        <v>4</v>
      </c>
      <c r="H3" s="122"/>
      <c r="I3" s="129"/>
      <c r="J3" s="145"/>
      <c r="K3" s="34">
        <f t="shared" si="0"/>
        <v>16.8</v>
      </c>
      <c r="L3" s="33" t="s">
        <v>20</v>
      </c>
      <c r="M3" s="33" t="s">
        <v>53</v>
      </c>
      <c r="N3" s="33" t="s">
        <v>27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8">
        <v>46235</v>
      </c>
      <c r="B4" s="25">
        <f t="shared" si="2"/>
        <v>0.41666666666666635</v>
      </c>
      <c r="C4" s="26" t="s">
        <v>42</v>
      </c>
      <c r="D4" s="59" t="s">
        <v>317</v>
      </c>
      <c r="E4" s="120" t="s">
        <v>246</v>
      </c>
      <c r="F4" s="122"/>
      <c r="G4" s="114">
        <v>18</v>
      </c>
      <c r="H4" s="122"/>
      <c r="I4" s="129"/>
      <c r="J4" s="145"/>
      <c r="K4" s="28">
        <f t="shared" si="0"/>
        <v>75.600000000000009</v>
      </c>
      <c r="L4" s="26" t="s">
        <v>20</v>
      </c>
      <c r="M4" s="26" t="s">
        <v>53</v>
      </c>
      <c r="N4" s="26" t="s">
        <v>27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9">
        <v>46235</v>
      </c>
      <c r="B5" s="32">
        <f t="shared" si="2"/>
        <v>0.45833333333333304</v>
      </c>
      <c r="C5" s="26" t="s">
        <v>42</v>
      </c>
      <c r="D5" s="59" t="s">
        <v>317</v>
      </c>
      <c r="E5" s="120" t="s">
        <v>246</v>
      </c>
      <c r="F5" s="122"/>
      <c r="G5" s="114">
        <v>16</v>
      </c>
      <c r="H5" s="122"/>
      <c r="I5" s="129"/>
      <c r="J5" s="145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8">
        <v>46235</v>
      </c>
      <c r="B6" s="25">
        <f t="shared" si="2"/>
        <v>0.49999999999999972</v>
      </c>
      <c r="C6" s="26" t="s">
        <v>42</v>
      </c>
      <c r="D6" s="59" t="s">
        <v>317</v>
      </c>
      <c r="E6" s="120" t="s">
        <v>246</v>
      </c>
      <c r="F6" s="122"/>
      <c r="G6" s="114">
        <v>16</v>
      </c>
      <c r="H6" s="122"/>
      <c r="I6" s="129"/>
      <c r="J6" s="145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9">
        <v>46235</v>
      </c>
      <c r="B7" s="32">
        <f t="shared" si="2"/>
        <v>0.54166666666666641</v>
      </c>
      <c r="C7" s="26" t="s">
        <v>42</v>
      </c>
      <c r="D7" s="59" t="s">
        <v>317</v>
      </c>
      <c r="E7" s="120" t="s">
        <v>246</v>
      </c>
      <c r="F7" s="122"/>
      <c r="G7" s="114">
        <v>7</v>
      </c>
      <c r="H7" s="122"/>
      <c r="I7" s="129"/>
      <c r="J7" s="145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8">
        <v>46235</v>
      </c>
      <c r="B8" s="25">
        <f t="shared" si="2"/>
        <v>0.58333333333333304</v>
      </c>
      <c r="C8" s="26" t="s">
        <v>42</v>
      </c>
      <c r="D8" s="59" t="s">
        <v>317</v>
      </c>
      <c r="E8" s="120" t="s">
        <v>246</v>
      </c>
      <c r="F8" s="122"/>
      <c r="G8" s="114">
        <v>10</v>
      </c>
      <c r="H8" s="122"/>
      <c r="I8" s="129"/>
      <c r="J8" s="145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9">
        <v>46235</v>
      </c>
      <c r="B9" s="32">
        <f t="shared" si="2"/>
        <v>0.62499999999999967</v>
      </c>
      <c r="C9" s="26" t="s">
        <v>42</v>
      </c>
      <c r="D9" s="59" t="s">
        <v>317</v>
      </c>
      <c r="E9" s="120" t="s">
        <v>246</v>
      </c>
      <c r="F9" s="122"/>
      <c r="G9" s="114">
        <v>15</v>
      </c>
      <c r="H9" s="122"/>
      <c r="I9" s="129"/>
      <c r="J9" s="145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8">
        <v>46235</v>
      </c>
      <c r="B10" s="25">
        <f t="shared" si="2"/>
        <v>0.6666666666666663</v>
      </c>
      <c r="C10" s="26" t="s">
        <v>42</v>
      </c>
      <c r="D10" s="59" t="s">
        <v>317</v>
      </c>
      <c r="E10" s="120" t="s">
        <v>246</v>
      </c>
      <c r="F10" s="122"/>
      <c r="G10" s="114">
        <v>12</v>
      </c>
      <c r="H10" s="122"/>
      <c r="I10" s="129"/>
      <c r="J10" s="145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9">
        <v>46235</v>
      </c>
      <c r="B11" s="32">
        <f t="shared" si="2"/>
        <v>0.70833333333333293</v>
      </c>
      <c r="C11" s="26" t="s">
        <v>42</v>
      </c>
      <c r="D11" s="59" t="s">
        <v>317</v>
      </c>
      <c r="E11" s="120" t="s">
        <v>246</v>
      </c>
      <c r="F11" s="122"/>
      <c r="G11" s="114">
        <v>10</v>
      </c>
      <c r="H11" s="122"/>
      <c r="I11" s="129"/>
      <c r="J11" s="145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8">
        <v>46235</v>
      </c>
      <c r="B12" s="25">
        <f t="shared" si="2"/>
        <v>0.74999999999999956</v>
      </c>
      <c r="C12" s="26" t="s">
        <v>42</v>
      </c>
      <c r="D12" s="59" t="s">
        <v>317</v>
      </c>
      <c r="E12" s="120" t="s">
        <v>246</v>
      </c>
      <c r="F12" s="122"/>
      <c r="G12" s="114">
        <v>16</v>
      </c>
      <c r="H12" s="122"/>
      <c r="I12" s="129"/>
      <c r="J12" s="145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9">
        <v>46235</v>
      </c>
      <c r="B13" s="32">
        <f t="shared" si="2"/>
        <v>0.79166666666666619</v>
      </c>
      <c r="C13" s="26" t="s">
        <v>42</v>
      </c>
      <c r="D13" s="59" t="s">
        <v>317</v>
      </c>
      <c r="E13" s="120" t="s">
        <v>246</v>
      </c>
      <c r="F13" s="118"/>
      <c r="G13" s="114">
        <v>6</v>
      </c>
      <c r="H13" s="118"/>
      <c r="I13" s="130"/>
      <c r="J13" s="146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68" t="s">
        <v>231</v>
      </c>
      <c r="B14" s="169"/>
      <c r="C14" s="169"/>
      <c r="D14" s="169"/>
      <c r="E14" s="169"/>
      <c r="F14" s="123"/>
      <c r="G14" s="88">
        <f>SUM(G2:G13)</f>
        <v>130</v>
      </c>
      <c r="H14" s="123"/>
      <c r="I14" s="131"/>
      <c r="J14" s="147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232</v>
      </c>
      <c r="S14" s="39">
        <v>561420</v>
      </c>
      <c r="T14" s="141">
        <f>IFERROR(J14,"")</f>
        <v>0</v>
      </c>
    </row>
    <row r="15" spans="1:20" ht="15" customHeight="1" x14ac:dyDescent="0.3">
      <c r="A15" s="69">
        <v>46235</v>
      </c>
      <c r="B15" s="32">
        <v>0.83333333333333304</v>
      </c>
      <c r="C15" s="33" t="s">
        <v>28</v>
      </c>
      <c r="D15" s="62" t="s">
        <v>317</v>
      </c>
      <c r="E15" s="121" t="s">
        <v>246</v>
      </c>
      <c r="F15" s="119"/>
      <c r="G15" s="114">
        <v>10</v>
      </c>
      <c r="H15" s="119"/>
      <c r="I15" s="132"/>
      <c r="J15" s="148"/>
      <c r="K15" s="34">
        <f t="shared" ref="K15:K26" si="3">IF(G15="","",IF(E15="PC 17",G15*4.2,IF(E15="PC 19",G15*5,IF(E15="CB",G15*24,""))))</f>
        <v>42</v>
      </c>
      <c r="L15" s="33" t="s">
        <v>20</v>
      </c>
      <c r="M15" s="33" t="s">
        <v>48</v>
      </c>
      <c r="N15" s="33" t="s">
        <v>58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28</v>
      </c>
      <c r="D16" s="62" t="s">
        <v>317</v>
      </c>
      <c r="E16" s="121" t="s">
        <v>246</v>
      </c>
      <c r="F16" s="122"/>
      <c r="G16" s="114">
        <v>13</v>
      </c>
      <c r="H16" s="122"/>
      <c r="I16" s="129"/>
      <c r="J16" s="145"/>
      <c r="K16" s="28">
        <f t="shared" si="3"/>
        <v>54.6</v>
      </c>
      <c r="L16" s="26" t="s">
        <v>19</v>
      </c>
      <c r="M16" s="26" t="s">
        <v>53</v>
      </c>
      <c r="N16" s="26" t="s">
        <v>26</v>
      </c>
      <c r="O16" s="29">
        <v>0.80694444444444446</v>
      </c>
      <c r="P16" s="29">
        <v>0.8208333333333333</v>
      </c>
      <c r="Q16" s="77">
        <f ca="1">IFERROR(IF(O16="","",IF(P16="",MOD(NOW()-O16,1),IF(P16&gt;=O16,P16-O16,P16+1-O16))),"")</f>
        <v>1.388888888888884E-2</v>
      </c>
      <c r="R16" s="27" t="s">
        <v>291</v>
      </c>
      <c r="S16" s="60"/>
    </row>
    <row r="17" spans="1:20" ht="15" customHeight="1" x14ac:dyDescent="0.3">
      <c r="A17" s="69">
        <v>46235</v>
      </c>
      <c r="B17" s="32">
        <f t="shared" si="5"/>
        <v>0.9166666666666663</v>
      </c>
      <c r="C17" s="33" t="s">
        <v>28</v>
      </c>
      <c r="D17" s="62" t="s">
        <v>317</v>
      </c>
      <c r="E17" s="121" t="s">
        <v>246</v>
      </c>
      <c r="F17" s="122"/>
      <c r="G17" s="114">
        <v>10</v>
      </c>
      <c r="H17" s="122"/>
      <c r="I17" s="129"/>
      <c r="J17" s="145"/>
      <c r="K17" s="34">
        <f t="shared" si="3"/>
        <v>42</v>
      </c>
      <c r="L17" s="33" t="s">
        <v>19</v>
      </c>
      <c r="M17" s="33" t="s">
        <v>48</v>
      </c>
      <c r="N17" s="33" t="s">
        <v>26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256</v>
      </c>
      <c r="S17" s="60"/>
    </row>
    <row r="18" spans="1:20" ht="15" customHeight="1" x14ac:dyDescent="0.3">
      <c r="A18" s="68">
        <v>46235</v>
      </c>
      <c r="B18" s="25">
        <f t="shared" si="5"/>
        <v>0.95833333333333293</v>
      </c>
      <c r="C18" s="33" t="s">
        <v>28</v>
      </c>
      <c r="D18" s="62" t="s">
        <v>317</v>
      </c>
      <c r="E18" s="121" t="s">
        <v>246</v>
      </c>
      <c r="F18" s="122"/>
      <c r="G18" s="114">
        <v>16</v>
      </c>
      <c r="H18" s="122"/>
      <c r="I18" s="129"/>
      <c r="J18" s="145"/>
      <c r="K18" s="28">
        <f t="shared" si="3"/>
        <v>67.2</v>
      </c>
      <c r="L18" s="26" t="s">
        <v>18</v>
      </c>
      <c r="M18" s="26" t="s">
        <v>48</v>
      </c>
      <c r="N18" s="26" t="s">
        <v>126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275</v>
      </c>
      <c r="S18" s="60"/>
    </row>
    <row r="19" spans="1:20" ht="15" customHeight="1" x14ac:dyDescent="0.3">
      <c r="A19" s="69">
        <v>46235</v>
      </c>
      <c r="B19" s="32">
        <f t="shared" si="5"/>
        <v>0.99999999999999956</v>
      </c>
      <c r="C19" s="33" t="s">
        <v>28</v>
      </c>
      <c r="D19" s="62" t="s">
        <v>317</v>
      </c>
      <c r="E19" s="121" t="s">
        <v>246</v>
      </c>
      <c r="F19" s="122"/>
      <c r="G19" s="114">
        <v>15</v>
      </c>
      <c r="H19" s="122"/>
      <c r="I19" s="129"/>
      <c r="J19" s="145"/>
      <c r="K19" s="34">
        <f t="shared" si="3"/>
        <v>63</v>
      </c>
      <c r="L19" s="33" t="s">
        <v>18</v>
      </c>
      <c r="M19" s="33" t="s">
        <v>48</v>
      </c>
      <c r="N19" s="33" t="s">
        <v>126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292</v>
      </c>
      <c r="S19" s="60"/>
    </row>
    <row r="20" spans="1:20" ht="15" customHeight="1" x14ac:dyDescent="0.3">
      <c r="A20" s="68">
        <v>46235</v>
      </c>
      <c r="B20" s="25">
        <f t="shared" si="5"/>
        <v>1.0416666666666663</v>
      </c>
      <c r="C20" s="33" t="s">
        <v>28</v>
      </c>
      <c r="D20" s="62" t="s">
        <v>317</v>
      </c>
      <c r="E20" s="121" t="s">
        <v>246</v>
      </c>
      <c r="F20" s="122"/>
      <c r="G20" s="114">
        <v>12</v>
      </c>
      <c r="H20" s="122"/>
      <c r="I20" s="129"/>
      <c r="J20" s="145"/>
      <c r="K20" s="28">
        <f t="shared" si="3"/>
        <v>50.400000000000006</v>
      </c>
      <c r="L20" s="26" t="s">
        <v>20</v>
      </c>
      <c r="M20" s="26" t="s">
        <v>53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9">
        <v>46235</v>
      </c>
      <c r="B21" s="32">
        <f t="shared" si="5"/>
        <v>1.083333333333333</v>
      </c>
      <c r="C21" s="33" t="s">
        <v>28</v>
      </c>
      <c r="D21" s="62" t="s">
        <v>317</v>
      </c>
      <c r="E21" s="121" t="s">
        <v>246</v>
      </c>
      <c r="F21" s="122"/>
      <c r="G21" s="114">
        <v>17</v>
      </c>
      <c r="H21" s="122"/>
      <c r="I21" s="129"/>
      <c r="J21" s="145"/>
      <c r="K21" s="34">
        <f t="shared" si="3"/>
        <v>71.400000000000006</v>
      </c>
      <c r="L21" s="33" t="s">
        <v>20</v>
      </c>
      <c r="M21" s="33" t="s">
        <v>53</v>
      </c>
      <c r="N21" s="33" t="s">
        <v>58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8">
        <v>46235</v>
      </c>
      <c r="B22" s="25">
        <f t="shared" si="5"/>
        <v>1.1249999999999998</v>
      </c>
      <c r="C22" s="33" t="s">
        <v>28</v>
      </c>
      <c r="D22" s="62" t="s">
        <v>317</v>
      </c>
      <c r="E22" s="121" t="s">
        <v>246</v>
      </c>
      <c r="F22" s="122"/>
      <c r="G22" s="114">
        <v>15</v>
      </c>
      <c r="H22" s="122"/>
      <c r="I22" s="129"/>
      <c r="J22" s="145"/>
      <c r="K22" s="28">
        <f t="shared" si="3"/>
        <v>63</v>
      </c>
      <c r="L22" s="26" t="s">
        <v>20</v>
      </c>
      <c r="M22" s="26"/>
      <c r="N22" s="26" t="s">
        <v>157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293</v>
      </c>
      <c r="S22" s="60"/>
    </row>
    <row r="23" spans="1:20" ht="15" customHeight="1" x14ac:dyDescent="0.3">
      <c r="A23" s="69">
        <v>46235</v>
      </c>
      <c r="B23" s="32">
        <f t="shared" si="5"/>
        <v>1.1666666666666665</v>
      </c>
      <c r="C23" s="33" t="s">
        <v>28</v>
      </c>
      <c r="D23" s="62" t="s">
        <v>317</v>
      </c>
      <c r="E23" s="121" t="s">
        <v>246</v>
      </c>
      <c r="F23" s="122"/>
      <c r="G23" s="114">
        <v>10</v>
      </c>
      <c r="H23" s="122"/>
      <c r="I23" s="129"/>
      <c r="J23" s="145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8">
        <v>46235</v>
      </c>
      <c r="B24" s="25">
        <f t="shared" si="5"/>
        <v>1.2083333333333333</v>
      </c>
      <c r="C24" s="33" t="s">
        <v>28</v>
      </c>
      <c r="D24" s="62" t="s">
        <v>317</v>
      </c>
      <c r="E24" s="121" t="s">
        <v>246</v>
      </c>
      <c r="F24" s="122"/>
      <c r="G24" s="114">
        <v>0</v>
      </c>
      <c r="H24" s="122"/>
      <c r="I24" s="129"/>
      <c r="J24" s="145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9">
        <v>46235</v>
      </c>
      <c r="B25" s="32">
        <f t="shared" si="5"/>
        <v>1.25</v>
      </c>
      <c r="C25" s="33" t="s">
        <v>28</v>
      </c>
      <c r="D25" s="62" t="s">
        <v>317</v>
      </c>
      <c r="E25" s="121" t="s">
        <v>246</v>
      </c>
      <c r="F25" s="122"/>
      <c r="G25" s="114">
        <v>10</v>
      </c>
      <c r="H25" s="122"/>
      <c r="I25" s="129"/>
      <c r="J25" s="145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8">
        <v>46235</v>
      </c>
      <c r="B26" s="25">
        <f t="shared" si="5"/>
        <v>1.2916666666666667</v>
      </c>
      <c r="C26" s="33" t="s">
        <v>28</v>
      </c>
      <c r="D26" s="62" t="s">
        <v>317</v>
      </c>
      <c r="E26" s="121" t="s">
        <v>246</v>
      </c>
      <c r="F26" s="118"/>
      <c r="G26" s="114">
        <v>10</v>
      </c>
      <c r="H26" s="118"/>
      <c r="I26" s="130"/>
      <c r="J26" s="146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68" t="s">
        <v>234</v>
      </c>
      <c r="B27" s="169"/>
      <c r="C27" s="169"/>
      <c r="D27" s="169"/>
      <c r="E27" s="169"/>
      <c r="F27" s="124"/>
      <c r="G27" s="88">
        <f>SUM(G15:G26)</f>
        <v>138</v>
      </c>
      <c r="H27" s="124"/>
      <c r="I27" s="133"/>
      <c r="J27" s="149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232</v>
      </c>
      <c r="S27" s="39">
        <v>491520</v>
      </c>
      <c r="T27" s="141">
        <f>IFERROR(J27,"")</f>
        <v>0</v>
      </c>
    </row>
    <row r="28" spans="1:20" ht="18" customHeight="1" x14ac:dyDescent="0.3">
      <c r="A28" s="165" t="s">
        <v>235</v>
      </c>
      <c r="B28" s="166"/>
      <c r="C28" s="166"/>
      <c r="D28" s="166"/>
      <c r="E28" s="166"/>
      <c r="F28" s="125"/>
      <c r="G28" s="100">
        <f>G14+G27</f>
        <v>268</v>
      </c>
      <c r="H28" s="125"/>
      <c r="I28" s="134"/>
      <c r="J28" s="150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236</v>
      </c>
      <c r="S28" s="48">
        <f>IFERROR(S14+S27,"")</f>
        <v>1052940</v>
      </c>
      <c r="T28" s="143">
        <f>IFERROR(J28,"")</f>
        <v>0</v>
      </c>
    </row>
    <row r="29" spans="1:20" ht="15" customHeight="1" x14ac:dyDescent="0.3">
      <c r="A29" s="68">
        <v>46236</v>
      </c>
      <c r="B29" s="25">
        <v>0.33333333333333298</v>
      </c>
      <c r="C29" s="26" t="s">
        <v>42</v>
      </c>
      <c r="D29" s="59" t="s">
        <v>317</v>
      </c>
      <c r="E29" s="120" t="s">
        <v>246</v>
      </c>
      <c r="F29" s="119"/>
      <c r="G29" s="114">
        <v>3</v>
      </c>
      <c r="H29" s="119"/>
      <c r="I29" s="132"/>
      <c r="J29" s="148"/>
      <c r="K29" s="28">
        <f t="shared" ref="K29:K40" si="6">IF(G29="","",IF(E29="PC 17",G29*4.2,IF(E29="PC 19",G29*5,IF(E29="CB",G29*24,""))))</f>
        <v>12.600000000000001</v>
      </c>
      <c r="L29" s="33" t="s">
        <v>19</v>
      </c>
      <c r="M29" s="33" t="s">
        <v>53</v>
      </c>
      <c r="N29" s="33" t="s">
        <v>26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42</v>
      </c>
      <c r="D30" s="59" t="s">
        <v>317</v>
      </c>
      <c r="E30" s="120" t="s">
        <v>246</v>
      </c>
      <c r="F30" s="122"/>
      <c r="G30" s="114">
        <v>13</v>
      </c>
      <c r="H30" s="122"/>
      <c r="I30" s="129"/>
      <c r="J30" s="145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8">
        <v>46236</v>
      </c>
      <c r="B31" s="25">
        <f t="shared" si="8"/>
        <v>0.41666666666666635</v>
      </c>
      <c r="C31" s="26" t="s">
        <v>42</v>
      </c>
      <c r="D31" s="59" t="s">
        <v>317</v>
      </c>
      <c r="E31" s="120" t="s">
        <v>246</v>
      </c>
      <c r="F31" s="122"/>
      <c r="G31" s="114">
        <v>15</v>
      </c>
      <c r="H31" s="122"/>
      <c r="I31" s="129"/>
      <c r="J31" s="145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9">
        <v>46236</v>
      </c>
      <c r="B32" s="32">
        <f t="shared" si="8"/>
        <v>0.45833333333333304</v>
      </c>
      <c r="C32" s="26" t="s">
        <v>42</v>
      </c>
      <c r="D32" s="59" t="s">
        <v>317</v>
      </c>
      <c r="E32" s="120" t="s">
        <v>246</v>
      </c>
      <c r="F32" s="122"/>
      <c r="G32" s="114">
        <v>9</v>
      </c>
      <c r="H32" s="122"/>
      <c r="I32" s="129"/>
      <c r="J32" s="145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8">
        <v>46236</v>
      </c>
      <c r="B33" s="25">
        <f t="shared" si="8"/>
        <v>0.49999999999999972</v>
      </c>
      <c r="C33" s="26" t="s">
        <v>42</v>
      </c>
      <c r="D33" s="59" t="s">
        <v>317</v>
      </c>
      <c r="E33" s="120" t="s">
        <v>246</v>
      </c>
      <c r="F33" s="122"/>
      <c r="G33" s="114">
        <v>12</v>
      </c>
      <c r="H33" s="122"/>
      <c r="I33" s="129"/>
      <c r="J33" s="145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9">
        <v>46236</v>
      </c>
      <c r="B34" s="32">
        <f t="shared" si="8"/>
        <v>0.54166666666666641</v>
      </c>
      <c r="C34" s="26" t="s">
        <v>42</v>
      </c>
      <c r="D34" s="59" t="s">
        <v>317</v>
      </c>
      <c r="E34" s="120" t="s">
        <v>246</v>
      </c>
      <c r="F34" s="122"/>
      <c r="G34" s="114">
        <v>22</v>
      </c>
      <c r="H34" s="122"/>
      <c r="I34" s="129"/>
      <c r="J34" s="145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8">
        <v>46236</v>
      </c>
      <c r="B35" s="25">
        <f t="shared" si="8"/>
        <v>0.58333333333333304</v>
      </c>
      <c r="C35" s="26" t="s">
        <v>42</v>
      </c>
      <c r="D35" s="59" t="s">
        <v>317</v>
      </c>
      <c r="E35" s="120" t="s">
        <v>246</v>
      </c>
      <c r="F35" s="122"/>
      <c r="G35" s="114">
        <v>17</v>
      </c>
      <c r="H35" s="122"/>
      <c r="I35" s="129"/>
      <c r="J35" s="145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9">
        <v>46236</v>
      </c>
      <c r="B36" s="32">
        <f t="shared" si="8"/>
        <v>0.62499999999999967</v>
      </c>
      <c r="C36" s="26" t="s">
        <v>42</v>
      </c>
      <c r="D36" s="59" t="s">
        <v>317</v>
      </c>
      <c r="E36" s="120" t="s">
        <v>246</v>
      </c>
      <c r="F36" s="122"/>
      <c r="G36" s="114">
        <v>20</v>
      </c>
      <c r="H36" s="122"/>
      <c r="I36" s="129"/>
      <c r="J36" s="145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8">
        <v>46236</v>
      </c>
      <c r="B37" s="25">
        <f t="shared" si="8"/>
        <v>0.6666666666666663</v>
      </c>
      <c r="C37" s="26" t="s">
        <v>42</v>
      </c>
      <c r="D37" s="59" t="s">
        <v>317</v>
      </c>
      <c r="E37" s="120" t="s">
        <v>246</v>
      </c>
      <c r="F37" s="122"/>
      <c r="G37" s="114">
        <v>5</v>
      </c>
      <c r="H37" s="122"/>
      <c r="I37" s="129"/>
      <c r="J37" s="145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9">
        <v>46236</v>
      </c>
      <c r="B38" s="32">
        <f t="shared" si="8"/>
        <v>0.70833333333333293</v>
      </c>
      <c r="C38" s="26" t="s">
        <v>42</v>
      </c>
      <c r="D38" s="59" t="s">
        <v>317</v>
      </c>
      <c r="E38" s="120" t="s">
        <v>246</v>
      </c>
      <c r="F38" s="122"/>
      <c r="G38" s="114">
        <v>17</v>
      </c>
      <c r="H38" s="122"/>
      <c r="I38" s="129"/>
      <c r="J38" s="145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8">
        <v>46236</v>
      </c>
      <c r="B39" s="25">
        <f t="shared" si="8"/>
        <v>0.74999999999999956</v>
      </c>
      <c r="C39" s="26" t="s">
        <v>42</v>
      </c>
      <c r="D39" s="59" t="s">
        <v>317</v>
      </c>
      <c r="E39" s="120" t="s">
        <v>246</v>
      </c>
      <c r="F39" s="122"/>
      <c r="G39" s="57">
        <v>8</v>
      </c>
      <c r="H39" s="122"/>
      <c r="I39" s="129"/>
      <c r="J39" s="145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9">
        <v>46236</v>
      </c>
      <c r="B40" s="32">
        <f t="shared" si="8"/>
        <v>0.79166666666666619</v>
      </c>
      <c r="C40" s="26" t="s">
        <v>42</v>
      </c>
      <c r="D40" s="59" t="s">
        <v>317</v>
      </c>
      <c r="E40" s="120" t="s">
        <v>246</v>
      </c>
      <c r="F40" s="118"/>
      <c r="G40" s="114">
        <v>0</v>
      </c>
      <c r="H40" s="118"/>
      <c r="I40" s="130"/>
      <c r="J40" s="146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68" t="s">
        <v>231</v>
      </c>
      <c r="B41" s="169"/>
      <c r="C41" s="169"/>
      <c r="D41" s="169"/>
      <c r="E41" s="169"/>
      <c r="F41" s="123"/>
      <c r="G41" s="88">
        <f>SUM(G29:G40)</f>
        <v>141</v>
      </c>
      <c r="H41" s="123"/>
      <c r="I41" s="131"/>
      <c r="J41" s="147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232</v>
      </c>
      <c r="S41" s="39">
        <v>766800</v>
      </c>
      <c r="T41" s="141">
        <f>IFERROR(J41,"")</f>
        <v>0</v>
      </c>
    </row>
    <row r="42" spans="1:20" ht="15" customHeight="1" x14ac:dyDescent="0.3">
      <c r="A42" s="69">
        <v>46236</v>
      </c>
      <c r="B42" s="32">
        <v>0.83333333333333304</v>
      </c>
      <c r="C42" s="33" t="s">
        <v>28</v>
      </c>
      <c r="D42" s="62" t="s">
        <v>315</v>
      </c>
      <c r="E42" s="121" t="s">
        <v>246</v>
      </c>
      <c r="F42" s="119"/>
      <c r="G42" s="114">
        <v>23</v>
      </c>
      <c r="H42" s="119"/>
      <c r="I42" s="132"/>
      <c r="J42" s="148"/>
      <c r="K42" s="34">
        <f t="shared" ref="K42:K53" si="9">IF(G42="","",IF(E42="PC 17",G42*4.2,IF(E42="PC 19",G42*5,IF(E42="CB",G42*24,""))))</f>
        <v>96.600000000000009</v>
      </c>
      <c r="L42" s="26" t="s">
        <v>20</v>
      </c>
      <c r="M42" s="26" t="s">
        <v>48</v>
      </c>
      <c r="N42" s="26" t="s">
        <v>47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28</v>
      </c>
      <c r="D43" s="62" t="s">
        <v>315</v>
      </c>
      <c r="E43" s="121" t="s">
        <v>246</v>
      </c>
      <c r="F43" s="122"/>
      <c r="G43" s="114">
        <v>8</v>
      </c>
      <c r="H43" s="122"/>
      <c r="I43" s="129"/>
      <c r="J43" s="145"/>
      <c r="K43" s="28">
        <f t="shared" si="9"/>
        <v>33.6</v>
      </c>
      <c r="L43" s="33" t="s">
        <v>20</v>
      </c>
      <c r="M43" s="33" t="s">
        <v>53</v>
      </c>
      <c r="N43" s="33" t="s">
        <v>47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9">
        <v>46236</v>
      </c>
      <c r="B44" s="32">
        <f t="shared" si="11"/>
        <v>0.9166666666666663</v>
      </c>
      <c r="C44" s="33" t="s">
        <v>28</v>
      </c>
      <c r="D44" s="62" t="s">
        <v>315</v>
      </c>
      <c r="E44" s="121" t="s">
        <v>246</v>
      </c>
      <c r="F44" s="122"/>
      <c r="G44" s="114">
        <v>8</v>
      </c>
      <c r="H44" s="122"/>
      <c r="I44" s="129"/>
      <c r="J44" s="145"/>
      <c r="K44" s="34">
        <f t="shared" si="9"/>
        <v>33.6</v>
      </c>
      <c r="L44" s="26" t="s">
        <v>19</v>
      </c>
      <c r="M44" s="26" t="s">
        <v>48</v>
      </c>
      <c r="N44" s="26" t="s">
        <v>26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8">
        <v>46236</v>
      </c>
      <c r="B45" s="25">
        <f t="shared" si="11"/>
        <v>0.95833333333333293</v>
      </c>
      <c r="C45" s="33" t="s">
        <v>28</v>
      </c>
      <c r="D45" s="62" t="s">
        <v>315</v>
      </c>
      <c r="E45" s="121" t="s">
        <v>246</v>
      </c>
      <c r="F45" s="122"/>
      <c r="G45" s="114">
        <v>3</v>
      </c>
      <c r="H45" s="122"/>
      <c r="I45" s="129"/>
      <c r="J45" s="145"/>
      <c r="K45" s="28">
        <f t="shared" si="9"/>
        <v>12.600000000000001</v>
      </c>
      <c r="L45" s="33" t="s">
        <v>20</v>
      </c>
      <c r="M45" s="33" t="s">
        <v>53</v>
      </c>
      <c r="N45" s="33" t="s">
        <v>58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294</v>
      </c>
      <c r="S45" s="60"/>
    </row>
    <row r="46" spans="1:20" ht="15" customHeight="1" x14ac:dyDescent="0.3">
      <c r="A46" s="69">
        <v>46236</v>
      </c>
      <c r="B46" s="32">
        <f t="shared" si="11"/>
        <v>0.99999999999999956</v>
      </c>
      <c r="C46" s="33" t="s">
        <v>28</v>
      </c>
      <c r="D46" s="62" t="s">
        <v>315</v>
      </c>
      <c r="E46" s="121" t="s">
        <v>246</v>
      </c>
      <c r="F46" s="122"/>
      <c r="G46" s="114">
        <v>8</v>
      </c>
      <c r="H46" s="122"/>
      <c r="I46" s="129"/>
      <c r="J46" s="145"/>
      <c r="K46" s="34">
        <f t="shared" si="9"/>
        <v>33.6</v>
      </c>
      <c r="L46" s="26" t="s">
        <v>20</v>
      </c>
      <c r="M46" s="26" t="s">
        <v>53</v>
      </c>
      <c r="N46" s="26" t="s">
        <v>34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8">
        <v>46236</v>
      </c>
      <c r="B47" s="25">
        <f t="shared" si="11"/>
        <v>1.0416666666666663</v>
      </c>
      <c r="C47" s="33" t="s">
        <v>28</v>
      </c>
      <c r="D47" s="62" t="s">
        <v>315</v>
      </c>
      <c r="E47" s="121" t="s">
        <v>246</v>
      </c>
      <c r="F47" s="122"/>
      <c r="G47" s="114">
        <v>11</v>
      </c>
      <c r="H47" s="122"/>
      <c r="I47" s="129"/>
      <c r="J47" s="145"/>
      <c r="K47" s="28">
        <f t="shared" si="9"/>
        <v>46.2</v>
      </c>
      <c r="L47" s="33" t="s">
        <v>19</v>
      </c>
      <c r="M47" s="33" t="s">
        <v>53</v>
      </c>
      <c r="N47" s="33" t="s">
        <v>26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9">
        <v>46236</v>
      </c>
      <c r="B48" s="32">
        <f t="shared" si="11"/>
        <v>1.083333333333333</v>
      </c>
      <c r="C48" s="33" t="s">
        <v>28</v>
      </c>
      <c r="D48" s="62" t="s">
        <v>315</v>
      </c>
      <c r="E48" s="121" t="s">
        <v>246</v>
      </c>
      <c r="F48" s="122"/>
      <c r="G48" s="114">
        <v>17</v>
      </c>
      <c r="H48" s="122"/>
      <c r="I48" s="129"/>
      <c r="J48" s="145"/>
      <c r="K48" s="34">
        <f t="shared" si="9"/>
        <v>71.400000000000006</v>
      </c>
      <c r="L48" s="26" t="s">
        <v>20</v>
      </c>
      <c r="M48" s="26" t="s">
        <v>53</v>
      </c>
      <c r="N48" s="26" t="s">
        <v>27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8">
        <v>46236</v>
      </c>
      <c r="B49" s="25">
        <f t="shared" si="11"/>
        <v>1.1249999999999998</v>
      </c>
      <c r="C49" s="33" t="s">
        <v>28</v>
      </c>
      <c r="D49" s="62" t="s">
        <v>315</v>
      </c>
      <c r="E49" s="121" t="s">
        <v>246</v>
      </c>
      <c r="F49" s="122"/>
      <c r="G49" s="114">
        <v>20</v>
      </c>
      <c r="H49" s="122"/>
      <c r="I49" s="129"/>
      <c r="J49" s="145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9">
        <v>46236</v>
      </c>
      <c r="B50" s="32">
        <f t="shared" si="11"/>
        <v>1.1666666666666665</v>
      </c>
      <c r="C50" s="33" t="s">
        <v>28</v>
      </c>
      <c r="D50" s="62" t="s">
        <v>315</v>
      </c>
      <c r="E50" s="121" t="s">
        <v>246</v>
      </c>
      <c r="F50" s="122"/>
      <c r="G50" s="114">
        <v>12</v>
      </c>
      <c r="H50" s="122"/>
      <c r="I50" s="129"/>
      <c r="J50" s="145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8">
        <v>46236</v>
      </c>
      <c r="B51" s="25">
        <f t="shared" si="11"/>
        <v>1.2083333333333333</v>
      </c>
      <c r="C51" s="33" t="s">
        <v>28</v>
      </c>
      <c r="D51" s="62" t="s">
        <v>315</v>
      </c>
      <c r="E51" s="121" t="s">
        <v>246</v>
      </c>
      <c r="F51" s="122"/>
      <c r="G51" s="114">
        <v>0</v>
      </c>
      <c r="H51" s="122"/>
      <c r="I51" s="129"/>
      <c r="J51" s="145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9">
        <v>46236</v>
      </c>
      <c r="B52" s="32">
        <f t="shared" si="11"/>
        <v>1.25</v>
      </c>
      <c r="C52" s="33" t="s">
        <v>28</v>
      </c>
      <c r="D52" s="62" t="s">
        <v>315</v>
      </c>
      <c r="E52" s="121" t="s">
        <v>246</v>
      </c>
      <c r="F52" s="122"/>
      <c r="G52" s="114">
        <v>11</v>
      </c>
      <c r="H52" s="122"/>
      <c r="I52" s="129"/>
      <c r="J52" s="145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8">
        <v>46236</v>
      </c>
      <c r="B53" s="25">
        <f t="shared" si="11"/>
        <v>1.2916666666666667</v>
      </c>
      <c r="C53" s="33" t="s">
        <v>28</v>
      </c>
      <c r="D53" s="62" t="s">
        <v>315</v>
      </c>
      <c r="E53" s="121" t="s">
        <v>246</v>
      </c>
      <c r="F53" s="118"/>
      <c r="G53" s="114"/>
      <c r="H53" s="118"/>
      <c r="I53" s="130"/>
      <c r="J53" s="146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68" t="s">
        <v>234</v>
      </c>
      <c r="B54" s="169"/>
      <c r="C54" s="169"/>
      <c r="D54" s="169"/>
      <c r="E54" s="169">
        <f>SUM(E42:E53)</f>
        <v>0</v>
      </c>
      <c r="F54" s="124"/>
      <c r="G54" s="88">
        <f>SUM(G42:G53)</f>
        <v>121</v>
      </c>
      <c r="H54" s="124"/>
      <c r="I54" s="133"/>
      <c r="J54" s="149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232</v>
      </c>
      <c r="S54" s="39">
        <v>352430</v>
      </c>
      <c r="T54" s="141">
        <f>IFERROR(J54,"")</f>
        <v>0</v>
      </c>
    </row>
    <row r="55" spans="1:20" ht="18" customHeight="1" x14ac:dyDescent="0.3">
      <c r="A55" s="165" t="s">
        <v>235</v>
      </c>
      <c r="B55" s="166"/>
      <c r="C55" s="166"/>
      <c r="D55" s="166"/>
      <c r="E55" s="166">
        <f>E41+E54</f>
        <v>0</v>
      </c>
      <c r="F55" s="125"/>
      <c r="G55" s="100">
        <f>G41+G54</f>
        <v>262</v>
      </c>
      <c r="H55" s="125"/>
      <c r="I55" s="134"/>
      <c r="J55" s="150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236</v>
      </c>
      <c r="S55" s="48">
        <f>IFERROR(S41+S54,"")</f>
        <v>1119230</v>
      </c>
      <c r="T55" s="143">
        <f>IFERROR(J55,"")</f>
        <v>0</v>
      </c>
    </row>
    <row r="56" spans="1:20" ht="15" customHeight="1" x14ac:dyDescent="0.3">
      <c r="A56" s="68">
        <v>46237</v>
      </c>
      <c r="B56" s="25">
        <v>0.33333333333333298</v>
      </c>
      <c r="C56" s="26" t="s">
        <v>42</v>
      </c>
      <c r="D56" s="59" t="s">
        <v>317</v>
      </c>
      <c r="E56" s="120" t="s">
        <v>246</v>
      </c>
      <c r="F56" s="119"/>
      <c r="G56" s="114">
        <v>18</v>
      </c>
      <c r="H56" s="119"/>
      <c r="I56" s="132"/>
      <c r="J56" s="148"/>
      <c r="K56" s="28">
        <f t="shared" ref="K56:K67" si="12">IF(G56="","",IF(E56="PC 17",G56*4.2,IF(E56="PC 19",G56*5,IF(E56="CB",G56*24,""))))</f>
        <v>75.600000000000009</v>
      </c>
      <c r="L56" s="26" t="s">
        <v>20</v>
      </c>
      <c r="M56" s="26" t="s">
        <v>53</v>
      </c>
      <c r="N56" s="33" t="s">
        <v>47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42</v>
      </c>
      <c r="D57" s="59" t="s">
        <v>317</v>
      </c>
      <c r="E57" s="120" t="s">
        <v>246</v>
      </c>
      <c r="F57" s="122"/>
      <c r="G57" s="114">
        <v>12</v>
      </c>
      <c r="H57" s="122"/>
      <c r="I57" s="129"/>
      <c r="J57" s="145"/>
      <c r="K57" s="34">
        <f t="shared" si="12"/>
        <v>50.400000000000006</v>
      </c>
      <c r="L57" s="33" t="s">
        <v>19</v>
      </c>
      <c r="M57" s="33" t="s">
        <v>48</v>
      </c>
      <c r="N57" s="33" t="s">
        <v>26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8">
        <v>46237</v>
      </c>
      <c r="B58" s="25">
        <f t="shared" si="14"/>
        <v>0.41666666666666635</v>
      </c>
      <c r="C58" s="26" t="s">
        <v>42</v>
      </c>
      <c r="D58" s="59" t="s">
        <v>318</v>
      </c>
      <c r="E58" s="120" t="s">
        <v>246</v>
      </c>
      <c r="F58" s="122"/>
      <c r="G58" s="114">
        <v>15</v>
      </c>
      <c r="H58" s="122"/>
      <c r="I58" s="129"/>
      <c r="J58" s="145"/>
      <c r="K58" s="28">
        <f t="shared" si="12"/>
        <v>63</v>
      </c>
      <c r="L58" s="26" t="s">
        <v>20</v>
      </c>
      <c r="M58" s="26" t="s">
        <v>53</v>
      </c>
      <c r="N58" s="26" t="s">
        <v>202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9">
        <v>46237</v>
      </c>
      <c r="B59" s="32">
        <f t="shared" si="14"/>
        <v>0.45833333333333304</v>
      </c>
      <c r="C59" s="26" t="s">
        <v>42</v>
      </c>
      <c r="D59" s="59" t="s">
        <v>317</v>
      </c>
      <c r="E59" s="120" t="s">
        <v>246</v>
      </c>
      <c r="F59" s="122"/>
      <c r="G59" s="114">
        <v>15</v>
      </c>
      <c r="H59" s="122"/>
      <c r="I59" s="129"/>
      <c r="J59" s="145"/>
      <c r="K59" s="34">
        <f t="shared" si="12"/>
        <v>63</v>
      </c>
      <c r="L59" s="33" t="s">
        <v>18</v>
      </c>
      <c r="M59" s="33" t="s">
        <v>48</v>
      </c>
      <c r="N59" s="33" t="s">
        <v>32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295</v>
      </c>
      <c r="S59" s="60"/>
    </row>
    <row r="60" spans="1:20" ht="15" customHeight="1" x14ac:dyDescent="0.3">
      <c r="A60" s="68">
        <v>46237</v>
      </c>
      <c r="B60" s="25">
        <f t="shared" si="14"/>
        <v>0.49999999999999972</v>
      </c>
      <c r="C60" s="26" t="s">
        <v>42</v>
      </c>
      <c r="D60" s="59" t="s">
        <v>317</v>
      </c>
      <c r="E60" s="120" t="s">
        <v>246</v>
      </c>
      <c r="F60" s="122"/>
      <c r="G60" s="114">
        <v>16</v>
      </c>
      <c r="H60" s="122"/>
      <c r="I60" s="129"/>
      <c r="J60" s="145"/>
      <c r="K60" s="28">
        <f t="shared" si="12"/>
        <v>67.2</v>
      </c>
      <c r="L60" s="26" t="s">
        <v>18</v>
      </c>
      <c r="M60" s="26" t="s">
        <v>48</v>
      </c>
      <c r="N60" s="26" t="s">
        <v>126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296</v>
      </c>
      <c r="S60" s="60"/>
    </row>
    <row r="61" spans="1:20" ht="15" customHeight="1" x14ac:dyDescent="0.3">
      <c r="A61" s="69">
        <v>46237</v>
      </c>
      <c r="B61" s="32">
        <f t="shared" si="14"/>
        <v>0.54166666666666641</v>
      </c>
      <c r="C61" s="26" t="s">
        <v>42</v>
      </c>
      <c r="D61" s="59" t="s">
        <v>317</v>
      </c>
      <c r="E61" s="120" t="s">
        <v>246</v>
      </c>
      <c r="F61" s="122"/>
      <c r="G61" s="114">
        <v>7</v>
      </c>
      <c r="H61" s="122"/>
      <c r="I61" s="129"/>
      <c r="J61" s="145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8">
        <v>46237</v>
      </c>
      <c r="B62" s="25">
        <f t="shared" si="14"/>
        <v>0.58333333333333304</v>
      </c>
      <c r="C62" s="26" t="s">
        <v>42</v>
      </c>
      <c r="D62" s="59" t="s">
        <v>317</v>
      </c>
      <c r="E62" s="120" t="s">
        <v>246</v>
      </c>
      <c r="F62" s="122"/>
      <c r="G62" s="114">
        <v>15</v>
      </c>
      <c r="H62" s="122"/>
      <c r="I62" s="129"/>
      <c r="J62" s="145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9">
        <v>46237</v>
      </c>
      <c r="B63" s="32">
        <f t="shared" si="14"/>
        <v>0.62499999999999967</v>
      </c>
      <c r="C63" s="26" t="s">
        <v>42</v>
      </c>
      <c r="D63" s="59" t="s">
        <v>317</v>
      </c>
      <c r="E63" s="120" t="s">
        <v>246</v>
      </c>
      <c r="F63" s="122"/>
      <c r="G63" s="114">
        <v>5</v>
      </c>
      <c r="H63" s="122"/>
      <c r="I63" s="129"/>
      <c r="J63" s="145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8">
        <v>46237</v>
      </c>
      <c r="B64" s="25">
        <f t="shared" si="14"/>
        <v>0.6666666666666663</v>
      </c>
      <c r="C64" s="26" t="s">
        <v>42</v>
      </c>
      <c r="D64" s="59" t="s">
        <v>317</v>
      </c>
      <c r="E64" s="120" t="s">
        <v>246</v>
      </c>
      <c r="F64" s="122"/>
      <c r="G64" s="114">
        <v>0</v>
      </c>
      <c r="H64" s="122"/>
      <c r="I64" s="129"/>
      <c r="J64" s="145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9">
        <v>46237</v>
      </c>
      <c r="B65" s="32">
        <f t="shared" si="14"/>
        <v>0.70833333333333293</v>
      </c>
      <c r="C65" s="26" t="s">
        <v>42</v>
      </c>
      <c r="D65" s="59" t="s">
        <v>317</v>
      </c>
      <c r="E65" s="120" t="s">
        <v>246</v>
      </c>
      <c r="F65" s="122"/>
      <c r="G65" s="114">
        <v>6</v>
      </c>
      <c r="H65" s="122"/>
      <c r="I65" s="129"/>
      <c r="J65" s="145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8">
        <v>46237</v>
      </c>
      <c r="B66" s="25">
        <f t="shared" si="14"/>
        <v>0.74999999999999956</v>
      </c>
      <c r="C66" s="26" t="s">
        <v>42</v>
      </c>
      <c r="D66" s="59" t="s">
        <v>317</v>
      </c>
      <c r="E66" s="120" t="s">
        <v>246</v>
      </c>
      <c r="F66" s="122"/>
      <c r="G66" s="114">
        <v>0</v>
      </c>
      <c r="H66" s="122"/>
      <c r="I66" s="129"/>
      <c r="J66" s="145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9">
        <v>46237</v>
      </c>
      <c r="B67" s="32">
        <f t="shared" si="14"/>
        <v>0.79166666666666619</v>
      </c>
      <c r="C67" s="26" t="s">
        <v>42</v>
      </c>
      <c r="D67" s="59" t="s">
        <v>317</v>
      </c>
      <c r="E67" s="120" t="s">
        <v>246</v>
      </c>
      <c r="F67" s="118"/>
      <c r="G67" s="114">
        <v>6</v>
      </c>
      <c r="H67" s="118"/>
      <c r="I67" s="130"/>
      <c r="J67" s="146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68" t="s">
        <v>231</v>
      </c>
      <c r="B68" s="169"/>
      <c r="C68" s="169"/>
      <c r="D68" s="169"/>
      <c r="E68" s="169">
        <f>SUM(E56:E67)</f>
        <v>0</v>
      </c>
      <c r="F68" s="123"/>
      <c r="G68" s="88">
        <f>SUM(G56:G67)</f>
        <v>115</v>
      </c>
      <c r="H68" s="123"/>
      <c r="I68" s="131"/>
      <c r="J68" s="147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232</v>
      </c>
      <c r="S68" s="39">
        <v>477090</v>
      </c>
      <c r="T68" s="141">
        <f>IFERROR(J68,"")</f>
        <v>0</v>
      </c>
    </row>
    <row r="69" spans="1:20" ht="15" customHeight="1" x14ac:dyDescent="0.3">
      <c r="A69" s="69">
        <v>46237</v>
      </c>
      <c r="B69" s="32">
        <v>0.83333333333333304</v>
      </c>
      <c r="C69" s="33" t="s">
        <v>28</v>
      </c>
      <c r="D69" s="62" t="s">
        <v>317</v>
      </c>
      <c r="E69" s="121" t="s">
        <v>246</v>
      </c>
      <c r="F69" s="119"/>
      <c r="G69" s="114">
        <v>7</v>
      </c>
      <c r="H69" s="119"/>
      <c r="I69" s="132"/>
      <c r="J69" s="148"/>
      <c r="K69" s="34">
        <f t="shared" ref="K69:K80" si="15">IF(G69="","",IF(E69="PC 17",G69*4.2,IF(E69="PC 19",G69*5,IF(E69="CB",G69*24,""))))</f>
        <v>29.400000000000002</v>
      </c>
      <c r="L69" s="33" t="s">
        <v>18</v>
      </c>
      <c r="M69" s="33" t="s">
        <v>48</v>
      </c>
      <c r="N69" s="33" t="s">
        <v>213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297</v>
      </c>
      <c r="S69" s="60"/>
    </row>
    <row r="70" spans="1:20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28</v>
      </c>
      <c r="D70" s="62" t="s">
        <v>317</v>
      </c>
      <c r="E70" s="121" t="s">
        <v>246</v>
      </c>
      <c r="F70" s="122"/>
      <c r="G70" s="114">
        <v>9</v>
      </c>
      <c r="H70" s="122"/>
      <c r="I70" s="129"/>
      <c r="J70" s="145"/>
      <c r="K70" s="28">
        <f t="shared" si="15"/>
        <v>37.800000000000004</v>
      </c>
      <c r="L70" s="26" t="s">
        <v>20</v>
      </c>
      <c r="M70" s="26" t="s">
        <v>53</v>
      </c>
      <c r="N70" s="26" t="s">
        <v>58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9">
        <v>46237</v>
      </c>
      <c r="B71" s="32">
        <f t="shared" si="17"/>
        <v>0.9166666666666663</v>
      </c>
      <c r="C71" s="33" t="s">
        <v>28</v>
      </c>
      <c r="D71" s="62" t="s">
        <v>317</v>
      </c>
      <c r="E71" s="121" t="s">
        <v>246</v>
      </c>
      <c r="F71" s="122"/>
      <c r="G71" s="114">
        <v>9</v>
      </c>
      <c r="H71" s="122"/>
      <c r="I71" s="129"/>
      <c r="J71" s="145"/>
      <c r="K71" s="34">
        <f t="shared" si="15"/>
        <v>37.800000000000004</v>
      </c>
      <c r="L71" s="33" t="s">
        <v>19</v>
      </c>
      <c r="M71" s="33" t="s">
        <v>53</v>
      </c>
      <c r="N71" s="33" t="s">
        <v>26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8">
        <v>46237</v>
      </c>
      <c r="B72" s="25">
        <f t="shared" si="17"/>
        <v>0.95833333333333293</v>
      </c>
      <c r="C72" s="33" t="s">
        <v>28</v>
      </c>
      <c r="D72" s="62" t="s">
        <v>317</v>
      </c>
      <c r="E72" s="121" t="s">
        <v>246</v>
      </c>
      <c r="F72" s="122"/>
      <c r="G72" s="114">
        <v>11</v>
      </c>
      <c r="H72" s="122"/>
      <c r="I72" s="129"/>
      <c r="J72" s="145"/>
      <c r="K72" s="28">
        <f t="shared" si="15"/>
        <v>46.2</v>
      </c>
      <c r="L72" s="26" t="s">
        <v>18</v>
      </c>
      <c r="M72" s="26" t="s">
        <v>53</v>
      </c>
      <c r="N72" s="26" t="s">
        <v>126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275</v>
      </c>
      <c r="S72" s="60"/>
    </row>
    <row r="73" spans="1:20" ht="15" customHeight="1" x14ac:dyDescent="0.3">
      <c r="A73" s="69">
        <v>46237</v>
      </c>
      <c r="B73" s="32">
        <f t="shared" si="17"/>
        <v>0.99999999999999956</v>
      </c>
      <c r="C73" s="33" t="s">
        <v>28</v>
      </c>
      <c r="D73" s="62" t="s">
        <v>317</v>
      </c>
      <c r="E73" s="121" t="s">
        <v>246</v>
      </c>
      <c r="F73" s="122"/>
      <c r="G73" s="114">
        <v>13</v>
      </c>
      <c r="H73" s="122"/>
      <c r="I73" s="129"/>
      <c r="J73" s="145"/>
      <c r="K73" s="34">
        <f t="shared" si="15"/>
        <v>54.6</v>
      </c>
      <c r="L73" s="33" t="s">
        <v>19</v>
      </c>
      <c r="M73" s="33" t="s">
        <v>48</v>
      </c>
      <c r="N73" s="33" t="s">
        <v>26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8">
        <v>46237</v>
      </c>
      <c r="B74" s="25">
        <f t="shared" si="17"/>
        <v>1.0416666666666663</v>
      </c>
      <c r="C74" s="33" t="s">
        <v>28</v>
      </c>
      <c r="D74" s="62" t="s">
        <v>317</v>
      </c>
      <c r="E74" s="121" t="s">
        <v>246</v>
      </c>
      <c r="F74" s="122"/>
      <c r="G74" s="114">
        <v>14</v>
      </c>
      <c r="H74" s="122"/>
      <c r="I74" s="129"/>
      <c r="J74" s="145"/>
      <c r="K74" s="28">
        <f t="shared" si="15"/>
        <v>58.800000000000004</v>
      </c>
      <c r="L74" s="26" t="s">
        <v>20</v>
      </c>
      <c r="M74" s="26" t="s">
        <v>48</v>
      </c>
      <c r="N74" s="33" t="s">
        <v>202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9">
        <v>46237</v>
      </c>
      <c r="B75" s="32">
        <f t="shared" si="17"/>
        <v>1.083333333333333</v>
      </c>
      <c r="C75" s="33" t="s">
        <v>28</v>
      </c>
      <c r="D75" s="62" t="s">
        <v>317</v>
      </c>
      <c r="E75" s="121" t="s">
        <v>246</v>
      </c>
      <c r="F75" s="122"/>
      <c r="G75" s="114">
        <v>18</v>
      </c>
      <c r="H75" s="122"/>
      <c r="I75" s="129"/>
      <c r="J75" s="145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8">
        <v>46237</v>
      </c>
      <c r="B76" s="25">
        <f t="shared" si="17"/>
        <v>1.1249999999999998</v>
      </c>
      <c r="C76" s="33" t="s">
        <v>28</v>
      </c>
      <c r="D76" s="62" t="s">
        <v>317</v>
      </c>
      <c r="E76" s="121" t="s">
        <v>246</v>
      </c>
      <c r="F76" s="122"/>
      <c r="G76" s="114">
        <v>12</v>
      </c>
      <c r="H76" s="122"/>
      <c r="I76" s="129"/>
      <c r="J76" s="145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9">
        <v>46237</v>
      </c>
      <c r="B77" s="32">
        <f t="shared" si="17"/>
        <v>1.1666666666666665</v>
      </c>
      <c r="C77" s="33" t="s">
        <v>28</v>
      </c>
      <c r="D77" s="62" t="s">
        <v>317</v>
      </c>
      <c r="E77" s="121" t="s">
        <v>246</v>
      </c>
      <c r="F77" s="122"/>
      <c r="G77" s="114">
        <v>12</v>
      </c>
      <c r="H77" s="122"/>
      <c r="I77" s="129"/>
      <c r="J77" s="145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8">
        <v>46237</v>
      </c>
      <c r="B78" s="25">
        <f t="shared" si="17"/>
        <v>1.2083333333333333</v>
      </c>
      <c r="C78" s="33" t="s">
        <v>28</v>
      </c>
      <c r="D78" s="62" t="s">
        <v>317</v>
      </c>
      <c r="E78" s="121" t="s">
        <v>246</v>
      </c>
      <c r="F78" s="122"/>
      <c r="G78" s="114">
        <v>14</v>
      </c>
      <c r="H78" s="122"/>
      <c r="I78" s="129"/>
      <c r="J78" s="145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9">
        <v>46237</v>
      </c>
      <c r="B79" s="32">
        <f t="shared" si="17"/>
        <v>1.25</v>
      </c>
      <c r="C79" s="33" t="s">
        <v>28</v>
      </c>
      <c r="D79" s="62" t="s">
        <v>316</v>
      </c>
      <c r="E79" s="121" t="s">
        <v>246</v>
      </c>
      <c r="F79" s="122"/>
      <c r="G79" s="114">
        <v>14</v>
      </c>
      <c r="H79" s="122"/>
      <c r="I79" s="129"/>
      <c r="J79" s="145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8">
        <v>46237</v>
      </c>
      <c r="B80" s="25">
        <f t="shared" si="17"/>
        <v>1.2916666666666667</v>
      </c>
      <c r="C80" s="33" t="s">
        <v>28</v>
      </c>
      <c r="D80" s="62" t="s">
        <v>316</v>
      </c>
      <c r="E80" s="121"/>
      <c r="F80" s="118"/>
      <c r="G80" s="114">
        <v>10</v>
      </c>
      <c r="H80" s="118"/>
      <c r="I80" s="130"/>
      <c r="J80" s="146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68" t="s">
        <v>234</v>
      </c>
      <c r="B81" s="169"/>
      <c r="C81" s="169"/>
      <c r="D81" s="169"/>
      <c r="E81" s="169">
        <f>SUM(E69:E80)</f>
        <v>0</v>
      </c>
      <c r="F81" s="124"/>
      <c r="G81" s="88">
        <f>SUM(G69:G80)</f>
        <v>143</v>
      </c>
      <c r="H81" s="124"/>
      <c r="I81" s="133"/>
      <c r="J81" s="149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232</v>
      </c>
      <c r="S81" s="39">
        <v>612410</v>
      </c>
      <c r="T81" s="141">
        <f>IFERROR(J81,"")</f>
        <v>0</v>
      </c>
    </row>
    <row r="82" spans="1:20" ht="18" customHeight="1" x14ac:dyDescent="0.3">
      <c r="A82" s="165" t="s">
        <v>235</v>
      </c>
      <c r="B82" s="166"/>
      <c r="C82" s="166"/>
      <c r="D82" s="166"/>
      <c r="E82" s="166">
        <f>E68+E81</f>
        <v>0</v>
      </c>
      <c r="F82" s="125"/>
      <c r="G82" s="100">
        <f>G68+G81</f>
        <v>258</v>
      </c>
      <c r="H82" s="125"/>
      <c r="I82" s="134"/>
      <c r="J82" s="150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236</v>
      </c>
      <c r="S82" s="48">
        <f>IFERROR(S68+S81,"")</f>
        <v>1089500</v>
      </c>
      <c r="T82" s="143">
        <f>IFERROR(J82,"")</f>
        <v>0</v>
      </c>
    </row>
    <row r="83" spans="1:20" ht="15" customHeight="1" x14ac:dyDescent="0.3">
      <c r="A83" s="68">
        <v>46238</v>
      </c>
      <c r="B83" s="25">
        <v>0.33333333333333298</v>
      </c>
      <c r="C83" s="26" t="s">
        <v>42</v>
      </c>
      <c r="D83" s="59" t="s">
        <v>316</v>
      </c>
      <c r="E83" s="120" t="s">
        <v>246</v>
      </c>
      <c r="F83" s="119"/>
      <c r="G83" s="114">
        <v>15</v>
      </c>
      <c r="H83" s="119"/>
      <c r="I83" s="132"/>
      <c r="J83" s="148"/>
      <c r="K83" s="28">
        <f t="shared" ref="K83:K94" si="18">IF(G83="","",IF(E83="PC 17",G83*4.2,IF(E83="PC 19",G83*5,IF(E83="CB",G83*24,""))))</f>
        <v>63</v>
      </c>
      <c r="L83" s="33" t="s">
        <v>19</v>
      </c>
      <c r="M83" s="33" t="s">
        <v>158</v>
      </c>
      <c r="N83" s="33" t="s">
        <v>26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42</v>
      </c>
      <c r="D84" s="59" t="s">
        <v>316</v>
      </c>
      <c r="E84" s="120" t="s">
        <v>246</v>
      </c>
      <c r="F84" s="122"/>
      <c r="G84" s="114">
        <v>20</v>
      </c>
      <c r="H84" s="122"/>
      <c r="I84" s="129"/>
      <c r="J84" s="145"/>
      <c r="K84" s="34">
        <f t="shared" si="18"/>
        <v>84</v>
      </c>
      <c r="L84" s="26" t="s">
        <v>19</v>
      </c>
      <c r="M84" s="26" t="s">
        <v>48</v>
      </c>
      <c r="N84" s="26" t="s">
        <v>26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8">
        <v>46238</v>
      </c>
      <c r="B85" s="25">
        <f t="shared" si="20"/>
        <v>0.41666666666666635</v>
      </c>
      <c r="C85" s="26" t="s">
        <v>42</v>
      </c>
      <c r="D85" s="59" t="s">
        <v>316</v>
      </c>
      <c r="E85" s="120" t="s">
        <v>246</v>
      </c>
      <c r="F85" s="122"/>
      <c r="G85" s="114">
        <v>10</v>
      </c>
      <c r="H85" s="122"/>
      <c r="I85" s="129"/>
      <c r="J85" s="145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9">
        <v>46238</v>
      </c>
      <c r="B86" s="32">
        <f t="shared" si="20"/>
        <v>0.45833333333333304</v>
      </c>
      <c r="C86" s="26" t="s">
        <v>42</v>
      </c>
      <c r="D86" s="59" t="s">
        <v>316</v>
      </c>
      <c r="E86" s="120" t="s">
        <v>246</v>
      </c>
      <c r="F86" s="122"/>
      <c r="G86" s="114">
        <v>17</v>
      </c>
      <c r="H86" s="122"/>
      <c r="I86" s="129"/>
      <c r="J86" s="145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8">
        <v>46238</v>
      </c>
      <c r="B87" s="25">
        <f t="shared" si="20"/>
        <v>0.49999999999999972</v>
      </c>
      <c r="C87" s="26" t="s">
        <v>42</v>
      </c>
      <c r="D87" s="59" t="s">
        <v>316</v>
      </c>
      <c r="E87" s="120" t="s">
        <v>246</v>
      </c>
      <c r="F87" s="122"/>
      <c r="G87" s="114">
        <v>17</v>
      </c>
      <c r="H87" s="122"/>
      <c r="I87" s="129"/>
      <c r="J87" s="145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9">
        <v>46238</v>
      </c>
      <c r="B88" s="32">
        <f t="shared" si="20"/>
        <v>0.54166666666666641</v>
      </c>
      <c r="C88" s="26" t="s">
        <v>42</v>
      </c>
      <c r="D88" s="59" t="s">
        <v>316</v>
      </c>
      <c r="E88" s="120" t="s">
        <v>246</v>
      </c>
      <c r="F88" s="122"/>
      <c r="G88" s="114">
        <v>15</v>
      </c>
      <c r="H88" s="122"/>
      <c r="I88" s="129"/>
      <c r="J88" s="145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8">
        <v>46238</v>
      </c>
      <c r="B89" s="25">
        <f t="shared" si="20"/>
        <v>0.58333333333333304</v>
      </c>
      <c r="C89" s="26" t="s">
        <v>42</v>
      </c>
      <c r="D89" s="59" t="s">
        <v>316</v>
      </c>
      <c r="E89" s="120" t="s">
        <v>246</v>
      </c>
      <c r="F89" s="122"/>
      <c r="G89" s="114">
        <v>16</v>
      </c>
      <c r="H89" s="122"/>
      <c r="I89" s="129"/>
      <c r="J89" s="145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9">
        <v>46238</v>
      </c>
      <c r="B90" s="32">
        <f t="shared" si="20"/>
        <v>0.62499999999999967</v>
      </c>
      <c r="C90" s="26" t="s">
        <v>42</v>
      </c>
      <c r="D90" s="59" t="s">
        <v>316</v>
      </c>
      <c r="E90" s="120" t="s">
        <v>246</v>
      </c>
      <c r="F90" s="122"/>
      <c r="G90" s="114">
        <v>20</v>
      </c>
      <c r="H90" s="122"/>
      <c r="I90" s="129"/>
      <c r="J90" s="145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8">
        <v>46238</v>
      </c>
      <c r="B91" s="25">
        <f t="shared" si="20"/>
        <v>0.6666666666666663</v>
      </c>
      <c r="C91" s="26" t="s">
        <v>42</v>
      </c>
      <c r="D91" s="59" t="s">
        <v>316</v>
      </c>
      <c r="E91" s="120" t="s">
        <v>246</v>
      </c>
      <c r="F91" s="122"/>
      <c r="G91" s="114">
        <v>16</v>
      </c>
      <c r="H91" s="122"/>
      <c r="I91" s="129"/>
      <c r="J91" s="145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9">
        <v>46238</v>
      </c>
      <c r="B92" s="32">
        <f t="shared" si="20"/>
        <v>0.70833333333333293</v>
      </c>
      <c r="C92" s="26" t="s">
        <v>42</v>
      </c>
      <c r="D92" s="59" t="s">
        <v>316</v>
      </c>
      <c r="E92" s="120" t="s">
        <v>246</v>
      </c>
      <c r="F92" s="122"/>
      <c r="G92" s="114">
        <v>19</v>
      </c>
      <c r="H92" s="122"/>
      <c r="I92" s="129"/>
      <c r="J92" s="145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8">
        <v>46238</v>
      </c>
      <c r="B93" s="25">
        <f t="shared" si="20"/>
        <v>0.74999999999999956</v>
      </c>
      <c r="C93" s="26" t="s">
        <v>42</v>
      </c>
      <c r="D93" s="59" t="s">
        <v>316</v>
      </c>
      <c r="E93" s="120" t="s">
        <v>246</v>
      </c>
      <c r="F93" s="122"/>
      <c r="G93" s="114">
        <v>3</v>
      </c>
      <c r="H93" s="122"/>
      <c r="I93" s="129"/>
      <c r="J93" s="145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9">
        <v>46238</v>
      </c>
      <c r="B94" s="32">
        <f t="shared" si="20"/>
        <v>0.79166666666666619</v>
      </c>
      <c r="C94" s="26" t="s">
        <v>42</v>
      </c>
      <c r="D94" s="59" t="s">
        <v>316</v>
      </c>
      <c r="E94" s="120" t="s">
        <v>246</v>
      </c>
      <c r="F94" s="118"/>
      <c r="G94" s="114">
        <v>15</v>
      </c>
      <c r="H94" s="118"/>
      <c r="I94" s="130"/>
      <c r="J94" s="146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68" t="s">
        <v>231</v>
      </c>
      <c r="B95" s="169"/>
      <c r="C95" s="169"/>
      <c r="D95" s="169"/>
      <c r="E95" s="169">
        <f>SUM(E83:E94)</f>
        <v>0</v>
      </c>
      <c r="F95" s="123"/>
      <c r="G95" s="88">
        <f>SUM(G83:G94)</f>
        <v>183</v>
      </c>
      <c r="H95" s="123"/>
      <c r="I95" s="131"/>
      <c r="J95" s="147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232</v>
      </c>
      <c r="S95" s="39">
        <v>786700</v>
      </c>
      <c r="T95" s="141">
        <f>IFERROR(J95,"")</f>
        <v>0</v>
      </c>
    </row>
    <row r="96" spans="1:20" ht="15" customHeight="1" x14ac:dyDescent="0.3">
      <c r="A96" s="69">
        <v>46238</v>
      </c>
      <c r="B96" s="32">
        <v>0.83333333333333304</v>
      </c>
      <c r="C96" s="33" t="s">
        <v>28</v>
      </c>
      <c r="D96" s="62" t="s">
        <v>316</v>
      </c>
      <c r="E96" s="121" t="s">
        <v>246</v>
      </c>
      <c r="F96" s="119"/>
      <c r="G96" s="114">
        <v>20</v>
      </c>
      <c r="H96" s="119"/>
      <c r="I96" s="132"/>
      <c r="J96" s="148"/>
      <c r="K96" s="34">
        <f t="shared" ref="K96:K107" si="21">IF(G96="","",IF(E96="PC 17",G96*4.2,IF(E96="PC 19",G96*5,IF(E96="CB",G96*24,""))))</f>
        <v>84</v>
      </c>
      <c r="L96" s="26" t="s">
        <v>19</v>
      </c>
      <c r="M96" s="26" t="s">
        <v>158</v>
      </c>
      <c r="N96" s="26" t="s">
        <v>26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28</v>
      </c>
      <c r="D97" s="62" t="s">
        <v>316</v>
      </c>
      <c r="E97" s="121" t="s">
        <v>246</v>
      </c>
      <c r="F97" s="122"/>
      <c r="G97" s="114">
        <v>20</v>
      </c>
      <c r="H97" s="122"/>
      <c r="I97" s="129"/>
      <c r="J97" s="145"/>
      <c r="K97" s="28">
        <f t="shared" si="21"/>
        <v>84</v>
      </c>
      <c r="L97" s="33" t="s">
        <v>18</v>
      </c>
      <c r="M97" s="33" t="s">
        <v>48</v>
      </c>
      <c r="N97" s="33" t="s">
        <v>126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275</v>
      </c>
      <c r="S97" s="60"/>
    </row>
    <row r="98" spans="1:20" ht="15" customHeight="1" x14ac:dyDescent="0.3">
      <c r="A98" s="69">
        <v>46238</v>
      </c>
      <c r="B98" s="32">
        <f t="shared" si="23"/>
        <v>0.9166666666666663</v>
      </c>
      <c r="C98" s="33" t="s">
        <v>28</v>
      </c>
      <c r="D98" s="62" t="s">
        <v>316</v>
      </c>
      <c r="E98" s="121" t="s">
        <v>246</v>
      </c>
      <c r="F98" s="122"/>
      <c r="G98" s="114">
        <v>15</v>
      </c>
      <c r="H98" s="122"/>
      <c r="I98" s="129"/>
      <c r="J98" s="145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8">
        <v>46238</v>
      </c>
      <c r="B99" s="25">
        <f t="shared" si="23"/>
        <v>0.95833333333333293</v>
      </c>
      <c r="C99" s="33" t="s">
        <v>28</v>
      </c>
      <c r="D99" s="62" t="s">
        <v>316</v>
      </c>
      <c r="E99" s="121" t="s">
        <v>246</v>
      </c>
      <c r="F99" s="122"/>
      <c r="G99" s="114">
        <v>22</v>
      </c>
      <c r="H99" s="122"/>
      <c r="I99" s="129"/>
      <c r="J99" s="145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9">
        <v>46238</v>
      </c>
      <c r="B100" s="32">
        <f t="shared" si="23"/>
        <v>0.99999999999999956</v>
      </c>
      <c r="C100" s="33" t="s">
        <v>28</v>
      </c>
      <c r="D100" s="62" t="s">
        <v>316</v>
      </c>
      <c r="E100" s="121" t="s">
        <v>246</v>
      </c>
      <c r="F100" s="122"/>
      <c r="G100" s="114">
        <v>14</v>
      </c>
      <c r="H100" s="122"/>
      <c r="I100" s="129"/>
      <c r="J100" s="145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8">
        <v>46238</v>
      </c>
      <c r="B101" s="25">
        <f t="shared" si="23"/>
        <v>1.0416666666666663</v>
      </c>
      <c r="C101" s="33" t="s">
        <v>28</v>
      </c>
      <c r="D101" s="62" t="s">
        <v>316</v>
      </c>
      <c r="E101" s="121" t="s">
        <v>246</v>
      </c>
      <c r="F101" s="122"/>
      <c r="G101" s="114">
        <v>10</v>
      </c>
      <c r="H101" s="122"/>
      <c r="I101" s="129"/>
      <c r="J101" s="145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9">
        <v>46238</v>
      </c>
      <c r="B102" s="32">
        <f t="shared" si="23"/>
        <v>1.083333333333333</v>
      </c>
      <c r="C102" s="33" t="s">
        <v>28</v>
      </c>
      <c r="D102" s="62" t="s">
        <v>316</v>
      </c>
      <c r="E102" s="121" t="s">
        <v>246</v>
      </c>
      <c r="F102" s="122"/>
      <c r="G102" s="114">
        <v>14</v>
      </c>
      <c r="H102" s="122"/>
      <c r="I102" s="129"/>
      <c r="J102" s="145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8">
        <v>46238</v>
      </c>
      <c r="B103" s="25">
        <f t="shared" si="23"/>
        <v>1.1249999999999998</v>
      </c>
      <c r="C103" s="33" t="s">
        <v>28</v>
      </c>
      <c r="D103" s="62" t="s">
        <v>316</v>
      </c>
      <c r="E103" s="121" t="s">
        <v>246</v>
      </c>
      <c r="F103" s="122"/>
      <c r="G103" s="114">
        <v>28</v>
      </c>
      <c r="H103" s="122"/>
      <c r="I103" s="129"/>
      <c r="J103" s="145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9">
        <v>46238</v>
      </c>
      <c r="B104" s="32">
        <f t="shared" si="23"/>
        <v>1.1666666666666665</v>
      </c>
      <c r="C104" s="33" t="s">
        <v>28</v>
      </c>
      <c r="D104" s="62" t="s">
        <v>316</v>
      </c>
      <c r="E104" s="121" t="s">
        <v>246</v>
      </c>
      <c r="F104" s="122"/>
      <c r="G104" s="114">
        <v>17</v>
      </c>
      <c r="H104" s="122"/>
      <c r="I104" s="129"/>
      <c r="J104" s="145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8">
        <v>46238</v>
      </c>
      <c r="B105" s="25">
        <f t="shared" si="23"/>
        <v>1.2083333333333333</v>
      </c>
      <c r="C105" s="33" t="s">
        <v>28</v>
      </c>
      <c r="D105" s="62" t="s">
        <v>316</v>
      </c>
      <c r="E105" s="121" t="s">
        <v>246</v>
      </c>
      <c r="F105" s="122"/>
      <c r="G105" s="114">
        <v>12</v>
      </c>
      <c r="H105" s="122"/>
      <c r="I105" s="129"/>
      <c r="J105" s="145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9">
        <v>46238</v>
      </c>
      <c r="B106" s="32">
        <f t="shared" si="23"/>
        <v>1.25</v>
      </c>
      <c r="C106" s="33" t="s">
        <v>28</v>
      </c>
      <c r="D106" s="62" t="s">
        <v>316</v>
      </c>
      <c r="E106" s="121" t="s">
        <v>246</v>
      </c>
      <c r="F106" s="122"/>
      <c r="G106" s="114">
        <v>15</v>
      </c>
      <c r="H106" s="122"/>
      <c r="I106" s="129"/>
      <c r="J106" s="145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8">
        <v>46238</v>
      </c>
      <c r="B107" s="25">
        <f t="shared" si="23"/>
        <v>1.2916666666666667</v>
      </c>
      <c r="C107" s="33" t="s">
        <v>28</v>
      </c>
      <c r="D107" s="62" t="s">
        <v>316</v>
      </c>
      <c r="E107" s="121" t="s">
        <v>246</v>
      </c>
      <c r="F107" s="118"/>
      <c r="G107" s="114">
        <v>10</v>
      </c>
      <c r="H107" s="118"/>
      <c r="I107" s="130"/>
      <c r="J107" s="146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68" t="s">
        <v>234</v>
      </c>
      <c r="B108" s="169"/>
      <c r="C108" s="169"/>
      <c r="D108" s="169"/>
      <c r="E108" s="169">
        <f>SUM(E96:E107)</f>
        <v>0</v>
      </c>
      <c r="F108" s="124"/>
      <c r="G108" s="88">
        <f>SUM(G96:G107)</f>
        <v>197</v>
      </c>
      <c r="H108" s="124"/>
      <c r="I108" s="133"/>
      <c r="J108" s="149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232</v>
      </c>
      <c r="S108" s="39">
        <v>956070</v>
      </c>
      <c r="T108" s="141">
        <f>IFERROR(J108,"")</f>
        <v>0</v>
      </c>
    </row>
    <row r="109" spans="1:20" ht="18" customHeight="1" x14ac:dyDescent="0.3">
      <c r="A109" s="165" t="s">
        <v>235</v>
      </c>
      <c r="B109" s="166"/>
      <c r="C109" s="166"/>
      <c r="D109" s="166"/>
      <c r="E109" s="166">
        <f>E95+E108</f>
        <v>0</v>
      </c>
      <c r="F109" s="125"/>
      <c r="G109" s="100">
        <f>G95+G108</f>
        <v>380</v>
      </c>
      <c r="H109" s="125"/>
      <c r="I109" s="134"/>
      <c r="J109" s="150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236</v>
      </c>
      <c r="S109" s="48">
        <f>IFERROR(S95+S108,"")</f>
        <v>1742770</v>
      </c>
      <c r="T109" s="143">
        <f>IFERROR(J109,"")</f>
        <v>0</v>
      </c>
    </row>
    <row r="110" spans="1:20" ht="15" customHeight="1" x14ac:dyDescent="0.3">
      <c r="A110" s="68">
        <v>46239</v>
      </c>
      <c r="B110" s="25">
        <v>0.33333333333333298</v>
      </c>
      <c r="C110" s="26" t="s">
        <v>42</v>
      </c>
      <c r="D110" s="59" t="s">
        <v>316</v>
      </c>
      <c r="E110" s="120" t="s">
        <v>246</v>
      </c>
      <c r="F110" s="119"/>
      <c r="G110" s="114">
        <v>25</v>
      </c>
      <c r="H110" s="119"/>
      <c r="I110" s="132"/>
      <c r="J110" s="148"/>
      <c r="K110" s="28">
        <f t="shared" ref="K110:K121" si="24">IF(G110="","",IF(E110="PC 17",G110*4.2,IF(E110="PC 19",G110*5,IF(E110="CB",G110*24,""))))</f>
        <v>105</v>
      </c>
      <c r="L110" s="26" t="s">
        <v>19</v>
      </c>
      <c r="M110" s="26" t="s">
        <v>158</v>
      </c>
      <c r="N110" s="26" t="s">
        <v>26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42</v>
      </c>
      <c r="D111" s="59" t="s">
        <v>316</v>
      </c>
      <c r="E111" s="120" t="s">
        <v>246</v>
      </c>
      <c r="F111" s="122"/>
      <c r="G111" s="114">
        <v>10</v>
      </c>
      <c r="H111" s="122"/>
      <c r="I111" s="129"/>
      <c r="J111" s="145"/>
      <c r="K111" s="34">
        <f t="shared" si="24"/>
        <v>42</v>
      </c>
      <c r="L111" s="33" t="s">
        <v>18</v>
      </c>
      <c r="M111" s="33" t="s">
        <v>53</v>
      </c>
      <c r="N111" s="33" t="s">
        <v>213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8">
        <v>46239</v>
      </c>
      <c r="B112" s="25">
        <f t="shared" si="26"/>
        <v>0.41666666666666635</v>
      </c>
      <c r="C112" s="26" t="s">
        <v>42</v>
      </c>
      <c r="D112" s="59" t="s">
        <v>316</v>
      </c>
      <c r="E112" s="120" t="s">
        <v>246</v>
      </c>
      <c r="F112" s="122"/>
      <c r="G112" s="114">
        <v>16</v>
      </c>
      <c r="H112" s="122"/>
      <c r="I112" s="129"/>
      <c r="J112" s="145"/>
      <c r="K112" s="28">
        <f t="shared" si="24"/>
        <v>67.2</v>
      </c>
      <c r="L112" s="26" t="s">
        <v>18</v>
      </c>
      <c r="M112" s="26"/>
      <c r="N112" s="33" t="s">
        <v>218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9">
        <v>46239</v>
      </c>
      <c r="B113" s="32">
        <f t="shared" si="26"/>
        <v>0.45833333333333304</v>
      </c>
      <c r="C113" s="26" t="s">
        <v>42</v>
      </c>
      <c r="D113" s="59" t="s">
        <v>316</v>
      </c>
      <c r="E113" s="120" t="s">
        <v>246</v>
      </c>
      <c r="F113" s="122"/>
      <c r="G113" s="114">
        <v>18</v>
      </c>
      <c r="H113" s="122"/>
      <c r="I113" s="129"/>
      <c r="J113" s="145"/>
      <c r="K113" s="34">
        <f t="shared" si="24"/>
        <v>75.600000000000009</v>
      </c>
      <c r="L113" s="26" t="s">
        <v>18</v>
      </c>
      <c r="M113" s="33"/>
      <c r="N113" s="33" t="s">
        <v>218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8">
        <v>46239</v>
      </c>
      <c r="B114" s="25">
        <f t="shared" si="26"/>
        <v>0.49999999999999972</v>
      </c>
      <c r="C114" s="26" t="s">
        <v>42</v>
      </c>
      <c r="D114" s="59" t="s">
        <v>316</v>
      </c>
      <c r="E114" s="120" t="s">
        <v>246</v>
      </c>
      <c r="F114" s="122"/>
      <c r="G114" s="114">
        <v>14</v>
      </c>
      <c r="H114" s="122"/>
      <c r="I114" s="129"/>
      <c r="J114" s="145"/>
      <c r="K114" s="28">
        <f t="shared" si="24"/>
        <v>58.800000000000004</v>
      </c>
      <c r="L114" s="26" t="s">
        <v>19</v>
      </c>
      <c r="M114" s="26" t="s">
        <v>158</v>
      </c>
      <c r="N114" s="26" t="s">
        <v>26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298</v>
      </c>
      <c r="S114" s="60"/>
    </row>
    <row r="115" spans="1:20" ht="15" customHeight="1" x14ac:dyDescent="0.3">
      <c r="A115" s="69">
        <v>46239</v>
      </c>
      <c r="B115" s="32">
        <f t="shared" si="26"/>
        <v>0.54166666666666641</v>
      </c>
      <c r="C115" s="26" t="s">
        <v>42</v>
      </c>
      <c r="D115" s="59" t="s">
        <v>316</v>
      </c>
      <c r="E115" s="120" t="s">
        <v>246</v>
      </c>
      <c r="F115" s="122"/>
      <c r="G115" s="114">
        <v>20</v>
      </c>
      <c r="H115" s="122"/>
      <c r="I115" s="129"/>
      <c r="J115" s="145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8">
        <v>46239</v>
      </c>
      <c r="B116" s="25">
        <f t="shared" si="26"/>
        <v>0.58333333333333304</v>
      </c>
      <c r="C116" s="26" t="s">
        <v>42</v>
      </c>
      <c r="D116" s="59" t="s">
        <v>316</v>
      </c>
      <c r="E116" s="120" t="s">
        <v>246</v>
      </c>
      <c r="F116" s="122"/>
      <c r="G116" s="114">
        <v>13</v>
      </c>
      <c r="H116" s="122"/>
      <c r="I116" s="129"/>
      <c r="J116" s="145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9">
        <v>46239</v>
      </c>
      <c r="B117" s="32">
        <f t="shared" si="26"/>
        <v>0.62499999999999967</v>
      </c>
      <c r="C117" s="26" t="s">
        <v>42</v>
      </c>
      <c r="D117" s="59" t="s">
        <v>316</v>
      </c>
      <c r="E117" s="120" t="s">
        <v>246</v>
      </c>
      <c r="F117" s="122"/>
      <c r="G117" s="114">
        <v>7</v>
      </c>
      <c r="H117" s="122"/>
      <c r="I117" s="129"/>
      <c r="J117" s="145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8">
        <v>46239</v>
      </c>
      <c r="B118" s="25">
        <f t="shared" si="26"/>
        <v>0.6666666666666663</v>
      </c>
      <c r="C118" s="26" t="s">
        <v>42</v>
      </c>
      <c r="D118" s="59" t="s">
        <v>316</v>
      </c>
      <c r="E118" s="120" t="s">
        <v>246</v>
      </c>
      <c r="F118" s="122"/>
      <c r="G118" s="114">
        <v>21</v>
      </c>
      <c r="H118" s="122"/>
      <c r="I118" s="129"/>
      <c r="J118" s="145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9">
        <v>46239</v>
      </c>
      <c r="B119" s="32">
        <f t="shared" si="26"/>
        <v>0.70833333333333293</v>
      </c>
      <c r="C119" s="26" t="s">
        <v>42</v>
      </c>
      <c r="D119" s="59" t="s">
        <v>316</v>
      </c>
      <c r="E119" s="120" t="s">
        <v>246</v>
      </c>
      <c r="F119" s="122"/>
      <c r="G119" s="114">
        <v>16</v>
      </c>
      <c r="H119" s="122"/>
      <c r="I119" s="129"/>
      <c r="J119" s="145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8">
        <v>46239</v>
      </c>
      <c r="B120" s="25">
        <f t="shared" si="26"/>
        <v>0.74999999999999956</v>
      </c>
      <c r="C120" s="26" t="s">
        <v>42</v>
      </c>
      <c r="D120" s="59" t="s">
        <v>316</v>
      </c>
      <c r="E120" s="120" t="s">
        <v>246</v>
      </c>
      <c r="F120" s="122"/>
      <c r="G120" s="114">
        <v>5</v>
      </c>
      <c r="H120" s="122"/>
      <c r="I120" s="129"/>
      <c r="J120" s="145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9">
        <v>46239</v>
      </c>
      <c r="B121" s="32">
        <f t="shared" si="26"/>
        <v>0.79166666666666619</v>
      </c>
      <c r="C121" s="26" t="s">
        <v>42</v>
      </c>
      <c r="D121" s="59" t="s">
        <v>316</v>
      </c>
      <c r="E121" s="120" t="s">
        <v>246</v>
      </c>
      <c r="F121" s="118"/>
      <c r="G121" s="114">
        <v>5</v>
      </c>
      <c r="H121" s="118"/>
      <c r="I121" s="130"/>
      <c r="J121" s="146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68" t="s">
        <v>231</v>
      </c>
      <c r="B122" s="169"/>
      <c r="C122" s="169"/>
      <c r="D122" s="169"/>
      <c r="E122" s="169">
        <f>SUM(E110:E121)</f>
        <v>0</v>
      </c>
      <c r="F122" s="123"/>
      <c r="G122" s="88">
        <f>SUM(G110:G121)</f>
        <v>170</v>
      </c>
      <c r="H122" s="123"/>
      <c r="I122" s="131"/>
      <c r="J122" s="147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232</v>
      </c>
      <c r="S122" s="39">
        <v>811580</v>
      </c>
      <c r="T122" s="141">
        <f>IFERROR(J122,"")</f>
        <v>0</v>
      </c>
    </row>
    <row r="123" spans="1:20" ht="15" customHeight="1" x14ac:dyDescent="0.3">
      <c r="A123" s="69">
        <v>46239</v>
      </c>
      <c r="B123" s="32">
        <v>0.83333333333333304</v>
      </c>
      <c r="C123" s="33" t="s">
        <v>28</v>
      </c>
      <c r="D123" s="62" t="s">
        <v>316</v>
      </c>
      <c r="E123" s="121" t="s">
        <v>246</v>
      </c>
      <c r="F123" s="119"/>
      <c r="G123" s="114">
        <v>24</v>
      </c>
      <c r="H123" s="119"/>
      <c r="I123" s="132"/>
      <c r="J123" s="148"/>
      <c r="K123" s="34">
        <f t="shared" ref="K123:K134" si="27">IF(G123="","",IF(E123="PC 17",G123*4.2,IF(E123="PC 19",G123*5,IF(E123="CB",G123*24,""))))</f>
        <v>100.80000000000001</v>
      </c>
      <c r="L123" s="33" t="s">
        <v>20</v>
      </c>
      <c r="M123" s="33" t="s">
        <v>48</v>
      </c>
      <c r="N123" s="33" t="s">
        <v>202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28</v>
      </c>
      <c r="D124" s="62" t="s">
        <v>316</v>
      </c>
      <c r="E124" s="121" t="s">
        <v>246</v>
      </c>
      <c r="F124" s="122"/>
      <c r="G124" s="114">
        <v>14</v>
      </c>
      <c r="H124" s="122"/>
      <c r="I124" s="129"/>
      <c r="J124" s="145"/>
      <c r="K124" s="28">
        <f t="shared" si="27"/>
        <v>58.800000000000004</v>
      </c>
      <c r="L124" s="26" t="s">
        <v>20</v>
      </c>
      <c r="M124" s="26" t="s">
        <v>48</v>
      </c>
      <c r="N124" s="26" t="s">
        <v>52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299</v>
      </c>
      <c r="S124" s="60"/>
    </row>
    <row r="125" spans="1:20" ht="15" customHeight="1" x14ac:dyDescent="0.3">
      <c r="A125" s="69">
        <v>46239</v>
      </c>
      <c r="B125" s="32">
        <f t="shared" si="29"/>
        <v>0.9166666666666663</v>
      </c>
      <c r="C125" s="33" t="s">
        <v>28</v>
      </c>
      <c r="D125" s="62" t="s">
        <v>316</v>
      </c>
      <c r="E125" s="121" t="s">
        <v>246</v>
      </c>
      <c r="F125" s="122"/>
      <c r="G125" s="114">
        <v>15</v>
      </c>
      <c r="H125" s="122"/>
      <c r="I125" s="129"/>
      <c r="J125" s="145"/>
      <c r="K125" s="34">
        <f t="shared" si="27"/>
        <v>63</v>
      </c>
      <c r="L125" s="33" t="s">
        <v>20</v>
      </c>
      <c r="M125" s="33" t="s">
        <v>48</v>
      </c>
      <c r="N125" s="33" t="s">
        <v>34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8">
        <v>46239</v>
      </c>
      <c r="B126" s="25">
        <f t="shared" si="29"/>
        <v>0.95833333333333293</v>
      </c>
      <c r="C126" s="33" t="s">
        <v>28</v>
      </c>
      <c r="D126" s="62" t="s">
        <v>316</v>
      </c>
      <c r="E126" s="121" t="s">
        <v>246</v>
      </c>
      <c r="F126" s="122"/>
      <c r="G126" s="114">
        <v>24</v>
      </c>
      <c r="H126" s="122"/>
      <c r="I126" s="129"/>
      <c r="J126" s="145"/>
      <c r="K126" s="28"/>
      <c r="L126" s="26" t="s">
        <v>19</v>
      </c>
      <c r="M126" s="26" t="s">
        <v>53</v>
      </c>
      <c r="N126" s="26" t="s">
        <v>26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9">
        <v>46239</v>
      </c>
      <c r="B127" s="32">
        <f t="shared" si="29"/>
        <v>0.99999999999999956</v>
      </c>
      <c r="C127" s="33" t="s">
        <v>28</v>
      </c>
      <c r="D127" s="62" t="s">
        <v>316</v>
      </c>
      <c r="E127" s="121" t="s">
        <v>246</v>
      </c>
      <c r="F127" s="122"/>
      <c r="G127" s="114">
        <v>10</v>
      </c>
      <c r="H127" s="122"/>
      <c r="I127" s="129"/>
      <c r="J127" s="145"/>
      <c r="K127" s="34">
        <f t="shared" si="27"/>
        <v>42</v>
      </c>
      <c r="L127" s="33" t="s">
        <v>19</v>
      </c>
      <c r="M127" s="33" t="s">
        <v>48</v>
      </c>
      <c r="N127" s="33" t="s">
        <v>259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8">
        <v>46239</v>
      </c>
      <c r="B128" s="25">
        <f t="shared" si="29"/>
        <v>1.0416666666666663</v>
      </c>
      <c r="C128" s="33" t="s">
        <v>28</v>
      </c>
      <c r="D128" s="62" t="s">
        <v>316</v>
      </c>
      <c r="E128" s="121" t="s">
        <v>246</v>
      </c>
      <c r="F128" s="122"/>
      <c r="G128" s="114">
        <v>16</v>
      </c>
      <c r="H128" s="122"/>
      <c r="I128" s="129"/>
      <c r="J128" s="145"/>
      <c r="K128" s="28">
        <f t="shared" si="27"/>
        <v>67.2</v>
      </c>
      <c r="L128" s="26" t="s">
        <v>19</v>
      </c>
      <c r="M128" s="26" t="s">
        <v>53</v>
      </c>
      <c r="N128" s="26" t="s">
        <v>26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9">
        <v>46239</v>
      </c>
      <c r="B129" s="32">
        <f t="shared" si="29"/>
        <v>1.083333333333333</v>
      </c>
      <c r="C129" s="33" t="s">
        <v>28</v>
      </c>
      <c r="D129" s="62" t="s">
        <v>316</v>
      </c>
      <c r="E129" s="121" t="s">
        <v>246</v>
      </c>
      <c r="F129" s="122"/>
      <c r="G129" s="114">
        <v>25</v>
      </c>
      <c r="H129" s="122"/>
      <c r="I129" s="129"/>
      <c r="J129" s="145"/>
      <c r="K129" s="34">
        <f t="shared" si="27"/>
        <v>105</v>
      </c>
      <c r="L129" s="33" t="s">
        <v>18</v>
      </c>
      <c r="M129" s="33" t="s">
        <v>48</v>
      </c>
      <c r="N129" s="33" t="s">
        <v>126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275</v>
      </c>
      <c r="S129" s="60"/>
    </row>
    <row r="130" spans="1:22" ht="15" customHeight="1" x14ac:dyDescent="0.3">
      <c r="A130" s="68">
        <v>46239</v>
      </c>
      <c r="B130" s="25">
        <f t="shared" si="29"/>
        <v>1.1249999999999998</v>
      </c>
      <c r="C130" s="33" t="s">
        <v>28</v>
      </c>
      <c r="D130" s="62" t="s">
        <v>316</v>
      </c>
      <c r="E130" s="121" t="s">
        <v>246</v>
      </c>
      <c r="F130" s="122"/>
      <c r="G130" s="114">
        <v>13</v>
      </c>
      <c r="H130" s="122"/>
      <c r="I130" s="129"/>
      <c r="J130" s="145"/>
      <c r="K130" s="28">
        <f t="shared" si="27"/>
        <v>54.6</v>
      </c>
      <c r="L130" s="26" t="s">
        <v>20</v>
      </c>
      <c r="M130" s="26" t="s">
        <v>53</v>
      </c>
      <c r="N130" s="26" t="s">
        <v>47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9">
        <v>46239</v>
      </c>
      <c r="B131" s="32">
        <f t="shared" si="29"/>
        <v>1.1666666666666665</v>
      </c>
      <c r="C131" s="33" t="s">
        <v>28</v>
      </c>
      <c r="D131" s="62" t="s">
        <v>316</v>
      </c>
      <c r="E131" s="121" t="s">
        <v>246</v>
      </c>
      <c r="F131" s="122"/>
      <c r="G131" s="114">
        <v>20</v>
      </c>
      <c r="H131" s="122"/>
      <c r="I131" s="129"/>
      <c r="J131" s="145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8">
        <v>46239</v>
      </c>
      <c r="B132" s="25">
        <f t="shared" si="29"/>
        <v>1.2083333333333333</v>
      </c>
      <c r="C132" s="33" t="s">
        <v>28</v>
      </c>
      <c r="D132" s="62" t="s">
        <v>316</v>
      </c>
      <c r="E132" s="121" t="s">
        <v>246</v>
      </c>
      <c r="F132" s="122"/>
      <c r="G132" s="114">
        <v>21</v>
      </c>
      <c r="H132" s="122"/>
      <c r="I132" s="129"/>
      <c r="J132" s="145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9">
        <v>46239</v>
      </c>
      <c r="B133" s="32">
        <f t="shared" si="29"/>
        <v>1.25</v>
      </c>
      <c r="C133" s="33" t="s">
        <v>28</v>
      </c>
      <c r="D133" s="62" t="s">
        <v>316</v>
      </c>
      <c r="E133" s="121" t="s">
        <v>246</v>
      </c>
      <c r="F133" s="122"/>
      <c r="G133" s="114">
        <v>10</v>
      </c>
      <c r="H133" s="122"/>
      <c r="I133" s="129"/>
      <c r="J133" s="145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8">
        <v>46239</v>
      </c>
      <c r="B134" s="25">
        <f t="shared" si="29"/>
        <v>1.2916666666666667</v>
      </c>
      <c r="C134" s="33" t="s">
        <v>28</v>
      </c>
      <c r="D134" s="62" t="s">
        <v>316</v>
      </c>
      <c r="E134" s="121" t="s">
        <v>246</v>
      </c>
      <c r="F134" s="118"/>
      <c r="G134" s="114">
        <v>5</v>
      </c>
      <c r="H134" s="118"/>
      <c r="I134" s="130"/>
      <c r="J134" s="146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68" t="s">
        <v>234</v>
      </c>
      <c r="B135" s="169"/>
      <c r="C135" s="169"/>
      <c r="D135" s="169"/>
      <c r="E135" s="169">
        <f>SUM(E123:E134)</f>
        <v>0</v>
      </c>
      <c r="F135" s="124"/>
      <c r="G135" s="88">
        <f>SUM(G123:G134)</f>
        <v>197</v>
      </c>
      <c r="H135" s="124"/>
      <c r="I135" s="133"/>
      <c r="J135" s="149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232</v>
      </c>
      <c r="S135" s="39">
        <v>912240</v>
      </c>
      <c r="T135" s="141">
        <f>IFERROR(J135,"")</f>
        <v>0</v>
      </c>
    </row>
    <row r="136" spans="1:22" ht="18" customHeight="1" x14ac:dyDescent="0.3">
      <c r="A136" s="165" t="s">
        <v>235</v>
      </c>
      <c r="B136" s="166"/>
      <c r="C136" s="166"/>
      <c r="D136" s="166"/>
      <c r="E136" s="166">
        <f>E122+E135</f>
        <v>0</v>
      </c>
      <c r="F136" s="125"/>
      <c r="G136" s="100">
        <f>G122+G135</f>
        <v>367</v>
      </c>
      <c r="H136" s="125"/>
      <c r="I136" s="134"/>
      <c r="J136" s="150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236</v>
      </c>
      <c r="S136" s="48">
        <f>IFERROR(S122+S135,"")</f>
        <v>1723820</v>
      </c>
      <c r="T136" s="143">
        <f>IFERROR(J136,"")</f>
        <v>0</v>
      </c>
    </row>
    <row r="137" spans="1:22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316</v>
      </c>
      <c r="E137" s="121" t="s">
        <v>246</v>
      </c>
      <c r="F137" s="119"/>
      <c r="G137" s="114">
        <v>20</v>
      </c>
      <c r="H137" s="119"/>
      <c r="I137" s="132"/>
      <c r="J137" s="148"/>
      <c r="K137" s="34">
        <f t="shared" ref="K137:K148" si="30">IF(G137="","",IF(E137="PC 17",G137*4.2,IF(E137="PC 19",G137*5,IF(E137="CB",G137*24,""))))</f>
        <v>84</v>
      </c>
      <c r="L137" s="33" t="s">
        <v>17</v>
      </c>
      <c r="M137" s="33"/>
      <c r="N137" s="33" t="s">
        <v>24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316</v>
      </c>
      <c r="E138" s="121" t="s">
        <v>246</v>
      </c>
      <c r="F138" s="122"/>
      <c r="G138" s="114">
        <v>24</v>
      </c>
      <c r="H138" s="122"/>
      <c r="I138" s="129"/>
      <c r="J138" s="145"/>
      <c r="K138" s="28">
        <f t="shared" si="30"/>
        <v>100.80000000000001</v>
      </c>
      <c r="L138" s="26" t="s">
        <v>20</v>
      </c>
      <c r="M138" s="26" t="s">
        <v>158</v>
      </c>
      <c r="N138" s="26" t="s">
        <v>34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300</v>
      </c>
      <c r="S138" s="31"/>
    </row>
    <row r="139" spans="1:22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317</v>
      </c>
      <c r="E139" s="121" t="s">
        <v>246</v>
      </c>
      <c r="F139" s="122"/>
      <c r="G139" s="114">
        <v>15</v>
      </c>
      <c r="H139" s="122"/>
      <c r="I139" s="129"/>
      <c r="J139" s="145"/>
      <c r="K139" s="34">
        <f t="shared" si="30"/>
        <v>63</v>
      </c>
      <c r="L139" s="33" t="s">
        <v>16</v>
      </c>
      <c r="M139" s="33" t="s">
        <v>48</v>
      </c>
      <c r="N139" s="33" t="s">
        <v>106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85" t="s">
        <v>301</v>
      </c>
      <c r="S139" s="31"/>
    </row>
    <row r="140" spans="1:22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317</v>
      </c>
      <c r="E140" s="121" t="s">
        <v>246</v>
      </c>
      <c r="F140" s="122"/>
      <c r="G140" s="114">
        <v>18</v>
      </c>
      <c r="H140" s="122"/>
      <c r="I140" s="129"/>
      <c r="J140" s="145"/>
      <c r="K140" s="28">
        <f t="shared" si="30"/>
        <v>75.600000000000009</v>
      </c>
      <c r="L140" s="26" t="s">
        <v>20</v>
      </c>
      <c r="M140" s="26" t="s">
        <v>53</v>
      </c>
      <c r="N140" s="26" t="s">
        <v>47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317</v>
      </c>
      <c r="E141" s="121" t="s">
        <v>246</v>
      </c>
      <c r="F141" s="122"/>
      <c r="G141" s="114">
        <v>18</v>
      </c>
      <c r="H141" s="122"/>
      <c r="I141" s="129"/>
      <c r="J141" s="145"/>
      <c r="K141" s="34">
        <f t="shared" si="30"/>
        <v>75.600000000000009</v>
      </c>
      <c r="L141" s="33" t="s">
        <v>20</v>
      </c>
      <c r="M141" s="33" t="s">
        <v>137</v>
      </c>
      <c r="N141" s="33" t="s">
        <v>70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317</v>
      </c>
      <c r="E142" s="121" t="s">
        <v>246</v>
      </c>
      <c r="F142" s="122"/>
      <c r="G142" s="114">
        <v>14</v>
      </c>
      <c r="H142" s="122"/>
      <c r="I142" s="129"/>
      <c r="J142" s="145"/>
      <c r="K142" s="28">
        <f t="shared" si="30"/>
        <v>58.800000000000004</v>
      </c>
      <c r="L142" s="26" t="s">
        <v>20</v>
      </c>
      <c r="M142" s="26" t="s">
        <v>48</v>
      </c>
      <c r="N142" s="26" t="s">
        <v>47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317</v>
      </c>
      <c r="E143" s="121" t="s">
        <v>246</v>
      </c>
      <c r="F143" s="122"/>
      <c r="G143" s="114">
        <v>17</v>
      </c>
      <c r="H143" s="122"/>
      <c r="I143" s="129"/>
      <c r="J143" s="145"/>
      <c r="K143" s="34">
        <f t="shared" si="30"/>
        <v>71.400000000000006</v>
      </c>
      <c r="L143" s="33" t="s">
        <v>19</v>
      </c>
      <c r="M143" s="33" t="s">
        <v>158</v>
      </c>
      <c r="N143" s="33" t="s">
        <v>26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317</v>
      </c>
      <c r="E144" s="121" t="s">
        <v>246</v>
      </c>
      <c r="F144" s="122"/>
      <c r="G144" s="114">
        <v>12</v>
      </c>
      <c r="H144" s="122"/>
      <c r="I144" s="129"/>
      <c r="J144" s="145"/>
      <c r="K144" s="28">
        <f t="shared" si="30"/>
        <v>50.400000000000006</v>
      </c>
      <c r="L144" s="26" t="s">
        <v>16</v>
      </c>
      <c r="M144" s="26" t="s">
        <v>53</v>
      </c>
      <c r="N144" s="26" t="s">
        <v>106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317</v>
      </c>
      <c r="E145" s="121" t="s">
        <v>246</v>
      </c>
      <c r="F145" s="122"/>
      <c r="G145" s="114">
        <v>16</v>
      </c>
      <c r="H145" s="122"/>
      <c r="I145" s="129"/>
      <c r="J145" s="145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317</v>
      </c>
      <c r="E146" s="121" t="s">
        <v>246</v>
      </c>
      <c r="F146" s="122"/>
      <c r="G146" s="114">
        <v>12</v>
      </c>
      <c r="H146" s="122"/>
      <c r="I146" s="129"/>
      <c r="J146" s="145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85" t="s">
        <v>267</v>
      </c>
      <c r="S146" s="31"/>
    </row>
    <row r="147" spans="1:20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317</v>
      </c>
      <c r="E147" s="121" t="s">
        <v>246</v>
      </c>
      <c r="F147" s="122"/>
      <c r="G147" s="114">
        <v>10</v>
      </c>
      <c r="H147" s="122"/>
      <c r="I147" s="129"/>
      <c r="J147" s="145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8">
        <v>46240</v>
      </c>
      <c r="B148" s="25">
        <f t="shared" si="32"/>
        <v>0.79166666666666619</v>
      </c>
      <c r="C148" s="33" t="s">
        <v>21</v>
      </c>
      <c r="D148" s="62" t="s">
        <v>317</v>
      </c>
      <c r="E148" s="121" t="s">
        <v>246</v>
      </c>
      <c r="F148" s="118"/>
      <c r="G148" s="114">
        <v>6</v>
      </c>
      <c r="H148" s="118"/>
      <c r="I148" s="130"/>
      <c r="J148" s="146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86" t="s">
        <v>231</v>
      </c>
      <c r="B149" s="87"/>
      <c r="C149" s="87"/>
      <c r="D149" s="87"/>
      <c r="E149" s="87">
        <f>SUM(E137:E148)</f>
        <v>0</v>
      </c>
      <c r="F149" s="123"/>
      <c r="G149" s="88">
        <f>SUM(G137:G148)</f>
        <v>182</v>
      </c>
      <c r="H149" s="123"/>
      <c r="I149" s="131"/>
      <c r="J149" s="147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232</v>
      </c>
      <c r="S149" s="39">
        <v>797860</v>
      </c>
      <c r="T149" s="141">
        <f>IFERROR(J149,"")</f>
        <v>0</v>
      </c>
    </row>
    <row r="150" spans="1:20" ht="15" customHeight="1" x14ac:dyDescent="0.3">
      <c r="A150" s="68">
        <v>46240</v>
      </c>
      <c r="B150" s="25">
        <v>0.83333333333333304</v>
      </c>
      <c r="C150" s="26" t="s">
        <v>42</v>
      </c>
      <c r="D150" s="59" t="s">
        <v>317</v>
      </c>
      <c r="E150" s="120" t="s">
        <v>246</v>
      </c>
      <c r="F150" s="119"/>
      <c r="G150" s="114">
        <v>10</v>
      </c>
      <c r="H150" s="119"/>
      <c r="I150" s="132"/>
      <c r="J150" s="148"/>
      <c r="K150" s="28">
        <f t="shared" ref="K150:K161" si="33">IF(G150="","",IF(E150="PC 17",G150*4.2,IF(E150="PC 19",G150*5,IF(E150="CB",G150*24,""))))</f>
        <v>42</v>
      </c>
      <c r="L150" s="26" t="s">
        <v>19</v>
      </c>
      <c r="M150" s="26" t="s">
        <v>158</v>
      </c>
      <c r="N150" s="26" t="s">
        <v>26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302</v>
      </c>
      <c r="S150" s="31"/>
    </row>
    <row r="151" spans="1:20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42</v>
      </c>
      <c r="D151" s="59" t="s">
        <v>317</v>
      </c>
      <c r="E151" s="120" t="s">
        <v>246</v>
      </c>
      <c r="F151" s="122"/>
      <c r="G151" s="114">
        <v>11</v>
      </c>
      <c r="H151" s="122"/>
      <c r="I151" s="129"/>
      <c r="J151" s="145"/>
      <c r="K151" s="34">
        <f t="shared" si="33"/>
        <v>46.2</v>
      </c>
      <c r="L151" s="33" t="s">
        <v>16</v>
      </c>
      <c r="M151" s="33" t="s">
        <v>136</v>
      </c>
      <c r="N151" s="33" t="s">
        <v>54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303</v>
      </c>
      <c r="S151" s="31"/>
    </row>
    <row r="152" spans="1:20" ht="15" customHeight="1" x14ac:dyDescent="0.3">
      <c r="A152" s="68">
        <v>46240</v>
      </c>
      <c r="B152" s="25">
        <f t="shared" si="35"/>
        <v>0.9166666666666663</v>
      </c>
      <c r="C152" s="26" t="s">
        <v>42</v>
      </c>
      <c r="D152" s="59" t="s">
        <v>317</v>
      </c>
      <c r="E152" s="120" t="s">
        <v>246</v>
      </c>
      <c r="F152" s="122"/>
      <c r="G152" s="114">
        <v>10</v>
      </c>
      <c r="H152" s="122"/>
      <c r="I152" s="129"/>
      <c r="J152" s="145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9">
        <v>46240</v>
      </c>
      <c r="B153" s="32">
        <f t="shared" si="35"/>
        <v>0.95833333333333293</v>
      </c>
      <c r="C153" s="26" t="s">
        <v>42</v>
      </c>
      <c r="D153" s="59" t="s">
        <v>317</v>
      </c>
      <c r="E153" s="120" t="s">
        <v>246</v>
      </c>
      <c r="F153" s="122"/>
      <c r="G153" s="114">
        <v>7</v>
      </c>
      <c r="H153" s="122"/>
      <c r="I153" s="129"/>
      <c r="J153" s="145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8">
        <v>46240</v>
      </c>
      <c r="B154" s="25">
        <f t="shared" si="35"/>
        <v>0.99999999999999956</v>
      </c>
      <c r="C154" s="26" t="s">
        <v>42</v>
      </c>
      <c r="D154" s="59" t="s">
        <v>317</v>
      </c>
      <c r="E154" s="120" t="s">
        <v>246</v>
      </c>
      <c r="F154" s="122"/>
      <c r="G154" s="114">
        <v>10</v>
      </c>
      <c r="H154" s="122"/>
      <c r="I154" s="129"/>
      <c r="J154" s="145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9">
        <v>46240</v>
      </c>
      <c r="B155" s="32">
        <f t="shared" si="35"/>
        <v>1.0416666666666663</v>
      </c>
      <c r="C155" s="26" t="s">
        <v>42</v>
      </c>
      <c r="D155" s="59" t="s">
        <v>317</v>
      </c>
      <c r="E155" s="120" t="s">
        <v>246</v>
      </c>
      <c r="F155" s="122"/>
      <c r="G155" s="114">
        <v>10</v>
      </c>
      <c r="H155" s="122"/>
      <c r="I155" s="129"/>
      <c r="J155" s="145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8">
        <v>46240</v>
      </c>
      <c r="B156" s="25">
        <f t="shared" si="35"/>
        <v>1.083333333333333</v>
      </c>
      <c r="C156" s="26" t="s">
        <v>42</v>
      </c>
      <c r="D156" s="59" t="s">
        <v>317</v>
      </c>
      <c r="E156" s="120" t="s">
        <v>246</v>
      </c>
      <c r="F156" s="122"/>
      <c r="G156" s="114">
        <v>19</v>
      </c>
      <c r="H156" s="122"/>
      <c r="I156" s="129"/>
      <c r="J156" s="145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9">
        <v>46240</v>
      </c>
      <c r="B157" s="32">
        <f t="shared" si="35"/>
        <v>1.1249999999999998</v>
      </c>
      <c r="C157" s="26" t="s">
        <v>42</v>
      </c>
      <c r="D157" s="59" t="s">
        <v>317</v>
      </c>
      <c r="E157" s="120" t="s">
        <v>246</v>
      </c>
      <c r="F157" s="122"/>
      <c r="G157" s="114">
        <v>16</v>
      </c>
      <c r="H157" s="122"/>
      <c r="I157" s="129"/>
      <c r="J157" s="145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8">
        <v>46240</v>
      </c>
      <c r="B158" s="25">
        <f t="shared" si="35"/>
        <v>1.1666666666666665</v>
      </c>
      <c r="C158" s="26" t="s">
        <v>42</v>
      </c>
      <c r="D158" s="59" t="s">
        <v>317</v>
      </c>
      <c r="E158" s="120" t="s">
        <v>246</v>
      </c>
      <c r="F158" s="122"/>
      <c r="G158" s="114">
        <v>19</v>
      </c>
      <c r="H158" s="122"/>
      <c r="I158" s="129"/>
      <c r="J158" s="145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9">
        <v>46240</v>
      </c>
      <c r="B159" s="32">
        <f t="shared" si="35"/>
        <v>1.2083333333333333</v>
      </c>
      <c r="C159" s="26" t="s">
        <v>42</v>
      </c>
      <c r="D159" s="59" t="s">
        <v>317</v>
      </c>
      <c r="E159" s="120" t="s">
        <v>246</v>
      </c>
      <c r="F159" s="122"/>
      <c r="G159" s="114">
        <v>14</v>
      </c>
      <c r="H159" s="122"/>
      <c r="I159" s="129"/>
      <c r="J159" s="145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8">
        <v>46240</v>
      </c>
      <c r="B160" s="25">
        <f t="shared" si="35"/>
        <v>1.25</v>
      </c>
      <c r="C160" s="26" t="s">
        <v>42</v>
      </c>
      <c r="D160" s="59" t="s">
        <v>317</v>
      </c>
      <c r="E160" s="120" t="s">
        <v>246</v>
      </c>
      <c r="F160" s="122"/>
      <c r="G160" s="114">
        <v>0</v>
      </c>
      <c r="H160" s="122"/>
      <c r="I160" s="129"/>
      <c r="J160" s="145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9">
        <v>46240</v>
      </c>
      <c r="B161" s="32">
        <f t="shared" si="35"/>
        <v>1.2916666666666667</v>
      </c>
      <c r="C161" s="26" t="s">
        <v>42</v>
      </c>
      <c r="D161" s="59" t="s">
        <v>317</v>
      </c>
      <c r="E161" s="120" t="s">
        <v>246</v>
      </c>
      <c r="F161" s="118"/>
      <c r="G161" s="114">
        <v>0</v>
      </c>
      <c r="H161" s="118"/>
      <c r="I161" s="130"/>
      <c r="J161" s="146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8" t="s">
        <v>234</v>
      </c>
      <c r="B162" s="169"/>
      <c r="C162" s="169"/>
      <c r="D162" s="169"/>
      <c r="E162" s="169">
        <f>SUM(E150:E161)</f>
        <v>0</v>
      </c>
      <c r="F162" s="124"/>
      <c r="G162" s="88">
        <f>SUM(G150:G161)</f>
        <v>126</v>
      </c>
      <c r="H162" s="124"/>
      <c r="I162" s="133"/>
      <c r="J162" s="149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232</v>
      </c>
      <c r="S162" s="39">
        <v>573230</v>
      </c>
      <c r="T162" s="141">
        <f>IFERROR(J162,"")</f>
        <v>0</v>
      </c>
    </row>
    <row r="163" spans="1:20" ht="18" customHeight="1" x14ac:dyDescent="0.3">
      <c r="A163" s="165" t="s">
        <v>235</v>
      </c>
      <c r="B163" s="166"/>
      <c r="C163" s="166"/>
      <c r="D163" s="166"/>
      <c r="E163" s="166">
        <f>E149+E162</f>
        <v>0</v>
      </c>
      <c r="F163" s="125"/>
      <c r="G163" s="100">
        <f>G149+G162</f>
        <v>308</v>
      </c>
      <c r="H163" s="125"/>
      <c r="I163" s="134"/>
      <c r="J163" s="150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236</v>
      </c>
      <c r="S163" s="43">
        <f>IFERROR(S149+S162,"")</f>
        <v>1371090</v>
      </c>
      <c r="T163" s="142">
        <f>IFERROR(J163,"")</f>
        <v>0</v>
      </c>
    </row>
    <row r="164" spans="1:20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317</v>
      </c>
      <c r="E164" s="120" t="s">
        <v>246</v>
      </c>
      <c r="F164" s="119"/>
      <c r="G164" s="114">
        <v>5</v>
      </c>
      <c r="H164" s="119"/>
      <c r="I164" s="132"/>
      <c r="J164" s="148"/>
      <c r="K164" s="28">
        <f t="shared" ref="K164:K175" si="36">IF(G164="","",IF(E164="PC 17",G164*4.2,IF(E164="PC 19",G164*5,IF(E164="CB",G164*24,""))))</f>
        <v>21</v>
      </c>
      <c r="L164" s="26" t="s">
        <v>20</v>
      </c>
      <c r="M164" s="26" t="s">
        <v>136</v>
      </c>
      <c r="N164" s="26" t="s">
        <v>130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317</v>
      </c>
      <c r="E165" s="120" t="s">
        <v>246</v>
      </c>
      <c r="F165" s="122"/>
      <c r="G165" s="114">
        <v>17</v>
      </c>
      <c r="H165" s="122"/>
      <c r="I165" s="129"/>
      <c r="J165" s="145"/>
      <c r="K165" s="34">
        <f t="shared" si="36"/>
        <v>71.400000000000006</v>
      </c>
      <c r="L165" s="33" t="s">
        <v>20</v>
      </c>
      <c r="M165" s="33" t="s">
        <v>158</v>
      </c>
      <c r="N165" s="33" t="s">
        <v>179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317</v>
      </c>
      <c r="E166" s="120" t="s">
        <v>246</v>
      </c>
      <c r="F166" s="122"/>
      <c r="G166" s="114">
        <v>23</v>
      </c>
      <c r="H166" s="122"/>
      <c r="I166" s="129"/>
      <c r="J166" s="145"/>
      <c r="K166" s="28">
        <f t="shared" si="36"/>
        <v>96.600000000000009</v>
      </c>
      <c r="L166" s="26" t="s">
        <v>19</v>
      </c>
      <c r="M166" s="26" t="s">
        <v>158</v>
      </c>
      <c r="N166" s="26" t="s">
        <v>26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317</v>
      </c>
      <c r="E167" s="120" t="s">
        <v>246</v>
      </c>
      <c r="F167" s="122"/>
      <c r="G167" s="114">
        <v>14</v>
      </c>
      <c r="H167" s="122"/>
      <c r="I167" s="129"/>
      <c r="J167" s="145"/>
      <c r="K167" s="34">
        <f t="shared" si="36"/>
        <v>58.800000000000004</v>
      </c>
      <c r="L167" s="33" t="s">
        <v>20</v>
      </c>
      <c r="M167" s="33" t="s">
        <v>53</v>
      </c>
      <c r="N167" s="33" t="s">
        <v>34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317</v>
      </c>
      <c r="E168" s="120" t="s">
        <v>246</v>
      </c>
      <c r="F168" s="122"/>
      <c r="G168" s="114">
        <v>10</v>
      </c>
      <c r="H168" s="122"/>
      <c r="I168" s="129"/>
      <c r="J168" s="145"/>
      <c r="K168" s="28">
        <f t="shared" si="36"/>
        <v>42</v>
      </c>
      <c r="L168" s="26" t="s">
        <v>18</v>
      </c>
      <c r="M168" s="26" t="s">
        <v>53</v>
      </c>
      <c r="N168" s="26" t="s">
        <v>152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317</v>
      </c>
      <c r="E169" s="120" t="s">
        <v>246</v>
      </c>
      <c r="F169" s="122"/>
      <c r="G169" s="114">
        <v>14</v>
      </c>
      <c r="H169" s="122"/>
      <c r="I169" s="129"/>
      <c r="J169" s="145"/>
      <c r="K169" s="34">
        <f t="shared" si="36"/>
        <v>58.800000000000004</v>
      </c>
      <c r="L169" s="33" t="s">
        <v>20</v>
      </c>
      <c r="M169" s="33" t="s">
        <v>137</v>
      </c>
      <c r="N169" s="33" t="s">
        <v>70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317</v>
      </c>
      <c r="E170" s="120" t="s">
        <v>246</v>
      </c>
      <c r="F170" s="122"/>
      <c r="G170" s="114">
        <v>18</v>
      </c>
      <c r="H170" s="122"/>
      <c r="I170" s="129"/>
      <c r="J170" s="145"/>
      <c r="K170" s="28">
        <f t="shared" si="36"/>
        <v>75.600000000000009</v>
      </c>
      <c r="L170" s="26" t="s">
        <v>19</v>
      </c>
      <c r="M170" s="26" t="s">
        <v>158</v>
      </c>
      <c r="N170" s="26" t="s">
        <v>26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304</v>
      </c>
      <c r="S170" s="31"/>
    </row>
    <row r="171" spans="1:20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317</v>
      </c>
      <c r="E171" s="120" t="s">
        <v>246</v>
      </c>
      <c r="F171" s="122"/>
      <c r="G171" s="114">
        <v>17</v>
      </c>
      <c r="H171" s="122"/>
      <c r="I171" s="129"/>
      <c r="J171" s="145"/>
      <c r="K171" s="34">
        <f t="shared" si="36"/>
        <v>71.400000000000006</v>
      </c>
      <c r="L171" s="33" t="s">
        <v>20</v>
      </c>
      <c r="M171" s="33" t="s">
        <v>137</v>
      </c>
      <c r="N171" s="33" t="s">
        <v>70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317</v>
      </c>
      <c r="E172" s="120" t="s">
        <v>246</v>
      </c>
      <c r="F172" s="122"/>
      <c r="G172" s="114">
        <v>10</v>
      </c>
      <c r="H172" s="122"/>
      <c r="I172" s="129"/>
      <c r="J172" s="145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317</v>
      </c>
      <c r="E173" s="120" t="s">
        <v>246</v>
      </c>
      <c r="F173" s="122"/>
      <c r="G173" s="114">
        <v>14</v>
      </c>
      <c r="H173" s="122"/>
      <c r="I173" s="129"/>
      <c r="J173" s="145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317</v>
      </c>
      <c r="E174" s="120" t="s">
        <v>246</v>
      </c>
      <c r="F174" s="122"/>
      <c r="G174" s="114">
        <v>15</v>
      </c>
      <c r="H174" s="122"/>
      <c r="I174" s="129"/>
      <c r="J174" s="145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9">
        <v>46241</v>
      </c>
      <c r="B175" s="32">
        <f t="shared" si="38"/>
        <v>0.79166666666666619</v>
      </c>
      <c r="C175" s="26" t="s">
        <v>21</v>
      </c>
      <c r="D175" s="59" t="s">
        <v>317</v>
      </c>
      <c r="E175" s="120" t="s">
        <v>246</v>
      </c>
      <c r="F175" s="118"/>
      <c r="G175" s="114">
        <v>5</v>
      </c>
      <c r="H175" s="118"/>
      <c r="I175" s="130"/>
      <c r="J175" s="146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8" t="s">
        <v>231</v>
      </c>
      <c r="B176" s="169"/>
      <c r="C176" s="169"/>
      <c r="D176" s="169"/>
      <c r="E176" s="169">
        <f>SUM(E164:E175)</f>
        <v>0</v>
      </c>
      <c r="F176" s="123"/>
      <c r="G176" s="88">
        <f>SUM(G164:G175)</f>
        <v>162</v>
      </c>
      <c r="H176" s="123"/>
      <c r="I176" s="131"/>
      <c r="J176" s="147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232</v>
      </c>
      <c r="S176" s="39">
        <v>659400</v>
      </c>
      <c r="T176" s="141">
        <f>IFERROR(J176,"")</f>
        <v>0</v>
      </c>
    </row>
    <row r="177" spans="1:20" ht="15" customHeight="1" x14ac:dyDescent="0.3">
      <c r="A177" s="69">
        <v>46241</v>
      </c>
      <c r="B177" s="32">
        <v>0.83333333333333304</v>
      </c>
      <c r="C177" s="33" t="s">
        <v>42</v>
      </c>
      <c r="D177" s="62" t="s">
        <v>317</v>
      </c>
      <c r="E177" s="121" t="s">
        <v>246</v>
      </c>
      <c r="F177" s="119"/>
      <c r="G177" s="114">
        <v>12</v>
      </c>
      <c r="H177" s="119"/>
      <c r="I177" s="132"/>
      <c r="J177" s="148"/>
      <c r="K177" s="34">
        <f t="shared" ref="K177:K188" si="39">IF(G177="","",IF(E177="PC 17",G177*4.2,IF(E177="PC 19",G177*5,IF(E177="CB",G177*24,""))))</f>
        <v>50.400000000000006</v>
      </c>
      <c r="L177" s="33" t="s">
        <v>17</v>
      </c>
      <c r="M177" s="33"/>
      <c r="N177" s="33" t="s">
        <v>113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305</v>
      </c>
      <c r="S177" s="31"/>
    </row>
    <row r="178" spans="1:20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42</v>
      </c>
      <c r="D178" s="62" t="s">
        <v>317</v>
      </c>
      <c r="E178" s="121" t="s">
        <v>246</v>
      </c>
      <c r="F178" s="122"/>
      <c r="G178" s="114">
        <v>8</v>
      </c>
      <c r="H178" s="122"/>
      <c r="I178" s="129"/>
      <c r="J178" s="145"/>
      <c r="K178" s="28">
        <f t="shared" si="39"/>
        <v>33.6</v>
      </c>
      <c r="L178" s="26" t="s">
        <v>18</v>
      </c>
      <c r="M178" s="26" t="s">
        <v>137</v>
      </c>
      <c r="N178" s="26" t="s">
        <v>126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9">
        <v>46241</v>
      </c>
      <c r="B179" s="32">
        <f t="shared" si="41"/>
        <v>0.9166666666666663</v>
      </c>
      <c r="C179" s="33" t="s">
        <v>42</v>
      </c>
      <c r="D179" s="62" t="s">
        <v>317</v>
      </c>
      <c r="E179" s="121" t="s">
        <v>246</v>
      </c>
      <c r="F179" s="122"/>
      <c r="G179" s="114">
        <v>6</v>
      </c>
      <c r="H179" s="122"/>
      <c r="I179" s="129"/>
      <c r="J179" s="145"/>
      <c r="K179" s="34">
        <f t="shared" si="39"/>
        <v>25.200000000000003</v>
      </c>
      <c r="L179" s="33" t="s">
        <v>19</v>
      </c>
      <c r="M179" s="33" t="s">
        <v>158</v>
      </c>
      <c r="N179" s="26" t="s">
        <v>26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8">
        <v>46241</v>
      </c>
      <c r="B180" s="25">
        <f t="shared" si="41"/>
        <v>0.95833333333333293</v>
      </c>
      <c r="C180" s="33" t="s">
        <v>42</v>
      </c>
      <c r="D180" s="62" t="s">
        <v>317</v>
      </c>
      <c r="E180" s="121" t="s">
        <v>246</v>
      </c>
      <c r="F180" s="122"/>
      <c r="G180" s="114">
        <v>23</v>
      </c>
      <c r="H180" s="122"/>
      <c r="I180" s="129"/>
      <c r="J180" s="145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9">
        <v>46241</v>
      </c>
      <c r="B181" s="32">
        <f t="shared" si="41"/>
        <v>0.99999999999999956</v>
      </c>
      <c r="C181" s="33" t="s">
        <v>42</v>
      </c>
      <c r="D181" s="62" t="s">
        <v>317</v>
      </c>
      <c r="E181" s="121" t="s">
        <v>246</v>
      </c>
      <c r="F181" s="122"/>
      <c r="G181" s="114">
        <v>10</v>
      </c>
      <c r="H181" s="122"/>
      <c r="I181" s="129"/>
      <c r="J181" s="145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8">
        <v>46241</v>
      </c>
      <c r="B182" s="25">
        <f t="shared" si="41"/>
        <v>1.0416666666666663</v>
      </c>
      <c r="C182" s="33" t="s">
        <v>42</v>
      </c>
      <c r="D182" s="62" t="s">
        <v>317</v>
      </c>
      <c r="E182" s="121" t="s">
        <v>246</v>
      </c>
      <c r="F182" s="122"/>
      <c r="G182" s="114">
        <v>13</v>
      </c>
      <c r="H182" s="122"/>
      <c r="I182" s="129"/>
      <c r="J182" s="145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9">
        <v>46241</v>
      </c>
      <c r="B183" s="32">
        <f t="shared" si="41"/>
        <v>1.083333333333333</v>
      </c>
      <c r="C183" s="33" t="s">
        <v>42</v>
      </c>
      <c r="D183" s="62" t="s">
        <v>317</v>
      </c>
      <c r="E183" s="121" t="s">
        <v>246</v>
      </c>
      <c r="F183" s="122"/>
      <c r="G183" s="114">
        <v>16</v>
      </c>
      <c r="H183" s="122"/>
      <c r="I183" s="129"/>
      <c r="J183" s="145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8">
        <v>46241</v>
      </c>
      <c r="B184" s="25">
        <f t="shared" si="41"/>
        <v>1.1249999999999998</v>
      </c>
      <c r="C184" s="33" t="s">
        <v>42</v>
      </c>
      <c r="D184" s="62" t="s">
        <v>317</v>
      </c>
      <c r="E184" s="121" t="s">
        <v>246</v>
      </c>
      <c r="F184" s="122"/>
      <c r="G184" s="114">
        <v>9</v>
      </c>
      <c r="H184" s="122"/>
      <c r="I184" s="129"/>
      <c r="J184" s="145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9">
        <v>46241</v>
      </c>
      <c r="B185" s="32">
        <f t="shared" si="41"/>
        <v>1.1666666666666665</v>
      </c>
      <c r="C185" s="33" t="s">
        <v>42</v>
      </c>
      <c r="D185" s="62" t="s">
        <v>317</v>
      </c>
      <c r="E185" s="121" t="s">
        <v>246</v>
      </c>
      <c r="F185" s="122"/>
      <c r="G185" s="114">
        <v>19</v>
      </c>
      <c r="H185" s="122"/>
      <c r="I185" s="129"/>
      <c r="J185" s="145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8">
        <v>46241</v>
      </c>
      <c r="B186" s="25">
        <f t="shared" si="41"/>
        <v>1.2083333333333333</v>
      </c>
      <c r="C186" s="33" t="s">
        <v>42</v>
      </c>
      <c r="D186" s="62" t="s">
        <v>317</v>
      </c>
      <c r="E186" s="121" t="s">
        <v>246</v>
      </c>
      <c r="F186" s="122"/>
      <c r="G186" s="114">
        <v>20</v>
      </c>
      <c r="H186" s="122"/>
      <c r="I186" s="129"/>
      <c r="J186" s="145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9">
        <v>46241</v>
      </c>
      <c r="B187" s="32">
        <f t="shared" si="41"/>
        <v>1.25</v>
      </c>
      <c r="C187" s="33" t="s">
        <v>42</v>
      </c>
      <c r="D187" s="62" t="s">
        <v>317</v>
      </c>
      <c r="E187" s="121" t="s">
        <v>246</v>
      </c>
      <c r="F187" s="122"/>
      <c r="G187" s="114">
        <v>18</v>
      </c>
      <c r="H187" s="122"/>
      <c r="I187" s="129"/>
      <c r="J187" s="145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8">
        <v>46241</v>
      </c>
      <c r="B188" s="25">
        <f t="shared" si="41"/>
        <v>1.2916666666666667</v>
      </c>
      <c r="C188" s="33" t="s">
        <v>42</v>
      </c>
      <c r="D188" s="62" t="s">
        <v>317</v>
      </c>
      <c r="E188" s="121" t="s">
        <v>246</v>
      </c>
      <c r="F188" s="118"/>
      <c r="G188" s="114">
        <v>8</v>
      </c>
      <c r="H188" s="118"/>
      <c r="I188" s="130"/>
      <c r="J188" s="146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8" t="s">
        <v>234</v>
      </c>
      <c r="B189" s="169"/>
      <c r="C189" s="169"/>
      <c r="D189" s="169"/>
      <c r="E189" s="169">
        <f>SUM(E177:E188)</f>
        <v>0</v>
      </c>
      <c r="F189" s="124"/>
      <c r="G189" s="88">
        <f>SUM(G177:G188)</f>
        <v>162</v>
      </c>
      <c r="H189" s="124"/>
      <c r="I189" s="133"/>
      <c r="J189" s="149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232</v>
      </c>
      <c r="S189" s="39">
        <v>692750</v>
      </c>
      <c r="T189" s="141">
        <f>IFERROR(J189,"")</f>
        <v>0</v>
      </c>
    </row>
    <row r="190" spans="1:20" ht="18" customHeight="1" x14ac:dyDescent="0.3">
      <c r="A190" s="165" t="s">
        <v>235</v>
      </c>
      <c r="B190" s="166"/>
      <c r="C190" s="166"/>
      <c r="D190" s="166"/>
      <c r="E190" s="166">
        <f>E176+E189</f>
        <v>0</v>
      </c>
      <c r="F190" s="125"/>
      <c r="G190" s="100">
        <f>G176+G189</f>
        <v>324</v>
      </c>
      <c r="H190" s="125"/>
      <c r="I190" s="134"/>
      <c r="J190" s="150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236</v>
      </c>
      <c r="S190" s="43">
        <f>IFERROR(S176+S189,"")</f>
        <v>1352150</v>
      </c>
      <c r="T190" s="142">
        <f>IFERROR(J190,"")</f>
        <v>0</v>
      </c>
    </row>
    <row r="191" spans="1:20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317</v>
      </c>
      <c r="E191" s="121" t="s">
        <v>246</v>
      </c>
      <c r="F191" s="119"/>
      <c r="G191" s="114">
        <v>15</v>
      </c>
      <c r="H191" s="119"/>
      <c r="I191" s="132"/>
      <c r="J191" s="148"/>
      <c r="K191" s="34">
        <f t="shared" ref="K191:K202" si="42">IF(G191="","",IF(E191="PC 17",G191*4.2,IF(E191="PC 19",G191*5,IF(E191="CB",G191*24,""))))</f>
        <v>63</v>
      </c>
      <c r="L191" s="33" t="s">
        <v>19</v>
      </c>
      <c r="M191" s="33" t="s">
        <v>158</v>
      </c>
      <c r="N191" s="33" t="s">
        <v>26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317</v>
      </c>
      <c r="E192" s="121" t="s">
        <v>246</v>
      </c>
      <c r="F192" s="122"/>
      <c r="G192" s="114">
        <v>15</v>
      </c>
      <c r="H192" s="122"/>
      <c r="I192" s="129"/>
      <c r="J192" s="145"/>
      <c r="K192" s="28">
        <f t="shared" si="42"/>
        <v>63</v>
      </c>
      <c r="L192" s="26" t="s">
        <v>18</v>
      </c>
      <c r="M192" s="26" t="s">
        <v>48</v>
      </c>
      <c r="N192" s="33" t="s">
        <v>152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306</v>
      </c>
      <c r="S192" s="31"/>
    </row>
    <row r="193" spans="1:20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317</v>
      </c>
      <c r="E193" s="121" t="s">
        <v>246</v>
      </c>
      <c r="F193" s="122"/>
      <c r="G193" s="114">
        <v>14</v>
      </c>
      <c r="H193" s="122"/>
      <c r="I193" s="129"/>
      <c r="J193" s="145"/>
      <c r="K193" s="34">
        <f t="shared" si="42"/>
        <v>58.800000000000004</v>
      </c>
      <c r="L193" s="33" t="s">
        <v>20</v>
      </c>
      <c r="M193" s="33" t="s">
        <v>53</v>
      </c>
      <c r="N193" s="33" t="s">
        <v>27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317</v>
      </c>
      <c r="E194" s="121" t="s">
        <v>246</v>
      </c>
      <c r="F194" s="122"/>
      <c r="G194" s="114">
        <v>18</v>
      </c>
      <c r="H194" s="122"/>
      <c r="I194" s="129"/>
      <c r="J194" s="145"/>
      <c r="K194" s="28">
        <f t="shared" si="42"/>
        <v>75.600000000000009</v>
      </c>
      <c r="L194" s="26" t="s">
        <v>20</v>
      </c>
      <c r="M194" s="26" t="s">
        <v>153</v>
      </c>
      <c r="N194" s="26" t="s">
        <v>70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317</v>
      </c>
      <c r="E195" s="121" t="s">
        <v>246</v>
      </c>
      <c r="F195" s="122"/>
      <c r="G195" s="114">
        <v>10</v>
      </c>
      <c r="H195" s="122"/>
      <c r="I195" s="129"/>
      <c r="J195" s="145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317</v>
      </c>
      <c r="E196" s="121" t="s">
        <v>246</v>
      </c>
      <c r="F196" s="122"/>
      <c r="G196" s="114">
        <v>17</v>
      </c>
      <c r="H196" s="122"/>
      <c r="I196" s="129"/>
      <c r="J196" s="145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317</v>
      </c>
      <c r="E197" s="121" t="s">
        <v>246</v>
      </c>
      <c r="F197" s="122"/>
      <c r="G197" s="114">
        <v>0</v>
      </c>
      <c r="H197" s="122"/>
      <c r="I197" s="129"/>
      <c r="J197" s="145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317</v>
      </c>
      <c r="E198" s="121" t="s">
        <v>246</v>
      </c>
      <c r="F198" s="122"/>
      <c r="G198" s="114">
        <v>16</v>
      </c>
      <c r="H198" s="122"/>
      <c r="I198" s="129"/>
      <c r="J198" s="145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317</v>
      </c>
      <c r="E199" s="121" t="s">
        <v>246</v>
      </c>
      <c r="F199" s="122"/>
      <c r="G199" s="114">
        <v>17</v>
      </c>
      <c r="H199" s="122"/>
      <c r="I199" s="129"/>
      <c r="J199" s="145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317</v>
      </c>
      <c r="E200" s="121" t="s">
        <v>246</v>
      </c>
      <c r="F200" s="122"/>
      <c r="G200" s="114">
        <v>20</v>
      </c>
      <c r="H200" s="122"/>
      <c r="I200" s="129"/>
      <c r="J200" s="145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317</v>
      </c>
      <c r="E201" s="121" t="s">
        <v>246</v>
      </c>
      <c r="F201" s="122"/>
      <c r="G201" s="114">
        <v>10</v>
      </c>
      <c r="H201" s="122"/>
      <c r="I201" s="129"/>
      <c r="J201" s="145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8">
        <v>46242</v>
      </c>
      <c r="B202" s="25">
        <f t="shared" si="44"/>
        <v>0.79166666666666619</v>
      </c>
      <c r="C202" s="33" t="s">
        <v>21</v>
      </c>
      <c r="D202" s="62" t="s">
        <v>317</v>
      </c>
      <c r="E202" s="121" t="s">
        <v>246</v>
      </c>
      <c r="F202" s="118"/>
      <c r="G202" s="114">
        <v>9</v>
      </c>
      <c r="H202" s="118"/>
      <c r="I202" s="130"/>
      <c r="J202" s="146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8" t="s">
        <v>231</v>
      </c>
      <c r="B203" s="169"/>
      <c r="C203" s="169"/>
      <c r="D203" s="169"/>
      <c r="E203" s="169">
        <f>SUM(E191:E202)</f>
        <v>0</v>
      </c>
      <c r="F203" s="123"/>
      <c r="G203" s="88">
        <f>SUM(G191:G202)</f>
        <v>161</v>
      </c>
      <c r="H203" s="123"/>
      <c r="I203" s="131"/>
      <c r="J203" s="147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232</v>
      </c>
      <c r="S203" s="45">
        <v>790070</v>
      </c>
      <c r="T203" s="144">
        <f>IFERROR(J203,"")</f>
        <v>0</v>
      </c>
    </row>
    <row r="204" spans="1:20" ht="15" customHeight="1" x14ac:dyDescent="0.3">
      <c r="A204" s="68">
        <v>46242</v>
      </c>
      <c r="B204" s="25">
        <v>0.83333333333333304</v>
      </c>
      <c r="C204" s="26" t="s">
        <v>42</v>
      </c>
      <c r="D204" s="59" t="s">
        <v>317</v>
      </c>
      <c r="E204" s="120" t="s">
        <v>246</v>
      </c>
      <c r="F204" s="119"/>
      <c r="G204" s="114">
        <v>14</v>
      </c>
      <c r="H204" s="119"/>
      <c r="I204" s="132"/>
      <c r="J204" s="148"/>
      <c r="K204" s="28">
        <f t="shared" ref="K204:K215" si="45">IF(G204="","",IF(E204="PC 17",G204*4.2,IF(E204="PC 19",G204*5,IF(E204="CB",G204*24,""))))</f>
        <v>58.800000000000004</v>
      </c>
      <c r="L204" s="26" t="s">
        <v>18</v>
      </c>
      <c r="M204" s="33" t="s">
        <v>53</v>
      </c>
      <c r="N204" s="26" t="s">
        <v>32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307</v>
      </c>
      <c r="S204" s="60"/>
    </row>
    <row r="205" spans="1:20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42</v>
      </c>
      <c r="D205" s="59" t="s">
        <v>317</v>
      </c>
      <c r="E205" s="120" t="s">
        <v>246</v>
      </c>
      <c r="F205" s="122"/>
      <c r="G205" s="114">
        <v>6</v>
      </c>
      <c r="H205" s="122"/>
      <c r="I205" s="129"/>
      <c r="J205" s="145"/>
      <c r="K205" s="34">
        <f t="shared" si="45"/>
        <v>25.200000000000003</v>
      </c>
      <c r="L205" s="33" t="s">
        <v>20</v>
      </c>
      <c r="M205" s="57" t="s">
        <v>308</v>
      </c>
      <c r="N205" s="33" t="s">
        <v>27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8">
        <v>46242</v>
      </c>
      <c r="B206" s="25">
        <f t="shared" si="47"/>
        <v>0.9166666666666663</v>
      </c>
      <c r="C206" s="26" t="s">
        <v>42</v>
      </c>
      <c r="D206" s="59" t="s">
        <v>317</v>
      </c>
      <c r="E206" s="120" t="s">
        <v>246</v>
      </c>
      <c r="F206" s="122"/>
      <c r="G206" s="114">
        <v>0</v>
      </c>
      <c r="H206" s="122"/>
      <c r="I206" s="129"/>
      <c r="J206" s="145"/>
      <c r="K206" s="28">
        <f t="shared" si="45"/>
        <v>0</v>
      </c>
      <c r="L206" s="26" t="s">
        <v>20</v>
      </c>
      <c r="M206" s="26" t="s">
        <v>48</v>
      </c>
      <c r="N206" s="26" t="s">
        <v>34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309</v>
      </c>
      <c r="S206" s="60"/>
    </row>
    <row r="207" spans="1:20" ht="15" customHeight="1" x14ac:dyDescent="0.3">
      <c r="A207" s="69">
        <v>46242</v>
      </c>
      <c r="B207" s="32">
        <f t="shared" si="47"/>
        <v>0.95833333333333293</v>
      </c>
      <c r="C207" s="26" t="s">
        <v>42</v>
      </c>
      <c r="D207" s="59" t="s">
        <v>317</v>
      </c>
      <c r="E207" s="120" t="s">
        <v>246</v>
      </c>
      <c r="F207" s="122"/>
      <c r="G207" s="114">
        <v>0</v>
      </c>
      <c r="H207" s="122"/>
      <c r="I207" s="129"/>
      <c r="J207" s="145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8">
        <v>46242</v>
      </c>
      <c r="B208" s="25">
        <f t="shared" si="47"/>
        <v>0.99999999999999956</v>
      </c>
      <c r="C208" s="26" t="s">
        <v>42</v>
      </c>
      <c r="D208" s="59" t="s">
        <v>317</v>
      </c>
      <c r="E208" s="120" t="s">
        <v>246</v>
      </c>
      <c r="F208" s="122"/>
      <c r="G208" s="114">
        <v>0</v>
      </c>
      <c r="H208" s="122"/>
      <c r="I208" s="129"/>
      <c r="J208" s="145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9">
        <v>46242</v>
      </c>
      <c r="B209" s="32">
        <f t="shared" si="47"/>
        <v>1.0416666666666663</v>
      </c>
      <c r="C209" s="26" t="s">
        <v>42</v>
      </c>
      <c r="D209" s="59" t="s">
        <v>317</v>
      </c>
      <c r="E209" s="120" t="s">
        <v>246</v>
      </c>
      <c r="F209" s="122"/>
      <c r="G209" s="114">
        <v>20</v>
      </c>
      <c r="H209" s="122"/>
      <c r="I209" s="129"/>
      <c r="J209" s="145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8">
        <v>46242</v>
      </c>
      <c r="B210" s="25">
        <f t="shared" si="47"/>
        <v>1.083333333333333</v>
      </c>
      <c r="C210" s="26" t="s">
        <v>42</v>
      </c>
      <c r="D210" s="59" t="s">
        <v>317</v>
      </c>
      <c r="E210" s="120" t="s">
        <v>246</v>
      </c>
      <c r="F210" s="122"/>
      <c r="G210" s="114">
        <v>19</v>
      </c>
      <c r="H210" s="122"/>
      <c r="I210" s="129"/>
      <c r="J210" s="145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9">
        <v>46242</v>
      </c>
      <c r="B211" s="32">
        <f t="shared" si="47"/>
        <v>1.1249999999999998</v>
      </c>
      <c r="C211" s="26" t="s">
        <v>42</v>
      </c>
      <c r="D211" s="59" t="s">
        <v>317</v>
      </c>
      <c r="E211" s="120" t="s">
        <v>246</v>
      </c>
      <c r="F211" s="122"/>
      <c r="G211" s="114">
        <v>19</v>
      </c>
      <c r="H211" s="122"/>
      <c r="I211" s="129"/>
      <c r="J211" s="145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8">
        <v>46242</v>
      </c>
      <c r="B212" s="25">
        <f t="shared" si="47"/>
        <v>1.1666666666666665</v>
      </c>
      <c r="C212" s="26" t="s">
        <v>42</v>
      </c>
      <c r="D212" s="59" t="s">
        <v>317</v>
      </c>
      <c r="E212" s="120" t="s">
        <v>246</v>
      </c>
      <c r="F212" s="122"/>
      <c r="G212" s="114">
        <v>16</v>
      </c>
      <c r="H212" s="122"/>
      <c r="I212" s="129"/>
      <c r="J212" s="145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9">
        <v>46242</v>
      </c>
      <c r="B213" s="32">
        <f t="shared" si="47"/>
        <v>1.2083333333333333</v>
      </c>
      <c r="C213" s="26" t="s">
        <v>42</v>
      </c>
      <c r="D213" s="59" t="s">
        <v>317</v>
      </c>
      <c r="E213" s="120" t="s">
        <v>246</v>
      </c>
      <c r="F213" s="122"/>
      <c r="G213" s="114">
        <v>13</v>
      </c>
      <c r="H213" s="122"/>
      <c r="I213" s="129"/>
      <c r="J213" s="145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8">
        <v>46242</v>
      </c>
      <c r="B214" s="25">
        <f t="shared" si="47"/>
        <v>1.25</v>
      </c>
      <c r="C214" s="26" t="s">
        <v>42</v>
      </c>
      <c r="D214" s="59" t="s">
        <v>317</v>
      </c>
      <c r="E214" s="120" t="s">
        <v>246</v>
      </c>
      <c r="F214" s="122"/>
      <c r="G214" s="114">
        <v>17</v>
      </c>
      <c r="H214" s="122"/>
      <c r="I214" s="129"/>
      <c r="J214" s="145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9">
        <v>46242</v>
      </c>
      <c r="B215" s="32">
        <f t="shared" si="47"/>
        <v>1.2916666666666667</v>
      </c>
      <c r="C215" s="26" t="s">
        <v>42</v>
      </c>
      <c r="D215" s="59" t="s">
        <v>317</v>
      </c>
      <c r="E215" s="120" t="s">
        <v>246</v>
      </c>
      <c r="F215" s="118"/>
      <c r="G215" s="114">
        <v>12</v>
      </c>
      <c r="H215" s="118"/>
      <c r="I215" s="130"/>
      <c r="J215" s="146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68" t="s">
        <v>234</v>
      </c>
      <c r="B216" s="169"/>
      <c r="C216" s="169"/>
      <c r="D216" s="169"/>
      <c r="E216" s="169">
        <f>SUM(E204:E215)</f>
        <v>0</v>
      </c>
      <c r="F216" s="124"/>
      <c r="G216" s="88">
        <f>SUM(G204:G215)</f>
        <v>136</v>
      </c>
      <c r="H216" s="124"/>
      <c r="I216" s="133"/>
      <c r="J216" s="149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232</v>
      </c>
      <c r="S216" s="45">
        <v>607180</v>
      </c>
      <c r="T216" s="144">
        <f>IFERROR(J216,"")</f>
        <v>0</v>
      </c>
    </row>
    <row r="217" spans="1:20" ht="18" customHeight="1" x14ac:dyDescent="0.3">
      <c r="A217" s="165" t="s">
        <v>235</v>
      </c>
      <c r="B217" s="166"/>
      <c r="C217" s="166"/>
      <c r="D217" s="166"/>
      <c r="E217" s="166">
        <f>E203+E216</f>
        <v>0</v>
      </c>
      <c r="F217" s="125"/>
      <c r="G217" s="100">
        <f>G203+G216</f>
        <v>297</v>
      </c>
      <c r="H217" s="125"/>
      <c r="I217" s="134"/>
      <c r="J217" s="150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236</v>
      </c>
      <c r="S217" s="48">
        <f>IFERROR(S203+S216,"")</f>
        <v>1397250</v>
      </c>
      <c r="T217" s="143">
        <f>IFERROR(J217,"")</f>
        <v>0</v>
      </c>
    </row>
    <row r="218" spans="1:20" ht="15" customHeight="1" x14ac:dyDescent="0.3">
      <c r="A218" s="68">
        <v>46243</v>
      </c>
      <c r="B218" s="25">
        <v>0.33333333333333298</v>
      </c>
      <c r="C218" s="26" t="s">
        <v>28</v>
      </c>
      <c r="D218" s="59" t="s">
        <v>317</v>
      </c>
      <c r="E218" s="120" t="s">
        <v>246</v>
      </c>
      <c r="F218" s="119"/>
      <c r="G218" s="114">
        <v>15</v>
      </c>
      <c r="H218" s="119"/>
      <c r="I218" s="132"/>
      <c r="J218" s="148"/>
      <c r="K218" s="28">
        <f t="shared" ref="K218:K229" si="48">IF(G218="","",IF(E218="PC 17",G218*4.2,IF(E218="PC 19",G218*5,IF(E218="CB",G218*24,""))))</f>
        <v>63</v>
      </c>
      <c r="L218" s="26" t="s">
        <v>19</v>
      </c>
      <c r="M218" s="26" t="s">
        <v>53</v>
      </c>
      <c r="N218" s="26" t="s">
        <v>26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28</v>
      </c>
      <c r="D219" s="59" t="s">
        <v>317</v>
      </c>
      <c r="E219" s="120" t="s">
        <v>246</v>
      </c>
      <c r="F219" s="122"/>
      <c r="G219" s="114">
        <v>22</v>
      </c>
      <c r="H219" s="122"/>
      <c r="I219" s="129"/>
      <c r="J219" s="145"/>
      <c r="K219" s="34">
        <f t="shared" si="48"/>
        <v>92.4</v>
      </c>
      <c r="L219" s="33" t="s">
        <v>19</v>
      </c>
      <c r="M219" s="33" t="s">
        <v>48</v>
      </c>
      <c r="N219" s="33" t="s">
        <v>26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8">
        <v>46243</v>
      </c>
      <c r="B220" s="25">
        <f t="shared" si="50"/>
        <v>0.41666666666666635</v>
      </c>
      <c r="C220" s="26" t="s">
        <v>28</v>
      </c>
      <c r="D220" s="59" t="s">
        <v>317</v>
      </c>
      <c r="E220" s="120" t="s">
        <v>246</v>
      </c>
      <c r="F220" s="122"/>
      <c r="G220" s="114">
        <v>14</v>
      </c>
      <c r="H220" s="122"/>
      <c r="I220" s="129"/>
      <c r="J220" s="145"/>
      <c r="K220" s="28">
        <f t="shared" si="48"/>
        <v>58.800000000000004</v>
      </c>
      <c r="L220" s="26" t="s">
        <v>20</v>
      </c>
      <c r="M220" s="26" t="s">
        <v>48</v>
      </c>
      <c r="N220" s="26" t="s">
        <v>52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310</v>
      </c>
      <c r="S220" s="60"/>
    </row>
    <row r="221" spans="1:20" ht="15" customHeight="1" x14ac:dyDescent="0.3">
      <c r="A221" s="69">
        <v>46243</v>
      </c>
      <c r="B221" s="32">
        <f t="shared" si="50"/>
        <v>0.45833333333333304</v>
      </c>
      <c r="C221" s="26" t="s">
        <v>28</v>
      </c>
      <c r="D221" s="59" t="s">
        <v>317</v>
      </c>
      <c r="E221" s="120" t="s">
        <v>246</v>
      </c>
      <c r="F221" s="122"/>
      <c r="G221" s="114">
        <v>7</v>
      </c>
      <c r="H221" s="122"/>
      <c r="I221" s="129"/>
      <c r="J221" s="145"/>
      <c r="K221" s="34">
        <f t="shared" si="48"/>
        <v>29.400000000000002</v>
      </c>
      <c r="L221" s="33" t="s">
        <v>19</v>
      </c>
      <c r="M221" s="33" t="s">
        <v>53</v>
      </c>
      <c r="N221" s="33" t="s">
        <v>74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311</v>
      </c>
      <c r="S221" s="60"/>
    </row>
    <row r="222" spans="1:20" ht="15" customHeight="1" x14ac:dyDescent="0.3">
      <c r="A222" s="68">
        <v>46243</v>
      </c>
      <c r="B222" s="25">
        <f t="shared" si="50"/>
        <v>0.49999999999999972</v>
      </c>
      <c r="C222" s="26" t="s">
        <v>28</v>
      </c>
      <c r="D222" s="59" t="s">
        <v>317</v>
      </c>
      <c r="E222" s="120" t="s">
        <v>230</v>
      </c>
      <c r="F222" s="122"/>
      <c r="G222" s="114">
        <v>20</v>
      </c>
      <c r="H222" s="122"/>
      <c r="I222" s="129"/>
      <c r="J222" s="145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9">
        <v>46243</v>
      </c>
      <c r="B223" s="32">
        <f t="shared" si="50"/>
        <v>0.54166666666666641</v>
      </c>
      <c r="C223" s="26" t="s">
        <v>28</v>
      </c>
      <c r="D223" s="59" t="s">
        <v>317</v>
      </c>
      <c r="E223" s="120" t="s">
        <v>246</v>
      </c>
      <c r="F223" s="122"/>
      <c r="G223" s="114">
        <v>20</v>
      </c>
      <c r="H223" s="122"/>
      <c r="I223" s="129"/>
      <c r="J223" s="145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8">
        <v>46243</v>
      </c>
      <c r="B224" s="25">
        <f t="shared" si="50"/>
        <v>0.58333333333333304</v>
      </c>
      <c r="C224" s="26" t="s">
        <v>28</v>
      </c>
      <c r="D224" s="59" t="s">
        <v>317</v>
      </c>
      <c r="E224" s="120" t="s">
        <v>246</v>
      </c>
      <c r="F224" s="122"/>
      <c r="G224" s="114">
        <v>10</v>
      </c>
      <c r="H224" s="122"/>
      <c r="I224" s="129"/>
      <c r="J224" s="145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9">
        <v>46243</v>
      </c>
      <c r="B225" s="32">
        <f t="shared" si="50"/>
        <v>0.62499999999999967</v>
      </c>
      <c r="C225" s="26" t="s">
        <v>28</v>
      </c>
      <c r="D225" s="59" t="s">
        <v>317</v>
      </c>
      <c r="E225" s="120" t="s">
        <v>246</v>
      </c>
      <c r="F225" s="122"/>
      <c r="G225" s="114">
        <v>3</v>
      </c>
      <c r="H225" s="122"/>
      <c r="I225" s="129"/>
      <c r="J225" s="145"/>
      <c r="K225" s="34">
        <f t="shared" si="48"/>
        <v>12.600000000000001</v>
      </c>
      <c r="L225" s="33"/>
      <c r="M225" s="33"/>
      <c r="N225" s="33"/>
      <c r="O225" s="29"/>
      <c r="P225" s="29"/>
      <c r="Q225" s="78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8">
        <v>46243</v>
      </c>
      <c r="B226" s="25">
        <f t="shared" si="50"/>
        <v>0.6666666666666663</v>
      </c>
      <c r="C226" s="26" t="s">
        <v>28</v>
      </c>
      <c r="D226" s="59" t="s">
        <v>317</v>
      </c>
      <c r="E226" s="120" t="s">
        <v>246</v>
      </c>
      <c r="F226" s="122"/>
      <c r="G226" s="114">
        <v>16</v>
      </c>
      <c r="H226" s="122"/>
      <c r="I226" s="129"/>
      <c r="J226" s="145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9">
        <v>46243</v>
      </c>
      <c r="B227" s="32">
        <f t="shared" si="50"/>
        <v>0.70833333333333293</v>
      </c>
      <c r="C227" s="26" t="s">
        <v>28</v>
      </c>
      <c r="D227" s="59" t="s">
        <v>317</v>
      </c>
      <c r="E227" s="120" t="s">
        <v>246</v>
      </c>
      <c r="F227" s="122"/>
      <c r="G227" s="114">
        <v>15</v>
      </c>
      <c r="H227" s="122"/>
      <c r="I227" s="129"/>
      <c r="J227" s="145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8">
        <v>46243</v>
      </c>
      <c r="B228" s="25">
        <f t="shared" si="50"/>
        <v>0.74999999999999956</v>
      </c>
      <c r="C228" s="26" t="s">
        <v>28</v>
      </c>
      <c r="D228" s="59" t="s">
        <v>317</v>
      </c>
      <c r="E228" s="120" t="s">
        <v>246</v>
      </c>
      <c r="F228" s="122"/>
      <c r="G228" s="114">
        <v>17</v>
      </c>
      <c r="H228" s="122"/>
      <c r="I228" s="129"/>
      <c r="J228" s="145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9">
        <v>46243</v>
      </c>
      <c r="B229" s="32">
        <f t="shared" si="50"/>
        <v>0.79166666666666619</v>
      </c>
      <c r="C229" s="26" t="s">
        <v>28</v>
      </c>
      <c r="D229" s="59" t="s">
        <v>317</v>
      </c>
      <c r="E229" s="120" t="s">
        <v>246</v>
      </c>
      <c r="F229" s="118"/>
      <c r="G229" s="114">
        <v>10</v>
      </c>
      <c r="H229" s="118"/>
      <c r="I229" s="130"/>
      <c r="J229" s="146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68" t="s">
        <v>231</v>
      </c>
      <c r="B230" s="169"/>
      <c r="C230" s="169"/>
      <c r="D230" s="169"/>
      <c r="E230" s="169">
        <f>SUM(E218:E229)</f>
        <v>0</v>
      </c>
      <c r="F230" s="123"/>
      <c r="G230" s="88">
        <f>SUM(G218:G229)</f>
        <v>169</v>
      </c>
      <c r="H230" s="123"/>
      <c r="I230" s="131"/>
      <c r="J230" s="147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232</v>
      </c>
      <c r="S230" s="39">
        <v>755220</v>
      </c>
      <c r="T230" s="141">
        <f>IFERROR(J230,"")</f>
        <v>0</v>
      </c>
    </row>
    <row r="231" spans="1:20" ht="15" customHeight="1" x14ac:dyDescent="0.3">
      <c r="A231" s="69">
        <v>46243</v>
      </c>
      <c r="B231" s="32">
        <v>0.83333333333333304</v>
      </c>
      <c r="C231" s="33" t="s">
        <v>42</v>
      </c>
      <c r="D231" s="62" t="s">
        <v>317</v>
      </c>
      <c r="E231" s="121" t="s">
        <v>246</v>
      </c>
      <c r="F231" s="119"/>
      <c r="G231" s="114">
        <v>18</v>
      </c>
      <c r="H231" s="119"/>
      <c r="I231" s="132"/>
      <c r="J231" s="148"/>
      <c r="K231" s="34">
        <f t="shared" ref="K231:K242" si="51">IF(G231="","",IF(E231="PC 17",G231*4.2,IF(E231="PC 19",G231*5,IF(E231="CB",G231*24,""))))</f>
        <v>75.600000000000009</v>
      </c>
      <c r="L231" s="33" t="s">
        <v>20</v>
      </c>
      <c r="M231" s="33" t="s">
        <v>53</v>
      </c>
      <c r="N231" s="33" t="s">
        <v>34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312</v>
      </c>
      <c r="S231" s="60"/>
    </row>
    <row r="232" spans="1:20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42</v>
      </c>
      <c r="D232" s="62" t="s">
        <v>317</v>
      </c>
      <c r="E232" s="121" t="s">
        <v>230</v>
      </c>
      <c r="F232" s="122"/>
      <c r="G232" s="114">
        <v>5</v>
      </c>
      <c r="H232" s="122"/>
      <c r="I232" s="129"/>
      <c r="J232" s="145"/>
      <c r="K232" s="28">
        <f t="shared" si="51"/>
        <v>25</v>
      </c>
      <c r="L232" s="26" t="s">
        <v>20</v>
      </c>
      <c r="M232" s="26" t="s">
        <v>53</v>
      </c>
      <c r="N232" s="26" t="s">
        <v>52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313</v>
      </c>
      <c r="S232" s="60"/>
    </row>
    <row r="233" spans="1:20" ht="15" customHeight="1" x14ac:dyDescent="0.3">
      <c r="A233" s="69">
        <v>46243</v>
      </c>
      <c r="B233" s="32">
        <f t="shared" si="53"/>
        <v>0.9166666666666663</v>
      </c>
      <c r="C233" s="33" t="s">
        <v>42</v>
      </c>
      <c r="D233" s="62" t="s">
        <v>317</v>
      </c>
      <c r="E233" s="121" t="s">
        <v>246</v>
      </c>
      <c r="F233" s="122"/>
      <c r="G233" s="114">
        <v>7</v>
      </c>
      <c r="H233" s="122"/>
      <c r="I233" s="129"/>
      <c r="J233" s="145"/>
      <c r="K233" s="34">
        <f t="shared" si="51"/>
        <v>29.400000000000002</v>
      </c>
      <c r="L233" s="33" t="s">
        <v>18</v>
      </c>
      <c r="M233" s="33" t="s">
        <v>148</v>
      </c>
      <c r="N233" s="33" t="s">
        <v>126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8">
        <v>46243</v>
      </c>
      <c r="B234" s="25">
        <f t="shared" si="53"/>
        <v>0.95833333333333293</v>
      </c>
      <c r="C234" s="33" t="s">
        <v>42</v>
      </c>
      <c r="D234" s="62" t="s">
        <v>317</v>
      </c>
      <c r="E234" s="121" t="s">
        <v>230</v>
      </c>
      <c r="F234" s="122"/>
      <c r="G234" s="114">
        <v>11</v>
      </c>
      <c r="H234" s="122"/>
      <c r="I234" s="129"/>
      <c r="J234" s="145"/>
      <c r="K234" s="28">
        <f t="shared" si="51"/>
        <v>55</v>
      </c>
      <c r="L234" s="26" t="s">
        <v>19</v>
      </c>
      <c r="M234" s="26" t="s">
        <v>48</v>
      </c>
      <c r="N234" s="26" t="s">
        <v>26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9">
        <v>46243</v>
      </c>
      <c r="B235" s="32">
        <f t="shared" si="53"/>
        <v>0.99999999999999956</v>
      </c>
      <c r="C235" s="33" t="s">
        <v>42</v>
      </c>
      <c r="D235" s="62" t="s">
        <v>317</v>
      </c>
      <c r="E235" s="121" t="s">
        <v>230</v>
      </c>
      <c r="F235" s="122"/>
      <c r="G235" s="114">
        <v>15</v>
      </c>
      <c r="H235" s="122"/>
      <c r="I235" s="129"/>
      <c r="J235" s="145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8">
        <v>46243</v>
      </c>
      <c r="B236" s="25">
        <f t="shared" si="53"/>
        <v>1.0416666666666663</v>
      </c>
      <c r="C236" s="33" t="s">
        <v>42</v>
      </c>
      <c r="D236" s="62" t="s">
        <v>317</v>
      </c>
      <c r="E236" s="121" t="s">
        <v>230</v>
      </c>
      <c r="F236" s="122"/>
      <c r="G236" s="114">
        <v>12</v>
      </c>
      <c r="H236" s="122"/>
      <c r="I236" s="129"/>
      <c r="J236" s="145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9">
        <v>46243</v>
      </c>
      <c r="B237" s="32">
        <f t="shared" si="53"/>
        <v>1.083333333333333</v>
      </c>
      <c r="C237" s="33" t="s">
        <v>42</v>
      </c>
      <c r="D237" s="62" t="s">
        <v>317</v>
      </c>
      <c r="E237" s="121" t="s">
        <v>230</v>
      </c>
      <c r="F237" s="122"/>
      <c r="G237" s="114">
        <v>12</v>
      </c>
      <c r="H237" s="122"/>
      <c r="I237" s="129"/>
      <c r="J237" s="145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8">
        <v>46243</v>
      </c>
      <c r="B238" s="25">
        <f t="shared" si="53"/>
        <v>1.1249999999999998</v>
      </c>
      <c r="C238" s="33" t="s">
        <v>42</v>
      </c>
      <c r="D238" s="62" t="s">
        <v>317</v>
      </c>
      <c r="E238" s="121" t="s">
        <v>230</v>
      </c>
      <c r="F238" s="122"/>
      <c r="G238" s="114">
        <v>17</v>
      </c>
      <c r="H238" s="122"/>
      <c r="I238" s="129"/>
      <c r="J238" s="145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9">
        <v>46243</v>
      </c>
      <c r="B239" s="32">
        <f t="shared" si="53"/>
        <v>1.1666666666666665</v>
      </c>
      <c r="C239" s="33" t="s">
        <v>42</v>
      </c>
      <c r="D239" s="62" t="s">
        <v>317</v>
      </c>
      <c r="E239" s="121" t="s">
        <v>230</v>
      </c>
      <c r="F239" s="122"/>
      <c r="G239" s="114">
        <v>11</v>
      </c>
      <c r="H239" s="122"/>
      <c r="I239" s="129"/>
      <c r="J239" s="145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8">
        <v>46243</v>
      </c>
      <c r="B240" s="25">
        <f t="shared" si="53"/>
        <v>1.2083333333333333</v>
      </c>
      <c r="C240" s="33" t="s">
        <v>42</v>
      </c>
      <c r="D240" s="62" t="s">
        <v>317</v>
      </c>
      <c r="E240" s="121" t="s">
        <v>230</v>
      </c>
      <c r="F240" s="122"/>
      <c r="G240" s="114">
        <v>14</v>
      </c>
      <c r="H240" s="122"/>
      <c r="I240" s="129"/>
      <c r="J240" s="145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9">
        <v>46243</v>
      </c>
      <c r="B241" s="32">
        <f t="shared" si="53"/>
        <v>1.25</v>
      </c>
      <c r="C241" s="33" t="s">
        <v>42</v>
      </c>
      <c r="D241" s="62" t="s">
        <v>317</v>
      </c>
      <c r="E241" s="121" t="s">
        <v>230</v>
      </c>
      <c r="F241" s="122"/>
      <c r="G241" s="114">
        <v>15</v>
      </c>
      <c r="H241" s="122"/>
      <c r="I241" s="129"/>
      <c r="J241" s="145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8">
        <v>46243</v>
      </c>
      <c r="B242" s="25">
        <f t="shared" si="53"/>
        <v>1.2916666666666667</v>
      </c>
      <c r="C242" s="33" t="s">
        <v>42</v>
      </c>
      <c r="D242" s="62" t="s">
        <v>317</v>
      </c>
      <c r="E242" s="121" t="s">
        <v>230</v>
      </c>
      <c r="F242" s="118"/>
      <c r="G242" s="114">
        <v>0</v>
      </c>
      <c r="H242" s="118"/>
      <c r="I242" s="130"/>
      <c r="J242" s="146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68" t="s">
        <v>234</v>
      </c>
      <c r="B243" s="169"/>
      <c r="C243" s="169"/>
      <c r="D243" s="169"/>
      <c r="E243" s="169">
        <f>SUM(E231:E242)</f>
        <v>0</v>
      </c>
      <c r="F243" s="124"/>
      <c r="G243" s="88">
        <f>SUM(G231:G242)</f>
        <v>137</v>
      </c>
      <c r="H243" s="124"/>
      <c r="I243" s="133"/>
      <c r="J243" s="149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232</v>
      </c>
      <c r="S243" s="39">
        <v>795250</v>
      </c>
      <c r="T243" s="141">
        <f>IFERROR(J243,"")</f>
        <v>0</v>
      </c>
    </row>
    <row r="244" spans="1:20" ht="18" customHeight="1" x14ac:dyDescent="0.3">
      <c r="A244" s="165" t="s">
        <v>235</v>
      </c>
      <c r="B244" s="166"/>
      <c r="C244" s="166"/>
      <c r="D244" s="166"/>
      <c r="E244" s="166">
        <f>E230+E243</f>
        <v>0</v>
      </c>
      <c r="F244" s="125"/>
      <c r="G244" s="100">
        <f>G230+G243</f>
        <v>306</v>
      </c>
      <c r="H244" s="125"/>
      <c r="I244" s="134"/>
      <c r="J244" s="150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236</v>
      </c>
      <c r="S244" s="48">
        <f>IFERROR(S230+S243,"")</f>
        <v>1550470</v>
      </c>
      <c r="T244" s="143">
        <f>IFERROR(J244,"")</f>
        <v>0</v>
      </c>
    </row>
    <row r="245" spans="1:20" ht="15" customHeight="1" x14ac:dyDescent="0.3">
      <c r="A245" s="68">
        <v>46244</v>
      </c>
      <c r="B245" s="25">
        <v>0.33333333333333298</v>
      </c>
      <c r="C245" s="26" t="s">
        <v>28</v>
      </c>
      <c r="D245" s="59" t="s">
        <v>317</v>
      </c>
      <c r="E245" s="120" t="s">
        <v>230</v>
      </c>
      <c r="F245" s="119"/>
      <c r="G245" s="27">
        <v>15</v>
      </c>
      <c r="H245" s="119"/>
      <c r="I245" s="132"/>
      <c r="J245" s="148"/>
      <c r="K245" s="28">
        <f t="shared" ref="K245:K256" si="54">IF(G245="","",IF(E245="PC 17",G245*4.2,IF(E245="PC 19",G245*5,IF(E245="CB",G245*24,""))))</f>
        <v>75</v>
      </c>
      <c r="L245" s="33" t="s">
        <v>18</v>
      </c>
      <c r="M245" s="33" t="s">
        <v>48</v>
      </c>
      <c r="N245" s="33" t="s">
        <v>162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28</v>
      </c>
      <c r="D246" s="59" t="s">
        <v>317</v>
      </c>
      <c r="E246" s="120" t="s">
        <v>230</v>
      </c>
      <c r="F246" s="122"/>
      <c r="G246" s="27" t="s">
        <v>325</v>
      </c>
      <c r="H246" s="122"/>
      <c r="I246" s="129"/>
      <c r="J246" s="145"/>
      <c r="K246" s="34" t="e">
        <f t="shared" si="54"/>
        <v>#VALUE!</v>
      </c>
      <c r="L246" s="33" t="s">
        <v>20</v>
      </c>
      <c r="M246" s="26" t="s">
        <v>53</v>
      </c>
      <c r="N246" s="33" t="s">
        <v>27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8">
        <v>46244</v>
      </c>
      <c r="B247" s="25">
        <f t="shared" si="56"/>
        <v>0.41666666666666635</v>
      </c>
      <c r="C247" s="26" t="s">
        <v>28</v>
      </c>
      <c r="D247" s="59" t="s">
        <v>317</v>
      </c>
      <c r="E247" s="120" t="s">
        <v>230</v>
      </c>
      <c r="F247" s="122"/>
      <c r="G247" s="27">
        <v>19</v>
      </c>
      <c r="H247" s="122"/>
      <c r="I247" s="129"/>
      <c r="J247" s="145"/>
      <c r="K247" s="28">
        <f t="shared" si="54"/>
        <v>95</v>
      </c>
      <c r="L247" s="33" t="s">
        <v>20</v>
      </c>
      <c r="M247" s="33" t="s">
        <v>48</v>
      </c>
      <c r="N247" s="33" t="s">
        <v>58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9">
        <v>46244</v>
      </c>
      <c r="B248" s="32">
        <f t="shared" si="56"/>
        <v>0.45833333333333304</v>
      </c>
      <c r="C248" s="26" t="s">
        <v>28</v>
      </c>
      <c r="D248" s="59" t="s">
        <v>317</v>
      </c>
      <c r="E248" s="120" t="s">
        <v>230</v>
      </c>
      <c r="F248" s="122"/>
      <c r="G248" s="27">
        <v>24</v>
      </c>
      <c r="H248" s="122"/>
      <c r="I248" s="129"/>
      <c r="J248" s="145"/>
      <c r="K248" s="34">
        <f t="shared" si="54"/>
        <v>120</v>
      </c>
      <c r="L248" s="26" t="s">
        <v>19</v>
      </c>
      <c r="M248" s="26" t="s">
        <v>53</v>
      </c>
      <c r="N248" s="26" t="s">
        <v>26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8">
        <v>46244</v>
      </c>
      <c r="B249" s="25">
        <f t="shared" si="56"/>
        <v>0.49999999999999972</v>
      </c>
      <c r="C249" s="26" t="s">
        <v>28</v>
      </c>
      <c r="D249" s="59" t="s">
        <v>316</v>
      </c>
      <c r="E249" s="120" t="s">
        <v>246</v>
      </c>
      <c r="F249" s="122"/>
      <c r="G249" s="27">
        <v>10</v>
      </c>
      <c r="H249" s="122"/>
      <c r="I249" s="129"/>
      <c r="J249" s="145"/>
      <c r="K249" s="28">
        <f t="shared" si="54"/>
        <v>42</v>
      </c>
      <c r="L249" s="33" t="s">
        <v>18</v>
      </c>
      <c r="M249" s="33" t="s">
        <v>148</v>
      </c>
      <c r="N249" s="33" t="s">
        <v>126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314</v>
      </c>
      <c r="S249" s="60"/>
    </row>
    <row r="250" spans="1:20" ht="15" customHeight="1" x14ac:dyDescent="0.3">
      <c r="A250" s="69">
        <v>46244</v>
      </c>
      <c r="B250" s="32">
        <f t="shared" si="56"/>
        <v>0.54166666666666641</v>
      </c>
      <c r="C250" s="26" t="s">
        <v>28</v>
      </c>
      <c r="D250" s="59" t="s">
        <v>316</v>
      </c>
      <c r="E250" s="120" t="s">
        <v>246</v>
      </c>
      <c r="F250" s="122"/>
      <c r="G250" s="27">
        <v>16</v>
      </c>
      <c r="H250" s="122"/>
      <c r="I250" s="129"/>
      <c r="J250" s="145"/>
      <c r="K250" s="34">
        <f t="shared" si="54"/>
        <v>67.2</v>
      </c>
      <c r="L250" s="26" t="s">
        <v>19</v>
      </c>
      <c r="M250" s="26" t="s">
        <v>48</v>
      </c>
      <c r="N250" s="26" t="s">
        <v>26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8">
        <v>46244</v>
      </c>
      <c r="B251" s="25">
        <f t="shared" si="56"/>
        <v>0.58333333333333304</v>
      </c>
      <c r="C251" s="26" t="s">
        <v>28</v>
      </c>
      <c r="D251" s="59" t="s">
        <v>316</v>
      </c>
      <c r="E251" s="120" t="s">
        <v>246</v>
      </c>
      <c r="F251" s="122"/>
      <c r="G251" s="27">
        <v>0</v>
      </c>
      <c r="H251" s="122"/>
      <c r="I251" s="129"/>
      <c r="J251" s="145"/>
      <c r="K251" s="28">
        <f t="shared" si="54"/>
        <v>0</v>
      </c>
      <c r="L251" s="33" t="s">
        <v>20</v>
      </c>
      <c r="M251" s="33" t="s">
        <v>48</v>
      </c>
      <c r="N251" s="33" t="s">
        <v>47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9">
        <v>46244</v>
      </c>
      <c r="B252" s="32">
        <f t="shared" si="56"/>
        <v>0.62499999999999967</v>
      </c>
      <c r="C252" s="26" t="s">
        <v>28</v>
      </c>
      <c r="D252" s="59" t="s">
        <v>316</v>
      </c>
      <c r="E252" s="120" t="s">
        <v>246</v>
      </c>
      <c r="F252" s="122"/>
      <c r="G252" s="27">
        <v>18</v>
      </c>
      <c r="H252" s="122"/>
      <c r="I252" s="129"/>
      <c r="J252" s="145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8">
        <v>46244</v>
      </c>
      <c r="B253" s="25">
        <f t="shared" si="56"/>
        <v>0.6666666666666663</v>
      </c>
      <c r="C253" s="26" t="s">
        <v>28</v>
      </c>
      <c r="D253" s="59" t="s">
        <v>316</v>
      </c>
      <c r="E253" s="120" t="s">
        <v>246</v>
      </c>
      <c r="F253" s="122"/>
      <c r="G253" s="27">
        <v>15</v>
      </c>
      <c r="H253" s="122"/>
      <c r="I253" s="129"/>
      <c r="J253" s="145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9">
        <v>46244</v>
      </c>
      <c r="B254" s="32">
        <f t="shared" si="56"/>
        <v>0.70833333333333293</v>
      </c>
      <c r="C254" s="26" t="s">
        <v>28</v>
      </c>
      <c r="D254" s="59" t="s">
        <v>316</v>
      </c>
      <c r="E254" s="120" t="s">
        <v>246</v>
      </c>
      <c r="F254" s="122"/>
      <c r="G254" s="27">
        <v>18</v>
      </c>
      <c r="H254" s="122"/>
      <c r="I254" s="129"/>
      <c r="J254" s="145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8">
        <v>46244</v>
      </c>
      <c r="B255" s="25">
        <f t="shared" si="56"/>
        <v>0.74999999999999956</v>
      </c>
      <c r="C255" s="26" t="s">
        <v>28</v>
      </c>
      <c r="D255" s="59" t="s">
        <v>316</v>
      </c>
      <c r="E255" s="120" t="s">
        <v>246</v>
      </c>
      <c r="F255" s="122"/>
      <c r="G255" s="27">
        <v>11</v>
      </c>
      <c r="H255" s="122"/>
      <c r="I255" s="129"/>
      <c r="J255" s="145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9">
        <v>46244</v>
      </c>
      <c r="B256" s="32">
        <f t="shared" si="56"/>
        <v>0.79166666666666619</v>
      </c>
      <c r="C256" s="26" t="s">
        <v>28</v>
      </c>
      <c r="D256" s="59" t="s">
        <v>316</v>
      </c>
      <c r="E256" s="120" t="s">
        <v>246</v>
      </c>
      <c r="F256" s="118"/>
      <c r="G256" s="27">
        <v>21</v>
      </c>
      <c r="H256" s="118"/>
      <c r="I256" s="130"/>
      <c r="J256" s="146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68" t="s">
        <v>231</v>
      </c>
      <c r="B257" s="169"/>
      <c r="C257" s="169"/>
      <c r="D257" s="169"/>
      <c r="E257" s="169">
        <f>SUM(E245:E256)</f>
        <v>0</v>
      </c>
      <c r="F257" s="123"/>
      <c r="G257" s="36">
        <f>SUM(G245:G256)</f>
        <v>167</v>
      </c>
      <c r="H257" s="123"/>
      <c r="I257" s="131"/>
      <c r="J257" s="147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232</v>
      </c>
      <c r="S257" s="39">
        <v>803560</v>
      </c>
      <c r="T257" s="141">
        <f>IFERROR(J257,"")</f>
        <v>0</v>
      </c>
    </row>
    <row r="258" spans="1:20" ht="15" customHeight="1" x14ac:dyDescent="0.3">
      <c r="A258" s="69">
        <v>46244</v>
      </c>
      <c r="B258" s="32">
        <v>0.83333333333333304</v>
      </c>
      <c r="C258" s="33"/>
      <c r="D258" s="62" t="s">
        <v>317</v>
      </c>
      <c r="E258" s="121" t="s">
        <v>246</v>
      </c>
      <c r="F258" s="119"/>
      <c r="G258" s="27">
        <v>1</v>
      </c>
      <c r="H258" s="119"/>
      <c r="I258" s="132"/>
      <c r="J258" s="148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 t="s">
        <v>317</v>
      </c>
      <c r="E259" s="121" t="s">
        <v>246</v>
      </c>
      <c r="F259" s="122"/>
      <c r="G259" s="27">
        <v>20</v>
      </c>
      <c r="H259" s="122"/>
      <c r="I259" s="129"/>
      <c r="J259" s="145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9">
        <v>46244</v>
      </c>
      <c r="B260" s="32">
        <f t="shared" si="59"/>
        <v>0.9166666666666663</v>
      </c>
      <c r="C260" s="33"/>
      <c r="D260" s="62" t="s">
        <v>317</v>
      </c>
      <c r="E260" s="121" t="s">
        <v>246</v>
      </c>
      <c r="F260" s="122"/>
      <c r="G260" s="27">
        <v>15</v>
      </c>
      <c r="H260" s="122"/>
      <c r="I260" s="129"/>
      <c r="J260" s="145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8">
        <v>46244</v>
      </c>
      <c r="B261" s="25">
        <f t="shared" si="59"/>
        <v>0.95833333333333293</v>
      </c>
      <c r="C261" s="33"/>
      <c r="D261" s="62" t="s">
        <v>317</v>
      </c>
      <c r="E261" s="121" t="s">
        <v>246</v>
      </c>
      <c r="F261" s="122"/>
      <c r="G261" s="27">
        <v>27</v>
      </c>
      <c r="H261" s="122"/>
      <c r="I261" s="129"/>
      <c r="J261" s="145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9">
        <v>46244</v>
      </c>
      <c r="B262" s="32">
        <f t="shared" si="59"/>
        <v>0.99999999999999956</v>
      </c>
      <c r="C262" s="33"/>
      <c r="D262" s="62" t="s">
        <v>317</v>
      </c>
      <c r="E262" s="121" t="s">
        <v>246</v>
      </c>
      <c r="F262" s="122"/>
      <c r="G262" s="27">
        <v>19</v>
      </c>
      <c r="H262" s="122"/>
      <c r="I262" s="129"/>
      <c r="J262" s="145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8">
        <v>46244</v>
      </c>
      <c r="B263" s="25">
        <f t="shared" si="59"/>
        <v>1.0416666666666663</v>
      </c>
      <c r="C263" s="33"/>
      <c r="D263" s="62" t="s">
        <v>317</v>
      </c>
      <c r="E263" s="121" t="s">
        <v>246</v>
      </c>
      <c r="F263" s="122"/>
      <c r="G263" s="27">
        <v>16</v>
      </c>
      <c r="H263" s="122"/>
      <c r="I263" s="129"/>
      <c r="J263" s="145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9">
        <v>46244</v>
      </c>
      <c r="B264" s="32">
        <f t="shared" si="59"/>
        <v>1.083333333333333</v>
      </c>
      <c r="C264" s="33"/>
      <c r="D264" s="62" t="s">
        <v>317</v>
      </c>
      <c r="E264" s="121" t="s">
        <v>246</v>
      </c>
      <c r="F264" s="122"/>
      <c r="G264" s="27">
        <v>2</v>
      </c>
      <c r="H264" s="122"/>
      <c r="I264" s="129"/>
      <c r="J264" s="145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8">
        <v>46244</v>
      </c>
      <c r="B265" s="25">
        <f t="shared" si="59"/>
        <v>1.1249999999999998</v>
      </c>
      <c r="C265" s="33"/>
      <c r="D265" s="62" t="s">
        <v>317</v>
      </c>
      <c r="E265" s="121" t="s">
        <v>246</v>
      </c>
      <c r="F265" s="122"/>
      <c r="G265" s="27">
        <v>16</v>
      </c>
      <c r="H265" s="122"/>
      <c r="I265" s="129"/>
      <c r="J265" s="145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9">
        <v>46244</v>
      </c>
      <c r="B266" s="32">
        <f t="shared" si="59"/>
        <v>1.1666666666666665</v>
      </c>
      <c r="C266" s="33"/>
      <c r="D266" s="62" t="s">
        <v>317</v>
      </c>
      <c r="E266" s="121" t="s">
        <v>246</v>
      </c>
      <c r="F266" s="122"/>
      <c r="G266" s="27">
        <v>14</v>
      </c>
      <c r="H266" s="122"/>
      <c r="I266" s="129"/>
      <c r="J266" s="145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8">
        <v>46244</v>
      </c>
      <c r="B267" s="25">
        <f t="shared" si="59"/>
        <v>1.2083333333333333</v>
      </c>
      <c r="C267" s="33"/>
      <c r="D267" s="62" t="s">
        <v>317</v>
      </c>
      <c r="E267" s="121" t="s">
        <v>246</v>
      </c>
      <c r="F267" s="122"/>
      <c r="G267" s="27">
        <v>21</v>
      </c>
      <c r="H267" s="122"/>
      <c r="I267" s="129"/>
      <c r="J267" s="145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9">
        <v>46244</v>
      </c>
      <c r="B268" s="32">
        <f t="shared" si="59"/>
        <v>1.25</v>
      </c>
      <c r="C268" s="33"/>
      <c r="D268" s="62" t="s">
        <v>317</v>
      </c>
      <c r="E268" s="121" t="s">
        <v>246</v>
      </c>
      <c r="F268" s="122"/>
      <c r="G268" s="27">
        <v>20</v>
      </c>
      <c r="H268" s="122"/>
      <c r="I268" s="129"/>
      <c r="J268" s="145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8">
        <v>46244</v>
      </c>
      <c r="B269" s="25">
        <f t="shared" si="59"/>
        <v>1.2916666666666667</v>
      </c>
      <c r="C269" s="33"/>
      <c r="D269" s="62" t="s">
        <v>317</v>
      </c>
      <c r="E269" s="121" t="s">
        <v>246</v>
      </c>
      <c r="F269" s="118"/>
      <c r="G269" s="27">
        <v>9</v>
      </c>
      <c r="H269" s="118"/>
      <c r="I269" s="130"/>
      <c r="J269" s="146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68" t="s">
        <v>234</v>
      </c>
      <c r="B270" s="169"/>
      <c r="C270" s="169"/>
      <c r="D270" s="169"/>
      <c r="E270" s="169">
        <f>SUM(E258:E269)</f>
        <v>0</v>
      </c>
      <c r="F270" s="124"/>
      <c r="G270" s="36">
        <f>SUM(G258:G269)</f>
        <v>180</v>
      </c>
      <c r="H270" s="124"/>
      <c r="I270" s="133"/>
      <c r="J270" s="149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232</v>
      </c>
      <c r="S270" s="39">
        <v>683360</v>
      </c>
      <c r="T270" s="141">
        <f>IFERROR(J270,"")</f>
        <v>0</v>
      </c>
    </row>
    <row r="271" spans="1:20" ht="18" customHeight="1" x14ac:dyDescent="0.3">
      <c r="A271" s="165" t="s">
        <v>235</v>
      </c>
      <c r="B271" s="166"/>
      <c r="C271" s="166"/>
      <c r="D271" s="166"/>
      <c r="E271" s="166">
        <f>E257+E270</f>
        <v>0</v>
      </c>
      <c r="F271" s="125"/>
      <c r="G271" s="100">
        <f>G257+G270</f>
        <v>347</v>
      </c>
      <c r="H271" s="125"/>
      <c r="I271" s="134"/>
      <c r="J271" s="150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236</v>
      </c>
      <c r="S271" s="48">
        <f>IFERROR(S257+S270,"")</f>
        <v>1486920</v>
      </c>
      <c r="T271" s="143">
        <f>IFERROR(J271,"")</f>
        <v>0</v>
      </c>
    </row>
    <row r="272" spans="1:20" ht="15" customHeight="1" x14ac:dyDescent="0.3">
      <c r="A272" s="68">
        <v>46245</v>
      </c>
      <c r="B272" s="25">
        <v>0.33333333333333298</v>
      </c>
      <c r="C272" s="26" t="s">
        <v>28</v>
      </c>
      <c r="D272" s="59" t="s">
        <v>316</v>
      </c>
      <c r="E272" s="59" t="s">
        <v>246</v>
      </c>
      <c r="F272" s="119"/>
      <c r="G272" s="27">
        <v>20</v>
      </c>
      <c r="H272" s="119"/>
      <c r="I272" s="132"/>
      <c r="J272" s="148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28</v>
      </c>
      <c r="D273" s="59" t="s">
        <v>316</v>
      </c>
      <c r="E273" s="59" t="s">
        <v>246</v>
      </c>
      <c r="F273" s="122"/>
      <c r="G273" s="27">
        <v>15</v>
      </c>
      <c r="H273" s="122"/>
      <c r="I273" s="129"/>
      <c r="J273" s="145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8">
        <v>46245</v>
      </c>
      <c r="B274" s="25">
        <f t="shared" si="62"/>
        <v>0.41666666666666635</v>
      </c>
      <c r="C274" s="26" t="s">
        <v>28</v>
      </c>
      <c r="D274" s="59" t="s">
        <v>316</v>
      </c>
      <c r="E274" s="59" t="s">
        <v>246</v>
      </c>
      <c r="F274" s="122"/>
      <c r="G274" s="27">
        <v>5</v>
      </c>
      <c r="H274" s="122"/>
      <c r="I274" s="129"/>
      <c r="J274" s="145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9">
        <v>46245</v>
      </c>
      <c r="B275" s="32">
        <f t="shared" si="62"/>
        <v>0.45833333333333304</v>
      </c>
      <c r="C275" s="26" t="s">
        <v>28</v>
      </c>
      <c r="D275" s="59" t="s">
        <v>316</v>
      </c>
      <c r="E275" s="59" t="s">
        <v>246</v>
      </c>
      <c r="F275" s="122"/>
      <c r="G275" s="27">
        <v>14</v>
      </c>
      <c r="H275" s="122"/>
      <c r="I275" s="129"/>
      <c r="J275" s="145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8">
        <v>46245</v>
      </c>
      <c r="B276" s="25">
        <f t="shared" si="62"/>
        <v>0.49999999999999972</v>
      </c>
      <c r="C276" s="26" t="s">
        <v>28</v>
      </c>
      <c r="D276" s="59" t="s">
        <v>316</v>
      </c>
      <c r="E276" s="59" t="s">
        <v>246</v>
      </c>
      <c r="F276" s="122"/>
      <c r="G276" s="27">
        <v>10</v>
      </c>
      <c r="H276" s="122"/>
      <c r="I276" s="129"/>
      <c r="J276" s="145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9">
        <v>46245</v>
      </c>
      <c r="B277" s="32">
        <f t="shared" si="62"/>
        <v>0.54166666666666641</v>
      </c>
      <c r="C277" s="26" t="s">
        <v>28</v>
      </c>
      <c r="D277" s="59" t="s">
        <v>316</v>
      </c>
      <c r="E277" s="59" t="s">
        <v>246</v>
      </c>
      <c r="F277" s="122"/>
      <c r="G277" s="27">
        <v>9</v>
      </c>
      <c r="H277" s="122"/>
      <c r="I277" s="129"/>
      <c r="J277" s="145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8">
        <v>46245</v>
      </c>
      <c r="B278" s="25">
        <f t="shared" si="62"/>
        <v>0.58333333333333304</v>
      </c>
      <c r="C278" s="26" t="s">
        <v>28</v>
      </c>
      <c r="D278" s="59" t="s">
        <v>316</v>
      </c>
      <c r="E278" s="59" t="s">
        <v>246</v>
      </c>
      <c r="F278" s="122"/>
      <c r="G278" s="27">
        <v>21</v>
      </c>
      <c r="H278" s="122"/>
      <c r="I278" s="129"/>
      <c r="J278" s="145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9">
        <v>46245</v>
      </c>
      <c r="B279" s="32">
        <f t="shared" si="62"/>
        <v>0.62499999999999967</v>
      </c>
      <c r="C279" s="26" t="s">
        <v>28</v>
      </c>
      <c r="D279" s="59" t="s">
        <v>316</v>
      </c>
      <c r="E279" s="59" t="s">
        <v>246</v>
      </c>
      <c r="F279" s="122"/>
      <c r="G279" s="27">
        <v>14</v>
      </c>
      <c r="H279" s="122"/>
      <c r="I279" s="129"/>
      <c r="J279" s="145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8">
        <v>46245</v>
      </c>
      <c r="B280" s="25">
        <f t="shared" si="62"/>
        <v>0.6666666666666663</v>
      </c>
      <c r="C280" s="26" t="s">
        <v>28</v>
      </c>
      <c r="D280" s="59" t="s">
        <v>316</v>
      </c>
      <c r="E280" s="59" t="s">
        <v>246</v>
      </c>
      <c r="F280" s="122"/>
      <c r="G280" s="27">
        <v>10</v>
      </c>
      <c r="H280" s="122"/>
      <c r="I280" s="129"/>
      <c r="J280" s="145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9">
        <v>46245</v>
      </c>
      <c r="B281" s="32">
        <f t="shared" si="62"/>
        <v>0.70833333333333293</v>
      </c>
      <c r="C281" s="26" t="s">
        <v>28</v>
      </c>
      <c r="D281" s="59" t="s">
        <v>316</v>
      </c>
      <c r="E281" s="59" t="s">
        <v>246</v>
      </c>
      <c r="F281" s="122"/>
      <c r="G281" s="27">
        <v>20</v>
      </c>
      <c r="H281" s="122"/>
      <c r="I281" s="129"/>
      <c r="J281" s="145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8">
        <v>46245</v>
      </c>
      <c r="B282" s="25">
        <f t="shared" si="62"/>
        <v>0.74999999999999956</v>
      </c>
      <c r="C282" s="26" t="s">
        <v>28</v>
      </c>
      <c r="D282" s="59" t="s">
        <v>316</v>
      </c>
      <c r="E282" s="59" t="s">
        <v>246</v>
      </c>
      <c r="F282" s="122"/>
      <c r="G282" s="27">
        <v>19</v>
      </c>
      <c r="H282" s="122"/>
      <c r="I282" s="129"/>
      <c r="J282" s="145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9">
        <v>46245</v>
      </c>
      <c r="B283" s="32">
        <f t="shared" si="62"/>
        <v>0.79166666666666619</v>
      </c>
      <c r="C283" s="26" t="s">
        <v>28</v>
      </c>
      <c r="D283" s="59" t="s">
        <v>316</v>
      </c>
      <c r="E283" s="59" t="s">
        <v>246</v>
      </c>
      <c r="F283" s="118"/>
      <c r="G283" s="27">
        <v>15</v>
      </c>
      <c r="H283" s="118"/>
      <c r="I283" s="130"/>
      <c r="J283" s="146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68" t="s">
        <v>231</v>
      </c>
      <c r="B284" s="169"/>
      <c r="C284" s="169"/>
      <c r="D284" s="169"/>
      <c r="E284" s="169">
        <f>SUM(E272:E283)</f>
        <v>0</v>
      </c>
      <c r="F284" s="123"/>
      <c r="G284" s="36">
        <f>SUM(G272:G283)</f>
        <v>172</v>
      </c>
      <c r="H284" s="123"/>
      <c r="I284" s="131"/>
      <c r="J284" s="147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232</v>
      </c>
      <c r="S284" s="39">
        <v>762600</v>
      </c>
      <c r="T284" s="141">
        <f>IFERROR(J284,"")</f>
        <v>0</v>
      </c>
    </row>
    <row r="285" spans="1:20" ht="15" customHeight="1" x14ac:dyDescent="0.3">
      <c r="A285" s="69">
        <v>46245</v>
      </c>
      <c r="B285" s="32">
        <v>0.83333333333333304</v>
      </c>
      <c r="C285" s="33" t="s">
        <v>42</v>
      </c>
      <c r="D285" s="62" t="s">
        <v>318</v>
      </c>
      <c r="E285" s="62" t="s">
        <v>230</v>
      </c>
      <c r="F285" s="119"/>
      <c r="G285" s="27">
        <v>10</v>
      </c>
      <c r="H285" s="119"/>
      <c r="I285" s="132"/>
      <c r="J285" s="148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318</v>
      </c>
      <c r="E286" s="62" t="s">
        <v>230</v>
      </c>
      <c r="F286" s="122"/>
      <c r="G286" s="27">
        <v>10</v>
      </c>
      <c r="H286" s="122"/>
      <c r="I286" s="129"/>
      <c r="J286" s="145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9">
        <v>46245</v>
      </c>
      <c r="B287" s="32">
        <f t="shared" si="65"/>
        <v>0.9166666666666663</v>
      </c>
      <c r="C287" s="33" t="s">
        <v>42</v>
      </c>
      <c r="D287" s="62" t="s">
        <v>318</v>
      </c>
      <c r="E287" s="62" t="s">
        <v>246</v>
      </c>
      <c r="F287" s="122"/>
      <c r="G287" s="27">
        <v>27</v>
      </c>
      <c r="H287" s="122"/>
      <c r="I287" s="129"/>
      <c r="J287" s="145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8">
        <v>46245</v>
      </c>
      <c r="B288" s="25">
        <f t="shared" si="65"/>
        <v>0.95833333333333293</v>
      </c>
      <c r="C288" s="33" t="s">
        <v>42</v>
      </c>
      <c r="D288" s="62" t="s">
        <v>318</v>
      </c>
      <c r="E288" s="62" t="s">
        <v>230</v>
      </c>
      <c r="F288" s="122"/>
      <c r="G288" s="27">
        <v>26</v>
      </c>
      <c r="H288" s="122"/>
      <c r="I288" s="129"/>
      <c r="J288" s="145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9">
        <v>46245</v>
      </c>
      <c r="B289" s="32">
        <f t="shared" si="65"/>
        <v>0.99999999999999956</v>
      </c>
      <c r="C289" s="33" t="s">
        <v>42</v>
      </c>
      <c r="D289" s="62" t="s">
        <v>318</v>
      </c>
      <c r="E289" s="62" t="s">
        <v>230</v>
      </c>
      <c r="F289" s="122"/>
      <c r="G289" s="27">
        <v>14</v>
      </c>
      <c r="H289" s="122"/>
      <c r="I289" s="129"/>
      <c r="J289" s="145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8">
        <v>46245</v>
      </c>
      <c r="B290" s="25">
        <f t="shared" si="65"/>
        <v>1.0416666666666663</v>
      </c>
      <c r="C290" s="33" t="s">
        <v>42</v>
      </c>
      <c r="D290" s="62" t="s">
        <v>316</v>
      </c>
      <c r="E290" s="62" t="s">
        <v>230</v>
      </c>
      <c r="F290" s="122"/>
      <c r="G290" s="27">
        <v>6</v>
      </c>
      <c r="H290" s="122"/>
      <c r="I290" s="129"/>
      <c r="J290" s="145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9">
        <v>46245</v>
      </c>
      <c r="B291" s="32">
        <f t="shared" si="65"/>
        <v>1.083333333333333</v>
      </c>
      <c r="C291" s="33" t="s">
        <v>42</v>
      </c>
      <c r="D291" s="62" t="s">
        <v>316</v>
      </c>
      <c r="E291" s="62" t="s">
        <v>230</v>
      </c>
      <c r="F291" s="122"/>
      <c r="G291" s="27">
        <v>9</v>
      </c>
      <c r="H291" s="122"/>
      <c r="I291" s="129"/>
      <c r="J291" s="145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8">
        <v>46245</v>
      </c>
      <c r="B292" s="25">
        <f t="shared" si="65"/>
        <v>1.1249999999999998</v>
      </c>
      <c r="C292" s="33" t="s">
        <v>42</v>
      </c>
      <c r="D292" s="62" t="s">
        <v>316</v>
      </c>
      <c r="E292" s="62" t="s">
        <v>230</v>
      </c>
      <c r="F292" s="122"/>
      <c r="G292" s="27">
        <v>1</v>
      </c>
      <c r="H292" s="122"/>
      <c r="I292" s="129"/>
      <c r="J292" s="145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9">
        <v>46245</v>
      </c>
      <c r="B293" s="32">
        <f t="shared" si="65"/>
        <v>1.1666666666666665</v>
      </c>
      <c r="C293" s="33" t="s">
        <v>42</v>
      </c>
      <c r="D293" s="62" t="s">
        <v>316</v>
      </c>
      <c r="E293" s="62" t="s">
        <v>230</v>
      </c>
      <c r="F293" s="122"/>
      <c r="G293" s="27">
        <v>15</v>
      </c>
      <c r="H293" s="122"/>
      <c r="I293" s="129"/>
      <c r="J293" s="145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8">
        <v>46245</v>
      </c>
      <c r="B294" s="25">
        <f t="shared" si="65"/>
        <v>1.2083333333333333</v>
      </c>
      <c r="C294" s="33" t="s">
        <v>42</v>
      </c>
      <c r="D294" s="62" t="s">
        <v>316</v>
      </c>
      <c r="E294" s="62" t="s">
        <v>230</v>
      </c>
      <c r="F294" s="122"/>
      <c r="G294" s="27">
        <v>9</v>
      </c>
      <c r="H294" s="122"/>
      <c r="I294" s="129"/>
      <c r="J294" s="145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9">
        <v>46245</v>
      </c>
      <c r="B295" s="32">
        <f t="shared" si="65"/>
        <v>1.25</v>
      </c>
      <c r="C295" s="33" t="s">
        <v>42</v>
      </c>
      <c r="D295" s="62" t="s">
        <v>316</v>
      </c>
      <c r="E295" s="62" t="s">
        <v>230</v>
      </c>
      <c r="F295" s="122"/>
      <c r="G295" s="27">
        <v>13</v>
      </c>
      <c r="H295" s="122"/>
      <c r="I295" s="129"/>
      <c r="J295" s="145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8">
        <v>46245</v>
      </c>
      <c r="B296" s="25">
        <f t="shared" si="65"/>
        <v>1.2916666666666667</v>
      </c>
      <c r="C296" s="33" t="s">
        <v>42</v>
      </c>
      <c r="D296" s="62" t="s">
        <v>316</v>
      </c>
      <c r="E296" s="62" t="s">
        <v>230</v>
      </c>
      <c r="F296" s="118"/>
      <c r="G296" s="27">
        <v>12</v>
      </c>
      <c r="H296" s="118"/>
      <c r="I296" s="130"/>
      <c r="J296" s="146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68" t="s">
        <v>234</v>
      </c>
      <c r="B297" s="169"/>
      <c r="C297" s="169"/>
      <c r="D297" s="169"/>
      <c r="E297" s="169">
        <f>SUM(E285:E296)</f>
        <v>0</v>
      </c>
      <c r="F297" s="124"/>
      <c r="G297" s="36">
        <f>SUM(G285:G296)</f>
        <v>152</v>
      </c>
      <c r="H297" s="124"/>
      <c r="I297" s="133"/>
      <c r="J297" s="149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232</v>
      </c>
      <c r="S297" s="39">
        <v>904710</v>
      </c>
      <c r="T297" s="141">
        <f>IFERROR(J297,"")</f>
        <v>0</v>
      </c>
    </row>
    <row r="298" spans="1:20" ht="18" customHeight="1" x14ac:dyDescent="0.3">
      <c r="A298" s="165" t="s">
        <v>235</v>
      </c>
      <c r="B298" s="166"/>
      <c r="C298" s="166"/>
      <c r="D298" s="166"/>
      <c r="E298" s="166">
        <f>E284+E297</f>
        <v>0</v>
      </c>
      <c r="F298" s="125"/>
      <c r="G298" s="40">
        <f>G284+G297</f>
        <v>324</v>
      </c>
      <c r="H298" s="125"/>
      <c r="I298" s="134"/>
      <c r="J298" s="150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236</v>
      </c>
      <c r="S298" s="48">
        <f>IFERROR(S284+S297,"")</f>
        <v>1667310</v>
      </c>
      <c r="T298" s="143">
        <f>IFERROR(J298,"")</f>
        <v>0</v>
      </c>
    </row>
    <row r="299" spans="1:20" ht="15" customHeight="1" x14ac:dyDescent="0.3">
      <c r="A299" s="69">
        <v>46246</v>
      </c>
      <c r="B299" s="32">
        <v>0.33333333333333298</v>
      </c>
      <c r="C299" s="33" t="s">
        <v>28</v>
      </c>
      <c r="D299" s="62" t="s">
        <v>316</v>
      </c>
      <c r="E299" s="121" t="s">
        <v>246</v>
      </c>
      <c r="F299" s="119">
        <f>IFERROR(IF($D299="","",VLOOKUP($D299,Cadastro!$C$4:$E$7,3,FALSE)),"")</f>
        <v>0.23</v>
      </c>
      <c r="G299" s="27">
        <v>15</v>
      </c>
      <c r="H299" s="119">
        <f>IFERROR(IF($G299="","",$G299*$S$311/$G$311/Cadastro!$E$33),"")</f>
        <v>0</v>
      </c>
      <c r="I299" s="132">
        <f>IFERROR(IF($D299="","",VLOOKUP($D299,Cadastro!$C$4:$G$7,5,FALSE)),"")</f>
        <v>0.6</v>
      </c>
      <c r="J299" s="145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20</v>
      </c>
      <c r="M299" s="33" t="s">
        <v>48</v>
      </c>
      <c r="N299" s="33" t="s">
        <v>179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8">
        <v>46246</v>
      </c>
      <c r="B300" s="25">
        <f t="shared" ref="B300:B310" si="69">B299+TIME(0,60,0)</f>
        <v>0.37499999999999967</v>
      </c>
      <c r="C300" s="33" t="s">
        <v>28</v>
      </c>
      <c r="D300" s="62" t="s">
        <v>316</v>
      </c>
      <c r="E300" s="121" t="s">
        <v>246</v>
      </c>
      <c r="F300" s="122">
        <f>IFERROR(IF($D300="","",VLOOKUP($D300,Cadastro!$C$4:$E$7,3,FALSE)),"")</f>
        <v>0.23</v>
      </c>
      <c r="G300" s="27">
        <v>17</v>
      </c>
      <c r="H300" s="122">
        <f>IFERROR(IF($G300="","",$G300*$S$311/$G$311/Cadastro!$E$33),"")</f>
        <v>0</v>
      </c>
      <c r="I300" s="129">
        <f>IFERROR(IF($D300="","",VLOOKUP($D300,Cadastro!$C$4:$G$7,5,FALSE)),"")</f>
        <v>0.6</v>
      </c>
      <c r="J300" s="145">
        <f t="shared" si="66"/>
        <v>0</v>
      </c>
      <c r="K300" s="28">
        <f t="shared" si="67"/>
        <v>71.400000000000006</v>
      </c>
      <c r="L300" s="26" t="s">
        <v>19</v>
      </c>
      <c r="M300" s="26" t="s">
        <v>53</v>
      </c>
      <c r="N300" s="26" t="s">
        <v>26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9">
        <v>46246</v>
      </c>
      <c r="B301" s="32">
        <f t="shared" si="69"/>
        <v>0.41666666666666635</v>
      </c>
      <c r="C301" s="33" t="s">
        <v>28</v>
      </c>
      <c r="D301" s="62" t="s">
        <v>316</v>
      </c>
      <c r="E301" s="121" t="s">
        <v>246</v>
      </c>
      <c r="F301" s="122">
        <f>IFERROR(IF($D301="","",VLOOKUP($D301,Cadastro!$C$4:$E$7,3,FALSE)),"")</f>
        <v>0.23</v>
      </c>
      <c r="G301" s="27">
        <v>22</v>
      </c>
      <c r="H301" s="122">
        <f>IFERROR(IF($G301="","",$G301*$S$311/$G$311/Cadastro!$E$33),"")</f>
        <v>0</v>
      </c>
      <c r="I301" s="129">
        <f>IFERROR(IF($D301="","",VLOOKUP($D301,Cadastro!$C$4:$G$7,5,FALSE)),"")</f>
        <v>0.6</v>
      </c>
      <c r="J301" s="145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 x14ac:dyDescent="0.3">
      <c r="A302" s="68">
        <v>46246</v>
      </c>
      <c r="B302" s="25">
        <f t="shared" si="69"/>
        <v>0.45833333333333304</v>
      </c>
      <c r="C302" s="33" t="s">
        <v>28</v>
      </c>
      <c r="D302" s="62" t="s">
        <v>316</v>
      </c>
      <c r="E302" s="121" t="s">
        <v>246</v>
      </c>
      <c r="F302" s="122">
        <f>IFERROR(IF($D302="","",VLOOKUP($D302,Cadastro!$C$4:$E$7,3,FALSE)),"")</f>
        <v>0.23</v>
      </c>
      <c r="G302" s="27">
        <v>10</v>
      </c>
      <c r="H302" s="122">
        <f>IFERROR(IF($G302="","",$G302*$S$311/$G$311/Cadastro!$E$33),"")</f>
        <v>0</v>
      </c>
      <c r="I302" s="129">
        <f>IFERROR(IF($D302="","",VLOOKUP($D302,Cadastro!$C$4:$G$7,5,FALSE)),"")</f>
        <v>0.6</v>
      </c>
      <c r="J302" s="145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 x14ac:dyDescent="0.3">
      <c r="A303" s="69">
        <v>46246</v>
      </c>
      <c r="B303" s="32">
        <f t="shared" si="69"/>
        <v>0.49999999999999972</v>
      </c>
      <c r="C303" s="33" t="s">
        <v>28</v>
      </c>
      <c r="D303" s="62" t="s">
        <v>316</v>
      </c>
      <c r="E303" s="121" t="s">
        <v>246</v>
      </c>
      <c r="F303" s="122">
        <f>IFERROR(IF($D303="","",VLOOKUP($D303,Cadastro!$C$4:$E$7,3,FALSE)),"")</f>
        <v>0.23</v>
      </c>
      <c r="G303" s="27">
        <v>29</v>
      </c>
      <c r="H303" s="122">
        <f>IFERROR(IF($G303="","",$G303*$S$311/$G$311/Cadastro!$E$33),"")</f>
        <v>0</v>
      </c>
      <c r="I303" s="129">
        <f>IFERROR(IF($D303="","",VLOOKUP($D303,Cadastro!$C$4:$G$7,5,FALSE)),"")</f>
        <v>0.6</v>
      </c>
      <c r="J303" s="145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8">
        <v>46246</v>
      </c>
      <c r="B304" s="25">
        <f t="shared" si="69"/>
        <v>0.54166666666666641</v>
      </c>
      <c r="C304" s="33" t="s">
        <v>28</v>
      </c>
      <c r="D304" s="62" t="s">
        <v>316</v>
      </c>
      <c r="E304" s="121" t="s">
        <v>246</v>
      </c>
      <c r="F304" s="122">
        <f>IFERROR(IF($D304="","",VLOOKUP($D304,Cadastro!$C$4:$E$7,3,FALSE)),"")</f>
        <v>0.23</v>
      </c>
      <c r="G304" s="27">
        <v>30</v>
      </c>
      <c r="H304" s="122">
        <f>IFERROR(IF($G304="","",$G304*$S$311/$G$311/Cadastro!$E$33),"")</f>
        <v>0</v>
      </c>
      <c r="I304" s="129">
        <f>IFERROR(IF($D304="","",VLOOKUP($D304,Cadastro!$C$4:$G$7,5,FALSE)),"")</f>
        <v>0.6</v>
      </c>
      <c r="J304" s="145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9">
        <v>46246</v>
      </c>
      <c r="B305" s="32">
        <f t="shared" si="69"/>
        <v>0.58333333333333304</v>
      </c>
      <c r="C305" s="33" t="s">
        <v>28</v>
      </c>
      <c r="D305" s="62" t="s">
        <v>316</v>
      </c>
      <c r="E305" s="121" t="s">
        <v>246</v>
      </c>
      <c r="F305" s="122">
        <f>IFERROR(IF($D305="","",VLOOKUP($D305,Cadastro!$C$4:$E$7,3,FALSE)),"")</f>
        <v>0.23</v>
      </c>
      <c r="G305" s="27">
        <v>20</v>
      </c>
      <c r="H305" s="122">
        <f>IFERROR(IF($G305="","",$G305*$S$311/$G$311/Cadastro!$E$33),"")</f>
        <v>0</v>
      </c>
      <c r="I305" s="129">
        <f>IFERROR(IF($D305="","",VLOOKUP($D305,Cadastro!$C$4:$G$7,5,FALSE)),"")</f>
        <v>0.6</v>
      </c>
      <c r="J305" s="145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8">
        <v>46246</v>
      </c>
      <c r="B306" s="25">
        <f t="shared" si="69"/>
        <v>0.62499999999999967</v>
      </c>
      <c r="C306" s="33" t="s">
        <v>28</v>
      </c>
      <c r="D306" s="62" t="s">
        <v>316</v>
      </c>
      <c r="E306" s="121" t="s">
        <v>246</v>
      </c>
      <c r="F306" s="122">
        <f>IFERROR(IF($D306="","",VLOOKUP($D306,Cadastro!$C$4:$E$7,3,FALSE)),"")</f>
        <v>0.23</v>
      </c>
      <c r="G306" s="114"/>
      <c r="H306" s="122" t="str">
        <f>IFERROR(IF($G306="","",$G306*$S$311/$G$311/Cadastro!$E$33),"")</f>
        <v/>
      </c>
      <c r="I306" s="129">
        <f>IFERROR(IF($D306="","",VLOOKUP($D306,Cadastro!$C$4:$G$7,5,FALSE)),"")</f>
        <v>0.6</v>
      </c>
      <c r="J306" s="145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9">
        <v>46246</v>
      </c>
      <c r="B307" s="32">
        <f t="shared" si="69"/>
        <v>0.6666666666666663</v>
      </c>
      <c r="C307" s="33" t="s">
        <v>28</v>
      </c>
      <c r="D307" s="62" t="s">
        <v>316</v>
      </c>
      <c r="E307" s="121" t="s">
        <v>246</v>
      </c>
      <c r="F307" s="122">
        <f>IFERROR(IF($D307="","",VLOOKUP($D307,Cadastro!$C$4:$E$7,3,FALSE)),"")</f>
        <v>0.23</v>
      </c>
      <c r="G307" s="114"/>
      <c r="H307" s="122" t="str">
        <f>IFERROR(IF($G307="","",$G307*$S$311/$G$311/Cadastro!$E$33),"")</f>
        <v/>
      </c>
      <c r="I307" s="129">
        <f>IFERROR(IF($D307="","",VLOOKUP($D307,Cadastro!$C$4:$G$7,5,FALSE)),"")</f>
        <v>0.6</v>
      </c>
      <c r="J307" s="145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8">
        <v>46246</v>
      </c>
      <c r="B308" s="25">
        <f t="shared" si="69"/>
        <v>0.70833333333333293</v>
      </c>
      <c r="C308" s="33" t="s">
        <v>28</v>
      </c>
      <c r="D308" s="62" t="s">
        <v>316</v>
      </c>
      <c r="E308" s="121" t="s">
        <v>246</v>
      </c>
      <c r="F308" s="122">
        <f>IFERROR(IF($D308="","",VLOOKUP($D308,Cadastro!$C$4:$E$7,3,FALSE)),"")</f>
        <v>0.23</v>
      </c>
      <c r="G308" s="114"/>
      <c r="H308" s="122" t="str">
        <f>IFERROR(IF($G308="","",$G308*$S$311/$G$311/Cadastro!$E$33),"")</f>
        <v/>
      </c>
      <c r="I308" s="129">
        <f>IFERROR(IF($D308="","",VLOOKUP($D308,Cadastro!$C$4:$G$7,5,FALSE)),"")</f>
        <v>0.6</v>
      </c>
      <c r="J308" s="145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9">
        <v>46246</v>
      </c>
      <c r="B309" s="32">
        <f t="shared" si="69"/>
        <v>0.74999999999999956</v>
      </c>
      <c r="C309" s="33" t="s">
        <v>28</v>
      </c>
      <c r="D309" s="62" t="s">
        <v>316</v>
      </c>
      <c r="E309" s="121" t="s">
        <v>246</v>
      </c>
      <c r="F309" s="122">
        <f>IFERROR(IF($D309="","",VLOOKUP($D309,Cadastro!$C$4:$E$7,3,FALSE)),"")</f>
        <v>0.23</v>
      </c>
      <c r="G309" s="114"/>
      <c r="H309" s="122" t="str">
        <f>IFERROR(IF($G309="","",$G309*$S$311/$G$311/Cadastro!$E$33),"")</f>
        <v/>
      </c>
      <c r="I309" s="129">
        <f>IFERROR(IF($D309="","",VLOOKUP($D309,Cadastro!$C$4:$G$7,5,FALSE)),"")</f>
        <v>0.6</v>
      </c>
      <c r="J309" s="145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8">
        <v>46246</v>
      </c>
      <c r="B310" s="25">
        <f t="shared" si="69"/>
        <v>0.79166666666666619</v>
      </c>
      <c r="C310" s="33" t="s">
        <v>28</v>
      </c>
      <c r="D310" s="62" t="s">
        <v>316</v>
      </c>
      <c r="E310" s="121" t="s">
        <v>246</v>
      </c>
      <c r="F310" s="118">
        <f>IFERROR(IF($D310="","",VLOOKUP($D310,Cadastro!$C$4:$E$7,3,FALSE)),"")</f>
        <v>0.23</v>
      </c>
      <c r="G310" s="114"/>
      <c r="H310" s="118" t="str">
        <f>IFERROR(IF($G310="","",$G310*$S$311/$G$311/Cadastro!$E$33),"")</f>
        <v/>
      </c>
      <c r="I310" s="130">
        <f>IFERROR(IF($D310="","",VLOOKUP($D310,Cadastro!$C$4:$G$7,5,FALSE)),"")</f>
        <v>0.6</v>
      </c>
      <c r="J310" s="146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68" t="s">
        <v>231</v>
      </c>
      <c r="B311" s="169"/>
      <c r="C311" s="169"/>
      <c r="D311" s="169"/>
      <c r="E311" s="169">
        <f>SUM(E299:E310)</f>
        <v>0</v>
      </c>
      <c r="F311" s="123"/>
      <c r="G311" s="88">
        <f>SUM(G299:G310)</f>
        <v>143</v>
      </c>
      <c r="H311" s="123">
        <f>IFERROR(SUM(H299:H310),"")</f>
        <v>0</v>
      </c>
      <c r="I311" s="131"/>
      <c r="J311" s="147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232</v>
      </c>
      <c r="S311" s="39"/>
      <c r="T311" s="141">
        <f>IFERROR(J311,"")</f>
        <v>0</v>
      </c>
    </row>
    <row r="312" spans="1:20" ht="15" customHeight="1" x14ac:dyDescent="0.3">
      <c r="A312" s="68">
        <v>46246</v>
      </c>
      <c r="B312" s="25">
        <v>0.83333333333333304</v>
      </c>
      <c r="C312" s="26"/>
      <c r="D312" s="59"/>
      <c r="E312" s="120"/>
      <c r="F312" s="119" t="str">
        <f>IFERROR(IF($D312="","",VLOOKUP($D312,Cadastro!$C$4:$E$7,3,FALSE)),"")</f>
        <v/>
      </c>
      <c r="G312" s="114"/>
      <c r="H312" s="119" t="str">
        <f>IFERROR(IF($G312="","",$G312*$S$324/$G$324/Cadastro!$E$33),"")</f>
        <v/>
      </c>
      <c r="I312" s="132" t="str">
        <f>IFERROR(IF($D312="","",VLOOKUP($D312,Cadastro!$C$4:$G$7,5,FALSE)),"")</f>
        <v/>
      </c>
      <c r="J312" s="148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 x14ac:dyDescent="0.3">
      <c r="A313" s="69">
        <v>46246</v>
      </c>
      <c r="B313" s="32">
        <f t="shared" ref="B313:B323" si="73">B312+TIME(0,60,0)</f>
        <v>0.87499999999999967</v>
      </c>
      <c r="C313" s="26"/>
      <c r="D313" s="59"/>
      <c r="E313" s="120"/>
      <c r="F313" s="122" t="str">
        <f>IFERROR(IF($D313="","",VLOOKUP($D313,Cadastro!$C$4:$E$7,3,FALSE)),"")</f>
        <v/>
      </c>
      <c r="G313" s="114"/>
      <c r="H313" s="122" t="str">
        <f>IFERROR(IF($G313="","",$G313*$S$324/$G$324/Cadastro!$E$33),"")</f>
        <v/>
      </c>
      <c r="I313" s="129" t="str">
        <f>IFERROR(IF($D313="","",VLOOKUP($D313,Cadastro!$C$4:$G$7,5,FALSE)),"")</f>
        <v/>
      </c>
      <c r="J313" s="145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 x14ac:dyDescent="0.3">
      <c r="A314" s="68">
        <v>46246</v>
      </c>
      <c r="B314" s="25">
        <f t="shared" si="73"/>
        <v>0.9166666666666663</v>
      </c>
      <c r="C314" s="26"/>
      <c r="D314" s="59"/>
      <c r="E314" s="120"/>
      <c r="F314" s="122" t="str">
        <f>IFERROR(IF($D314="","",VLOOKUP($D314,Cadastro!$C$4:$E$7,3,FALSE)),"")</f>
        <v/>
      </c>
      <c r="G314" s="114"/>
      <c r="H314" s="122" t="str">
        <f>IFERROR(IF($G314="","",$G314*$S$324/$G$324/Cadastro!$E$33),"")</f>
        <v/>
      </c>
      <c r="I314" s="129" t="str">
        <f>IFERROR(IF($D314="","",VLOOKUP($D314,Cadastro!$C$4:$G$7,5,FALSE)),"")</f>
        <v/>
      </c>
      <c r="J314" s="145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 x14ac:dyDescent="0.3">
      <c r="A315" s="69">
        <v>46246</v>
      </c>
      <c r="B315" s="32">
        <f t="shared" si="73"/>
        <v>0.95833333333333293</v>
      </c>
      <c r="C315" s="26"/>
      <c r="D315" s="59"/>
      <c r="E315" s="120"/>
      <c r="F315" s="122" t="str">
        <f>IFERROR(IF($D315="","",VLOOKUP($D315,Cadastro!$C$4:$E$7,3,FALSE)),"")</f>
        <v/>
      </c>
      <c r="G315" s="114"/>
      <c r="H315" s="122" t="str">
        <f>IFERROR(IF($G315="","",$G315*$S$324/$G$324/Cadastro!$E$33),"")</f>
        <v/>
      </c>
      <c r="I315" s="129" t="str">
        <f>IFERROR(IF($D315="","",VLOOKUP($D315,Cadastro!$C$4:$G$7,5,FALSE)),"")</f>
        <v/>
      </c>
      <c r="J315" s="145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8">
        <v>46246</v>
      </c>
      <c r="B316" s="25">
        <f t="shared" si="73"/>
        <v>0.99999999999999956</v>
      </c>
      <c r="C316" s="26"/>
      <c r="D316" s="59"/>
      <c r="E316" s="120"/>
      <c r="F316" s="122" t="str">
        <f>IFERROR(IF($D316="","",VLOOKUP($D316,Cadastro!$C$4:$E$7,3,FALSE)),"")</f>
        <v/>
      </c>
      <c r="G316" s="114"/>
      <c r="H316" s="122" t="str">
        <f>IFERROR(IF($G316="","",$G316*$S$324/$G$324/Cadastro!$E$33),"")</f>
        <v/>
      </c>
      <c r="I316" s="129" t="str">
        <f>IFERROR(IF($D316="","",VLOOKUP($D316,Cadastro!$C$4:$G$7,5,FALSE)),"")</f>
        <v/>
      </c>
      <c r="J316" s="145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9">
        <v>46246</v>
      </c>
      <c r="B317" s="32">
        <f t="shared" si="73"/>
        <v>1.0416666666666663</v>
      </c>
      <c r="C317" s="26"/>
      <c r="D317" s="59"/>
      <c r="E317" s="120"/>
      <c r="F317" s="122" t="str">
        <f>IFERROR(IF($D317="","",VLOOKUP($D317,Cadastro!$C$4:$E$7,3,FALSE)),"")</f>
        <v/>
      </c>
      <c r="G317" s="114"/>
      <c r="H317" s="122" t="str">
        <f>IFERROR(IF($G317="","",$G317*$S$324/$G$324/Cadastro!$E$33),"")</f>
        <v/>
      </c>
      <c r="I317" s="129" t="str">
        <f>IFERROR(IF($D317="","",VLOOKUP($D317,Cadastro!$C$4:$G$7,5,FALSE)),"")</f>
        <v/>
      </c>
      <c r="J317" s="145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8">
        <v>46246</v>
      </c>
      <c r="B318" s="25">
        <f t="shared" si="73"/>
        <v>1.083333333333333</v>
      </c>
      <c r="C318" s="26"/>
      <c r="D318" s="59"/>
      <c r="E318" s="120"/>
      <c r="F318" s="122" t="str">
        <f>IFERROR(IF($D318="","",VLOOKUP($D318,Cadastro!$C$4:$E$7,3,FALSE)),"")</f>
        <v/>
      </c>
      <c r="G318" s="114"/>
      <c r="H318" s="122" t="str">
        <f>IFERROR(IF($G318="","",$G318*$S$324/$G$324/Cadastro!$E$33),"")</f>
        <v/>
      </c>
      <c r="I318" s="129" t="str">
        <f>IFERROR(IF($D318="","",VLOOKUP($D318,Cadastro!$C$4:$G$7,5,FALSE)),"")</f>
        <v/>
      </c>
      <c r="J318" s="145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9">
        <v>46246</v>
      </c>
      <c r="B319" s="32">
        <f t="shared" si="73"/>
        <v>1.1249999999999998</v>
      </c>
      <c r="C319" s="26"/>
      <c r="D319" s="59"/>
      <c r="E319" s="120"/>
      <c r="F319" s="122" t="str">
        <f>IFERROR(IF($D319="","",VLOOKUP($D319,Cadastro!$C$4:$E$7,3,FALSE)),"")</f>
        <v/>
      </c>
      <c r="G319" s="114"/>
      <c r="H319" s="122" t="str">
        <f>IFERROR(IF($G319="","",$G319*$S$324/$G$324/Cadastro!$E$33),"")</f>
        <v/>
      </c>
      <c r="I319" s="129" t="str">
        <f>IFERROR(IF($D319="","",VLOOKUP($D319,Cadastro!$C$4:$G$7,5,FALSE)),"")</f>
        <v/>
      </c>
      <c r="J319" s="145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8">
        <v>46246</v>
      </c>
      <c r="B320" s="25">
        <f t="shared" si="73"/>
        <v>1.1666666666666665</v>
      </c>
      <c r="C320" s="26"/>
      <c r="D320" s="59"/>
      <c r="E320" s="120"/>
      <c r="F320" s="122" t="str">
        <f>IFERROR(IF($D320="","",VLOOKUP($D320,Cadastro!$C$4:$E$7,3,FALSE)),"")</f>
        <v/>
      </c>
      <c r="G320" s="114"/>
      <c r="H320" s="122" t="str">
        <f>IFERROR(IF($G320="","",$G320*$S$324/$G$324/Cadastro!$E$33),"")</f>
        <v/>
      </c>
      <c r="I320" s="129" t="str">
        <f>IFERROR(IF($D320="","",VLOOKUP($D320,Cadastro!$C$4:$G$7,5,FALSE)),"")</f>
        <v/>
      </c>
      <c r="J320" s="145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9">
        <v>46246</v>
      </c>
      <c r="B321" s="32">
        <f t="shared" si="73"/>
        <v>1.2083333333333333</v>
      </c>
      <c r="C321" s="26"/>
      <c r="D321" s="59"/>
      <c r="E321" s="120"/>
      <c r="F321" s="122" t="str">
        <f>IFERROR(IF($D321="","",VLOOKUP($D321,Cadastro!$C$4:$E$7,3,FALSE)),"")</f>
        <v/>
      </c>
      <c r="G321" s="114"/>
      <c r="H321" s="122" t="str">
        <f>IFERROR(IF($G321="","",$G321*$S$324/$G$324/Cadastro!$E$33),"")</f>
        <v/>
      </c>
      <c r="I321" s="129" t="str">
        <f>IFERROR(IF($D321="","",VLOOKUP($D321,Cadastro!$C$4:$G$7,5,FALSE)),"")</f>
        <v/>
      </c>
      <c r="J321" s="145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8">
        <v>46246</v>
      </c>
      <c r="B322" s="25">
        <f t="shared" si="73"/>
        <v>1.25</v>
      </c>
      <c r="C322" s="26"/>
      <c r="D322" s="59"/>
      <c r="E322" s="120"/>
      <c r="F322" s="122" t="str">
        <f>IFERROR(IF($D322="","",VLOOKUP($D322,Cadastro!$C$4:$E$7,3,FALSE)),"")</f>
        <v/>
      </c>
      <c r="G322" s="114"/>
      <c r="H322" s="122" t="str">
        <f>IFERROR(IF($G322="","",$G322*$S$324/$G$324/Cadastro!$E$33),"")</f>
        <v/>
      </c>
      <c r="I322" s="129" t="str">
        <f>IFERROR(IF($D322="","",VLOOKUP($D322,Cadastro!$C$4:$G$7,5,FALSE)),"")</f>
        <v/>
      </c>
      <c r="J322" s="145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9">
        <v>46246</v>
      </c>
      <c r="B323" s="32">
        <f t="shared" si="73"/>
        <v>1.2916666666666667</v>
      </c>
      <c r="C323" s="26"/>
      <c r="D323" s="59"/>
      <c r="E323" s="120"/>
      <c r="F323" s="118" t="str">
        <f>IFERROR(IF($D323="","",VLOOKUP($D323,Cadastro!$C$4:$E$7,3,FALSE)),"")</f>
        <v/>
      </c>
      <c r="G323" s="114"/>
      <c r="H323" s="118" t="str">
        <f>IFERROR(IF($G323="","",$G323*$S$324/$G$324/Cadastro!$E$33),"")</f>
        <v/>
      </c>
      <c r="I323" s="130" t="str">
        <f>IFERROR(IF($D323="","",VLOOKUP($D323,Cadastro!$C$4:$G$7,5,FALSE)),"")</f>
        <v/>
      </c>
      <c r="J323" s="146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68" t="s">
        <v>234</v>
      </c>
      <c r="B324" s="169"/>
      <c r="C324" s="169"/>
      <c r="D324" s="169"/>
      <c r="E324" s="169">
        <f>SUM(E312:E323)</f>
        <v>0</v>
      </c>
      <c r="F324" s="124"/>
      <c r="G324" s="88">
        <f>SUM(G312:G323)</f>
        <v>0</v>
      </c>
      <c r="H324" s="124">
        <f>IFERROR(SUM(H312:H323),"")</f>
        <v>0</v>
      </c>
      <c r="I324" s="133"/>
      <c r="J324" s="149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232</v>
      </c>
      <c r="S324" s="39"/>
      <c r="T324" s="141">
        <f>IFERROR(J324,"")</f>
        <v>0</v>
      </c>
    </row>
    <row r="325" spans="1:20" ht="18" customHeight="1" x14ac:dyDescent="0.3">
      <c r="A325" s="165" t="s">
        <v>235</v>
      </c>
      <c r="B325" s="166"/>
      <c r="C325" s="166"/>
      <c r="D325" s="166"/>
      <c r="E325" s="166">
        <f>E311+E324</f>
        <v>0</v>
      </c>
      <c r="F325" s="125"/>
      <c r="G325" s="100">
        <f>G311+G324</f>
        <v>143</v>
      </c>
      <c r="H325" s="125">
        <f>IFERROR(H311+H324,"")</f>
        <v>0</v>
      </c>
      <c r="I325" s="134"/>
      <c r="J325" s="150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236</v>
      </c>
      <c r="S325" s="48">
        <f>IFERROR(S311+S324,"")</f>
        <v>0</v>
      </c>
      <c r="T325" s="143">
        <f>IFERROR(J325,"")</f>
        <v>0</v>
      </c>
    </row>
    <row r="326" spans="1:20" ht="15" customHeight="1" x14ac:dyDescent="0.3">
      <c r="A326" s="68">
        <v>46247</v>
      </c>
      <c r="B326" s="25">
        <v>0.33333333333333298</v>
      </c>
      <c r="C326" s="26"/>
      <c r="D326" s="59"/>
      <c r="E326" s="120"/>
      <c r="F326" s="119" t="str">
        <f>IFERROR(IF($D326="","",VLOOKUP($D326,Cadastro!$C$4:$E$7,3,FALSE)),"")</f>
        <v/>
      </c>
      <c r="G326" s="114"/>
      <c r="H326" s="119" t="str">
        <f>IFERROR(IF($G326="","",$G326*$S$338/$G$338/Cadastro!$E$33),"")</f>
        <v/>
      </c>
      <c r="I326" s="132" t="str">
        <f>IFERROR(IF($D326="","",VLOOKUP($D326,Cadastro!$C$4:$G$7,5,FALSE)),"")</f>
        <v/>
      </c>
      <c r="J326" s="148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 x14ac:dyDescent="0.3">
      <c r="A327" s="69">
        <v>46247</v>
      </c>
      <c r="B327" s="32">
        <f t="shared" ref="B327:B337" si="76">B326+TIME(0,60,0)</f>
        <v>0.37499999999999967</v>
      </c>
      <c r="C327" s="26"/>
      <c r="D327" s="59"/>
      <c r="E327" s="120"/>
      <c r="F327" s="122" t="str">
        <f>IFERROR(IF($D327="","",VLOOKUP($D327,Cadastro!$C$4:$E$7,3,FALSE)),"")</f>
        <v/>
      </c>
      <c r="G327" s="114"/>
      <c r="H327" s="122" t="str">
        <f>IFERROR(IF($G327="","",$G327*$S$338/$G$338/Cadastro!$E$33),"")</f>
        <v/>
      </c>
      <c r="I327" s="129" t="str">
        <f>IFERROR(IF($D327="","",VLOOKUP($D327,Cadastro!$C$4:$G$7,5,FALSE)),"")</f>
        <v/>
      </c>
      <c r="J327" s="145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 x14ac:dyDescent="0.3">
      <c r="A328" s="68">
        <v>46247</v>
      </c>
      <c r="B328" s="25">
        <f t="shared" si="76"/>
        <v>0.41666666666666635</v>
      </c>
      <c r="C328" s="26"/>
      <c r="D328" s="59"/>
      <c r="E328" s="120"/>
      <c r="F328" s="122" t="str">
        <f>IFERROR(IF($D328="","",VLOOKUP($D328,Cadastro!$C$4:$E$7,3,FALSE)),"")</f>
        <v/>
      </c>
      <c r="G328" s="114"/>
      <c r="H328" s="122" t="str">
        <f>IFERROR(IF($G328="","",$G328*$S$338/$G$338/Cadastro!$E$33),"")</f>
        <v/>
      </c>
      <c r="I328" s="129" t="str">
        <f>IFERROR(IF($D328="","",VLOOKUP($D328,Cadastro!$C$4:$G$7,5,FALSE)),"")</f>
        <v/>
      </c>
      <c r="J328" s="145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 x14ac:dyDescent="0.3">
      <c r="A329" s="69">
        <v>46247</v>
      </c>
      <c r="B329" s="32">
        <f t="shared" si="76"/>
        <v>0.45833333333333304</v>
      </c>
      <c r="C329" s="26"/>
      <c r="D329" s="59"/>
      <c r="E329" s="120"/>
      <c r="F329" s="122" t="str">
        <f>IFERROR(IF($D329="","",VLOOKUP($D329,Cadastro!$C$4:$E$7,3,FALSE)),"")</f>
        <v/>
      </c>
      <c r="G329" s="114"/>
      <c r="H329" s="122" t="str">
        <f>IFERROR(IF($G329="","",$G329*$S$338/$G$338/Cadastro!$E$33),"")</f>
        <v/>
      </c>
      <c r="I329" s="129" t="str">
        <f>IFERROR(IF($D329="","",VLOOKUP($D329,Cadastro!$C$4:$G$7,5,FALSE)),"")</f>
        <v/>
      </c>
      <c r="J329" s="145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 x14ac:dyDescent="0.3">
      <c r="A330" s="68">
        <v>46247</v>
      </c>
      <c r="B330" s="25">
        <f t="shared" si="76"/>
        <v>0.49999999999999972</v>
      </c>
      <c r="C330" s="26"/>
      <c r="D330" s="59"/>
      <c r="E330" s="120"/>
      <c r="F330" s="122" t="str">
        <f>IFERROR(IF($D330="","",VLOOKUP($D330,Cadastro!$C$4:$E$7,3,FALSE)),"")</f>
        <v/>
      </c>
      <c r="G330" s="114"/>
      <c r="H330" s="122" t="str">
        <f>IFERROR(IF($G330="","",$G330*$S$338/$G$338/Cadastro!$E$33),"")</f>
        <v/>
      </c>
      <c r="I330" s="129" t="str">
        <f>IFERROR(IF($D330="","",VLOOKUP($D330,Cadastro!$C$4:$G$7,5,FALSE)),"")</f>
        <v/>
      </c>
      <c r="J330" s="145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9">
        <v>46247</v>
      </c>
      <c r="B331" s="32">
        <f t="shared" si="76"/>
        <v>0.54166666666666641</v>
      </c>
      <c r="C331" s="26"/>
      <c r="D331" s="59"/>
      <c r="E331" s="120"/>
      <c r="F331" s="122" t="str">
        <f>IFERROR(IF($D331="","",VLOOKUP($D331,Cadastro!$C$4:$E$7,3,FALSE)),"")</f>
        <v/>
      </c>
      <c r="G331" s="114"/>
      <c r="H331" s="122" t="str">
        <f>IFERROR(IF($G331="","",$G331*$S$338/$G$338/Cadastro!$E$33),"")</f>
        <v/>
      </c>
      <c r="I331" s="129" t="str">
        <f>IFERROR(IF($D331="","",VLOOKUP($D331,Cadastro!$C$4:$G$7,5,FALSE)),"")</f>
        <v/>
      </c>
      <c r="J331" s="145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8">
        <v>46247</v>
      </c>
      <c r="B332" s="25">
        <f t="shared" si="76"/>
        <v>0.58333333333333304</v>
      </c>
      <c r="C332" s="26"/>
      <c r="D332" s="59"/>
      <c r="E332" s="120"/>
      <c r="F332" s="122" t="str">
        <f>IFERROR(IF($D332="","",VLOOKUP($D332,Cadastro!$C$4:$E$7,3,FALSE)),"")</f>
        <v/>
      </c>
      <c r="G332" s="114"/>
      <c r="H332" s="122" t="str">
        <f>IFERROR(IF($G332="","",$G332*$S$338/$G$338/Cadastro!$E$33),"")</f>
        <v/>
      </c>
      <c r="I332" s="129" t="str">
        <f>IFERROR(IF($D332="","",VLOOKUP($D332,Cadastro!$C$4:$G$7,5,FALSE)),"")</f>
        <v/>
      </c>
      <c r="J332" s="145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9">
        <v>46247</v>
      </c>
      <c r="B333" s="32">
        <f t="shared" si="76"/>
        <v>0.62499999999999967</v>
      </c>
      <c r="C333" s="26"/>
      <c r="D333" s="59"/>
      <c r="E333" s="120"/>
      <c r="F333" s="122" t="str">
        <f>IFERROR(IF($D333="","",VLOOKUP($D333,Cadastro!$C$4:$E$7,3,FALSE)),"")</f>
        <v/>
      </c>
      <c r="G333" s="114"/>
      <c r="H333" s="122" t="str">
        <f>IFERROR(IF($G333="","",$G333*$S$338/$G$338/Cadastro!$E$33),"")</f>
        <v/>
      </c>
      <c r="I333" s="129" t="str">
        <f>IFERROR(IF($D333="","",VLOOKUP($D333,Cadastro!$C$4:$G$7,5,FALSE)),"")</f>
        <v/>
      </c>
      <c r="J333" s="145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8">
        <v>46247</v>
      </c>
      <c r="B334" s="25">
        <f t="shared" si="76"/>
        <v>0.6666666666666663</v>
      </c>
      <c r="C334" s="26"/>
      <c r="D334" s="59"/>
      <c r="E334" s="120"/>
      <c r="F334" s="122" t="str">
        <f>IFERROR(IF($D334="","",VLOOKUP($D334,Cadastro!$C$4:$E$7,3,FALSE)),"")</f>
        <v/>
      </c>
      <c r="G334" s="114"/>
      <c r="H334" s="122" t="str">
        <f>IFERROR(IF($G334="","",$G334*$S$338/$G$338/Cadastro!$E$33),"")</f>
        <v/>
      </c>
      <c r="I334" s="129" t="str">
        <f>IFERROR(IF($D334="","",VLOOKUP($D334,Cadastro!$C$4:$G$7,5,FALSE)),"")</f>
        <v/>
      </c>
      <c r="J334" s="145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9">
        <v>46247</v>
      </c>
      <c r="B335" s="32">
        <f t="shared" si="76"/>
        <v>0.70833333333333293</v>
      </c>
      <c r="C335" s="26"/>
      <c r="D335" s="59"/>
      <c r="E335" s="120"/>
      <c r="F335" s="122" t="str">
        <f>IFERROR(IF($D335="","",VLOOKUP($D335,Cadastro!$C$4:$E$7,3,FALSE)),"")</f>
        <v/>
      </c>
      <c r="G335" s="114"/>
      <c r="H335" s="122" t="str">
        <f>IFERROR(IF($G335="","",$G335*$S$338/$G$338/Cadastro!$E$33),"")</f>
        <v/>
      </c>
      <c r="I335" s="129" t="str">
        <f>IFERROR(IF($D335="","",VLOOKUP($D335,Cadastro!$C$4:$G$7,5,FALSE)),"")</f>
        <v/>
      </c>
      <c r="J335" s="145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8">
        <v>46247</v>
      </c>
      <c r="B336" s="25">
        <f t="shared" si="76"/>
        <v>0.74999999999999956</v>
      </c>
      <c r="C336" s="26"/>
      <c r="D336" s="59"/>
      <c r="E336" s="120"/>
      <c r="F336" s="122" t="str">
        <f>IFERROR(IF($D336="","",VLOOKUP($D336,Cadastro!$C$4:$E$7,3,FALSE)),"")</f>
        <v/>
      </c>
      <c r="G336" s="114"/>
      <c r="H336" s="122" t="str">
        <f>IFERROR(IF($G336="","",$G336*$S$338/$G$338/Cadastro!$E$33),"")</f>
        <v/>
      </c>
      <c r="I336" s="129" t="str">
        <f>IFERROR(IF($D336="","",VLOOKUP($D336,Cadastro!$C$4:$G$7,5,FALSE)),"")</f>
        <v/>
      </c>
      <c r="J336" s="145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9">
        <v>46247</v>
      </c>
      <c r="B337" s="32">
        <f t="shared" si="76"/>
        <v>0.79166666666666619</v>
      </c>
      <c r="C337" s="26"/>
      <c r="D337" s="59"/>
      <c r="E337" s="120"/>
      <c r="F337" s="118" t="str">
        <f>IFERROR(IF($D337="","",VLOOKUP($D337,Cadastro!$C$4:$E$7,3,FALSE)),"")</f>
        <v/>
      </c>
      <c r="G337" s="114"/>
      <c r="H337" s="118" t="str">
        <f>IFERROR(IF($G337="","",$G337*$S$338/$G$338/Cadastro!$E$33),"")</f>
        <v/>
      </c>
      <c r="I337" s="130" t="str">
        <f>IFERROR(IF($D337="","",VLOOKUP($D337,Cadastro!$C$4:$G$7,5,FALSE)),"")</f>
        <v/>
      </c>
      <c r="J337" s="146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68" t="s">
        <v>231</v>
      </c>
      <c r="B338" s="169"/>
      <c r="C338" s="169"/>
      <c r="D338" s="169"/>
      <c r="E338" s="169">
        <f>SUM(E327:E337)</f>
        <v>0</v>
      </c>
      <c r="F338" s="123"/>
      <c r="G338" s="88">
        <f>SUM(G326:G337)</f>
        <v>0</v>
      </c>
      <c r="H338" s="123">
        <f>IFERROR(SUM(H326:H337),"")</f>
        <v>0</v>
      </c>
      <c r="I338" s="131"/>
      <c r="J338" s="147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232</v>
      </c>
      <c r="S338" s="39"/>
      <c r="T338" s="141">
        <f>IFERROR(J338,"")</f>
        <v>0</v>
      </c>
    </row>
    <row r="339" spans="1:20" ht="15" customHeight="1" x14ac:dyDescent="0.3">
      <c r="A339" s="69">
        <v>46247</v>
      </c>
      <c r="B339" s="32">
        <v>0.83333333333333304</v>
      </c>
      <c r="C339" s="33"/>
      <c r="D339" s="62"/>
      <c r="E339" s="121"/>
      <c r="F339" s="119" t="str">
        <f>IFERROR(IF($D339="","",VLOOKUP($D339,Cadastro!$C$4:$E$7,3,FALSE)),"")</f>
        <v/>
      </c>
      <c r="G339" s="114"/>
      <c r="H339" s="119" t="str">
        <f>IFERROR(IF($G339="","",$G339*$S$351/$G$351/Cadastro!$E$33),"")</f>
        <v/>
      </c>
      <c r="I339" s="132" t="str">
        <f>IFERROR(IF($D339="","",VLOOKUP($D339,Cadastro!$C$4:$G$7,5,FALSE)),"")</f>
        <v/>
      </c>
      <c r="J339" s="148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 x14ac:dyDescent="0.3">
      <c r="A340" s="68">
        <v>46247</v>
      </c>
      <c r="B340" s="25">
        <f t="shared" ref="B340:B350" si="81">B339+TIME(0,60,0)</f>
        <v>0.87499999999999967</v>
      </c>
      <c r="C340" s="33"/>
      <c r="D340" s="62"/>
      <c r="E340" s="121"/>
      <c r="F340" s="122" t="str">
        <f>IFERROR(IF($D340="","",VLOOKUP($D340,Cadastro!$C$4:$E$7,3,FALSE)),"")</f>
        <v/>
      </c>
      <c r="G340" s="114"/>
      <c r="H340" s="122" t="str">
        <f>IFERROR(IF($G340="","",$G340*$S$351/$G$351/Cadastro!$E$33),"")</f>
        <v/>
      </c>
      <c r="I340" s="129" t="str">
        <f>IFERROR(IF($D340="","",VLOOKUP($D340,Cadastro!$C$4:$G$7,5,FALSE)),"")</f>
        <v/>
      </c>
      <c r="J340" s="145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 x14ac:dyDescent="0.3">
      <c r="A341" s="69">
        <v>46247</v>
      </c>
      <c r="B341" s="32">
        <f t="shared" si="81"/>
        <v>0.9166666666666663</v>
      </c>
      <c r="C341" s="33"/>
      <c r="D341" s="62"/>
      <c r="E341" s="121"/>
      <c r="F341" s="122" t="str">
        <f>IFERROR(IF($D341="","",VLOOKUP($D341,Cadastro!$C$4:$E$7,3,FALSE)),"")</f>
        <v/>
      </c>
      <c r="G341" s="114"/>
      <c r="H341" s="122" t="str">
        <f>IFERROR(IF($G341="","",$G341*$S$351/$G$351/Cadastro!$E$33),"")</f>
        <v/>
      </c>
      <c r="I341" s="129" t="str">
        <f>IFERROR(IF($D341="","",VLOOKUP($D341,Cadastro!$C$4:$G$7,5,FALSE)),"")</f>
        <v/>
      </c>
      <c r="J341" s="145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 x14ac:dyDescent="0.3">
      <c r="A342" s="68">
        <v>46247</v>
      </c>
      <c r="B342" s="25">
        <f t="shared" si="81"/>
        <v>0.95833333333333293</v>
      </c>
      <c r="C342" s="33"/>
      <c r="D342" s="62"/>
      <c r="E342" s="121"/>
      <c r="F342" s="122" t="str">
        <f>IFERROR(IF($D342="","",VLOOKUP($D342,Cadastro!$C$4:$E$7,3,FALSE)),"")</f>
        <v/>
      </c>
      <c r="G342" s="114"/>
      <c r="H342" s="122" t="str">
        <f>IFERROR(IF($G342="","",$G342*$S$351/$G$351/Cadastro!$E$33),"")</f>
        <v/>
      </c>
      <c r="I342" s="129" t="str">
        <f>IFERROR(IF($D342="","",VLOOKUP($D342,Cadastro!$C$4:$G$7,5,FALSE)),"")</f>
        <v/>
      </c>
      <c r="J342" s="145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 x14ac:dyDescent="0.3">
      <c r="A343" s="69">
        <v>46247</v>
      </c>
      <c r="B343" s="32">
        <f t="shared" si="81"/>
        <v>0.99999999999999956</v>
      </c>
      <c r="C343" s="33"/>
      <c r="D343" s="62"/>
      <c r="E343" s="121"/>
      <c r="F343" s="122" t="str">
        <f>IFERROR(IF($D343="","",VLOOKUP($D343,Cadastro!$C$4:$E$7,3,FALSE)),"")</f>
        <v/>
      </c>
      <c r="G343" s="114"/>
      <c r="H343" s="122" t="str">
        <f>IFERROR(IF($G343="","",$G343*$S$351/$G$351/Cadastro!$E$33),"")</f>
        <v/>
      </c>
      <c r="I343" s="129" t="str">
        <f>IFERROR(IF($D343="","",VLOOKUP($D343,Cadastro!$C$4:$G$7,5,FALSE)),"")</f>
        <v/>
      </c>
      <c r="J343" s="145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 x14ac:dyDescent="0.3">
      <c r="A344" s="68">
        <v>46247</v>
      </c>
      <c r="B344" s="25">
        <f t="shared" si="81"/>
        <v>1.0416666666666663</v>
      </c>
      <c r="C344" s="33"/>
      <c r="D344" s="62"/>
      <c r="E344" s="121"/>
      <c r="F344" s="122" t="str">
        <f>IFERROR(IF($D344="","",VLOOKUP($D344,Cadastro!$C$4:$E$7,3,FALSE)),"")</f>
        <v/>
      </c>
      <c r="G344" s="114"/>
      <c r="H344" s="122" t="str">
        <f>IFERROR(IF($G344="","",$G344*$S$351/$G$351/Cadastro!$E$33),"")</f>
        <v/>
      </c>
      <c r="I344" s="129" t="str">
        <f>IFERROR(IF($D344="","",VLOOKUP($D344,Cadastro!$C$4:$G$7,5,FALSE)),"")</f>
        <v/>
      </c>
      <c r="J344" s="145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 x14ac:dyDescent="0.3">
      <c r="A345" s="69">
        <v>46247</v>
      </c>
      <c r="B345" s="32">
        <f t="shared" si="81"/>
        <v>1.083333333333333</v>
      </c>
      <c r="C345" s="33"/>
      <c r="D345" s="62"/>
      <c r="E345" s="121"/>
      <c r="F345" s="122" t="str">
        <f>IFERROR(IF($D345="","",VLOOKUP($D345,Cadastro!$C$4:$E$7,3,FALSE)),"")</f>
        <v/>
      </c>
      <c r="G345" s="114"/>
      <c r="H345" s="122" t="str">
        <f>IFERROR(IF($G345="","",$G345*$S$351/$G$351/Cadastro!$E$33),"")</f>
        <v/>
      </c>
      <c r="I345" s="129" t="str">
        <f>IFERROR(IF($D345="","",VLOOKUP($D345,Cadastro!$C$4:$G$7,5,FALSE)),"")</f>
        <v/>
      </c>
      <c r="J345" s="145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 x14ac:dyDescent="0.3">
      <c r="A346" s="68">
        <v>46247</v>
      </c>
      <c r="B346" s="25">
        <f t="shared" si="81"/>
        <v>1.1249999999999998</v>
      </c>
      <c r="C346" s="33"/>
      <c r="D346" s="62"/>
      <c r="E346" s="121"/>
      <c r="F346" s="122" t="str">
        <f>IFERROR(IF($D346="","",VLOOKUP($D346,Cadastro!$C$4:$E$7,3,FALSE)),"")</f>
        <v/>
      </c>
      <c r="G346" s="114"/>
      <c r="H346" s="122" t="str">
        <f>IFERROR(IF($G346="","",$G346*$S$351/$G$351/Cadastro!$E$33),"")</f>
        <v/>
      </c>
      <c r="I346" s="129" t="str">
        <f>IFERROR(IF($D346="","",VLOOKUP($D346,Cadastro!$C$4:$G$7,5,FALSE)),"")</f>
        <v/>
      </c>
      <c r="J346" s="145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 x14ac:dyDescent="0.3">
      <c r="A347" s="69">
        <v>46247</v>
      </c>
      <c r="B347" s="32">
        <f t="shared" si="81"/>
        <v>1.1666666666666665</v>
      </c>
      <c r="C347" s="33"/>
      <c r="D347" s="62"/>
      <c r="E347" s="121"/>
      <c r="F347" s="122" t="str">
        <f>IFERROR(IF($D347="","",VLOOKUP($D347,Cadastro!$C$4:$E$7,3,FALSE)),"")</f>
        <v/>
      </c>
      <c r="G347" s="114"/>
      <c r="H347" s="122" t="str">
        <f>IFERROR(IF($G347="","",$G347*$S$351/$G$351/Cadastro!$E$33),"")</f>
        <v/>
      </c>
      <c r="I347" s="129" t="str">
        <f>IFERROR(IF($D347="","",VLOOKUP($D347,Cadastro!$C$4:$G$7,5,FALSE)),"")</f>
        <v/>
      </c>
      <c r="J347" s="145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 x14ac:dyDescent="0.3">
      <c r="A348" s="68">
        <v>46247</v>
      </c>
      <c r="B348" s="25">
        <f t="shared" si="81"/>
        <v>1.2083333333333333</v>
      </c>
      <c r="C348" s="33"/>
      <c r="D348" s="62"/>
      <c r="E348" s="121"/>
      <c r="F348" s="122" t="str">
        <f>IFERROR(IF($D348="","",VLOOKUP($D348,Cadastro!$C$4:$E$7,3,FALSE)),"")</f>
        <v/>
      </c>
      <c r="G348" s="114"/>
      <c r="H348" s="122" t="str">
        <f>IFERROR(IF($G348="","",$G348*$S$351/$G$351/Cadastro!$E$33),"")</f>
        <v/>
      </c>
      <c r="I348" s="129" t="str">
        <f>IFERROR(IF($D348="","",VLOOKUP($D348,Cadastro!$C$4:$G$7,5,FALSE)),"")</f>
        <v/>
      </c>
      <c r="J348" s="145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9">
        <v>46247</v>
      </c>
      <c r="B349" s="32">
        <f t="shared" si="81"/>
        <v>1.25</v>
      </c>
      <c r="C349" s="33"/>
      <c r="D349" s="62"/>
      <c r="E349" s="121"/>
      <c r="F349" s="122" t="str">
        <f>IFERROR(IF($D349="","",VLOOKUP($D349,Cadastro!$C$4:$E$7,3,FALSE)),"")</f>
        <v/>
      </c>
      <c r="G349" s="114"/>
      <c r="H349" s="122" t="str">
        <f>IFERROR(IF($G349="","",$G349*$S$351/$G$351/Cadastro!$E$33),"")</f>
        <v/>
      </c>
      <c r="I349" s="129" t="str">
        <f>IFERROR(IF($D349="","",VLOOKUP($D349,Cadastro!$C$4:$G$7,5,FALSE)),"")</f>
        <v/>
      </c>
      <c r="J349" s="145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8">
        <v>46247</v>
      </c>
      <c r="B350" s="25">
        <f t="shared" si="81"/>
        <v>1.2916666666666667</v>
      </c>
      <c r="C350" s="33"/>
      <c r="D350" s="62"/>
      <c r="E350" s="121"/>
      <c r="F350" s="118" t="str">
        <f>IFERROR(IF($D350="","",VLOOKUP($D350,Cadastro!$C$4:$E$7,3,FALSE)),"")</f>
        <v/>
      </c>
      <c r="G350" s="114"/>
      <c r="H350" s="118" t="str">
        <f>IFERROR(IF($G350="","",$G350*$S$351/$G$351/Cadastro!$E$33),"")</f>
        <v/>
      </c>
      <c r="I350" s="130" t="str">
        <f>IFERROR(IF($D350="","",VLOOKUP($D350,Cadastro!$C$4:$G$7,5,FALSE)),"")</f>
        <v/>
      </c>
      <c r="J350" s="146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68" t="s">
        <v>234</v>
      </c>
      <c r="B351" s="169"/>
      <c r="C351" s="169"/>
      <c r="D351" s="169"/>
      <c r="E351" s="169">
        <f>SUM(E339:E350)</f>
        <v>0</v>
      </c>
      <c r="F351" s="124"/>
      <c r="G351" s="88">
        <f>SUM(G339:G350)</f>
        <v>0</v>
      </c>
      <c r="H351" s="124">
        <f>IFERROR(SUM(H339:H350),"")</f>
        <v>0</v>
      </c>
      <c r="I351" s="133"/>
      <c r="J351" s="149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232</v>
      </c>
      <c r="S351" s="39"/>
      <c r="T351" s="141">
        <f>IFERROR(J351,"")</f>
        <v>0</v>
      </c>
    </row>
    <row r="352" spans="1:20" ht="18" customHeight="1" x14ac:dyDescent="0.3">
      <c r="A352" s="165" t="s">
        <v>235</v>
      </c>
      <c r="B352" s="166"/>
      <c r="C352" s="166"/>
      <c r="D352" s="166"/>
      <c r="E352" s="166">
        <f>E338+E351</f>
        <v>0</v>
      </c>
      <c r="F352" s="125"/>
      <c r="G352" s="100">
        <f>G338+G351</f>
        <v>0</v>
      </c>
      <c r="H352" s="125">
        <f>IFERROR(H338+H351,"")</f>
        <v>0</v>
      </c>
      <c r="I352" s="134"/>
      <c r="J352" s="150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236</v>
      </c>
      <c r="S352" s="48">
        <f>IFERROR(S338+S351,"")</f>
        <v>0</v>
      </c>
      <c r="T352" s="143">
        <f>IFERROR(J352,"")</f>
        <v>0</v>
      </c>
    </row>
    <row r="353" spans="1:20" ht="15" customHeight="1" x14ac:dyDescent="0.3">
      <c r="A353" s="69">
        <v>46248</v>
      </c>
      <c r="B353" s="32">
        <v>0.33333333333333298</v>
      </c>
      <c r="C353" s="33"/>
      <c r="D353" s="62"/>
      <c r="E353" s="121"/>
      <c r="F353" s="119" t="str">
        <f>IFERROR(IF($D353="","",VLOOKUP($D353,Cadastro!$C$4:$E$7,3,FALSE)),"")</f>
        <v/>
      </c>
      <c r="G353" s="114"/>
      <c r="H353" s="119" t="str">
        <f>IFERROR(IF($G353="","",$G353*$S$365/$G$365/Cadastro!$E$33),"")</f>
        <v/>
      </c>
      <c r="I353" s="132" t="str">
        <f>IFERROR(IF($D353="","",VLOOKUP($D353,Cadastro!$C$4:$G$7,5,FALSE)),"")</f>
        <v/>
      </c>
      <c r="J353" s="148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 x14ac:dyDescent="0.3">
      <c r="A354" s="68">
        <v>46248</v>
      </c>
      <c r="B354" s="25">
        <f t="shared" ref="B354:B364" si="85">B353+TIME(0,60,0)</f>
        <v>0.37499999999999967</v>
      </c>
      <c r="C354" s="33"/>
      <c r="D354" s="62"/>
      <c r="E354" s="121"/>
      <c r="F354" s="122" t="str">
        <f>IFERROR(IF($D354="","",VLOOKUP($D354,Cadastro!$C$4:$E$7,3,FALSE)),"")</f>
        <v/>
      </c>
      <c r="G354" s="114"/>
      <c r="H354" s="122" t="str">
        <f>IFERROR(IF($G354="","",$G354*$S$365/$G$365/Cadastro!$E$33),"")</f>
        <v/>
      </c>
      <c r="I354" s="129" t="str">
        <f>IFERROR(IF($D354="","",VLOOKUP($D354,Cadastro!$C$4:$G$7,5,FALSE)),"")</f>
        <v/>
      </c>
      <c r="J354" s="145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 x14ac:dyDescent="0.3">
      <c r="A355" s="69">
        <v>46248</v>
      </c>
      <c r="B355" s="32">
        <f t="shared" si="85"/>
        <v>0.41666666666666635</v>
      </c>
      <c r="C355" s="33"/>
      <c r="D355" s="62"/>
      <c r="E355" s="121"/>
      <c r="F355" s="122" t="str">
        <f>IFERROR(IF($D355="","",VLOOKUP($D355,Cadastro!$C$4:$E$7,3,FALSE)),"")</f>
        <v/>
      </c>
      <c r="G355" s="114"/>
      <c r="H355" s="122" t="str">
        <f>IFERROR(IF($G355="","",$G355*$S$365/$G$365/Cadastro!$E$33),"")</f>
        <v/>
      </c>
      <c r="I355" s="129" t="str">
        <f>IFERROR(IF($D355="","",VLOOKUP($D355,Cadastro!$C$4:$G$7,5,FALSE)),"")</f>
        <v/>
      </c>
      <c r="J355" s="145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3">
      <c r="A356" s="68">
        <v>46248</v>
      </c>
      <c r="B356" s="25">
        <f t="shared" si="85"/>
        <v>0.45833333333333304</v>
      </c>
      <c r="C356" s="33"/>
      <c r="D356" s="62"/>
      <c r="E356" s="121"/>
      <c r="F356" s="122" t="str">
        <f>IFERROR(IF($D356="","",VLOOKUP($D356,Cadastro!$C$4:$E$7,3,FALSE)),"")</f>
        <v/>
      </c>
      <c r="G356" s="114"/>
      <c r="H356" s="122" t="str">
        <f>IFERROR(IF($G356="","",$G356*$S$365/$G$365/Cadastro!$E$33),"")</f>
        <v/>
      </c>
      <c r="I356" s="129" t="str">
        <f>IFERROR(IF($D356="","",VLOOKUP($D356,Cadastro!$C$4:$G$7,5,FALSE)),"")</f>
        <v/>
      </c>
      <c r="J356" s="145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3">
      <c r="A357" s="69">
        <v>46248</v>
      </c>
      <c r="B357" s="32">
        <f t="shared" si="85"/>
        <v>0.49999999999999972</v>
      </c>
      <c r="C357" s="33"/>
      <c r="D357" s="62"/>
      <c r="E357" s="121"/>
      <c r="F357" s="122" t="str">
        <f>IFERROR(IF($D357="","",VLOOKUP($D357,Cadastro!$C$4:$E$7,3,FALSE)),"")</f>
        <v/>
      </c>
      <c r="G357" s="114"/>
      <c r="H357" s="122" t="str">
        <f>IFERROR(IF($G357="","",$G357*$S$365/$G$365/Cadastro!$E$33),"")</f>
        <v/>
      </c>
      <c r="I357" s="129" t="str">
        <f>IFERROR(IF($D357="","",VLOOKUP($D357,Cadastro!$C$4:$G$7,5,FALSE)),"")</f>
        <v/>
      </c>
      <c r="J357" s="145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3">
      <c r="A358" s="68">
        <v>46248</v>
      </c>
      <c r="B358" s="25">
        <f t="shared" si="85"/>
        <v>0.54166666666666641</v>
      </c>
      <c r="C358" s="33"/>
      <c r="D358" s="62"/>
      <c r="E358" s="121"/>
      <c r="F358" s="122" t="str">
        <f>IFERROR(IF($D358="","",VLOOKUP($D358,Cadastro!$C$4:$E$7,3,FALSE)),"")</f>
        <v/>
      </c>
      <c r="G358" s="114"/>
      <c r="H358" s="122" t="str">
        <f>IFERROR(IF($G358="","",$G358*$S$365/$G$365/Cadastro!$E$33),"")</f>
        <v/>
      </c>
      <c r="I358" s="129" t="str">
        <f>IFERROR(IF($D358="","",VLOOKUP($D358,Cadastro!$C$4:$G$7,5,FALSE)),"")</f>
        <v/>
      </c>
      <c r="J358" s="145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3">
      <c r="A359" s="69">
        <v>46248</v>
      </c>
      <c r="B359" s="32">
        <f t="shared" si="85"/>
        <v>0.58333333333333304</v>
      </c>
      <c r="C359" s="33"/>
      <c r="D359" s="62"/>
      <c r="E359" s="121"/>
      <c r="F359" s="122" t="str">
        <f>IFERROR(IF($D359="","",VLOOKUP($D359,Cadastro!$C$4:$E$7,3,FALSE)),"")</f>
        <v/>
      </c>
      <c r="G359" s="114"/>
      <c r="H359" s="122" t="str">
        <f>IFERROR(IF($G359="","",$G359*$S$365/$G$365/Cadastro!$E$33),"")</f>
        <v/>
      </c>
      <c r="I359" s="129" t="str">
        <f>IFERROR(IF($D359="","",VLOOKUP($D359,Cadastro!$C$4:$G$7,5,FALSE)),"")</f>
        <v/>
      </c>
      <c r="J359" s="145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8">
        <v>46248</v>
      </c>
      <c r="B360" s="25">
        <f t="shared" si="85"/>
        <v>0.62499999999999967</v>
      </c>
      <c r="C360" s="33"/>
      <c r="D360" s="62"/>
      <c r="E360" s="121"/>
      <c r="F360" s="122" t="str">
        <f>IFERROR(IF($D360="","",VLOOKUP($D360,Cadastro!$C$4:$E$7,3,FALSE)),"")</f>
        <v/>
      </c>
      <c r="G360" s="114"/>
      <c r="H360" s="122" t="str">
        <f>IFERROR(IF($G360="","",$G360*$S$365/$G$365/Cadastro!$E$33),"")</f>
        <v/>
      </c>
      <c r="I360" s="129" t="str">
        <f>IFERROR(IF($D360="","",VLOOKUP($D360,Cadastro!$C$4:$G$7,5,FALSE)),"")</f>
        <v/>
      </c>
      <c r="J360" s="145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9">
        <v>46248</v>
      </c>
      <c r="B361" s="32">
        <f t="shared" si="85"/>
        <v>0.6666666666666663</v>
      </c>
      <c r="C361" s="33"/>
      <c r="D361" s="62"/>
      <c r="E361" s="121"/>
      <c r="F361" s="122" t="str">
        <f>IFERROR(IF($D361="","",VLOOKUP($D361,Cadastro!$C$4:$E$7,3,FALSE)),"")</f>
        <v/>
      </c>
      <c r="G361" s="114"/>
      <c r="H361" s="122" t="str">
        <f>IFERROR(IF($G361="","",$G361*$S$365/$G$365/Cadastro!$E$33),"")</f>
        <v/>
      </c>
      <c r="I361" s="129" t="str">
        <f>IFERROR(IF($D361="","",VLOOKUP($D361,Cadastro!$C$4:$G$7,5,FALSE)),"")</f>
        <v/>
      </c>
      <c r="J361" s="145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8">
        <v>46248</v>
      </c>
      <c r="B362" s="25">
        <f t="shared" si="85"/>
        <v>0.70833333333333293</v>
      </c>
      <c r="C362" s="33"/>
      <c r="D362" s="62"/>
      <c r="E362" s="121"/>
      <c r="F362" s="122" t="str">
        <f>IFERROR(IF($D362="","",VLOOKUP($D362,Cadastro!$C$4:$E$7,3,FALSE)),"")</f>
        <v/>
      </c>
      <c r="G362" s="114"/>
      <c r="H362" s="122" t="str">
        <f>IFERROR(IF($G362="","",$G362*$S$365/$G$365/Cadastro!$E$33),"")</f>
        <v/>
      </c>
      <c r="I362" s="129" t="str">
        <f>IFERROR(IF($D362="","",VLOOKUP($D362,Cadastro!$C$4:$G$7,5,FALSE)),"")</f>
        <v/>
      </c>
      <c r="J362" s="145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9">
        <v>46248</v>
      </c>
      <c r="B363" s="32">
        <f t="shared" si="85"/>
        <v>0.74999999999999956</v>
      </c>
      <c r="C363" s="33"/>
      <c r="D363" s="62"/>
      <c r="E363" s="121"/>
      <c r="F363" s="122" t="str">
        <f>IFERROR(IF($D363="","",VLOOKUP($D363,Cadastro!$C$4:$E$7,3,FALSE)),"")</f>
        <v/>
      </c>
      <c r="G363" s="114"/>
      <c r="H363" s="122" t="str">
        <f>IFERROR(IF($G363="","",$G363*$S$365/$G$365/Cadastro!$E$33),"")</f>
        <v/>
      </c>
      <c r="I363" s="129" t="str">
        <f>IFERROR(IF($D363="","",VLOOKUP($D363,Cadastro!$C$4:$G$7,5,FALSE)),"")</f>
        <v/>
      </c>
      <c r="J363" s="145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8">
        <v>46248</v>
      </c>
      <c r="B364" s="25">
        <f t="shared" si="85"/>
        <v>0.79166666666666619</v>
      </c>
      <c r="C364" s="33"/>
      <c r="D364" s="62"/>
      <c r="E364" s="121"/>
      <c r="F364" s="118" t="str">
        <f>IFERROR(IF($D364="","",VLOOKUP($D364,Cadastro!$C$4:$E$7,3,FALSE)),"")</f>
        <v/>
      </c>
      <c r="G364" s="114"/>
      <c r="H364" s="118" t="str">
        <f>IFERROR(IF($G364="","",$G364*$S$365/$G$365/Cadastro!$E$33),"")</f>
        <v/>
      </c>
      <c r="I364" s="130" t="str">
        <f>IFERROR(IF($D364="","",VLOOKUP($D364,Cadastro!$C$4:$G$7,5,FALSE)),"")</f>
        <v/>
      </c>
      <c r="J364" s="146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86" t="s">
        <v>231</v>
      </c>
      <c r="B365" s="87"/>
      <c r="C365" s="87"/>
      <c r="D365" s="87"/>
      <c r="E365" s="87">
        <f>SUM(E353:E364)</f>
        <v>0</v>
      </c>
      <c r="F365" s="123"/>
      <c r="G365" s="88">
        <f>SUM(G353:G364)</f>
        <v>0</v>
      </c>
      <c r="H365" s="123">
        <f>IFERROR(SUM(H353:H364),"")</f>
        <v>0</v>
      </c>
      <c r="I365" s="131"/>
      <c r="J365" s="147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232</v>
      </c>
      <c r="S365" s="39"/>
      <c r="T365" s="141">
        <f>IFERROR(J365,"")</f>
        <v>0</v>
      </c>
    </row>
    <row r="366" spans="1:20" ht="15" customHeight="1" x14ac:dyDescent="0.3">
      <c r="A366" s="68">
        <v>46248</v>
      </c>
      <c r="B366" s="25">
        <v>0.83333333333333304</v>
      </c>
      <c r="C366" s="26"/>
      <c r="D366" s="59"/>
      <c r="E366" s="120"/>
      <c r="F366" s="119" t="str">
        <f>IFERROR(IF($D366="","",VLOOKUP($D366,Cadastro!$C$4:$E$7,3,FALSE)),"")</f>
        <v/>
      </c>
      <c r="G366" s="114"/>
      <c r="H366" s="119" t="str">
        <f>IFERROR(IF($G366="","",$G366*$S$378/$G$378/Cadastro!$E$33),"")</f>
        <v/>
      </c>
      <c r="I366" s="132" t="str">
        <f>IFERROR(IF($D366="","",VLOOKUP($D366,Cadastro!$C$4:$G$7,5,FALSE)),"")</f>
        <v/>
      </c>
      <c r="J366" s="148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3">
      <c r="A367" s="69">
        <v>46248</v>
      </c>
      <c r="B367" s="32">
        <f t="shared" ref="B367:B377" si="89">B366+TIME(0,60,0)</f>
        <v>0.87499999999999967</v>
      </c>
      <c r="C367" s="26"/>
      <c r="D367" s="59"/>
      <c r="E367" s="120"/>
      <c r="F367" s="122" t="str">
        <f>IFERROR(IF($D367="","",VLOOKUP($D367,Cadastro!$C$4:$E$7,3,FALSE)),"")</f>
        <v/>
      </c>
      <c r="G367" s="114"/>
      <c r="H367" s="122" t="str">
        <f>IFERROR(IF($G367="","",$G367*$S$378/$G$378/Cadastro!$E$33),"")</f>
        <v/>
      </c>
      <c r="I367" s="129" t="str">
        <f>IFERROR(IF($D367="","",VLOOKUP($D367,Cadastro!$C$4:$G$7,5,FALSE)),"")</f>
        <v/>
      </c>
      <c r="J367" s="145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3">
      <c r="A368" s="68">
        <v>46248</v>
      </c>
      <c r="B368" s="25">
        <f t="shared" si="89"/>
        <v>0.9166666666666663</v>
      </c>
      <c r="C368" s="26"/>
      <c r="D368" s="59"/>
      <c r="E368" s="120"/>
      <c r="F368" s="122" t="str">
        <f>IFERROR(IF($D368="","",VLOOKUP($D368,Cadastro!$C$4:$E$7,3,FALSE)),"")</f>
        <v/>
      </c>
      <c r="G368" s="114"/>
      <c r="H368" s="122" t="str">
        <f>IFERROR(IF($G368="","",$G368*$S$378/$G$378/Cadastro!$E$33),"")</f>
        <v/>
      </c>
      <c r="I368" s="129" t="str">
        <f>IFERROR(IF($D368="","",VLOOKUP($D368,Cadastro!$C$4:$G$7,5,FALSE)),"")</f>
        <v/>
      </c>
      <c r="J368" s="145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3">
      <c r="A369" s="69">
        <v>46248</v>
      </c>
      <c r="B369" s="32">
        <f t="shared" si="89"/>
        <v>0.95833333333333293</v>
      </c>
      <c r="C369" s="26"/>
      <c r="D369" s="59"/>
      <c r="E369" s="120"/>
      <c r="F369" s="122" t="str">
        <f>IFERROR(IF($D369="","",VLOOKUP($D369,Cadastro!$C$4:$E$7,3,FALSE)),"")</f>
        <v/>
      </c>
      <c r="G369" s="114"/>
      <c r="H369" s="122" t="str">
        <f>IFERROR(IF($G369="","",$G369*$S$378/$G$378/Cadastro!$E$33),"")</f>
        <v/>
      </c>
      <c r="I369" s="129" t="str">
        <f>IFERROR(IF($D369="","",VLOOKUP($D369,Cadastro!$C$4:$G$7,5,FALSE)),"")</f>
        <v/>
      </c>
      <c r="J369" s="145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3">
      <c r="A370" s="68">
        <v>46248</v>
      </c>
      <c r="B370" s="25">
        <f t="shared" si="89"/>
        <v>0.99999999999999956</v>
      </c>
      <c r="C370" s="26"/>
      <c r="D370" s="59"/>
      <c r="E370" s="120"/>
      <c r="F370" s="122" t="str">
        <f>IFERROR(IF($D370="","",VLOOKUP($D370,Cadastro!$C$4:$E$7,3,FALSE)),"")</f>
        <v/>
      </c>
      <c r="G370" s="114"/>
      <c r="H370" s="122" t="str">
        <f>IFERROR(IF($G370="","",$G370*$S$378/$G$378/Cadastro!$E$33),"")</f>
        <v/>
      </c>
      <c r="I370" s="129" t="str">
        <f>IFERROR(IF($D370="","",VLOOKUP($D370,Cadastro!$C$4:$G$7,5,FALSE)),"")</f>
        <v/>
      </c>
      <c r="J370" s="145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3">
      <c r="A371" s="69">
        <v>46248</v>
      </c>
      <c r="B371" s="32">
        <f t="shared" si="89"/>
        <v>1.0416666666666663</v>
      </c>
      <c r="C371" s="26"/>
      <c r="D371" s="59"/>
      <c r="E371" s="120"/>
      <c r="F371" s="122" t="str">
        <f>IFERROR(IF($D371="","",VLOOKUP($D371,Cadastro!$C$4:$E$7,3,FALSE)),"")</f>
        <v/>
      </c>
      <c r="G371" s="114"/>
      <c r="H371" s="122" t="str">
        <f>IFERROR(IF($G371="","",$G371*$S$378/$G$378/Cadastro!$E$33),"")</f>
        <v/>
      </c>
      <c r="I371" s="129" t="str">
        <f>IFERROR(IF($D371="","",VLOOKUP($D371,Cadastro!$C$4:$G$7,5,FALSE)),"")</f>
        <v/>
      </c>
      <c r="J371" s="145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3">
      <c r="A372" s="68">
        <v>46248</v>
      </c>
      <c r="B372" s="25">
        <f t="shared" si="89"/>
        <v>1.083333333333333</v>
      </c>
      <c r="C372" s="26"/>
      <c r="D372" s="59"/>
      <c r="E372" s="120"/>
      <c r="F372" s="122" t="str">
        <f>IFERROR(IF($D372="","",VLOOKUP($D372,Cadastro!$C$4:$E$7,3,FALSE)),"")</f>
        <v/>
      </c>
      <c r="G372" s="114"/>
      <c r="H372" s="122" t="str">
        <f>IFERROR(IF($G372="","",$G372*$S$378/$G$378/Cadastro!$E$33),"")</f>
        <v/>
      </c>
      <c r="I372" s="129" t="str">
        <f>IFERROR(IF($D372="","",VLOOKUP($D372,Cadastro!$C$4:$G$7,5,FALSE)),"")</f>
        <v/>
      </c>
      <c r="J372" s="145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3">
      <c r="A373" s="69">
        <v>46248</v>
      </c>
      <c r="B373" s="32">
        <f t="shared" si="89"/>
        <v>1.1249999999999998</v>
      </c>
      <c r="C373" s="26"/>
      <c r="D373" s="59"/>
      <c r="E373" s="120"/>
      <c r="F373" s="122" t="str">
        <f>IFERROR(IF($D373="","",VLOOKUP($D373,Cadastro!$C$4:$E$7,3,FALSE)),"")</f>
        <v/>
      </c>
      <c r="G373" s="114"/>
      <c r="H373" s="122" t="str">
        <f>IFERROR(IF($G373="","",$G373*$S$378/$G$378/Cadastro!$E$33),"")</f>
        <v/>
      </c>
      <c r="I373" s="129" t="str">
        <f>IFERROR(IF($D373="","",VLOOKUP($D373,Cadastro!$C$4:$G$7,5,FALSE)),"")</f>
        <v/>
      </c>
      <c r="J373" s="145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3">
      <c r="A374" s="68">
        <v>46248</v>
      </c>
      <c r="B374" s="25">
        <f t="shared" si="89"/>
        <v>1.1666666666666665</v>
      </c>
      <c r="C374" s="26"/>
      <c r="D374" s="59"/>
      <c r="E374" s="120"/>
      <c r="F374" s="122" t="str">
        <f>IFERROR(IF($D374="","",VLOOKUP($D374,Cadastro!$C$4:$E$7,3,FALSE)),"")</f>
        <v/>
      </c>
      <c r="G374" s="114"/>
      <c r="H374" s="122" t="str">
        <f>IFERROR(IF($G374="","",$G374*$S$378/$G$378/Cadastro!$E$33),"")</f>
        <v/>
      </c>
      <c r="I374" s="129" t="str">
        <f>IFERROR(IF($D374="","",VLOOKUP($D374,Cadastro!$C$4:$G$7,5,FALSE)),"")</f>
        <v/>
      </c>
      <c r="J374" s="145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9">
        <v>46248</v>
      </c>
      <c r="B375" s="32">
        <f t="shared" si="89"/>
        <v>1.2083333333333333</v>
      </c>
      <c r="C375" s="26"/>
      <c r="D375" s="59"/>
      <c r="E375" s="120"/>
      <c r="F375" s="122" t="str">
        <f>IFERROR(IF($D375="","",VLOOKUP($D375,Cadastro!$C$4:$E$7,3,FALSE)),"")</f>
        <v/>
      </c>
      <c r="G375" s="114"/>
      <c r="H375" s="122" t="str">
        <f>IFERROR(IF($G375="","",$G375*$S$378/$G$378/Cadastro!$E$33),"")</f>
        <v/>
      </c>
      <c r="I375" s="129" t="str">
        <f>IFERROR(IF($D375="","",VLOOKUP($D375,Cadastro!$C$4:$G$7,5,FALSE)),"")</f>
        <v/>
      </c>
      <c r="J375" s="145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8">
        <v>46248</v>
      </c>
      <c r="B376" s="25">
        <f t="shared" si="89"/>
        <v>1.25</v>
      </c>
      <c r="C376" s="26"/>
      <c r="D376" s="59"/>
      <c r="E376" s="120"/>
      <c r="F376" s="122" t="str">
        <f>IFERROR(IF($D376="","",VLOOKUP($D376,Cadastro!$C$4:$E$7,3,FALSE)),"")</f>
        <v/>
      </c>
      <c r="G376" s="114"/>
      <c r="H376" s="122" t="str">
        <f>IFERROR(IF($G376="","",$G376*$S$378/$G$378/Cadastro!$E$33),"")</f>
        <v/>
      </c>
      <c r="I376" s="129" t="str">
        <f>IFERROR(IF($D376="","",VLOOKUP($D376,Cadastro!$C$4:$G$7,5,FALSE)),"")</f>
        <v/>
      </c>
      <c r="J376" s="145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9">
        <v>46248</v>
      </c>
      <c r="B377" s="32">
        <f t="shared" si="89"/>
        <v>1.2916666666666667</v>
      </c>
      <c r="C377" s="26"/>
      <c r="D377" s="59"/>
      <c r="E377" s="120"/>
      <c r="F377" s="118" t="str">
        <f>IFERROR(IF($D377="","",VLOOKUP($D377,Cadastro!$C$4:$E$7,3,FALSE)),"")</f>
        <v/>
      </c>
      <c r="G377" s="114"/>
      <c r="H377" s="118" t="str">
        <f>IFERROR(IF($G377="","",$G377*$S$378/$G$378/Cadastro!$E$33),"")</f>
        <v/>
      </c>
      <c r="I377" s="130" t="str">
        <f>IFERROR(IF($D377="","",VLOOKUP($D377,Cadastro!$C$4:$G$7,5,FALSE)),"")</f>
        <v/>
      </c>
      <c r="J377" s="146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68" t="s">
        <v>234</v>
      </c>
      <c r="B378" s="169"/>
      <c r="C378" s="169"/>
      <c r="D378" s="169"/>
      <c r="E378" s="169">
        <f>SUM(E366:E377)</f>
        <v>0</v>
      </c>
      <c r="F378" s="124"/>
      <c r="G378" s="88">
        <f>SUM(G366:G377)</f>
        <v>0</v>
      </c>
      <c r="H378" s="124">
        <f>IFERROR(SUM(H366:H377),"")</f>
        <v>0</v>
      </c>
      <c r="I378" s="133"/>
      <c r="J378" s="149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232</v>
      </c>
      <c r="S378" s="39"/>
      <c r="T378" s="141">
        <f>IFERROR(J378,"")</f>
        <v>0</v>
      </c>
    </row>
    <row r="379" spans="1:20" ht="18" customHeight="1" x14ac:dyDescent="0.3">
      <c r="A379" s="165" t="s">
        <v>235</v>
      </c>
      <c r="B379" s="166"/>
      <c r="C379" s="166"/>
      <c r="D379" s="166"/>
      <c r="E379" s="166">
        <f>E365+E378</f>
        <v>0</v>
      </c>
      <c r="F379" s="125"/>
      <c r="G379" s="100">
        <f>G365+G378</f>
        <v>0</v>
      </c>
      <c r="H379" s="125">
        <f>IFERROR(H365+H378,"")</f>
        <v>0</v>
      </c>
      <c r="I379" s="134"/>
      <c r="J379" s="150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236</v>
      </c>
      <c r="S379" s="48">
        <f>IFERROR(S365+S378,"")</f>
        <v>0</v>
      </c>
      <c r="T379" s="143">
        <f>IFERROR(J379,"")</f>
        <v>0</v>
      </c>
    </row>
    <row r="380" spans="1:20" ht="15" customHeight="1" x14ac:dyDescent="0.3">
      <c r="A380" s="68">
        <v>46249</v>
      </c>
      <c r="B380" s="25">
        <v>0.33333333333333298</v>
      </c>
      <c r="C380" s="26"/>
      <c r="D380" s="59"/>
      <c r="E380" s="120"/>
      <c r="F380" s="119" t="str">
        <f>IFERROR(IF($D380="","",VLOOKUP($D380,Cadastro!$C$4:$E$7,3,FALSE)),"")</f>
        <v/>
      </c>
      <c r="G380" s="114"/>
      <c r="H380" s="119" t="str">
        <f>IFERROR(IF($G380="","",$G380*$S$392/$G$392/Cadastro!$E$33),"")</f>
        <v/>
      </c>
      <c r="I380" s="132" t="str">
        <f>IFERROR(IF($D380="","",VLOOKUP($D380,Cadastro!$C$4:$G$7,5,FALSE)),"")</f>
        <v/>
      </c>
      <c r="J380" s="148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3">
      <c r="A381" s="69">
        <v>46249</v>
      </c>
      <c r="B381" s="32">
        <f t="shared" ref="B381:B391" si="93">B380+TIME(0,60,0)</f>
        <v>0.37499999999999967</v>
      </c>
      <c r="C381" s="26"/>
      <c r="D381" s="59"/>
      <c r="E381" s="120"/>
      <c r="F381" s="122" t="str">
        <f>IFERROR(IF($D381="","",VLOOKUP($D381,Cadastro!$C$4:$E$7,3,FALSE)),"")</f>
        <v/>
      </c>
      <c r="G381" s="114"/>
      <c r="H381" s="122" t="str">
        <f>IFERROR(IF($G381="","",$G381*$S$392/$G$392/Cadastro!$E$33),"")</f>
        <v/>
      </c>
      <c r="I381" s="129" t="str">
        <f>IFERROR(IF($D381="","",VLOOKUP($D381,Cadastro!$C$4:$G$7,5,FALSE)),"")</f>
        <v/>
      </c>
      <c r="J381" s="145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3">
      <c r="A382" s="68">
        <v>46249</v>
      </c>
      <c r="B382" s="25">
        <f t="shared" si="93"/>
        <v>0.41666666666666635</v>
      </c>
      <c r="C382" s="26"/>
      <c r="D382" s="59"/>
      <c r="E382" s="120"/>
      <c r="F382" s="122" t="str">
        <f>IFERROR(IF($D382="","",VLOOKUP($D382,Cadastro!$C$4:$E$7,3,FALSE)),"")</f>
        <v/>
      </c>
      <c r="G382" s="114"/>
      <c r="H382" s="122" t="str">
        <f>IFERROR(IF($G382="","",$G382*$S$392/$G$392/Cadastro!$E$33),"")</f>
        <v/>
      </c>
      <c r="I382" s="129" t="str">
        <f>IFERROR(IF($D382="","",VLOOKUP($D382,Cadastro!$C$4:$G$7,5,FALSE)),"")</f>
        <v/>
      </c>
      <c r="J382" s="145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3">
      <c r="A383" s="69">
        <v>46249</v>
      </c>
      <c r="B383" s="32">
        <f t="shared" si="93"/>
        <v>0.45833333333333304</v>
      </c>
      <c r="C383" s="26"/>
      <c r="D383" s="59"/>
      <c r="E383" s="120"/>
      <c r="F383" s="122" t="str">
        <f>IFERROR(IF($D383="","",VLOOKUP($D383,Cadastro!$C$4:$E$7,3,FALSE)),"")</f>
        <v/>
      </c>
      <c r="G383" s="114"/>
      <c r="H383" s="122" t="str">
        <f>IFERROR(IF($G383="","",$G383*$S$392/$G$392/Cadastro!$E$33),"")</f>
        <v/>
      </c>
      <c r="I383" s="129" t="str">
        <f>IFERROR(IF($D383="","",VLOOKUP($D383,Cadastro!$C$4:$G$7,5,FALSE)),"")</f>
        <v/>
      </c>
      <c r="J383" s="145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3">
      <c r="A384" s="68">
        <v>46249</v>
      </c>
      <c r="B384" s="25">
        <f t="shared" si="93"/>
        <v>0.49999999999999972</v>
      </c>
      <c r="C384" s="26"/>
      <c r="D384" s="59"/>
      <c r="E384" s="120"/>
      <c r="F384" s="122" t="str">
        <f>IFERROR(IF($D384="","",VLOOKUP($D384,Cadastro!$C$4:$E$7,3,FALSE)),"")</f>
        <v/>
      </c>
      <c r="G384" s="114"/>
      <c r="H384" s="122" t="str">
        <f>IFERROR(IF($G384="","",$G384*$S$392/$G$392/Cadastro!$E$33),"")</f>
        <v/>
      </c>
      <c r="I384" s="129" t="str">
        <f>IFERROR(IF($D384="","",VLOOKUP($D384,Cadastro!$C$4:$G$7,5,FALSE)),"")</f>
        <v/>
      </c>
      <c r="J384" s="145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3">
      <c r="A385" s="69">
        <v>46249</v>
      </c>
      <c r="B385" s="32">
        <f t="shared" si="93"/>
        <v>0.54166666666666641</v>
      </c>
      <c r="C385" s="26"/>
      <c r="D385" s="59"/>
      <c r="E385" s="120"/>
      <c r="F385" s="122" t="str">
        <f>IFERROR(IF($D385="","",VLOOKUP($D385,Cadastro!$C$4:$E$7,3,FALSE)),"")</f>
        <v/>
      </c>
      <c r="G385" s="114"/>
      <c r="H385" s="122" t="str">
        <f>IFERROR(IF($G385="","",$G385*$S$392/$G$392/Cadastro!$E$33),"")</f>
        <v/>
      </c>
      <c r="I385" s="129" t="str">
        <f>IFERROR(IF($D385="","",VLOOKUP($D385,Cadastro!$C$4:$G$7,5,FALSE)),"")</f>
        <v/>
      </c>
      <c r="J385" s="145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3">
      <c r="A386" s="68">
        <v>46249</v>
      </c>
      <c r="B386" s="25">
        <f t="shared" si="93"/>
        <v>0.58333333333333304</v>
      </c>
      <c r="C386" s="26"/>
      <c r="D386" s="59"/>
      <c r="E386" s="120"/>
      <c r="F386" s="122" t="str">
        <f>IFERROR(IF($D386="","",VLOOKUP($D386,Cadastro!$C$4:$E$7,3,FALSE)),"")</f>
        <v/>
      </c>
      <c r="G386" s="114"/>
      <c r="H386" s="122" t="str">
        <f>IFERROR(IF($G386="","",$G386*$S$392/$G$392/Cadastro!$E$33),"")</f>
        <v/>
      </c>
      <c r="I386" s="129" t="str">
        <f>IFERROR(IF($D386="","",VLOOKUP($D386,Cadastro!$C$4:$G$7,5,FALSE)),"")</f>
        <v/>
      </c>
      <c r="J386" s="145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9">
        <v>46249</v>
      </c>
      <c r="B387" s="32">
        <f t="shared" si="93"/>
        <v>0.62499999999999967</v>
      </c>
      <c r="C387" s="26"/>
      <c r="D387" s="59"/>
      <c r="E387" s="120"/>
      <c r="F387" s="122" t="str">
        <f>IFERROR(IF($D387="","",VLOOKUP($D387,Cadastro!$C$4:$E$7,3,FALSE)),"")</f>
        <v/>
      </c>
      <c r="G387" s="114"/>
      <c r="H387" s="122" t="str">
        <f>IFERROR(IF($G387="","",$G387*$S$392/$G$392/Cadastro!$E$33),"")</f>
        <v/>
      </c>
      <c r="I387" s="129" t="str">
        <f>IFERROR(IF($D387="","",VLOOKUP($D387,Cadastro!$C$4:$G$7,5,FALSE)),"")</f>
        <v/>
      </c>
      <c r="J387" s="145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8">
        <v>46249</v>
      </c>
      <c r="B388" s="25">
        <f t="shared" si="93"/>
        <v>0.6666666666666663</v>
      </c>
      <c r="C388" s="26"/>
      <c r="D388" s="59"/>
      <c r="E388" s="120"/>
      <c r="F388" s="122" t="str">
        <f>IFERROR(IF($D388="","",VLOOKUP($D388,Cadastro!$C$4:$E$7,3,FALSE)),"")</f>
        <v/>
      </c>
      <c r="G388" s="114"/>
      <c r="H388" s="122" t="str">
        <f>IFERROR(IF($G388="","",$G388*$S$392/$G$392/Cadastro!$E$33),"")</f>
        <v/>
      </c>
      <c r="I388" s="129" t="str">
        <f>IFERROR(IF($D388="","",VLOOKUP($D388,Cadastro!$C$4:$G$7,5,FALSE)),"")</f>
        <v/>
      </c>
      <c r="J388" s="145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9">
        <v>46249</v>
      </c>
      <c r="B389" s="32">
        <f t="shared" si="93"/>
        <v>0.70833333333333293</v>
      </c>
      <c r="C389" s="26"/>
      <c r="D389" s="59"/>
      <c r="E389" s="120"/>
      <c r="F389" s="122" t="str">
        <f>IFERROR(IF($D389="","",VLOOKUP($D389,Cadastro!$C$4:$E$7,3,FALSE)),"")</f>
        <v/>
      </c>
      <c r="G389" s="114"/>
      <c r="H389" s="122" t="str">
        <f>IFERROR(IF($G389="","",$G389*$S$392/$G$392/Cadastro!$E$33),"")</f>
        <v/>
      </c>
      <c r="I389" s="129" t="str">
        <f>IFERROR(IF($D389="","",VLOOKUP($D389,Cadastro!$C$4:$G$7,5,FALSE)),"")</f>
        <v/>
      </c>
      <c r="J389" s="145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8">
        <v>46249</v>
      </c>
      <c r="B390" s="25">
        <f t="shared" si="93"/>
        <v>0.74999999999999956</v>
      </c>
      <c r="C390" s="26"/>
      <c r="D390" s="59"/>
      <c r="E390" s="120"/>
      <c r="F390" s="122" t="str">
        <f>IFERROR(IF($D390="","",VLOOKUP($D390,Cadastro!$C$4:$E$7,3,FALSE)),"")</f>
        <v/>
      </c>
      <c r="G390" s="114"/>
      <c r="H390" s="122" t="str">
        <f>IFERROR(IF($G390="","",$G390*$S$392/$G$392/Cadastro!$E$33),"")</f>
        <v/>
      </c>
      <c r="I390" s="129" t="str">
        <f>IFERROR(IF($D390="","",VLOOKUP($D390,Cadastro!$C$4:$G$7,5,FALSE)),"")</f>
        <v/>
      </c>
      <c r="J390" s="145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9">
        <v>46249</v>
      </c>
      <c r="B391" s="32">
        <f t="shared" si="93"/>
        <v>0.79166666666666619</v>
      </c>
      <c r="C391" s="26"/>
      <c r="D391" s="59"/>
      <c r="E391" s="120"/>
      <c r="F391" s="118" t="str">
        <f>IFERROR(IF($D391="","",VLOOKUP($D391,Cadastro!$C$4:$E$7,3,FALSE)),"")</f>
        <v/>
      </c>
      <c r="G391" s="114"/>
      <c r="H391" s="118" t="str">
        <f>IFERROR(IF($G391="","",$G391*$S$392/$G$392/Cadastro!$E$33),"")</f>
        <v/>
      </c>
      <c r="I391" s="130" t="str">
        <f>IFERROR(IF($D391="","",VLOOKUP($D391,Cadastro!$C$4:$G$7,5,FALSE)),"")</f>
        <v/>
      </c>
      <c r="J391" s="146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68" t="s">
        <v>231</v>
      </c>
      <c r="B392" s="169"/>
      <c r="C392" s="169"/>
      <c r="D392" s="169"/>
      <c r="E392" s="169">
        <f>SUM(E380:E391)</f>
        <v>0</v>
      </c>
      <c r="F392" s="123"/>
      <c r="G392" s="88">
        <f>SUM(G380:G391)</f>
        <v>0</v>
      </c>
      <c r="H392" s="123">
        <f>IFERROR(SUM(H380:H391),"")</f>
        <v>0</v>
      </c>
      <c r="I392" s="131"/>
      <c r="J392" s="147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232</v>
      </c>
      <c r="S392" s="39"/>
      <c r="T392" s="141">
        <f>IFERROR(J392,"")</f>
        <v>0</v>
      </c>
    </row>
    <row r="393" spans="1:20" ht="15" customHeight="1" x14ac:dyDescent="0.3">
      <c r="A393" s="69">
        <v>46249</v>
      </c>
      <c r="B393" s="32">
        <v>0.83333333333333304</v>
      </c>
      <c r="C393" s="33"/>
      <c r="D393" s="62"/>
      <c r="E393" s="121"/>
      <c r="F393" s="119" t="str">
        <f>IFERROR(IF($D393="","",VLOOKUP($D393,Cadastro!$C$4:$E$7,3,FALSE)),"")</f>
        <v/>
      </c>
      <c r="G393" s="114"/>
      <c r="H393" s="119" t="str">
        <f>IFERROR(IF($G393="","",$G393*$S$405/$G$405/Cadastro!$E$33),"")</f>
        <v/>
      </c>
      <c r="I393" s="132" t="str">
        <f>IFERROR(IF($D393="","",VLOOKUP($D393,Cadastro!$C$4:$G$7,5,FALSE)),"")</f>
        <v/>
      </c>
      <c r="J393" s="148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3">
      <c r="A394" s="68">
        <v>46249</v>
      </c>
      <c r="B394" s="25">
        <f t="shared" ref="B394:B404" si="97">B393+TIME(0,60,0)</f>
        <v>0.87499999999999967</v>
      </c>
      <c r="C394" s="33"/>
      <c r="D394" s="62"/>
      <c r="E394" s="121"/>
      <c r="F394" s="122" t="str">
        <f>IFERROR(IF($D394="","",VLOOKUP($D394,Cadastro!$C$4:$E$7,3,FALSE)),"")</f>
        <v/>
      </c>
      <c r="G394" s="114"/>
      <c r="H394" s="122" t="str">
        <f>IFERROR(IF($G394="","",$G394*$S$405/$G$405/Cadastro!$E$33),"")</f>
        <v/>
      </c>
      <c r="I394" s="129" t="str">
        <f>IFERROR(IF($D394="","",VLOOKUP($D394,Cadastro!$C$4:$G$7,5,FALSE)),"")</f>
        <v/>
      </c>
      <c r="J394" s="145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3">
      <c r="A395" s="69">
        <v>46249</v>
      </c>
      <c r="B395" s="32">
        <f t="shared" si="97"/>
        <v>0.9166666666666663</v>
      </c>
      <c r="C395" s="33"/>
      <c r="D395" s="62"/>
      <c r="E395" s="121"/>
      <c r="F395" s="122" t="str">
        <f>IFERROR(IF($D395="","",VLOOKUP($D395,Cadastro!$C$4:$E$7,3,FALSE)),"")</f>
        <v/>
      </c>
      <c r="G395" s="114"/>
      <c r="H395" s="122" t="str">
        <f>IFERROR(IF($G395="","",$G395*$S$405/$G$405/Cadastro!$E$33),"")</f>
        <v/>
      </c>
      <c r="I395" s="129" t="str">
        <f>IFERROR(IF($D395="","",VLOOKUP($D395,Cadastro!$C$4:$G$7,5,FALSE)),"")</f>
        <v/>
      </c>
      <c r="J395" s="145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3">
      <c r="A396" s="68">
        <v>46249</v>
      </c>
      <c r="B396" s="25">
        <f t="shared" si="97"/>
        <v>0.95833333333333293</v>
      </c>
      <c r="C396" s="33"/>
      <c r="D396" s="62"/>
      <c r="E396" s="121"/>
      <c r="F396" s="122" t="str">
        <f>IFERROR(IF($D396="","",VLOOKUP($D396,Cadastro!$C$4:$E$7,3,FALSE)),"")</f>
        <v/>
      </c>
      <c r="G396" s="114"/>
      <c r="H396" s="122" t="str">
        <f>IFERROR(IF($G396="","",$G396*$S$405/$G$405/Cadastro!$E$33),"")</f>
        <v/>
      </c>
      <c r="I396" s="129" t="str">
        <f>IFERROR(IF($D396="","",VLOOKUP($D396,Cadastro!$C$4:$G$7,5,FALSE)),"")</f>
        <v/>
      </c>
      <c r="J396" s="145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9">
        <v>46249</v>
      </c>
      <c r="B397" s="32">
        <f t="shared" si="97"/>
        <v>0.99999999999999956</v>
      </c>
      <c r="C397" s="33"/>
      <c r="D397" s="62"/>
      <c r="E397" s="121"/>
      <c r="F397" s="122" t="str">
        <f>IFERROR(IF($D397="","",VLOOKUP($D397,Cadastro!$C$4:$E$7,3,FALSE)),"")</f>
        <v/>
      </c>
      <c r="G397" s="114"/>
      <c r="H397" s="122" t="str">
        <f>IFERROR(IF($G397="","",$G397*$S$405/$G$405/Cadastro!$E$33),"")</f>
        <v/>
      </c>
      <c r="I397" s="129" t="str">
        <f>IFERROR(IF($D397="","",VLOOKUP($D397,Cadastro!$C$4:$G$7,5,FALSE)),"")</f>
        <v/>
      </c>
      <c r="J397" s="145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8">
        <v>46249</v>
      </c>
      <c r="B398" s="25">
        <f t="shared" si="97"/>
        <v>1.0416666666666663</v>
      </c>
      <c r="C398" s="33"/>
      <c r="D398" s="62"/>
      <c r="E398" s="121"/>
      <c r="F398" s="122" t="str">
        <f>IFERROR(IF($D398="","",VLOOKUP($D398,Cadastro!$C$4:$E$7,3,FALSE)),"")</f>
        <v/>
      </c>
      <c r="G398" s="114"/>
      <c r="H398" s="122" t="str">
        <f>IFERROR(IF($G398="","",$G398*$S$405/$G$405/Cadastro!$E$33),"")</f>
        <v/>
      </c>
      <c r="I398" s="129" t="str">
        <f>IFERROR(IF($D398="","",VLOOKUP($D398,Cadastro!$C$4:$G$7,5,FALSE)),"")</f>
        <v/>
      </c>
      <c r="J398" s="145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9">
        <v>46249</v>
      </c>
      <c r="B399" s="32">
        <f t="shared" si="97"/>
        <v>1.083333333333333</v>
      </c>
      <c r="C399" s="33"/>
      <c r="D399" s="62"/>
      <c r="E399" s="121"/>
      <c r="F399" s="122" t="str">
        <f>IFERROR(IF($D399="","",VLOOKUP($D399,Cadastro!$C$4:$E$7,3,FALSE)),"")</f>
        <v/>
      </c>
      <c r="G399" s="114"/>
      <c r="H399" s="122" t="str">
        <f>IFERROR(IF($G399="","",$G399*$S$405/$G$405/Cadastro!$E$33),"")</f>
        <v/>
      </c>
      <c r="I399" s="129" t="str">
        <f>IFERROR(IF($D399="","",VLOOKUP($D399,Cadastro!$C$4:$G$7,5,FALSE)),"")</f>
        <v/>
      </c>
      <c r="J399" s="145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8">
        <v>46249</v>
      </c>
      <c r="B400" s="25">
        <f t="shared" si="97"/>
        <v>1.1249999999999998</v>
      </c>
      <c r="C400" s="33"/>
      <c r="D400" s="62"/>
      <c r="E400" s="121"/>
      <c r="F400" s="122" t="str">
        <f>IFERROR(IF($D400="","",VLOOKUP($D400,Cadastro!$C$4:$E$7,3,FALSE)),"")</f>
        <v/>
      </c>
      <c r="G400" s="114"/>
      <c r="H400" s="122" t="str">
        <f>IFERROR(IF($G400="","",$G400*$S$405/$G$405/Cadastro!$E$33),"")</f>
        <v/>
      </c>
      <c r="I400" s="129" t="str">
        <f>IFERROR(IF($D400="","",VLOOKUP($D400,Cadastro!$C$4:$G$7,5,FALSE)),"")</f>
        <v/>
      </c>
      <c r="J400" s="145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9">
        <v>46249</v>
      </c>
      <c r="B401" s="32">
        <f t="shared" si="97"/>
        <v>1.1666666666666665</v>
      </c>
      <c r="C401" s="33"/>
      <c r="D401" s="62"/>
      <c r="E401" s="121"/>
      <c r="F401" s="122" t="str">
        <f>IFERROR(IF($D401="","",VLOOKUP($D401,Cadastro!$C$4:$E$7,3,FALSE)),"")</f>
        <v/>
      </c>
      <c r="G401" s="114"/>
      <c r="H401" s="122" t="str">
        <f>IFERROR(IF($G401="","",$G401*$S$405/$G$405/Cadastro!$E$33),"")</f>
        <v/>
      </c>
      <c r="I401" s="129" t="str">
        <f>IFERROR(IF($D401="","",VLOOKUP($D401,Cadastro!$C$4:$G$7,5,FALSE)),"")</f>
        <v/>
      </c>
      <c r="J401" s="145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8">
        <v>46249</v>
      </c>
      <c r="B402" s="25">
        <f t="shared" si="97"/>
        <v>1.2083333333333333</v>
      </c>
      <c r="C402" s="33"/>
      <c r="D402" s="62"/>
      <c r="E402" s="121"/>
      <c r="F402" s="122" t="str">
        <f>IFERROR(IF($D402="","",VLOOKUP($D402,Cadastro!$C$4:$E$7,3,FALSE)),"")</f>
        <v/>
      </c>
      <c r="G402" s="114"/>
      <c r="H402" s="122" t="str">
        <f>IFERROR(IF($G402="","",$G402*$S$405/$G$405/Cadastro!$E$33),"")</f>
        <v/>
      </c>
      <c r="I402" s="129" t="str">
        <f>IFERROR(IF($D402="","",VLOOKUP($D402,Cadastro!$C$4:$G$7,5,FALSE)),"")</f>
        <v/>
      </c>
      <c r="J402" s="145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9">
        <v>46249</v>
      </c>
      <c r="B403" s="32">
        <f t="shared" si="97"/>
        <v>1.25</v>
      </c>
      <c r="C403" s="33"/>
      <c r="D403" s="62"/>
      <c r="E403" s="121"/>
      <c r="F403" s="122" t="str">
        <f>IFERROR(IF($D403="","",VLOOKUP($D403,Cadastro!$C$4:$E$7,3,FALSE)),"")</f>
        <v/>
      </c>
      <c r="G403" s="114"/>
      <c r="H403" s="122" t="str">
        <f>IFERROR(IF($G403="","",$G403*$S$405/$G$405/Cadastro!$E$33),"")</f>
        <v/>
      </c>
      <c r="I403" s="129" t="str">
        <f>IFERROR(IF($D403="","",VLOOKUP($D403,Cadastro!$C$4:$G$7,5,FALSE)),"")</f>
        <v/>
      </c>
      <c r="J403" s="145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8">
        <v>46249</v>
      </c>
      <c r="B404" s="25">
        <f t="shared" si="97"/>
        <v>1.2916666666666667</v>
      </c>
      <c r="C404" s="33"/>
      <c r="D404" s="62"/>
      <c r="E404" s="121"/>
      <c r="F404" s="118" t="str">
        <f>IFERROR(IF($D404="","",VLOOKUP($D404,Cadastro!$C$4:$E$7,3,FALSE)),"")</f>
        <v/>
      </c>
      <c r="G404" s="114"/>
      <c r="H404" s="118" t="str">
        <f>IFERROR(IF($G404="","",$G404*$S$405/$G$405/Cadastro!$E$33),"")</f>
        <v/>
      </c>
      <c r="I404" s="130" t="str">
        <f>IFERROR(IF($D404="","",VLOOKUP($D404,Cadastro!$C$4:$G$7,5,FALSE)),"")</f>
        <v/>
      </c>
      <c r="J404" s="146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68" t="s">
        <v>234</v>
      </c>
      <c r="B405" s="169"/>
      <c r="C405" s="169"/>
      <c r="D405" s="169"/>
      <c r="E405" s="169">
        <f>SUM(E393:E404)</f>
        <v>0</v>
      </c>
      <c r="F405" s="124"/>
      <c r="G405" s="88">
        <f>SUM(G393:G404)</f>
        <v>0</v>
      </c>
      <c r="H405" s="124">
        <f>IFERROR(SUM(H393:H404),"")</f>
        <v>0</v>
      </c>
      <c r="I405" s="133"/>
      <c r="J405" s="149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232</v>
      </c>
      <c r="S405" s="39"/>
      <c r="T405" s="141">
        <f>IFERROR(J405,"")</f>
        <v>0</v>
      </c>
    </row>
    <row r="406" spans="1:20" ht="18" customHeight="1" x14ac:dyDescent="0.3">
      <c r="A406" s="165" t="s">
        <v>235</v>
      </c>
      <c r="B406" s="166"/>
      <c r="C406" s="166"/>
      <c r="D406" s="166"/>
      <c r="E406" s="166">
        <f>E392+E405</f>
        <v>0</v>
      </c>
      <c r="F406" s="125"/>
      <c r="G406" s="100">
        <f>G392+G405</f>
        <v>0</v>
      </c>
      <c r="H406" s="125">
        <f>IFERROR(H392+H405,"")</f>
        <v>0</v>
      </c>
      <c r="I406" s="134"/>
      <c r="J406" s="150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236</v>
      </c>
      <c r="S406" s="48">
        <f>IFERROR(S392+S405,"")</f>
        <v>0</v>
      </c>
      <c r="T406" s="143">
        <f>IFERROR(J406,"")</f>
        <v>0</v>
      </c>
    </row>
    <row r="407" spans="1:20" ht="15" customHeight="1" x14ac:dyDescent="0.3">
      <c r="A407" s="69">
        <v>46250</v>
      </c>
      <c r="B407" s="32">
        <v>0.33333333333333298</v>
      </c>
      <c r="C407" s="33"/>
      <c r="D407" s="62"/>
      <c r="E407" s="121"/>
      <c r="F407" s="119" t="str">
        <f>IFERROR(IF($D407="","",VLOOKUP($D407,Cadastro!$C$4:$E$7,3,FALSE)),"")</f>
        <v/>
      </c>
      <c r="G407" s="114"/>
      <c r="H407" s="119" t="str">
        <f>IFERROR(IF($G407="","",$G407*$S$419/$G$419/Cadastro!$E$33),"")</f>
        <v/>
      </c>
      <c r="I407" s="132" t="str">
        <f>IFERROR(IF($D407="","",VLOOKUP($D407,Cadastro!$C$4:$G$7,5,FALSE)),"")</f>
        <v/>
      </c>
      <c r="J407" s="148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3">
      <c r="A408" s="68">
        <v>46250</v>
      </c>
      <c r="B408" s="25">
        <f t="shared" ref="B408:B418" si="101">B407+TIME(0,60,0)</f>
        <v>0.37499999999999967</v>
      </c>
      <c r="C408" s="33"/>
      <c r="D408" s="62"/>
      <c r="E408" s="121"/>
      <c r="F408" s="122" t="str">
        <f>IFERROR(IF($D408="","",VLOOKUP($D408,Cadastro!$C$4:$E$7,3,FALSE)),"")</f>
        <v/>
      </c>
      <c r="G408" s="114"/>
      <c r="H408" s="122" t="str">
        <f>IFERROR(IF($G408="","",$G408*$S$419/$G$419/Cadastro!$E$33),"")</f>
        <v/>
      </c>
      <c r="I408" s="129" t="str">
        <f>IFERROR(IF($D408="","",VLOOKUP($D408,Cadastro!$C$4:$G$7,5,FALSE)),"")</f>
        <v/>
      </c>
      <c r="J408" s="145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">
      <c r="A409" s="69">
        <v>46250</v>
      </c>
      <c r="B409" s="32">
        <f t="shared" si="101"/>
        <v>0.41666666666666635</v>
      </c>
      <c r="C409" s="33"/>
      <c r="D409" s="62"/>
      <c r="E409" s="121"/>
      <c r="F409" s="122" t="str">
        <f>IFERROR(IF($D409="","",VLOOKUP($D409,Cadastro!$C$4:$E$7,3,FALSE)),"")</f>
        <v/>
      </c>
      <c r="G409" s="114"/>
      <c r="H409" s="122" t="str">
        <f>IFERROR(IF($G409="","",$G409*$S$419/$G$419/Cadastro!$E$33),"")</f>
        <v/>
      </c>
      <c r="I409" s="129" t="str">
        <f>IFERROR(IF($D409="","",VLOOKUP($D409,Cadastro!$C$4:$G$7,5,FALSE)),"")</f>
        <v/>
      </c>
      <c r="J409" s="145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">
      <c r="A410" s="68">
        <v>46250</v>
      </c>
      <c r="B410" s="25">
        <f t="shared" si="101"/>
        <v>0.45833333333333304</v>
      </c>
      <c r="C410" s="33"/>
      <c r="D410" s="62"/>
      <c r="E410" s="121"/>
      <c r="F410" s="122" t="str">
        <f>IFERROR(IF($D410="","",VLOOKUP($D410,Cadastro!$C$4:$E$7,3,FALSE)),"")</f>
        <v/>
      </c>
      <c r="G410" s="114"/>
      <c r="H410" s="122" t="str">
        <f>IFERROR(IF($G410="","",$G410*$S$419/$G$419/Cadastro!$E$33),"")</f>
        <v/>
      </c>
      <c r="I410" s="129" t="str">
        <f>IFERROR(IF($D410="","",VLOOKUP($D410,Cadastro!$C$4:$G$7,5,FALSE)),"")</f>
        <v/>
      </c>
      <c r="J410" s="145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">
      <c r="A411" s="69">
        <v>46250</v>
      </c>
      <c r="B411" s="32">
        <f t="shared" si="101"/>
        <v>0.49999999999999972</v>
      </c>
      <c r="C411" s="33"/>
      <c r="D411" s="62"/>
      <c r="E411" s="121"/>
      <c r="F411" s="122" t="str">
        <f>IFERROR(IF($D411="","",VLOOKUP($D411,Cadastro!$C$4:$E$7,3,FALSE)),"")</f>
        <v/>
      </c>
      <c r="G411" s="114"/>
      <c r="H411" s="122" t="str">
        <f>IFERROR(IF($G411="","",$G411*$S$419/$G$419/Cadastro!$E$33),"")</f>
        <v/>
      </c>
      <c r="I411" s="129" t="str">
        <f>IFERROR(IF($D411="","",VLOOKUP($D411,Cadastro!$C$4:$G$7,5,FALSE)),"")</f>
        <v/>
      </c>
      <c r="J411" s="145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">
      <c r="A412" s="68">
        <v>46250</v>
      </c>
      <c r="B412" s="25">
        <f t="shared" si="101"/>
        <v>0.54166666666666641</v>
      </c>
      <c r="C412" s="33"/>
      <c r="D412" s="62"/>
      <c r="E412" s="121"/>
      <c r="F412" s="122" t="str">
        <f>IFERROR(IF($D412="","",VLOOKUP($D412,Cadastro!$C$4:$E$7,3,FALSE)),"")</f>
        <v/>
      </c>
      <c r="G412" s="114"/>
      <c r="H412" s="122" t="str">
        <f>IFERROR(IF($G412="","",$G412*$S$419/$G$419/Cadastro!$E$33),"")</f>
        <v/>
      </c>
      <c r="I412" s="129" t="str">
        <f>IFERROR(IF($D412="","",VLOOKUP($D412,Cadastro!$C$4:$G$7,5,FALSE)),"")</f>
        <v/>
      </c>
      <c r="J412" s="145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">
      <c r="A413" s="69">
        <v>46250</v>
      </c>
      <c r="B413" s="32">
        <f t="shared" si="101"/>
        <v>0.58333333333333304</v>
      </c>
      <c r="C413" s="33"/>
      <c r="D413" s="62"/>
      <c r="E413" s="121"/>
      <c r="F413" s="122" t="str">
        <f>IFERROR(IF($D413="","",VLOOKUP($D413,Cadastro!$C$4:$E$7,3,FALSE)),"")</f>
        <v/>
      </c>
      <c r="G413" s="114"/>
      <c r="H413" s="122" t="str">
        <f>IFERROR(IF($G413="","",$G413*$S$419/$G$419/Cadastro!$E$33),"")</f>
        <v/>
      </c>
      <c r="I413" s="129" t="str">
        <f>IFERROR(IF($D413="","",VLOOKUP($D413,Cadastro!$C$4:$G$7,5,FALSE)),"")</f>
        <v/>
      </c>
      <c r="J413" s="145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8">
        <v>46250</v>
      </c>
      <c r="B414" s="25">
        <f t="shared" si="101"/>
        <v>0.62499999999999967</v>
      </c>
      <c r="C414" s="33"/>
      <c r="D414" s="62"/>
      <c r="E414" s="121"/>
      <c r="F414" s="122" t="str">
        <f>IFERROR(IF($D414="","",VLOOKUP($D414,Cadastro!$C$4:$E$7,3,FALSE)),"")</f>
        <v/>
      </c>
      <c r="G414" s="114"/>
      <c r="H414" s="122" t="str">
        <f>IFERROR(IF($G414="","",$G414*$S$419/$G$419/Cadastro!$E$33),"")</f>
        <v/>
      </c>
      <c r="I414" s="129" t="str">
        <f>IFERROR(IF($D414="","",VLOOKUP($D414,Cadastro!$C$4:$G$7,5,FALSE)),"")</f>
        <v/>
      </c>
      <c r="J414" s="145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9">
        <v>46250</v>
      </c>
      <c r="B415" s="32">
        <f t="shared" si="101"/>
        <v>0.6666666666666663</v>
      </c>
      <c r="C415" s="33"/>
      <c r="D415" s="62"/>
      <c r="E415" s="121"/>
      <c r="F415" s="122" t="str">
        <f>IFERROR(IF($D415="","",VLOOKUP($D415,Cadastro!$C$4:$E$7,3,FALSE)),"")</f>
        <v/>
      </c>
      <c r="G415" s="114"/>
      <c r="H415" s="122" t="str">
        <f>IFERROR(IF($G415="","",$G415*$S$419/$G$419/Cadastro!$E$33),"")</f>
        <v/>
      </c>
      <c r="I415" s="129" t="str">
        <f>IFERROR(IF($D415="","",VLOOKUP($D415,Cadastro!$C$4:$G$7,5,FALSE)),"")</f>
        <v/>
      </c>
      <c r="J415" s="145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8">
        <v>46250</v>
      </c>
      <c r="B416" s="25">
        <f t="shared" si="101"/>
        <v>0.70833333333333293</v>
      </c>
      <c r="C416" s="33"/>
      <c r="D416" s="62"/>
      <c r="E416" s="121"/>
      <c r="F416" s="122" t="str">
        <f>IFERROR(IF($D416="","",VLOOKUP($D416,Cadastro!$C$4:$E$7,3,FALSE)),"")</f>
        <v/>
      </c>
      <c r="G416" s="114"/>
      <c r="H416" s="122" t="str">
        <f>IFERROR(IF($G416="","",$G416*$S$419/$G$419/Cadastro!$E$33),"")</f>
        <v/>
      </c>
      <c r="I416" s="129" t="str">
        <f>IFERROR(IF($D416="","",VLOOKUP($D416,Cadastro!$C$4:$G$7,5,FALSE)),"")</f>
        <v/>
      </c>
      <c r="J416" s="145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9">
        <v>46250</v>
      </c>
      <c r="B417" s="32">
        <f t="shared" si="101"/>
        <v>0.74999999999999956</v>
      </c>
      <c r="C417" s="33"/>
      <c r="D417" s="62"/>
      <c r="E417" s="121"/>
      <c r="F417" s="122" t="str">
        <f>IFERROR(IF($D417="","",VLOOKUP($D417,Cadastro!$C$4:$E$7,3,FALSE)),"")</f>
        <v/>
      </c>
      <c r="G417" s="114"/>
      <c r="H417" s="122" t="str">
        <f>IFERROR(IF($G417="","",$G417*$S$419/$G$419/Cadastro!$E$33),"")</f>
        <v/>
      </c>
      <c r="I417" s="129" t="str">
        <f>IFERROR(IF($D417="","",VLOOKUP($D417,Cadastro!$C$4:$G$7,5,FALSE)),"")</f>
        <v/>
      </c>
      <c r="J417" s="145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8">
        <v>46250</v>
      </c>
      <c r="B418" s="25">
        <f t="shared" si="101"/>
        <v>0.79166666666666619</v>
      </c>
      <c r="C418" s="33"/>
      <c r="D418" s="62"/>
      <c r="E418" s="121"/>
      <c r="F418" s="118" t="str">
        <f>IFERROR(IF($D418="","",VLOOKUP($D418,Cadastro!$C$4:$E$7,3,FALSE)),"")</f>
        <v/>
      </c>
      <c r="G418" s="114"/>
      <c r="H418" s="118" t="str">
        <f>IFERROR(IF($G418="","",$G418*$S$419/$G$419/Cadastro!$E$33),"")</f>
        <v/>
      </c>
      <c r="I418" s="130" t="str">
        <f>IFERROR(IF($D418="","",VLOOKUP($D418,Cadastro!$C$4:$G$7,5,FALSE)),"")</f>
        <v/>
      </c>
      <c r="J418" s="146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68" t="s">
        <v>231</v>
      </c>
      <c r="B419" s="169"/>
      <c r="C419" s="169"/>
      <c r="D419" s="169"/>
      <c r="E419" s="169">
        <f>SUM(E407:E418)</f>
        <v>0</v>
      </c>
      <c r="F419" s="123"/>
      <c r="G419" s="88">
        <f>SUM(G407:G418)</f>
        <v>0</v>
      </c>
      <c r="H419" s="123">
        <f>IFERROR(SUM(H407:H418),"")</f>
        <v>0</v>
      </c>
      <c r="I419" s="131"/>
      <c r="J419" s="147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232</v>
      </c>
      <c r="S419" s="39"/>
      <c r="T419" s="141">
        <f>IFERROR(J419,"")</f>
        <v>0</v>
      </c>
    </row>
    <row r="420" spans="1:20" ht="15" customHeight="1" x14ac:dyDescent="0.3">
      <c r="A420" s="68">
        <v>46250</v>
      </c>
      <c r="B420" s="25">
        <v>0.83333333333333304</v>
      </c>
      <c r="C420" s="26"/>
      <c r="D420" s="59"/>
      <c r="E420" s="120"/>
      <c r="F420" s="119" t="str">
        <f>IFERROR(IF($D420="","",VLOOKUP($D420,Cadastro!$C$4:$E$7,3,FALSE)),"")</f>
        <v/>
      </c>
      <c r="G420" s="114"/>
      <c r="H420" s="119" t="str">
        <f>IFERROR(IF($G420="","",$G420*$S$432/$G$432/Cadastro!$E$33),"")</f>
        <v/>
      </c>
      <c r="I420" s="132" t="str">
        <f>IFERROR(IF($D420="","",VLOOKUP($D420,Cadastro!$C$4:$G$7,5,FALSE)),"")</f>
        <v/>
      </c>
      <c r="J420" s="148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">
      <c r="A421" s="69">
        <v>46250</v>
      </c>
      <c r="B421" s="32">
        <f t="shared" ref="B421:B431" si="105">B420+TIME(0,60,0)</f>
        <v>0.87499999999999967</v>
      </c>
      <c r="C421" s="26"/>
      <c r="D421" s="59"/>
      <c r="E421" s="120"/>
      <c r="F421" s="122" t="str">
        <f>IFERROR(IF($D421="","",VLOOKUP($D421,Cadastro!$C$4:$E$7,3,FALSE)),"")</f>
        <v/>
      </c>
      <c r="G421" s="114"/>
      <c r="H421" s="122" t="str">
        <f>IFERROR(IF($G421="","",$G421*$S$432/$G$432/Cadastro!$E$33),"")</f>
        <v/>
      </c>
      <c r="I421" s="129" t="str">
        <f>IFERROR(IF($D421="","",VLOOKUP($D421,Cadastro!$C$4:$G$7,5,FALSE)),"")</f>
        <v/>
      </c>
      <c r="J421" s="145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">
      <c r="A422" s="68">
        <v>46250</v>
      </c>
      <c r="B422" s="25">
        <f t="shared" si="105"/>
        <v>0.9166666666666663</v>
      </c>
      <c r="C422" s="26"/>
      <c r="D422" s="59"/>
      <c r="E422" s="120"/>
      <c r="F422" s="122" t="str">
        <f>IFERROR(IF($D422="","",VLOOKUP($D422,Cadastro!$C$4:$E$7,3,FALSE)),"")</f>
        <v/>
      </c>
      <c r="G422" s="114"/>
      <c r="H422" s="122" t="str">
        <f>IFERROR(IF($G422="","",$G422*$S$432/$G$432/Cadastro!$E$33),"")</f>
        <v/>
      </c>
      <c r="I422" s="129" t="str">
        <f>IFERROR(IF($D422="","",VLOOKUP($D422,Cadastro!$C$4:$G$7,5,FALSE)),"")</f>
        <v/>
      </c>
      <c r="J422" s="145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">
      <c r="A423" s="69">
        <v>46250</v>
      </c>
      <c r="B423" s="32">
        <f t="shared" si="105"/>
        <v>0.95833333333333293</v>
      </c>
      <c r="C423" s="26"/>
      <c r="D423" s="59"/>
      <c r="E423" s="120"/>
      <c r="F423" s="122" t="str">
        <f>IFERROR(IF($D423="","",VLOOKUP($D423,Cadastro!$C$4:$E$7,3,FALSE)),"")</f>
        <v/>
      </c>
      <c r="G423" s="114"/>
      <c r="H423" s="122" t="str">
        <f>IFERROR(IF($G423="","",$G423*$S$432/$G$432/Cadastro!$E$33),"")</f>
        <v/>
      </c>
      <c r="I423" s="129" t="str">
        <f>IFERROR(IF($D423="","",VLOOKUP($D423,Cadastro!$C$4:$G$7,5,FALSE)),"")</f>
        <v/>
      </c>
      <c r="J423" s="145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">
      <c r="A424" s="68">
        <v>46250</v>
      </c>
      <c r="B424" s="25">
        <f t="shared" si="105"/>
        <v>0.99999999999999956</v>
      </c>
      <c r="C424" s="26"/>
      <c r="D424" s="59"/>
      <c r="E424" s="120"/>
      <c r="F424" s="122" t="str">
        <f>IFERROR(IF($D424="","",VLOOKUP($D424,Cadastro!$C$4:$E$7,3,FALSE)),"")</f>
        <v/>
      </c>
      <c r="G424" s="114"/>
      <c r="H424" s="122" t="str">
        <f>IFERROR(IF($G424="","",$G424*$S$432/$G$432/Cadastro!$E$33),"")</f>
        <v/>
      </c>
      <c r="I424" s="129" t="str">
        <f>IFERROR(IF($D424="","",VLOOKUP($D424,Cadastro!$C$4:$G$7,5,FALSE)),"")</f>
        <v/>
      </c>
      <c r="J424" s="145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">
      <c r="A425" s="69">
        <v>46250</v>
      </c>
      <c r="B425" s="32">
        <f t="shared" si="105"/>
        <v>1.0416666666666663</v>
      </c>
      <c r="C425" s="26"/>
      <c r="D425" s="59"/>
      <c r="E425" s="120"/>
      <c r="F425" s="122" t="str">
        <f>IFERROR(IF($D425="","",VLOOKUP($D425,Cadastro!$C$4:$E$7,3,FALSE)),"")</f>
        <v/>
      </c>
      <c r="G425" s="114"/>
      <c r="H425" s="122" t="str">
        <f>IFERROR(IF($G425="","",$G425*$S$432/$G$432/Cadastro!$E$33),"")</f>
        <v/>
      </c>
      <c r="I425" s="129" t="str">
        <f>IFERROR(IF($D425="","",VLOOKUP($D425,Cadastro!$C$4:$G$7,5,FALSE)),"")</f>
        <v/>
      </c>
      <c r="J425" s="145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">
      <c r="A426" s="68">
        <v>46250</v>
      </c>
      <c r="B426" s="25">
        <f t="shared" si="105"/>
        <v>1.083333333333333</v>
      </c>
      <c r="C426" s="26"/>
      <c r="D426" s="59"/>
      <c r="E426" s="120"/>
      <c r="F426" s="122" t="str">
        <f>IFERROR(IF($D426="","",VLOOKUP($D426,Cadastro!$C$4:$E$7,3,FALSE)),"")</f>
        <v/>
      </c>
      <c r="G426" s="114"/>
      <c r="H426" s="122" t="str">
        <f>IFERROR(IF($G426="","",$G426*$S$432/$G$432/Cadastro!$E$33),"")</f>
        <v/>
      </c>
      <c r="I426" s="129" t="str">
        <f>IFERROR(IF($D426="","",VLOOKUP($D426,Cadastro!$C$4:$G$7,5,FALSE)),"")</f>
        <v/>
      </c>
      <c r="J426" s="145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">
      <c r="A427" s="69">
        <v>46250</v>
      </c>
      <c r="B427" s="32">
        <f t="shared" si="105"/>
        <v>1.1249999999999998</v>
      </c>
      <c r="C427" s="26"/>
      <c r="D427" s="59"/>
      <c r="E427" s="120"/>
      <c r="F427" s="122" t="str">
        <f>IFERROR(IF($D427="","",VLOOKUP($D427,Cadastro!$C$4:$E$7,3,FALSE)),"")</f>
        <v/>
      </c>
      <c r="G427" s="114"/>
      <c r="H427" s="122" t="str">
        <f>IFERROR(IF($G427="","",$G427*$S$432/$G$432/Cadastro!$E$33),"")</f>
        <v/>
      </c>
      <c r="I427" s="129" t="str">
        <f>IFERROR(IF($D427="","",VLOOKUP($D427,Cadastro!$C$4:$G$7,5,FALSE)),"")</f>
        <v/>
      </c>
      <c r="J427" s="145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">
      <c r="A428" s="68">
        <v>46250</v>
      </c>
      <c r="B428" s="25">
        <f t="shared" si="105"/>
        <v>1.1666666666666665</v>
      </c>
      <c r="C428" s="26"/>
      <c r="D428" s="59"/>
      <c r="E428" s="120"/>
      <c r="F428" s="122" t="str">
        <f>IFERROR(IF($D428="","",VLOOKUP($D428,Cadastro!$C$4:$E$7,3,FALSE)),"")</f>
        <v/>
      </c>
      <c r="G428" s="114"/>
      <c r="H428" s="122" t="str">
        <f>IFERROR(IF($G428="","",$G428*$S$432/$G$432/Cadastro!$E$33),"")</f>
        <v/>
      </c>
      <c r="I428" s="129" t="str">
        <f>IFERROR(IF($D428="","",VLOOKUP($D428,Cadastro!$C$4:$G$7,5,FALSE)),"")</f>
        <v/>
      </c>
      <c r="J428" s="145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9">
        <v>46250</v>
      </c>
      <c r="B429" s="32">
        <f t="shared" si="105"/>
        <v>1.2083333333333333</v>
      </c>
      <c r="C429" s="26"/>
      <c r="D429" s="59"/>
      <c r="E429" s="120"/>
      <c r="F429" s="122" t="str">
        <f>IFERROR(IF($D429="","",VLOOKUP($D429,Cadastro!$C$4:$E$7,3,FALSE)),"")</f>
        <v/>
      </c>
      <c r="G429" s="114"/>
      <c r="H429" s="122" t="str">
        <f>IFERROR(IF($G429="","",$G429*$S$432/$G$432/Cadastro!$E$33),"")</f>
        <v/>
      </c>
      <c r="I429" s="129" t="str">
        <f>IFERROR(IF($D429="","",VLOOKUP($D429,Cadastro!$C$4:$G$7,5,FALSE)),"")</f>
        <v/>
      </c>
      <c r="J429" s="145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8">
        <v>46250</v>
      </c>
      <c r="B430" s="25">
        <f t="shared" si="105"/>
        <v>1.25</v>
      </c>
      <c r="C430" s="26"/>
      <c r="D430" s="59"/>
      <c r="E430" s="120"/>
      <c r="F430" s="122" t="str">
        <f>IFERROR(IF($D430="","",VLOOKUP($D430,Cadastro!$C$4:$E$7,3,FALSE)),"")</f>
        <v/>
      </c>
      <c r="G430" s="114"/>
      <c r="H430" s="122" t="str">
        <f>IFERROR(IF($G430="","",$G430*$S$432/$G$432/Cadastro!$E$33),"")</f>
        <v/>
      </c>
      <c r="I430" s="129" t="str">
        <f>IFERROR(IF($D430="","",VLOOKUP($D430,Cadastro!$C$4:$G$7,5,FALSE)),"")</f>
        <v/>
      </c>
      <c r="J430" s="145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9">
        <v>46250</v>
      </c>
      <c r="B431" s="32">
        <f t="shared" si="105"/>
        <v>1.2916666666666667</v>
      </c>
      <c r="C431" s="26"/>
      <c r="D431" s="59"/>
      <c r="E431" s="120"/>
      <c r="F431" s="118" t="str">
        <f>IFERROR(IF($D431="","",VLOOKUP($D431,Cadastro!$C$4:$E$7,3,FALSE)),"")</f>
        <v/>
      </c>
      <c r="G431" s="114"/>
      <c r="H431" s="118" t="str">
        <f>IFERROR(IF($G431="","",$G431*$S$432/$G$432/Cadastro!$E$33),"")</f>
        <v/>
      </c>
      <c r="I431" s="130" t="str">
        <f>IFERROR(IF($D431="","",VLOOKUP($D431,Cadastro!$C$4:$G$7,5,FALSE)),"")</f>
        <v/>
      </c>
      <c r="J431" s="146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68" t="s">
        <v>234</v>
      </c>
      <c r="B432" s="169"/>
      <c r="C432" s="169"/>
      <c r="D432" s="169"/>
      <c r="E432" s="169">
        <f>SUM(E420:E431)</f>
        <v>0</v>
      </c>
      <c r="F432" s="124"/>
      <c r="G432" s="88">
        <f>SUM(G420:G431)</f>
        <v>0</v>
      </c>
      <c r="H432" s="124">
        <f>IFERROR(SUM(H420:H431),"")</f>
        <v>0</v>
      </c>
      <c r="I432" s="133"/>
      <c r="J432" s="149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232</v>
      </c>
      <c r="S432" s="39"/>
      <c r="T432" s="141">
        <f>IFERROR(J432,"")</f>
        <v>0</v>
      </c>
    </row>
    <row r="433" spans="1:21" ht="18" customHeight="1" x14ac:dyDescent="0.3">
      <c r="A433" s="165" t="s">
        <v>235</v>
      </c>
      <c r="B433" s="166"/>
      <c r="C433" s="166"/>
      <c r="D433" s="166"/>
      <c r="E433" s="166">
        <f>E419+E432</f>
        <v>0</v>
      </c>
      <c r="F433" s="125"/>
      <c r="G433" s="100">
        <f>G419+G432</f>
        <v>0</v>
      </c>
      <c r="H433" s="125">
        <f>IFERROR(H419+H432,"")</f>
        <v>0</v>
      </c>
      <c r="I433" s="134"/>
      <c r="J433" s="150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236</v>
      </c>
      <c r="S433" s="48">
        <f>IFERROR(S419+S432,"")</f>
        <v>0</v>
      </c>
      <c r="T433" s="143">
        <f>IFERROR(J433,"")</f>
        <v>0</v>
      </c>
    </row>
    <row r="434" spans="1:21" ht="15" customHeight="1" x14ac:dyDescent="0.3">
      <c r="A434" s="68">
        <v>46251</v>
      </c>
      <c r="B434" s="25">
        <v>0.33333333333333298</v>
      </c>
      <c r="C434" s="26"/>
      <c r="D434" s="59"/>
      <c r="E434" s="120"/>
      <c r="F434" s="119" t="str">
        <f>IFERROR(IF($D434="","",VLOOKUP($D434,Cadastro!$C$4:$E$7,3,FALSE)),"")</f>
        <v/>
      </c>
      <c r="G434" s="114"/>
      <c r="H434" s="119" t="str">
        <f>IFERROR(IF($G434="","",$G434*$S$446/$G$446/Cadastro!$E$33),"")</f>
        <v/>
      </c>
      <c r="I434" s="132" t="str">
        <f>IFERROR(IF($D434="","",VLOOKUP($D434,Cadastro!$C$4:$G$7,5,FALSE)),"")</f>
        <v/>
      </c>
      <c r="J434" s="148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">
      <c r="A435" s="69">
        <v>46251</v>
      </c>
      <c r="B435" s="32">
        <f t="shared" ref="B435:B445" si="109">B434+TIME(0,60,0)</f>
        <v>0.37499999999999967</v>
      </c>
      <c r="C435" s="26"/>
      <c r="D435" s="59"/>
      <c r="E435" s="120"/>
      <c r="F435" s="122" t="str">
        <f>IFERROR(IF($D435="","",VLOOKUP($D435,Cadastro!$C$4:$E$7,3,FALSE)),"")</f>
        <v/>
      </c>
      <c r="G435" s="114"/>
      <c r="H435" s="122" t="str">
        <f>IFERROR(IF($G435="","",$G435*$S$446/$G$446/Cadastro!$E$33),"")</f>
        <v/>
      </c>
      <c r="I435" s="129" t="str">
        <f>IFERROR(IF($D435="","",VLOOKUP($D435,Cadastro!$C$4:$G$7,5,FALSE)),"")</f>
        <v/>
      </c>
      <c r="J435" s="145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">
      <c r="A436" s="68">
        <v>46251</v>
      </c>
      <c r="B436" s="25">
        <f t="shared" si="109"/>
        <v>0.41666666666666635</v>
      </c>
      <c r="C436" s="26"/>
      <c r="D436" s="59"/>
      <c r="E436" s="120"/>
      <c r="F436" s="122" t="str">
        <f>IFERROR(IF($D436="","",VLOOKUP($D436,Cadastro!$C$4:$E$7,3,FALSE)),"")</f>
        <v/>
      </c>
      <c r="G436" s="114"/>
      <c r="H436" s="122" t="str">
        <f>IFERROR(IF($G436="","",$G436*$S$446/$G$446/Cadastro!$E$33),"")</f>
        <v/>
      </c>
      <c r="I436" s="129" t="str">
        <f>IFERROR(IF($D436="","",VLOOKUP($D436,Cadastro!$C$4:$G$7,5,FALSE)),"")</f>
        <v/>
      </c>
      <c r="J436" s="145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9">
        <v>46251</v>
      </c>
      <c r="B437" s="32">
        <f t="shared" si="109"/>
        <v>0.45833333333333304</v>
      </c>
      <c r="C437" s="26"/>
      <c r="D437" s="59"/>
      <c r="E437" s="120"/>
      <c r="F437" s="122" t="str">
        <f>IFERROR(IF($D437="","",VLOOKUP($D437,Cadastro!$C$4:$E$7,3,FALSE)),"")</f>
        <v/>
      </c>
      <c r="G437" s="114"/>
      <c r="H437" s="122" t="str">
        <f>IFERROR(IF($G437="","",$G437*$S$446/$G$446/Cadastro!$E$33),"")</f>
        <v/>
      </c>
      <c r="I437" s="129" t="str">
        <f>IFERROR(IF($D437="","",VLOOKUP($D437,Cadastro!$C$4:$G$7,5,FALSE)),"")</f>
        <v/>
      </c>
      <c r="J437" s="145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8">
        <v>46251</v>
      </c>
      <c r="B438" s="25">
        <f t="shared" si="109"/>
        <v>0.49999999999999972</v>
      </c>
      <c r="C438" s="26"/>
      <c r="D438" s="59"/>
      <c r="E438" s="120"/>
      <c r="F438" s="122" t="str">
        <f>IFERROR(IF($D438="","",VLOOKUP($D438,Cadastro!$C$4:$E$7,3,FALSE)),"")</f>
        <v/>
      </c>
      <c r="G438" s="114"/>
      <c r="H438" s="122" t="str">
        <f>IFERROR(IF($G438="","",$G438*$S$446/$G$446/Cadastro!$E$33),"")</f>
        <v/>
      </c>
      <c r="I438" s="129" t="str">
        <f>IFERROR(IF($D438="","",VLOOKUP($D438,Cadastro!$C$4:$G$7,5,FALSE)),"")</f>
        <v/>
      </c>
      <c r="J438" s="145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9">
        <v>46251</v>
      </c>
      <c r="B439" s="32">
        <f t="shared" si="109"/>
        <v>0.54166666666666641</v>
      </c>
      <c r="C439" s="26"/>
      <c r="D439" s="59"/>
      <c r="E439" s="120"/>
      <c r="F439" s="122" t="str">
        <f>IFERROR(IF($D439="","",VLOOKUP($D439,Cadastro!$C$4:$E$7,3,FALSE)),"")</f>
        <v/>
      </c>
      <c r="G439" s="114"/>
      <c r="H439" s="122" t="str">
        <f>IFERROR(IF($G439="","",$G439*$S$446/$G$446/Cadastro!$E$33),"")</f>
        <v/>
      </c>
      <c r="I439" s="129" t="str">
        <f>IFERROR(IF($D439="","",VLOOKUP($D439,Cadastro!$C$4:$G$7,5,FALSE)),"")</f>
        <v/>
      </c>
      <c r="J439" s="145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8">
        <v>46251</v>
      </c>
      <c r="B440" s="25">
        <f t="shared" si="109"/>
        <v>0.58333333333333304</v>
      </c>
      <c r="C440" s="26"/>
      <c r="D440" s="59"/>
      <c r="E440" s="120"/>
      <c r="F440" s="122" t="str">
        <f>IFERROR(IF($D440="","",VLOOKUP($D440,Cadastro!$C$4:$E$7,3,FALSE)),"")</f>
        <v/>
      </c>
      <c r="G440" s="114"/>
      <c r="H440" s="122" t="str">
        <f>IFERROR(IF($G440="","",$G440*$S$446/$G$446/Cadastro!$E$33),"")</f>
        <v/>
      </c>
      <c r="I440" s="129" t="str">
        <f>IFERROR(IF($D440="","",VLOOKUP($D440,Cadastro!$C$4:$G$7,5,FALSE)),"")</f>
        <v/>
      </c>
      <c r="J440" s="145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9">
        <v>46251</v>
      </c>
      <c r="B441" s="32">
        <f t="shared" si="109"/>
        <v>0.62499999999999967</v>
      </c>
      <c r="C441" s="26"/>
      <c r="D441" s="59"/>
      <c r="E441" s="120"/>
      <c r="F441" s="122" t="str">
        <f>IFERROR(IF($D441="","",VLOOKUP($D441,Cadastro!$C$4:$E$7,3,FALSE)),"")</f>
        <v/>
      </c>
      <c r="G441" s="114"/>
      <c r="H441" s="122" t="str">
        <f>IFERROR(IF($G441="","",$G441*$S$446/$G$446/Cadastro!$E$33),"")</f>
        <v/>
      </c>
      <c r="I441" s="129" t="str">
        <f>IFERROR(IF($D441="","",VLOOKUP($D441,Cadastro!$C$4:$G$7,5,FALSE)),"")</f>
        <v/>
      </c>
      <c r="J441" s="145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8">
        <v>46251</v>
      </c>
      <c r="B442" s="25">
        <f t="shared" si="109"/>
        <v>0.6666666666666663</v>
      </c>
      <c r="C442" s="26"/>
      <c r="D442" s="59"/>
      <c r="E442" s="120"/>
      <c r="F442" s="122" t="str">
        <f>IFERROR(IF($D442="","",VLOOKUP($D442,Cadastro!$C$4:$E$7,3,FALSE)),"")</f>
        <v/>
      </c>
      <c r="G442" s="114"/>
      <c r="H442" s="122" t="str">
        <f>IFERROR(IF($G442="","",$G442*$S$446/$G$446/Cadastro!$E$33),"")</f>
        <v/>
      </c>
      <c r="I442" s="129" t="str">
        <f>IFERROR(IF($D442="","",VLOOKUP($D442,Cadastro!$C$4:$G$7,5,FALSE)),"")</f>
        <v/>
      </c>
      <c r="J442" s="145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9">
        <v>46251</v>
      </c>
      <c r="B443" s="32">
        <f t="shared" si="109"/>
        <v>0.70833333333333293</v>
      </c>
      <c r="C443" s="26"/>
      <c r="D443" s="59"/>
      <c r="E443" s="120"/>
      <c r="F443" s="122" t="str">
        <f>IFERROR(IF($D443="","",VLOOKUP($D443,Cadastro!$C$4:$E$7,3,FALSE)),"")</f>
        <v/>
      </c>
      <c r="G443" s="114"/>
      <c r="H443" s="122" t="str">
        <f>IFERROR(IF($G443="","",$G443*$S$446/$G$446/Cadastro!$E$33),"")</f>
        <v/>
      </c>
      <c r="I443" s="129" t="str">
        <f>IFERROR(IF($D443="","",VLOOKUP($D443,Cadastro!$C$4:$G$7,5,FALSE)),"")</f>
        <v/>
      </c>
      <c r="J443" s="145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8">
        <v>46251</v>
      </c>
      <c r="B444" s="25">
        <f t="shared" si="109"/>
        <v>0.74999999999999956</v>
      </c>
      <c r="C444" s="26"/>
      <c r="D444" s="59"/>
      <c r="E444" s="120"/>
      <c r="F444" s="122" t="str">
        <f>IFERROR(IF($D444="","",VLOOKUP($D444,Cadastro!$C$4:$E$7,3,FALSE)),"")</f>
        <v/>
      </c>
      <c r="G444" s="114"/>
      <c r="H444" s="122" t="str">
        <f>IFERROR(IF($G444="","",$G444*$S$446/$G$446/Cadastro!$E$33),"")</f>
        <v/>
      </c>
      <c r="I444" s="129" t="str">
        <f>IFERROR(IF($D444="","",VLOOKUP($D444,Cadastro!$C$4:$G$7,5,FALSE)),"")</f>
        <v/>
      </c>
      <c r="J444" s="145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9">
        <v>46251</v>
      </c>
      <c r="B445" s="32">
        <f t="shared" si="109"/>
        <v>0.79166666666666619</v>
      </c>
      <c r="C445" s="26"/>
      <c r="D445" s="59"/>
      <c r="E445" s="120"/>
      <c r="F445" s="118" t="str">
        <f>IFERROR(IF($D445="","",VLOOKUP($D445,Cadastro!$C$4:$E$7,3,FALSE)),"")</f>
        <v/>
      </c>
      <c r="G445" s="114"/>
      <c r="H445" s="118" t="str">
        <f>IFERROR(IF($G445="","",$G445*$S$446/$G$446/Cadastro!$E$33),"")</f>
        <v/>
      </c>
      <c r="I445" s="130" t="str">
        <f>IFERROR(IF($D445="","",VLOOKUP($D445,Cadastro!$C$4:$G$7,5,FALSE)),"")</f>
        <v/>
      </c>
      <c r="J445" s="146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68" t="s">
        <v>231</v>
      </c>
      <c r="B446" s="169"/>
      <c r="C446" s="169"/>
      <c r="D446" s="169"/>
      <c r="E446" s="169">
        <f>SUM(E434:E445)</f>
        <v>0</v>
      </c>
      <c r="F446" s="123"/>
      <c r="G446" s="88">
        <f>SUM(G434:G445)</f>
        <v>0</v>
      </c>
      <c r="H446" s="123">
        <f>IFERROR(SUM(H434:H445),"")</f>
        <v>0</v>
      </c>
      <c r="I446" s="131"/>
      <c r="J446" s="147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232</v>
      </c>
      <c r="S446" s="39"/>
      <c r="T446" s="141">
        <f>IFERROR(J446,"")</f>
        <v>0</v>
      </c>
    </row>
    <row r="447" spans="1:21" ht="15" customHeight="1" x14ac:dyDescent="0.3">
      <c r="A447" s="69">
        <v>46251</v>
      </c>
      <c r="B447" s="32">
        <v>0.83333333333333304</v>
      </c>
      <c r="C447" s="33"/>
      <c r="D447" s="62"/>
      <c r="E447" s="121"/>
      <c r="F447" s="119" t="str">
        <f>IFERROR(IF($D447="","",VLOOKUP($D447,Cadastro!$C$4:$E$7,3,FALSE)),"")</f>
        <v/>
      </c>
      <c r="G447" s="114"/>
      <c r="H447" s="119" t="str">
        <f>IFERROR(IF($G447="","",$G447*$S$459/$G$459/Cadastro!$E$33),"")</f>
        <v/>
      </c>
      <c r="I447" s="132" t="str">
        <f>IFERROR(IF($D447="","",VLOOKUP($D447,Cadastro!$C$4:$G$7,5,FALSE)),"")</f>
        <v/>
      </c>
      <c r="J447" s="148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">
      <c r="A448" s="68">
        <v>46251</v>
      </c>
      <c r="B448" s="25">
        <f t="shared" ref="B448:B458" si="113">B447+TIME(0,60,0)</f>
        <v>0.87499999999999967</v>
      </c>
      <c r="C448" s="33"/>
      <c r="D448" s="62"/>
      <c r="E448" s="121"/>
      <c r="F448" s="122" t="str">
        <f>IFERROR(IF($D448="","",VLOOKUP($D448,Cadastro!$C$4:$E$7,3,FALSE)),"")</f>
        <v/>
      </c>
      <c r="G448" s="114"/>
      <c r="H448" s="122" t="str">
        <f>IFERROR(IF($G448="","",$G448*$S$459/$G$459/Cadastro!$E$33),"")</f>
        <v/>
      </c>
      <c r="I448" s="129" t="str">
        <f>IFERROR(IF($D448="","",VLOOKUP($D448,Cadastro!$C$4:$G$7,5,FALSE)),"")</f>
        <v/>
      </c>
      <c r="J448" s="145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 x14ac:dyDescent="0.3">
      <c r="A449" s="69">
        <v>46251</v>
      </c>
      <c r="B449" s="32">
        <f t="shared" si="113"/>
        <v>0.9166666666666663</v>
      </c>
      <c r="C449" s="33"/>
      <c r="D449" s="62"/>
      <c r="E449" s="121"/>
      <c r="F449" s="122" t="str">
        <f>IFERROR(IF($D449="","",VLOOKUP($D449,Cadastro!$C$4:$E$7,3,FALSE)),"")</f>
        <v/>
      </c>
      <c r="G449" s="114"/>
      <c r="H449" s="122" t="str">
        <f>IFERROR(IF($G449="","",$G449*$S$459/$G$459/Cadastro!$E$33),"")</f>
        <v/>
      </c>
      <c r="I449" s="129" t="str">
        <f>IFERROR(IF($D449="","",VLOOKUP($D449,Cadastro!$C$4:$G$7,5,FALSE)),"")</f>
        <v/>
      </c>
      <c r="J449" s="145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">
      <c r="A450" s="68">
        <v>46251</v>
      </c>
      <c r="B450" s="25">
        <f t="shared" si="113"/>
        <v>0.95833333333333293</v>
      </c>
      <c r="C450" s="33"/>
      <c r="D450" s="62"/>
      <c r="F450" s="122" t="str">
        <f>IFERROR(IF($D450="","",VLOOKUP($D450,Cadastro!$C$4:$E$7,3,FALSE)),"")</f>
        <v/>
      </c>
      <c r="G450" s="114"/>
      <c r="H450" s="122" t="str">
        <f>IFERROR(IF($G450="","",$G450*$S$459/$G$459/Cadastro!$E$33),"")</f>
        <v/>
      </c>
      <c r="I450" s="129" t="str">
        <f>IFERROR(IF($D450="","",VLOOKUP($D450,Cadastro!$C$4:$G$7,5,FALSE)),"")</f>
        <v/>
      </c>
      <c r="J450" s="145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">
      <c r="A451" s="69">
        <v>46251</v>
      </c>
      <c r="B451" s="32">
        <f t="shared" si="113"/>
        <v>0.99999999999999956</v>
      </c>
      <c r="C451" s="33"/>
      <c r="D451" s="62"/>
      <c r="E451" s="121"/>
      <c r="F451" s="122" t="str">
        <f>IFERROR(IF($D451="","",VLOOKUP($D451,Cadastro!$C$4:$E$7,3,FALSE)),"")</f>
        <v/>
      </c>
      <c r="G451" s="114"/>
      <c r="H451" s="122" t="str">
        <f>IFERROR(IF($G451="","",$G451*$S$459/$G$459/Cadastro!$E$33),"")</f>
        <v/>
      </c>
      <c r="I451" s="129" t="str">
        <f>IFERROR(IF($D451="","",VLOOKUP($D451,Cadastro!$C$4:$G$7,5,FALSE)),"")</f>
        <v/>
      </c>
      <c r="J451" s="145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">
      <c r="A452" s="68">
        <v>46251</v>
      </c>
      <c r="B452" s="25">
        <f t="shared" si="113"/>
        <v>1.0416666666666663</v>
      </c>
      <c r="C452" s="33"/>
      <c r="D452" s="62"/>
      <c r="E452" s="121"/>
      <c r="F452" s="122" t="str">
        <f>IFERROR(IF($D452="","",VLOOKUP($D452,Cadastro!$C$4:$E$7,3,FALSE)),"")</f>
        <v/>
      </c>
      <c r="G452" s="114"/>
      <c r="H452" s="122" t="str">
        <f>IFERROR(IF($G452="","",$G452*$S$459/$G$459/Cadastro!$E$33),"")</f>
        <v/>
      </c>
      <c r="I452" s="129" t="str">
        <f>IFERROR(IF($D452="","",VLOOKUP($D452,Cadastro!$C$4:$G$7,5,FALSE)),"")</f>
        <v/>
      </c>
      <c r="J452" s="145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">
      <c r="A453" s="69">
        <v>46251</v>
      </c>
      <c r="B453" s="32">
        <f t="shared" si="113"/>
        <v>1.083333333333333</v>
      </c>
      <c r="C453" s="33"/>
      <c r="D453" s="62"/>
      <c r="E453" s="121"/>
      <c r="F453" s="122" t="str">
        <f>IFERROR(IF($D453="","",VLOOKUP($D453,Cadastro!$C$4:$E$7,3,FALSE)),"")</f>
        <v/>
      </c>
      <c r="G453" s="114"/>
      <c r="H453" s="122" t="str">
        <f>IFERROR(IF($G453="","",$G453*$S$459/$G$459/Cadastro!$E$33),"")</f>
        <v/>
      </c>
      <c r="I453" s="129" t="str">
        <f>IFERROR(IF($D453="","",VLOOKUP($D453,Cadastro!$C$4:$G$7,5,FALSE)),"")</f>
        <v/>
      </c>
      <c r="J453" s="145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8">
        <v>46251</v>
      </c>
      <c r="B454" s="25">
        <f t="shared" si="113"/>
        <v>1.1249999999999998</v>
      </c>
      <c r="C454" s="33"/>
      <c r="D454" s="62"/>
      <c r="E454" s="121"/>
      <c r="F454" s="122" t="str">
        <f>IFERROR(IF($D454="","",VLOOKUP($D454,Cadastro!$C$4:$E$7,3,FALSE)),"")</f>
        <v/>
      </c>
      <c r="G454" s="114"/>
      <c r="H454" s="122" t="str">
        <f>IFERROR(IF($G454="","",$G454*$S$459/$G$459/Cadastro!$E$33),"")</f>
        <v/>
      </c>
      <c r="I454" s="129" t="str">
        <f>IFERROR(IF($D454="","",VLOOKUP($D454,Cadastro!$C$4:$G$7,5,FALSE)),"")</f>
        <v/>
      </c>
      <c r="J454" s="145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9">
        <v>46251</v>
      </c>
      <c r="B455" s="32">
        <f t="shared" si="113"/>
        <v>1.1666666666666665</v>
      </c>
      <c r="C455" s="33"/>
      <c r="D455" s="62"/>
      <c r="E455" s="121"/>
      <c r="F455" s="122" t="str">
        <f>IFERROR(IF($D455="","",VLOOKUP($D455,Cadastro!$C$4:$E$7,3,FALSE)),"")</f>
        <v/>
      </c>
      <c r="G455" s="114"/>
      <c r="H455" s="122" t="str">
        <f>IFERROR(IF($G455="","",$G455*$S$459/$G$459/Cadastro!$E$33),"")</f>
        <v/>
      </c>
      <c r="I455" s="129" t="str">
        <f>IFERROR(IF($D455="","",VLOOKUP($D455,Cadastro!$C$4:$G$7,5,FALSE)),"")</f>
        <v/>
      </c>
      <c r="J455" s="145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8">
        <v>46251</v>
      </c>
      <c r="B456" s="25">
        <f t="shared" si="113"/>
        <v>1.2083333333333333</v>
      </c>
      <c r="C456" s="33"/>
      <c r="D456" s="62"/>
      <c r="E456" s="121"/>
      <c r="F456" s="122" t="str">
        <f>IFERROR(IF($D456="","",VLOOKUP($D456,Cadastro!$C$4:$E$7,3,FALSE)),"")</f>
        <v/>
      </c>
      <c r="G456" s="114"/>
      <c r="H456" s="122" t="str">
        <f>IFERROR(IF($G456="","",$G456*$S$459/$G$459/Cadastro!$E$33),"")</f>
        <v/>
      </c>
      <c r="I456" s="129" t="str">
        <f>IFERROR(IF($D456="","",VLOOKUP($D456,Cadastro!$C$4:$G$7,5,FALSE)),"")</f>
        <v/>
      </c>
      <c r="J456" s="145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9">
        <v>46251</v>
      </c>
      <c r="B457" s="32">
        <f t="shared" si="113"/>
        <v>1.25</v>
      </c>
      <c r="C457" s="33"/>
      <c r="D457" s="62"/>
      <c r="E457" s="121"/>
      <c r="F457" s="122" t="str">
        <f>IFERROR(IF($D457="","",VLOOKUP($D457,Cadastro!$C$4:$E$7,3,FALSE)),"")</f>
        <v/>
      </c>
      <c r="G457" s="114"/>
      <c r="H457" s="122" t="str">
        <f>IFERROR(IF($G457="","",$G457*$S$459/$G$459/Cadastro!$E$33),"")</f>
        <v/>
      </c>
      <c r="I457" s="129" t="str">
        <f>IFERROR(IF($D457="","",VLOOKUP($D457,Cadastro!$C$4:$G$7,5,FALSE)),"")</f>
        <v/>
      </c>
      <c r="J457" s="145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8">
        <v>46251</v>
      </c>
      <c r="B458" s="25">
        <f t="shared" si="113"/>
        <v>1.2916666666666667</v>
      </c>
      <c r="C458" s="33"/>
      <c r="D458" s="62"/>
      <c r="E458" s="121"/>
      <c r="F458" s="118" t="str">
        <f>IFERROR(IF($D458="","",VLOOKUP($D458,Cadastro!$C$4:$E$7,3,FALSE)),"")</f>
        <v/>
      </c>
      <c r="G458" s="114"/>
      <c r="H458" s="118" t="str">
        <f>IFERROR(IF($G458="","",$G458*$S$459/$G$459/Cadastro!$E$33),"")</f>
        <v/>
      </c>
      <c r="I458" s="130" t="str">
        <f>IFERROR(IF($D458="","",VLOOKUP($D458,Cadastro!$C$4:$G$7,5,FALSE)),"")</f>
        <v/>
      </c>
      <c r="J458" s="146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68" t="s">
        <v>234</v>
      </c>
      <c r="B459" s="169"/>
      <c r="C459" s="169"/>
      <c r="D459" s="169"/>
      <c r="E459" s="169">
        <f>SUM(E447:E458)</f>
        <v>0</v>
      </c>
      <c r="F459" s="124"/>
      <c r="G459" s="88">
        <f>SUM(G447:G458)</f>
        <v>0</v>
      </c>
      <c r="H459" s="124">
        <f>IFERROR(SUM(H447:H458),"")</f>
        <v>0</v>
      </c>
      <c r="I459" s="133"/>
      <c r="J459" s="149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232</v>
      </c>
      <c r="S459" s="39"/>
      <c r="T459" s="141">
        <f>IFERROR(J459,"")</f>
        <v>0</v>
      </c>
    </row>
    <row r="460" spans="1:20" ht="18" customHeight="1" x14ac:dyDescent="0.3">
      <c r="A460" s="165" t="s">
        <v>235</v>
      </c>
      <c r="B460" s="166"/>
      <c r="C460" s="166"/>
      <c r="D460" s="166"/>
      <c r="E460" s="166">
        <f>E446+E459</f>
        <v>0</v>
      </c>
      <c r="F460" s="125"/>
      <c r="G460" s="100">
        <f>G446+G459</f>
        <v>0</v>
      </c>
      <c r="H460" s="125">
        <f>IFERROR(H446+H459,"")</f>
        <v>0</v>
      </c>
      <c r="I460" s="134"/>
      <c r="J460" s="150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236</v>
      </c>
      <c r="S460" s="48">
        <f>IFERROR(S446+S459,"")</f>
        <v>0</v>
      </c>
      <c r="T460" s="143">
        <f>IFERROR(J460,"")</f>
        <v>0</v>
      </c>
    </row>
    <row r="461" spans="1:20" ht="15" customHeight="1" x14ac:dyDescent="0.3">
      <c r="A461" s="69">
        <v>46252</v>
      </c>
      <c r="B461" s="32">
        <v>0.33333333333333298</v>
      </c>
      <c r="C461" s="33"/>
      <c r="D461" s="62"/>
      <c r="E461" s="121"/>
      <c r="F461" s="119" t="str">
        <f>IFERROR(IF($D461="","",VLOOKUP($D461,Cadastro!$C$4:$E$7,3,FALSE)),"")</f>
        <v/>
      </c>
      <c r="G461" s="114"/>
      <c r="H461" s="119" t="str">
        <f>IFERROR(IF($G461="","",$G461*$S$473/$G$473/Cadastro!$E$33),"")</f>
        <v/>
      </c>
      <c r="I461" s="132" t="str">
        <f>IFERROR(IF($D461="","",VLOOKUP($D461,Cadastro!$C$4:$G$7,5,FALSE)),"")</f>
        <v/>
      </c>
      <c r="J461" s="148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">
      <c r="A462" s="68">
        <v>46252</v>
      </c>
      <c r="B462" s="25">
        <f t="shared" ref="B462:B472" si="117">B461+TIME(0,60,0)</f>
        <v>0.37499999999999967</v>
      </c>
      <c r="C462" s="33"/>
      <c r="D462" s="62"/>
      <c r="E462" s="121"/>
      <c r="F462" s="122" t="str">
        <f>IFERROR(IF($D462="","",VLOOKUP($D462,Cadastro!$C$4:$E$7,3,FALSE)),"")</f>
        <v/>
      </c>
      <c r="G462" s="114"/>
      <c r="H462" s="122" t="str">
        <f>IFERROR(IF($G462="","",$G462*$S$473/$G$473/Cadastro!$E$33),"")</f>
        <v/>
      </c>
      <c r="I462" s="129" t="str">
        <f>IFERROR(IF($D462="","",VLOOKUP($D462,Cadastro!$C$4:$G$7,5,FALSE)),"")</f>
        <v/>
      </c>
      <c r="J462" s="145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">
      <c r="A463" s="69">
        <v>46252</v>
      </c>
      <c r="B463" s="32">
        <f t="shared" si="117"/>
        <v>0.41666666666666635</v>
      </c>
      <c r="C463" s="33"/>
      <c r="D463" s="62"/>
      <c r="E463" s="121"/>
      <c r="F463" s="122" t="str">
        <f>IFERROR(IF($D463="","",VLOOKUP($D463,Cadastro!$C$4:$E$7,3,FALSE)),"")</f>
        <v/>
      </c>
      <c r="G463" s="114"/>
      <c r="H463" s="122" t="str">
        <f>IFERROR(IF($G463="","",$G463*$S$473/$G$473/Cadastro!$E$33),"")</f>
        <v/>
      </c>
      <c r="I463" s="129" t="str">
        <f>IFERROR(IF($D463="","",VLOOKUP($D463,Cadastro!$C$4:$G$7,5,FALSE)),"")</f>
        <v/>
      </c>
      <c r="J463" s="145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">
      <c r="A464" s="68">
        <v>46252</v>
      </c>
      <c r="B464" s="25">
        <f t="shared" si="117"/>
        <v>0.45833333333333304</v>
      </c>
      <c r="C464" s="33"/>
      <c r="D464" s="62"/>
      <c r="E464" s="121"/>
      <c r="F464" s="122" t="str">
        <f>IFERROR(IF($D464="","",VLOOKUP($D464,Cadastro!$C$4:$E$7,3,FALSE)),"")</f>
        <v/>
      </c>
      <c r="G464" s="114"/>
      <c r="H464" s="122" t="str">
        <f>IFERROR(IF($G464="","",$G464*$S$473/$G$473/Cadastro!$E$33),"")</f>
        <v/>
      </c>
      <c r="I464" s="129" t="str">
        <f>IFERROR(IF($D464="","",VLOOKUP($D464,Cadastro!$C$4:$G$7,5,FALSE)),"")</f>
        <v/>
      </c>
      <c r="J464" s="145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">
      <c r="A465" s="69">
        <v>46252</v>
      </c>
      <c r="B465" s="32">
        <f t="shared" si="117"/>
        <v>0.49999999999999972</v>
      </c>
      <c r="C465" s="33"/>
      <c r="D465" s="62"/>
      <c r="E465" s="121"/>
      <c r="F465" s="122" t="str">
        <f>IFERROR(IF($D465="","",VLOOKUP($D465,Cadastro!$C$4:$E$7,3,FALSE)),"")</f>
        <v/>
      </c>
      <c r="G465" s="114"/>
      <c r="H465" s="122" t="str">
        <f>IFERROR(IF($G465="","",$G465*$S$473/$G$473/Cadastro!$E$33),"")</f>
        <v/>
      </c>
      <c r="I465" s="129" t="str">
        <f>IFERROR(IF($D465="","",VLOOKUP($D465,Cadastro!$C$4:$G$7,5,FALSE)),"")</f>
        <v/>
      </c>
      <c r="J465" s="145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">
      <c r="A466" s="68">
        <v>46252</v>
      </c>
      <c r="B466" s="25">
        <f t="shared" si="117"/>
        <v>0.54166666666666641</v>
      </c>
      <c r="C466" s="33"/>
      <c r="D466" s="62"/>
      <c r="E466" s="121"/>
      <c r="F466" s="122" t="str">
        <f>IFERROR(IF($D466="","",VLOOKUP($D466,Cadastro!$C$4:$E$7,3,FALSE)),"")</f>
        <v/>
      </c>
      <c r="G466" s="114"/>
      <c r="H466" s="122" t="str">
        <f>IFERROR(IF($G466="","",$G466*$S$473/$G$473/Cadastro!$E$33),"")</f>
        <v/>
      </c>
      <c r="I466" s="129" t="str">
        <f>IFERROR(IF($D466="","",VLOOKUP($D466,Cadastro!$C$4:$G$7,5,FALSE)),"")</f>
        <v/>
      </c>
      <c r="J466" s="145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">
      <c r="A467" s="69">
        <v>46252</v>
      </c>
      <c r="B467" s="32">
        <f t="shared" si="117"/>
        <v>0.58333333333333304</v>
      </c>
      <c r="C467" s="33"/>
      <c r="D467" s="62"/>
      <c r="E467" s="121"/>
      <c r="F467" s="122" t="str">
        <f>IFERROR(IF($D467="","",VLOOKUP($D467,Cadastro!$C$4:$E$7,3,FALSE)),"")</f>
        <v/>
      </c>
      <c r="G467" s="114"/>
      <c r="H467" s="122" t="str">
        <f>IFERROR(IF($G467="","",$G467*$S$473/$G$473/Cadastro!$E$33),"")</f>
        <v/>
      </c>
      <c r="I467" s="129" t="str">
        <f>IFERROR(IF($D467="","",VLOOKUP($D467,Cadastro!$C$4:$G$7,5,FALSE)),"")</f>
        <v/>
      </c>
      <c r="J467" s="145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">
      <c r="A468" s="68">
        <v>46252</v>
      </c>
      <c r="B468" s="25">
        <f t="shared" si="117"/>
        <v>0.62499999999999967</v>
      </c>
      <c r="C468" s="33"/>
      <c r="D468" s="62"/>
      <c r="E468" s="121"/>
      <c r="F468" s="122" t="str">
        <f>IFERROR(IF($D468="","",VLOOKUP($D468,Cadastro!$C$4:$E$7,3,FALSE)),"")</f>
        <v/>
      </c>
      <c r="G468" s="114"/>
      <c r="H468" s="122" t="str">
        <f>IFERROR(IF($G468="","",$G468*$S$473/$G$473/Cadastro!$E$33),"")</f>
        <v/>
      </c>
      <c r="I468" s="129" t="str">
        <f>IFERROR(IF($D468="","",VLOOKUP($D468,Cadastro!$C$4:$G$7,5,FALSE)),"")</f>
        <v/>
      </c>
      <c r="J468" s="145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">
      <c r="A469" s="69">
        <v>46252</v>
      </c>
      <c r="B469" s="32">
        <f t="shared" si="117"/>
        <v>0.6666666666666663</v>
      </c>
      <c r="C469" s="33"/>
      <c r="D469" s="62"/>
      <c r="E469" s="121"/>
      <c r="F469" s="122" t="str">
        <f>IFERROR(IF($D469="","",VLOOKUP($D469,Cadastro!$C$4:$E$7,3,FALSE)),"")</f>
        <v/>
      </c>
      <c r="G469" s="114"/>
      <c r="H469" s="122" t="str">
        <f>IFERROR(IF($G469="","",$G469*$S$473/$G$473/Cadastro!$E$33),"")</f>
        <v/>
      </c>
      <c r="I469" s="129" t="str">
        <f>IFERROR(IF($D469="","",VLOOKUP($D469,Cadastro!$C$4:$G$7,5,FALSE)),"")</f>
        <v/>
      </c>
      <c r="J469" s="145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">
      <c r="A470" s="68">
        <v>46252</v>
      </c>
      <c r="B470" s="25">
        <f t="shared" si="117"/>
        <v>0.70833333333333293</v>
      </c>
      <c r="C470" s="33"/>
      <c r="D470" s="62"/>
      <c r="E470" s="121"/>
      <c r="F470" s="122" t="str">
        <f>IFERROR(IF($D470="","",VLOOKUP($D470,Cadastro!$C$4:$E$7,3,FALSE)),"")</f>
        <v/>
      </c>
      <c r="G470" s="114"/>
      <c r="H470" s="122" t="str">
        <f>IFERROR(IF($G470="","",$G470*$S$473/$G$473/Cadastro!$E$33),"")</f>
        <v/>
      </c>
      <c r="I470" s="129" t="str">
        <f>IFERROR(IF($D470="","",VLOOKUP($D470,Cadastro!$C$4:$G$7,5,FALSE)),"")</f>
        <v/>
      </c>
      <c r="J470" s="145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">
      <c r="A471" s="69">
        <v>46252</v>
      </c>
      <c r="B471" s="32">
        <f t="shared" si="117"/>
        <v>0.74999999999999956</v>
      </c>
      <c r="C471" s="33"/>
      <c r="D471" s="62"/>
      <c r="E471" s="121"/>
      <c r="F471" s="122" t="str">
        <f>IFERROR(IF($D471="","",VLOOKUP($D471,Cadastro!$C$4:$E$7,3,FALSE)),"")</f>
        <v/>
      </c>
      <c r="G471" s="114"/>
      <c r="H471" s="122" t="str">
        <f>IFERROR(IF($G471="","",$G471*$S$473/$G$473/Cadastro!$E$33),"")</f>
        <v/>
      </c>
      <c r="I471" s="129" t="str">
        <f>IFERROR(IF($D471="","",VLOOKUP($D471,Cadastro!$C$4:$G$7,5,FALSE)),"")</f>
        <v/>
      </c>
      <c r="J471" s="145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5">
      <c r="A472" s="68">
        <v>46252</v>
      </c>
      <c r="B472" s="25">
        <f t="shared" si="117"/>
        <v>0.79166666666666619</v>
      </c>
      <c r="C472" s="33"/>
      <c r="D472" s="62"/>
      <c r="E472" s="121"/>
      <c r="F472" s="118" t="str">
        <f>IFERROR(IF($D472="","",VLOOKUP($D472,Cadastro!$C$4:$E$7,3,FALSE)),"")</f>
        <v/>
      </c>
      <c r="G472" s="114"/>
      <c r="H472" s="118" t="str">
        <f>IFERROR(IF($G472="","",$G472*$S$473/$G$473/Cadastro!$E$33),"")</f>
        <v/>
      </c>
      <c r="I472" s="130" t="str">
        <f>IFERROR(IF($D472="","",VLOOKUP($D472,Cadastro!$C$4:$G$7,5,FALSE)),"")</f>
        <v/>
      </c>
      <c r="J472" s="146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5">
      <c r="A473" s="168" t="s">
        <v>231</v>
      </c>
      <c r="B473" s="169"/>
      <c r="C473" s="169"/>
      <c r="D473" s="169"/>
      <c r="E473" s="169">
        <f>SUM(E461:E472)</f>
        <v>0</v>
      </c>
      <c r="F473" s="123"/>
      <c r="G473" s="88">
        <f>SUM(G461:G472)</f>
        <v>0</v>
      </c>
      <c r="H473" s="123">
        <f>IFERROR(SUM(H461:H472),"")</f>
        <v>0</v>
      </c>
      <c r="I473" s="131"/>
      <c r="J473" s="147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232</v>
      </c>
      <c r="S473" s="39"/>
      <c r="T473" s="141">
        <f>IFERROR(J473,"")</f>
        <v>0</v>
      </c>
    </row>
    <row r="474" spans="1:20" ht="15" customHeight="1" x14ac:dyDescent="0.3">
      <c r="A474" s="68">
        <v>46252</v>
      </c>
      <c r="B474" s="25">
        <v>0.83333333333333304</v>
      </c>
      <c r="C474" s="26"/>
      <c r="D474" s="59"/>
      <c r="E474" s="120"/>
      <c r="F474" s="119" t="str">
        <f>IFERROR(IF($D474="","",VLOOKUP($D474,Cadastro!$C$4:$E$7,3,FALSE)),"")</f>
        <v/>
      </c>
      <c r="G474" s="114"/>
      <c r="H474" s="119" t="str">
        <f>IFERROR(IF($G474="","",$G474*$S$486/$G$486/Cadastro!$E$33),"")</f>
        <v/>
      </c>
      <c r="I474" s="132" t="str">
        <f>IFERROR(IF($D474="","",VLOOKUP($D474,Cadastro!$C$4:$G$7,5,FALSE)),"")</f>
        <v/>
      </c>
      <c r="J474" s="148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">
      <c r="A475" s="69">
        <v>46252</v>
      </c>
      <c r="B475" s="32">
        <f t="shared" ref="B475:B485" si="121">B474+TIME(0,60,0)</f>
        <v>0.87499999999999967</v>
      </c>
      <c r="C475" s="26"/>
      <c r="D475" s="59"/>
      <c r="E475" s="120"/>
      <c r="F475" s="122" t="str">
        <f>IFERROR(IF($D475="","",VLOOKUP($D475,Cadastro!$C$4:$E$7,3,FALSE)),"")</f>
        <v/>
      </c>
      <c r="G475" s="114"/>
      <c r="H475" s="122" t="str">
        <f>IFERROR(IF($G475="","",$G475*$S$486/$G$486/Cadastro!$E$33),"")</f>
        <v/>
      </c>
      <c r="I475" s="129" t="str">
        <f>IFERROR(IF($D475="","",VLOOKUP($D475,Cadastro!$C$4:$G$7,5,FALSE)),"")</f>
        <v/>
      </c>
      <c r="J475" s="145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">
      <c r="A476" s="68">
        <v>46252</v>
      </c>
      <c r="B476" s="25">
        <f t="shared" si="121"/>
        <v>0.9166666666666663</v>
      </c>
      <c r="C476" s="26"/>
      <c r="D476" s="59"/>
      <c r="E476" s="120"/>
      <c r="F476" s="122" t="str">
        <f>IFERROR(IF($D476="","",VLOOKUP($D476,Cadastro!$C$4:$E$7,3,FALSE)),"")</f>
        <v/>
      </c>
      <c r="G476" s="114"/>
      <c r="H476" s="122" t="str">
        <f>IFERROR(IF($G476="","",$G476*$S$486/$G$486/Cadastro!$E$33),"")</f>
        <v/>
      </c>
      <c r="I476" s="129" t="str">
        <f>IFERROR(IF($D476="","",VLOOKUP($D476,Cadastro!$C$4:$G$7,5,FALSE)),"")</f>
        <v/>
      </c>
      <c r="J476" s="145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">
      <c r="A477" s="69">
        <v>46252</v>
      </c>
      <c r="B477" s="32">
        <f t="shared" si="121"/>
        <v>0.95833333333333293</v>
      </c>
      <c r="C477" s="26"/>
      <c r="D477" s="59"/>
      <c r="E477" s="120"/>
      <c r="F477" s="122" t="str">
        <f>IFERROR(IF($D477="","",VLOOKUP($D477,Cadastro!$C$4:$E$7,3,FALSE)),"")</f>
        <v/>
      </c>
      <c r="G477" s="114"/>
      <c r="H477" s="122" t="str">
        <f>IFERROR(IF($G477="","",$G477*$S$486/$G$486/Cadastro!$E$33),"")</f>
        <v/>
      </c>
      <c r="I477" s="129" t="str">
        <f>IFERROR(IF($D477="","",VLOOKUP($D477,Cadastro!$C$4:$G$7,5,FALSE)),"")</f>
        <v/>
      </c>
      <c r="J477" s="145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">
      <c r="A478" s="68">
        <v>46252</v>
      </c>
      <c r="B478" s="25">
        <f t="shared" si="121"/>
        <v>0.99999999999999956</v>
      </c>
      <c r="C478" s="26"/>
      <c r="D478" s="59"/>
      <c r="E478" s="120"/>
      <c r="F478" s="122" t="str">
        <f>IFERROR(IF($D478="","",VLOOKUP($D478,Cadastro!$C$4:$E$7,3,FALSE)),"")</f>
        <v/>
      </c>
      <c r="G478" s="114"/>
      <c r="H478" s="122" t="str">
        <f>IFERROR(IF($G478="","",$G478*$S$486/$G$486/Cadastro!$E$33),"")</f>
        <v/>
      </c>
      <c r="I478" s="129" t="str">
        <f>IFERROR(IF($D478="","",VLOOKUP($D478,Cadastro!$C$4:$G$7,5,FALSE)),"")</f>
        <v/>
      </c>
      <c r="J478" s="145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">
      <c r="A479" s="69">
        <v>46252</v>
      </c>
      <c r="B479" s="32">
        <f t="shared" si="121"/>
        <v>1.0416666666666663</v>
      </c>
      <c r="C479" s="26"/>
      <c r="D479" s="59"/>
      <c r="E479" s="120"/>
      <c r="F479" s="122" t="str">
        <f>IFERROR(IF($D479="","",VLOOKUP($D479,Cadastro!$C$4:$E$7,3,FALSE)),"")</f>
        <v/>
      </c>
      <c r="G479" s="114"/>
      <c r="H479" s="122" t="str">
        <f>IFERROR(IF($G479="","",$G479*$S$486/$G$486/Cadastro!$E$33),"")</f>
        <v/>
      </c>
      <c r="I479" s="129" t="str">
        <f>IFERROR(IF($D479="","",VLOOKUP($D479,Cadastro!$C$4:$G$7,5,FALSE)),"")</f>
        <v/>
      </c>
      <c r="J479" s="145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">
      <c r="A480" s="68">
        <v>46252</v>
      </c>
      <c r="B480" s="25">
        <f t="shared" si="121"/>
        <v>1.083333333333333</v>
      </c>
      <c r="C480" s="26"/>
      <c r="D480" s="59"/>
      <c r="E480" s="120"/>
      <c r="F480" s="122" t="str">
        <f>IFERROR(IF($D480="","",VLOOKUP($D480,Cadastro!$C$4:$E$7,3,FALSE)),"")</f>
        <v/>
      </c>
      <c r="G480" s="114"/>
      <c r="H480" s="122" t="str">
        <f>IFERROR(IF($G480="","",$G480*$S$486/$G$486/Cadastro!$E$33),"")</f>
        <v/>
      </c>
      <c r="I480" s="129" t="str">
        <f>IFERROR(IF($D480="","",VLOOKUP($D480,Cadastro!$C$4:$G$7,5,FALSE)),"")</f>
        <v/>
      </c>
      <c r="J480" s="145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">
      <c r="A481" s="69">
        <v>46252</v>
      </c>
      <c r="B481" s="32">
        <f t="shared" si="121"/>
        <v>1.1249999999999998</v>
      </c>
      <c r="C481" s="26"/>
      <c r="D481" s="59"/>
      <c r="E481" s="120"/>
      <c r="F481" s="122" t="str">
        <f>IFERROR(IF($D481="","",VLOOKUP($D481,Cadastro!$C$4:$E$7,3,FALSE)),"")</f>
        <v/>
      </c>
      <c r="G481" s="114"/>
      <c r="H481" s="122" t="str">
        <f>IFERROR(IF($G481="","",$G481*$S$486/$G$486/Cadastro!$E$33),"")</f>
        <v/>
      </c>
      <c r="I481" s="129" t="str">
        <f>IFERROR(IF($D481="","",VLOOKUP($D481,Cadastro!$C$4:$G$7,5,FALSE)),"")</f>
        <v/>
      </c>
      <c r="J481" s="145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">
      <c r="A482" s="68">
        <v>46252</v>
      </c>
      <c r="B482" s="25">
        <f t="shared" si="121"/>
        <v>1.1666666666666665</v>
      </c>
      <c r="C482" s="26"/>
      <c r="D482" s="59"/>
      <c r="E482" s="120"/>
      <c r="F482" s="122" t="str">
        <f>IFERROR(IF($D482="","",VLOOKUP($D482,Cadastro!$C$4:$E$7,3,FALSE)),"")</f>
        <v/>
      </c>
      <c r="G482" s="114"/>
      <c r="H482" s="122" t="str">
        <f>IFERROR(IF($G482="","",$G482*$S$486/$G$486/Cadastro!$E$33),"")</f>
        <v/>
      </c>
      <c r="I482" s="129" t="str">
        <f>IFERROR(IF($D482="","",VLOOKUP($D482,Cadastro!$C$4:$G$7,5,FALSE)),"")</f>
        <v/>
      </c>
      <c r="J482" s="145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">
      <c r="A483" s="69">
        <v>46252</v>
      </c>
      <c r="B483" s="32">
        <f t="shared" si="121"/>
        <v>1.2083333333333333</v>
      </c>
      <c r="C483" s="26"/>
      <c r="D483" s="59"/>
      <c r="E483" s="120"/>
      <c r="F483" s="122" t="str">
        <f>IFERROR(IF($D483="","",VLOOKUP($D483,Cadastro!$C$4:$E$7,3,FALSE)),"")</f>
        <v/>
      </c>
      <c r="G483" s="114"/>
      <c r="H483" s="122" t="str">
        <f>IFERROR(IF($G483="","",$G483*$S$486/$G$486/Cadastro!$E$33),"")</f>
        <v/>
      </c>
      <c r="I483" s="129" t="str">
        <f>IFERROR(IF($D483="","",VLOOKUP($D483,Cadastro!$C$4:$G$7,5,FALSE)),"")</f>
        <v/>
      </c>
      <c r="J483" s="145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">
      <c r="A484" s="68">
        <v>46252</v>
      </c>
      <c r="B484" s="25">
        <f t="shared" si="121"/>
        <v>1.25</v>
      </c>
      <c r="C484" s="26"/>
      <c r="D484" s="59"/>
      <c r="E484" s="120"/>
      <c r="F484" s="122" t="str">
        <f>IFERROR(IF($D484="","",VLOOKUP($D484,Cadastro!$C$4:$E$7,3,FALSE)),"")</f>
        <v/>
      </c>
      <c r="G484" s="114"/>
      <c r="H484" s="122" t="str">
        <f>IFERROR(IF($G484="","",$G484*$S$486/$G$486/Cadastro!$E$33),"")</f>
        <v/>
      </c>
      <c r="I484" s="129" t="str">
        <f>IFERROR(IF($D484="","",VLOOKUP($D484,Cadastro!$C$4:$G$7,5,FALSE)),"")</f>
        <v/>
      </c>
      <c r="J484" s="145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5">
      <c r="A485" s="69">
        <v>46252</v>
      </c>
      <c r="B485" s="32">
        <f t="shared" si="121"/>
        <v>1.2916666666666667</v>
      </c>
      <c r="C485" s="26"/>
      <c r="D485" s="59"/>
      <c r="E485" s="120"/>
      <c r="F485" s="118" t="str">
        <f>IFERROR(IF($D485="","",VLOOKUP($D485,Cadastro!$C$4:$E$7,3,FALSE)),"")</f>
        <v/>
      </c>
      <c r="G485" s="114"/>
      <c r="H485" s="118" t="str">
        <f>IFERROR(IF($G485="","",$G485*$S$486/$G$486/Cadastro!$E$33),"")</f>
        <v/>
      </c>
      <c r="I485" s="130" t="str">
        <f>IFERROR(IF($D485="","",VLOOKUP($D485,Cadastro!$C$4:$G$7,5,FALSE)),"")</f>
        <v/>
      </c>
      <c r="J485" s="146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5">
      <c r="A486" s="168" t="s">
        <v>234</v>
      </c>
      <c r="B486" s="169"/>
      <c r="C486" s="169"/>
      <c r="D486" s="169"/>
      <c r="E486" s="169">
        <f>SUM(E474:E485)</f>
        <v>0</v>
      </c>
      <c r="F486" s="124"/>
      <c r="G486" s="88">
        <f>SUM(G474:G485)</f>
        <v>0</v>
      </c>
      <c r="H486" s="124">
        <f>IFERROR(SUM(H474:H485),"")</f>
        <v>0</v>
      </c>
      <c r="I486" s="133"/>
      <c r="J486" s="149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232</v>
      </c>
      <c r="S486" s="39"/>
      <c r="T486" s="141">
        <f>IFERROR(J486,"")</f>
        <v>0</v>
      </c>
    </row>
    <row r="487" spans="1:20" ht="18" customHeight="1" x14ac:dyDescent="0.3">
      <c r="A487" s="165" t="s">
        <v>235</v>
      </c>
      <c r="B487" s="166"/>
      <c r="C487" s="166"/>
      <c r="D487" s="166"/>
      <c r="E487" s="166">
        <f>E473+E486</f>
        <v>0</v>
      </c>
      <c r="F487" s="125"/>
      <c r="G487" s="100">
        <f>G473+G486</f>
        <v>0</v>
      </c>
      <c r="H487" s="125">
        <f>IFERROR(H473+H486,"")</f>
        <v>0</v>
      </c>
      <c r="I487" s="134"/>
      <c r="J487" s="150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236</v>
      </c>
      <c r="S487" s="48">
        <f>IFERROR(S473+S486,"")</f>
        <v>0</v>
      </c>
      <c r="T487" s="143">
        <f>IFERROR(J487,"")</f>
        <v>0</v>
      </c>
    </row>
    <row r="488" spans="1:20" ht="15" customHeight="1" x14ac:dyDescent="0.3">
      <c r="A488" s="68">
        <v>46253</v>
      </c>
      <c r="B488" s="25">
        <v>0.33333333333333298</v>
      </c>
      <c r="C488" s="26"/>
      <c r="D488" s="59"/>
      <c r="E488" s="120"/>
      <c r="F488" s="119" t="str">
        <f>IFERROR(IF($D488="","",VLOOKUP($D488,Cadastro!$C$4:$E$7,3,FALSE)),"")</f>
        <v/>
      </c>
      <c r="G488" s="114"/>
      <c r="H488" s="119" t="str">
        <f>IFERROR(IF($G488="","",$G488*$S$500/$G$500/Cadastro!$E$33),"")</f>
        <v/>
      </c>
      <c r="I488" s="132" t="str">
        <f>IFERROR(IF($D488="","",VLOOKUP($D488,Cadastro!$C$4:$G$7,5,FALSE)),"")</f>
        <v/>
      </c>
      <c r="J488" s="148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9">
        <v>46253</v>
      </c>
      <c r="B489" s="32">
        <f t="shared" ref="B489:B499" si="124">B488+TIME(0,60,0)</f>
        <v>0.37499999999999967</v>
      </c>
      <c r="C489" s="26"/>
      <c r="D489" s="59"/>
      <c r="E489" s="120"/>
      <c r="F489" s="122" t="str">
        <f>IFERROR(IF($D489="","",VLOOKUP($D489,Cadastro!$C$4:$E$7,3,FALSE)),"")</f>
        <v/>
      </c>
      <c r="G489" s="114"/>
      <c r="H489" s="122" t="str">
        <f>IFERROR(IF($G489="","",$G489*$S$500/$G$500/Cadastro!$E$33),"")</f>
        <v/>
      </c>
      <c r="I489" s="129" t="str">
        <f>IFERROR(IF($D489="","",VLOOKUP($D489,Cadastro!$C$4:$G$7,5,FALSE)),"")</f>
        <v/>
      </c>
      <c r="J489" s="145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8">
        <v>46253</v>
      </c>
      <c r="B490" s="25">
        <f t="shared" si="124"/>
        <v>0.41666666666666635</v>
      </c>
      <c r="C490" s="26"/>
      <c r="D490" s="59"/>
      <c r="E490" s="120"/>
      <c r="F490" s="122" t="str">
        <f>IFERROR(IF($D490="","",VLOOKUP($D490,Cadastro!$C$4:$E$7,3,FALSE)),"")</f>
        <v/>
      </c>
      <c r="G490" s="114"/>
      <c r="H490" s="122" t="str">
        <f>IFERROR(IF($G490="","",$G490*$S$500/$G$500/Cadastro!$E$33),"")</f>
        <v/>
      </c>
      <c r="I490" s="129" t="str">
        <f>IFERROR(IF($D490="","",VLOOKUP($D490,Cadastro!$C$4:$G$7,5,FALSE)),"")</f>
        <v/>
      </c>
      <c r="J490" s="145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9">
        <v>46253</v>
      </c>
      <c r="B491" s="32">
        <f t="shared" si="124"/>
        <v>0.45833333333333304</v>
      </c>
      <c r="C491" s="26"/>
      <c r="D491" s="59"/>
      <c r="E491" s="120"/>
      <c r="F491" s="122" t="str">
        <f>IFERROR(IF($D491="","",VLOOKUP($D491,Cadastro!$C$4:$E$7,3,FALSE)),"")</f>
        <v/>
      </c>
      <c r="G491" s="114"/>
      <c r="H491" s="122" t="str">
        <f>IFERROR(IF($G491="","",$G491*$S$500/$G$500/Cadastro!$E$33),"")</f>
        <v/>
      </c>
      <c r="I491" s="129" t="str">
        <f>IFERROR(IF($D491="","",VLOOKUP($D491,Cadastro!$C$4:$G$7,5,FALSE)),"")</f>
        <v/>
      </c>
      <c r="J491" s="145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8">
        <v>46253</v>
      </c>
      <c r="B492" s="25">
        <f t="shared" si="124"/>
        <v>0.49999999999999972</v>
      </c>
      <c r="C492" s="26"/>
      <c r="D492" s="59"/>
      <c r="E492" s="120"/>
      <c r="F492" s="122" t="str">
        <f>IFERROR(IF($D492="","",VLOOKUP($D492,Cadastro!$C$4:$E$7,3,FALSE)),"")</f>
        <v/>
      </c>
      <c r="G492" s="114"/>
      <c r="H492" s="122" t="str">
        <f>IFERROR(IF($G492="","",$G492*$S$500/$G$500/Cadastro!$E$33),"")</f>
        <v/>
      </c>
      <c r="I492" s="129" t="str">
        <f>IFERROR(IF($D492="","",VLOOKUP($D492,Cadastro!$C$4:$G$7,5,FALSE)),"")</f>
        <v/>
      </c>
      <c r="J492" s="145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9">
        <v>46253</v>
      </c>
      <c r="B493" s="32">
        <f t="shared" si="124"/>
        <v>0.54166666666666641</v>
      </c>
      <c r="C493" s="26"/>
      <c r="D493" s="59"/>
      <c r="E493" s="120"/>
      <c r="F493" s="122" t="str">
        <f>IFERROR(IF($D493="","",VLOOKUP($D493,Cadastro!$C$4:$E$7,3,FALSE)),"")</f>
        <v/>
      </c>
      <c r="G493" s="114"/>
      <c r="H493" s="122" t="str">
        <f>IFERROR(IF($G493="","",$G493*$S$500/$G$500/Cadastro!$E$33),"")</f>
        <v/>
      </c>
      <c r="I493" s="129" t="str">
        <f>IFERROR(IF($D493="","",VLOOKUP($D493,Cadastro!$C$4:$G$7,5,FALSE)),"")</f>
        <v/>
      </c>
      <c r="J493" s="145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8">
        <v>46253</v>
      </c>
      <c r="B494" s="25">
        <f t="shared" si="124"/>
        <v>0.58333333333333304</v>
      </c>
      <c r="C494" s="26"/>
      <c r="D494" s="59"/>
      <c r="E494" s="120"/>
      <c r="F494" s="122" t="str">
        <f>IFERROR(IF($D494="","",VLOOKUP($D494,Cadastro!$C$4:$E$7,3,FALSE)),"")</f>
        <v/>
      </c>
      <c r="G494" s="114"/>
      <c r="H494" s="122" t="str">
        <f>IFERROR(IF($G494="","",$G494*$S$500/$G$500/Cadastro!$E$33),"")</f>
        <v/>
      </c>
      <c r="I494" s="129" t="str">
        <f>IFERROR(IF($D494="","",VLOOKUP($D494,Cadastro!$C$4:$G$7,5,FALSE)),"")</f>
        <v/>
      </c>
      <c r="J494" s="145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">
      <c r="A495" s="69">
        <v>46253</v>
      </c>
      <c r="B495" s="32">
        <f t="shared" si="124"/>
        <v>0.62499999999999967</v>
      </c>
      <c r="C495" s="26"/>
      <c r="D495" s="59"/>
      <c r="E495" s="120"/>
      <c r="F495" s="122" t="str">
        <f>IFERROR(IF($D495="","",VLOOKUP($D495,Cadastro!$C$4:$E$7,3,FALSE)),"")</f>
        <v/>
      </c>
      <c r="G495" s="114"/>
      <c r="H495" s="122" t="str">
        <f>IFERROR(IF($G495="","",$G495*$S$500/$G$500/Cadastro!$E$33),"")</f>
        <v/>
      </c>
      <c r="I495" s="129" t="str">
        <f>IFERROR(IF($D495="","",VLOOKUP($D495,Cadastro!$C$4:$G$7,5,FALSE)),"")</f>
        <v/>
      </c>
      <c r="J495" s="145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">
      <c r="A496" s="68">
        <v>46253</v>
      </c>
      <c r="B496" s="25">
        <f t="shared" si="124"/>
        <v>0.6666666666666663</v>
      </c>
      <c r="C496" s="26"/>
      <c r="D496" s="59"/>
      <c r="E496" s="120"/>
      <c r="F496" s="122" t="str">
        <f>IFERROR(IF($D496="","",VLOOKUP($D496,Cadastro!$C$4:$E$7,3,FALSE)),"")</f>
        <v/>
      </c>
      <c r="G496" s="114"/>
      <c r="H496" s="122" t="str">
        <f>IFERROR(IF($G496="","",$G496*$S$500/$G$500/Cadastro!$E$33),"")</f>
        <v/>
      </c>
      <c r="I496" s="129" t="str">
        <f>IFERROR(IF($D496="","",VLOOKUP($D496,Cadastro!$C$4:$G$7,5,FALSE)),"")</f>
        <v/>
      </c>
      <c r="J496" s="145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">
      <c r="A497" s="69">
        <v>46253</v>
      </c>
      <c r="B497" s="32">
        <f t="shared" si="124"/>
        <v>0.70833333333333293</v>
      </c>
      <c r="C497" s="26"/>
      <c r="D497" s="59"/>
      <c r="E497" s="120"/>
      <c r="F497" s="122" t="str">
        <f>IFERROR(IF($D497="","",VLOOKUP($D497,Cadastro!$C$4:$E$7,3,FALSE)),"")</f>
        <v/>
      </c>
      <c r="G497" s="114"/>
      <c r="H497" s="122" t="str">
        <f>IFERROR(IF($G497="","",$G497*$S$500/$G$500/Cadastro!$E$33),"")</f>
        <v/>
      </c>
      <c r="I497" s="129" t="str">
        <f>IFERROR(IF($D497="","",VLOOKUP($D497,Cadastro!$C$4:$G$7,5,FALSE)),"")</f>
        <v/>
      </c>
      <c r="J497" s="145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">
      <c r="A498" s="68">
        <v>46253</v>
      </c>
      <c r="B498" s="25">
        <f t="shared" si="124"/>
        <v>0.74999999999999956</v>
      </c>
      <c r="C498" s="26"/>
      <c r="D498" s="59"/>
      <c r="E498" s="120"/>
      <c r="F498" s="122" t="str">
        <f>IFERROR(IF($D498="","",VLOOKUP($D498,Cadastro!$C$4:$E$7,3,FALSE)),"")</f>
        <v/>
      </c>
      <c r="G498" s="114"/>
      <c r="H498" s="122" t="str">
        <f>IFERROR(IF($G498="","",$G498*$S$500/$G$500/Cadastro!$E$33),"")</f>
        <v/>
      </c>
      <c r="I498" s="129" t="str">
        <f>IFERROR(IF($D498="","",VLOOKUP($D498,Cadastro!$C$4:$G$7,5,FALSE)),"")</f>
        <v/>
      </c>
      <c r="J498" s="145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5">
      <c r="A499" s="69">
        <v>46253</v>
      </c>
      <c r="B499" s="32">
        <f t="shared" si="124"/>
        <v>0.79166666666666619</v>
      </c>
      <c r="C499" s="26"/>
      <c r="D499" s="59"/>
      <c r="E499" s="120"/>
      <c r="F499" s="118" t="str">
        <f>IFERROR(IF($D499="","",VLOOKUP($D499,Cadastro!$C$4:$E$7,3,FALSE)),"")</f>
        <v/>
      </c>
      <c r="G499" s="114"/>
      <c r="H499" s="118" t="str">
        <f>IFERROR(IF($G499="","",$G499*$S$500/$G$500/Cadastro!$E$33),"")</f>
        <v/>
      </c>
      <c r="I499" s="130" t="str">
        <f>IFERROR(IF($D499="","",VLOOKUP($D499,Cadastro!$C$4:$G$7,5,FALSE)),"")</f>
        <v/>
      </c>
      <c r="J499" s="146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5">
      <c r="A500" s="168" t="s">
        <v>231</v>
      </c>
      <c r="B500" s="169"/>
      <c r="C500" s="169"/>
      <c r="D500" s="169"/>
      <c r="E500" s="169">
        <f>SUM(E488:E499)</f>
        <v>0</v>
      </c>
      <c r="F500" s="123"/>
      <c r="G500" s="88">
        <f>SUM(G488:G499)</f>
        <v>0</v>
      </c>
      <c r="H500" s="123">
        <f>IFERROR(SUM(H488:H499),"")</f>
        <v>0</v>
      </c>
      <c r="I500" s="131"/>
      <c r="J500" s="147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232</v>
      </c>
      <c r="S500" s="39"/>
      <c r="T500" s="141">
        <f>IFERROR(J500,"")</f>
        <v>0</v>
      </c>
    </row>
    <row r="501" spans="1:20" ht="15" customHeight="1" x14ac:dyDescent="0.3">
      <c r="A501" s="69">
        <v>46253</v>
      </c>
      <c r="B501" s="32">
        <v>0.83333333333333304</v>
      </c>
      <c r="C501" s="33"/>
      <c r="D501" s="62"/>
      <c r="E501" s="121"/>
      <c r="F501" s="119" t="str">
        <f>IFERROR(IF($D501="","",VLOOKUP($D501,Cadastro!$C$4:$E$7,3,FALSE)),"")</f>
        <v/>
      </c>
      <c r="G501" s="114"/>
      <c r="H501" s="119" t="str">
        <f>IFERROR(IF($G501="","",$G501*$S$513/$G$513/Cadastro!$E$33),"")</f>
        <v/>
      </c>
      <c r="I501" s="132" t="str">
        <f>IFERROR(IF($D501="","",VLOOKUP($D501,Cadastro!$C$4:$G$7,5,FALSE)),"")</f>
        <v/>
      </c>
      <c r="J501" s="148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8">
        <v>46253</v>
      </c>
      <c r="B502" s="25">
        <f t="shared" ref="B502:B512" si="129">B501+TIME(0,60,0)</f>
        <v>0.87499999999999967</v>
      </c>
      <c r="C502" s="33"/>
      <c r="D502" s="62"/>
      <c r="E502" s="121"/>
      <c r="F502" s="122" t="str">
        <f>IFERROR(IF($D502="","",VLOOKUP($D502,Cadastro!$C$4:$E$7,3,FALSE)),"")</f>
        <v/>
      </c>
      <c r="G502" s="114"/>
      <c r="H502" s="122" t="str">
        <f>IFERROR(IF($G502="","",$G502*$S$513/$G$513/Cadastro!$E$33),"")</f>
        <v/>
      </c>
      <c r="I502" s="129" t="str">
        <f>IFERROR(IF($D502="","",VLOOKUP($D502,Cadastro!$C$4:$G$7,5,FALSE)),"")</f>
        <v/>
      </c>
      <c r="J502" s="145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">
      <c r="A503" s="69">
        <v>46253</v>
      </c>
      <c r="B503" s="32">
        <f t="shared" si="129"/>
        <v>0.9166666666666663</v>
      </c>
      <c r="C503" s="33"/>
      <c r="D503" s="62"/>
      <c r="E503" s="121"/>
      <c r="F503" s="122" t="str">
        <f>IFERROR(IF($D503="","",VLOOKUP($D503,Cadastro!$C$4:$E$7,3,FALSE)),"")</f>
        <v/>
      </c>
      <c r="G503" s="114"/>
      <c r="H503" s="122" t="str">
        <f>IFERROR(IF($G503="","",$G503*$S$513/$G$513/Cadastro!$E$33),"")</f>
        <v/>
      </c>
      <c r="I503" s="129" t="str">
        <f>IFERROR(IF($D503="","",VLOOKUP($D503,Cadastro!$C$4:$G$7,5,FALSE)),"")</f>
        <v/>
      </c>
      <c r="J503" s="145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">
      <c r="A504" s="68">
        <v>46253</v>
      </c>
      <c r="B504" s="25">
        <f t="shared" si="129"/>
        <v>0.95833333333333293</v>
      </c>
      <c r="C504" s="33"/>
      <c r="D504" s="62"/>
      <c r="E504" s="121"/>
      <c r="F504" s="122" t="str">
        <f>IFERROR(IF($D504="","",VLOOKUP($D504,Cadastro!$C$4:$E$7,3,FALSE)),"")</f>
        <v/>
      </c>
      <c r="G504" s="114"/>
      <c r="H504" s="122" t="str">
        <f>IFERROR(IF($G504="","",$G504*$S$513/$G$513/Cadastro!$E$33),"")</f>
        <v/>
      </c>
      <c r="I504" s="129" t="str">
        <f>IFERROR(IF($D504="","",VLOOKUP($D504,Cadastro!$C$4:$G$7,5,FALSE)),"")</f>
        <v/>
      </c>
      <c r="J504" s="145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">
      <c r="A505" s="69">
        <v>46253</v>
      </c>
      <c r="B505" s="32">
        <f t="shared" si="129"/>
        <v>0.99999999999999956</v>
      </c>
      <c r="C505" s="33"/>
      <c r="D505" s="62"/>
      <c r="E505" s="121"/>
      <c r="F505" s="122" t="str">
        <f>IFERROR(IF($D505="","",VLOOKUP($D505,Cadastro!$C$4:$E$7,3,FALSE)),"")</f>
        <v/>
      </c>
      <c r="G505" s="114"/>
      <c r="H505" s="122" t="str">
        <f>IFERROR(IF($G505="","",$G505*$S$513/$G$513/Cadastro!$E$33),"")</f>
        <v/>
      </c>
      <c r="I505" s="129" t="str">
        <f>IFERROR(IF($D505="","",VLOOKUP($D505,Cadastro!$C$4:$G$7,5,FALSE)),"")</f>
        <v/>
      </c>
      <c r="J505" s="145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">
      <c r="A506" s="68">
        <v>46253</v>
      </c>
      <c r="B506" s="25">
        <f t="shared" si="129"/>
        <v>1.0416666666666663</v>
      </c>
      <c r="C506" s="33"/>
      <c r="D506" s="62"/>
      <c r="E506" s="121"/>
      <c r="F506" s="122" t="str">
        <f>IFERROR(IF($D506="","",VLOOKUP($D506,Cadastro!$C$4:$E$7,3,FALSE)),"")</f>
        <v/>
      </c>
      <c r="G506" s="114"/>
      <c r="H506" s="122" t="str">
        <f>IFERROR(IF($G506="","",$G506*$S$513/$G$513/Cadastro!$E$33),"")</f>
        <v/>
      </c>
      <c r="I506" s="129" t="str">
        <f>IFERROR(IF($D506="","",VLOOKUP($D506,Cadastro!$C$4:$G$7,5,FALSE)),"")</f>
        <v/>
      </c>
      <c r="J506" s="145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">
      <c r="A507" s="69">
        <v>46253</v>
      </c>
      <c r="B507" s="32">
        <f t="shared" si="129"/>
        <v>1.083333333333333</v>
      </c>
      <c r="C507" s="33"/>
      <c r="D507" s="62"/>
      <c r="E507" s="121"/>
      <c r="F507" s="122" t="str">
        <f>IFERROR(IF($D507="","",VLOOKUP($D507,Cadastro!$C$4:$E$7,3,FALSE)),"")</f>
        <v/>
      </c>
      <c r="G507" s="114"/>
      <c r="H507" s="122" t="str">
        <f>IFERROR(IF($G507="","",$G507*$S$513/$G$513/Cadastro!$E$33),"")</f>
        <v/>
      </c>
      <c r="I507" s="129" t="str">
        <f>IFERROR(IF($D507="","",VLOOKUP($D507,Cadastro!$C$4:$G$7,5,FALSE)),"")</f>
        <v/>
      </c>
      <c r="J507" s="145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">
      <c r="A508" s="68">
        <v>46253</v>
      </c>
      <c r="B508" s="25">
        <f t="shared" si="129"/>
        <v>1.1249999999999998</v>
      </c>
      <c r="C508" s="33"/>
      <c r="D508" s="62"/>
      <c r="E508" s="121"/>
      <c r="F508" s="122" t="str">
        <f>IFERROR(IF($D508="","",VLOOKUP($D508,Cadastro!$C$4:$E$7,3,FALSE)),"")</f>
        <v/>
      </c>
      <c r="G508" s="114"/>
      <c r="H508" s="122" t="str">
        <f>IFERROR(IF($G508="","",$G508*$S$513/$G$513/Cadastro!$E$33),"")</f>
        <v/>
      </c>
      <c r="I508" s="129" t="str">
        <f>IFERROR(IF($D508="","",VLOOKUP($D508,Cadastro!$C$4:$G$7,5,FALSE)),"")</f>
        <v/>
      </c>
      <c r="J508" s="145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">
      <c r="A509" s="69">
        <v>46253</v>
      </c>
      <c r="B509" s="32">
        <f t="shared" si="129"/>
        <v>1.1666666666666665</v>
      </c>
      <c r="C509" s="33"/>
      <c r="D509" s="62"/>
      <c r="E509" s="121"/>
      <c r="F509" s="122" t="str">
        <f>IFERROR(IF($D509="","",VLOOKUP($D509,Cadastro!$C$4:$E$7,3,FALSE)),"")</f>
        <v/>
      </c>
      <c r="G509" s="114"/>
      <c r="H509" s="122" t="str">
        <f>IFERROR(IF($G509="","",$G509*$S$513/$G$513/Cadastro!$E$33),"")</f>
        <v/>
      </c>
      <c r="I509" s="129" t="str">
        <f>IFERROR(IF($D509="","",VLOOKUP($D509,Cadastro!$C$4:$G$7,5,FALSE)),"")</f>
        <v/>
      </c>
      <c r="J509" s="145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">
      <c r="A510" s="68">
        <v>46253</v>
      </c>
      <c r="B510" s="25">
        <f t="shared" si="129"/>
        <v>1.2083333333333333</v>
      </c>
      <c r="C510" s="33"/>
      <c r="D510" s="62"/>
      <c r="E510" s="121"/>
      <c r="F510" s="122" t="str">
        <f>IFERROR(IF($D510="","",VLOOKUP($D510,Cadastro!$C$4:$E$7,3,FALSE)),"")</f>
        <v/>
      </c>
      <c r="G510" s="114"/>
      <c r="H510" s="122" t="str">
        <f>IFERROR(IF($G510="","",$G510*$S$513/$G$513/Cadastro!$E$33),"")</f>
        <v/>
      </c>
      <c r="I510" s="129" t="str">
        <f>IFERROR(IF($D510="","",VLOOKUP($D510,Cadastro!$C$4:$G$7,5,FALSE)),"")</f>
        <v/>
      </c>
      <c r="J510" s="145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">
      <c r="A511" s="69">
        <v>46253</v>
      </c>
      <c r="B511" s="32">
        <f t="shared" si="129"/>
        <v>1.25</v>
      </c>
      <c r="C511" s="33"/>
      <c r="D511" s="62"/>
      <c r="E511" s="121"/>
      <c r="F511" s="122" t="str">
        <f>IFERROR(IF($D511="","",VLOOKUP($D511,Cadastro!$C$4:$E$7,3,FALSE)),"")</f>
        <v/>
      </c>
      <c r="G511" s="114"/>
      <c r="H511" s="122" t="str">
        <f>IFERROR(IF($G511="","",$G511*$S$513/$G$513/Cadastro!$E$33),"")</f>
        <v/>
      </c>
      <c r="I511" s="129" t="str">
        <f>IFERROR(IF($D511="","",VLOOKUP($D511,Cadastro!$C$4:$G$7,5,FALSE)),"")</f>
        <v/>
      </c>
      <c r="J511" s="145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5">
      <c r="A512" s="68">
        <v>46253</v>
      </c>
      <c r="B512" s="25">
        <f t="shared" si="129"/>
        <v>1.2916666666666667</v>
      </c>
      <c r="C512" s="33"/>
      <c r="D512" s="62"/>
      <c r="E512" s="121"/>
      <c r="F512" s="118" t="str">
        <f>IFERROR(IF($D512="","",VLOOKUP($D512,Cadastro!$C$4:$E$7,3,FALSE)),"")</f>
        <v/>
      </c>
      <c r="G512" s="114"/>
      <c r="H512" s="118" t="str">
        <f>IFERROR(IF($G512="","",$G512*$S$513/$G$513/Cadastro!$E$33),"")</f>
        <v/>
      </c>
      <c r="I512" s="130" t="str">
        <f>IFERROR(IF($D512="","",VLOOKUP($D512,Cadastro!$C$4:$G$7,5,FALSE)),"")</f>
        <v/>
      </c>
      <c r="J512" s="146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5">
      <c r="A513" s="168" t="s">
        <v>234</v>
      </c>
      <c r="B513" s="169"/>
      <c r="C513" s="169"/>
      <c r="D513" s="169"/>
      <c r="E513" s="169">
        <f>SUM(E501:E512)</f>
        <v>0</v>
      </c>
      <c r="F513" s="124"/>
      <c r="G513" s="88">
        <f>SUM(G501:G512)</f>
        <v>0</v>
      </c>
      <c r="H513" s="124">
        <f>IFERROR(SUM(H501:H512),"")</f>
        <v>0</v>
      </c>
      <c r="I513" s="133"/>
      <c r="J513" s="149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232</v>
      </c>
      <c r="S513" s="39"/>
      <c r="T513" s="141">
        <f>IFERROR(J513,"")</f>
        <v>0</v>
      </c>
    </row>
    <row r="514" spans="1:20" ht="18" customHeight="1" x14ac:dyDescent="0.3">
      <c r="A514" s="165" t="s">
        <v>235</v>
      </c>
      <c r="B514" s="166"/>
      <c r="C514" s="166"/>
      <c r="D514" s="166"/>
      <c r="E514" s="166">
        <f>E500+E513</f>
        <v>0</v>
      </c>
      <c r="F514" s="125"/>
      <c r="G514" s="100">
        <f>G500+G513</f>
        <v>0</v>
      </c>
      <c r="H514" s="125">
        <f>IFERROR(H500+H513,"")</f>
        <v>0</v>
      </c>
      <c r="I514" s="134"/>
      <c r="J514" s="150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236</v>
      </c>
      <c r="S514" s="48">
        <f>IFERROR(S500+S513,"")</f>
        <v>0</v>
      </c>
      <c r="T514" s="143">
        <f>IFERROR(J514,"")</f>
        <v>0</v>
      </c>
    </row>
    <row r="515" spans="1:20" ht="15" customHeight="1" x14ac:dyDescent="0.3">
      <c r="A515" s="69">
        <v>46254</v>
      </c>
      <c r="B515" s="32">
        <v>0.33333333333333298</v>
      </c>
      <c r="C515" s="33"/>
      <c r="D515" s="62"/>
      <c r="E515" s="121"/>
      <c r="F515" s="119" t="str">
        <f>IFERROR(IF($D515="","",VLOOKUP($D515,Cadastro!$C$4:$E$7,3,FALSE)),"")</f>
        <v/>
      </c>
      <c r="G515" s="114"/>
      <c r="H515" s="119" t="str">
        <f>IFERROR(IF($G515="","",$G515*$S$527/$G$527/Cadastro!$E$33),"")</f>
        <v/>
      </c>
      <c r="I515" s="132" t="str">
        <f>IFERROR(IF($D515="","",VLOOKUP($D515,Cadastro!$C$4:$G$7,5,FALSE)),"")</f>
        <v/>
      </c>
      <c r="J515" s="148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8">
        <v>46254</v>
      </c>
      <c r="B516" s="25">
        <f t="shared" ref="B516:B526" si="133">B515+TIME(0,60,0)</f>
        <v>0.37499999999999967</v>
      </c>
      <c r="C516" s="33"/>
      <c r="D516" s="62"/>
      <c r="E516" s="121"/>
      <c r="F516" s="122" t="str">
        <f>IFERROR(IF($D516="","",VLOOKUP($D516,Cadastro!$C$4:$E$7,3,FALSE)),"")</f>
        <v/>
      </c>
      <c r="G516" s="114"/>
      <c r="H516" s="122" t="str">
        <f>IFERROR(IF($G516="","",$G516*$S$527/$G$527/Cadastro!$E$33),"")</f>
        <v/>
      </c>
      <c r="I516" s="129" t="str">
        <f>IFERROR(IF($D516="","",VLOOKUP($D516,Cadastro!$C$4:$G$7,5,FALSE)),"")</f>
        <v/>
      </c>
      <c r="J516" s="145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">
      <c r="A517" s="69">
        <v>46254</v>
      </c>
      <c r="B517" s="32">
        <f t="shared" si="133"/>
        <v>0.41666666666666635</v>
      </c>
      <c r="C517" s="33"/>
      <c r="D517" s="62"/>
      <c r="E517" s="121"/>
      <c r="F517" s="122" t="str">
        <f>IFERROR(IF($D517="","",VLOOKUP($D517,Cadastro!$C$4:$E$7,3,FALSE)),"")</f>
        <v/>
      </c>
      <c r="G517" s="114"/>
      <c r="H517" s="122" t="str">
        <f>IFERROR(IF($G517="","",$G517*$S$527/$G$527/Cadastro!$E$33),"")</f>
        <v/>
      </c>
      <c r="I517" s="129" t="str">
        <f>IFERROR(IF($D517="","",VLOOKUP($D517,Cadastro!$C$4:$G$7,5,FALSE)),"")</f>
        <v/>
      </c>
      <c r="J517" s="145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">
      <c r="A518" s="68">
        <v>46254</v>
      </c>
      <c r="B518" s="25">
        <f t="shared" si="133"/>
        <v>0.45833333333333304</v>
      </c>
      <c r="C518" s="33"/>
      <c r="D518" s="62"/>
      <c r="E518" s="121"/>
      <c r="F518" s="122" t="str">
        <f>IFERROR(IF($D518="","",VLOOKUP($D518,Cadastro!$C$4:$E$7,3,FALSE)),"")</f>
        <v/>
      </c>
      <c r="G518" s="114"/>
      <c r="H518" s="122" t="str">
        <f>IFERROR(IF($G518="","",$G518*$S$527/$G$527/Cadastro!$E$33),"")</f>
        <v/>
      </c>
      <c r="I518" s="129" t="str">
        <f>IFERROR(IF($D518="","",VLOOKUP($D518,Cadastro!$C$4:$G$7,5,FALSE)),"")</f>
        <v/>
      </c>
      <c r="J518" s="145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">
      <c r="A519" s="69">
        <v>46254</v>
      </c>
      <c r="B519" s="32">
        <f t="shared" si="133"/>
        <v>0.49999999999999972</v>
      </c>
      <c r="C519" s="33"/>
      <c r="D519" s="62"/>
      <c r="E519" s="121"/>
      <c r="F519" s="122" t="str">
        <f>IFERROR(IF($D519="","",VLOOKUP($D519,Cadastro!$C$4:$E$7,3,FALSE)),"")</f>
        <v/>
      </c>
      <c r="G519" s="114"/>
      <c r="H519" s="122" t="str">
        <f>IFERROR(IF($G519="","",$G519*$S$527/$G$527/Cadastro!$E$33),"")</f>
        <v/>
      </c>
      <c r="I519" s="129" t="str">
        <f>IFERROR(IF($D519="","",VLOOKUP($D519,Cadastro!$C$4:$G$7,5,FALSE)),"")</f>
        <v/>
      </c>
      <c r="J519" s="145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">
      <c r="A520" s="68">
        <v>46254</v>
      </c>
      <c r="B520" s="25">
        <f t="shared" si="133"/>
        <v>0.54166666666666641</v>
      </c>
      <c r="C520" s="33"/>
      <c r="D520" s="62"/>
      <c r="E520" s="121"/>
      <c r="F520" s="122" t="str">
        <f>IFERROR(IF($D520="","",VLOOKUP($D520,Cadastro!$C$4:$E$7,3,FALSE)),"")</f>
        <v/>
      </c>
      <c r="G520" s="114"/>
      <c r="H520" s="122" t="str">
        <f>IFERROR(IF($G520="","",$G520*$S$527/$G$527/Cadastro!$E$33),"")</f>
        <v/>
      </c>
      <c r="I520" s="129" t="str">
        <f>IFERROR(IF($D520="","",VLOOKUP($D520,Cadastro!$C$4:$G$7,5,FALSE)),"")</f>
        <v/>
      </c>
      <c r="J520" s="145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">
      <c r="A521" s="69">
        <v>46254</v>
      </c>
      <c r="B521" s="32">
        <f t="shared" si="133"/>
        <v>0.58333333333333304</v>
      </c>
      <c r="C521" s="33"/>
      <c r="D521" s="62"/>
      <c r="E521" s="121"/>
      <c r="F521" s="122" t="str">
        <f>IFERROR(IF($D521="","",VLOOKUP($D521,Cadastro!$C$4:$E$7,3,FALSE)),"")</f>
        <v/>
      </c>
      <c r="G521" s="114"/>
      <c r="H521" s="122" t="str">
        <f>IFERROR(IF($G521="","",$G521*$S$527/$G$527/Cadastro!$E$33),"")</f>
        <v/>
      </c>
      <c r="I521" s="129" t="str">
        <f>IFERROR(IF($D521="","",VLOOKUP($D521,Cadastro!$C$4:$G$7,5,FALSE)),"")</f>
        <v/>
      </c>
      <c r="J521" s="145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">
      <c r="A522" s="68">
        <v>46254</v>
      </c>
      <c r="B522" s="25">
        <f t="shared" si="133"/>
        <v>0.62499999999999967</v>
      </c>
      <c r="C522" s="33"/>
      <c r="D522" s="62"/>
      <c r="E522" s="121"/>
      <c r="F522" s="122" t="str">
        <f>IFERROR(IF($D522="","",VLOOKUP($D522,Cadastro!$C$4:$E$7,3,FALSE)),"")</f>
        <v/>
      </c>
      <c r="G522" s="114"/>
      <c r="H522" s="122" t="str">
        <f>IFERROR(IF($G522="","",$G522*$S$527/$G$527/Cadastro!$E$33),"")</f>
        <v/>
      </c>
      <c r="I522" s="129" t="str">
        <f>IFERROR(IF($D522="","",VLOOKUP($D522,Cadastro!$C$4:$G$7,5,FALSE)),"")</f>
        <v/>
      </c>
      <c r="J522" s="145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">
      <c r="A523" s="69">
        <v>46254</v>
      </c>
      <c r="B523" s="32">
        <f t="shared" si="133"/>
        <v>0.6666666666666663</v>
      </c>
      <c r="C523" s="33"/>
      <c r="D523" s="62"/>
      <c r="E523" s="121"/>
      <c r="F523" s="122" t="str">
        <f>IFERROR(IF($D523="","",VLOOKUP($D523,Cadastro!$C$4:$E$7,3,FALSE)),"")</f>
        <v/>
      </c>
      <c r="G523" s="114"/>
      <c r="H523" s="122" t="str">
        <f>IFERROR(IF($G523="","",$G523*$S$527/$G$527/Cadastro!$E$33),"")</f>
        <v/>
      </c>
      <c r="I523" s="129" t="str">
        <f>IFERROR(IF($D523="","",VLOOKUP($D523,Cadastro!$C$4:$G$7,5,FALSE)),"")</f>
        <v/>
      </c>
      <c r="J523" s="145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">
      <c r="A524" s="68">
        <v>46254</v>
      </c>
      <c r="B524" s="25">
        <f t="shared" si="133"/>
        <v>0.70833333333333293</v>
      </c>
      <c r="C524" s="33"/>
      <c r="D524" s="62"/>
      <c r="E524" s="121"/>
      <c r="F524" s="122" t="str">
        <f>IFERROR(IF($D524="","",VLOOKUP($D524,Cadastro!$C$4:$E$7,3,FALSE)),"")</f>
        <v/>
      </c>
      <c r="G524" s="114"/>
      <c r="H524" s="122" t="str">
        <f>IFERROR(IF($G524="","",$G524*$S$527/$G$527/Cadastro!$E$33),"")</f>
        <v/>
      </c>
      <c r="I524" s="129" t="str">
        <f>IFERROR(IF($D524="","",VLOOKUP($D524,Cadastro!$C$4:$G$7,5,FALSE)),"")</f>
        <v/>
      </c>
      <c r="J524" s="145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">
      <c r="A525" s="69">
        <v>46254</v>
      </c>
      <c r="B525" s="32">
        <f t="shared" si="133"/>
        <v>0.74999999999999956</v>
      </c>
      <c r="C525" s="33"/>
      <c r="D525" s="62"/>
      <c r="E525" s="121"/>
      <c r="F525" s="122" t="str">
        <f>IFERROR(IF($D525="","",VLOOKUP($D525,Cadastro!$C$4:$E$7,3,FALSE)),"")</f>
        <v/>
      </c>
      <c r="G525" s="114"/>
      <c r="H525" s="122" t="str">
        <f>IFERROR(IF($G525="","",$G525*$S$527/$G$527/Cadastro!$E$33),"")</f>
        <v/>
      </c>
      <c r="I525" s="129" t="str">
        <f>IFERROR(IF($D525="","",VLOOKUP($D525,Cadastro!$C$4:$G$7,5,FALSE)),"")</f>
        <v/>
      </c>
      <c r="J525" s="145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5">
      <c r="A526" s="68">
        <v>46254</v>
      </c>
      <c r="B526" s="25">
        <f t="shared" si="133"/>
        <v>0.79166666666666619</v>
      </c>
      <c r="C526" s="33"/>
      <c r="D526" s="62"/>
      <c r="E526" s="121"/>
      <c r="F526" s="118" t="str">
        <f>IFERROR(IF($D526="","",VLOOKUP($D526,Cadastro!$C$4:$E$7,3,FALSE)),"")</f>
        <v/>
      </c>
      <c r="G526" s="114"/>
      <c r="H526" s="118" t="str">
        <f>IFERROR(IF($G526="","",$G526*$S$527/$G$527/Cadastro!$E$33),"")</f>
        <v/>
      </c>
      <c r="I526" s="130" t="str">
        <f>IFERROR(IF($D526="","",VLOOKUP($D526,Cadastro!$C$4:$G$7,5,FALSE)),"")</f>
        <v/>
      </c>
      <c r="J526" s="146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5">
      <c r="A527" s="168" t="s">
        <v>231</v>
      </c>
      <c r="B527" s="169"/>
      <c r="C527" s="169"/>
      <c r="D527" s="169"/>
      <c r="E527" s="169">
        <f>SUM(E515:E526)</f>
        <v>0</v>
      </c>
      <c r="F527" s="123"/>
      <c r="G527" s="88">
        <f>SUM(G515:G526)</f>
        <v>0</v>
      </c>
      <c r="H527" s="123">
        <f>IFERROR(SUM(H515:H526),"")</f>
        <v>0</v>
      </c>
      <c r="I527" s="131"/>
      <c r="J527" s="147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232</v>
      </c>
      <c r="S527" s="39"/>
      <c r="T527" s="141">
        <f>IFERROR(J527,"")</f>
        <v>0</v>
      </c>
    </row>
    <row r="528" spans="1:20" ht="15" customHeight="1" x14ac:dyDescent="0.3">
      <c r="A528" s="68">
        <v>46254</v>
      </c>
      <c r="B528" s="25">
        <v>0.83333333333333304</v>
      </c>
      <c r="C528" s="26"/>
      <c r="D528" s="59"/>
      <c r="E528" s="120"/>
      <c r="F528" s="119" t="str">
        <f>IFERROR(IF($D528="","",VLOOKUP($D528,Cadastro!$C$4:$E$7,3,FALSE)),"")</f>
        <v/>
      </c>
      <c r="G528" s="114"/>
      <c r="H528" s="119" t="str">
        <f>IFERROR(IF($G528="","",$G528*$S$540/$G$540/Cadastro!$E$33),"")</f>
        <v/>
      </c>
      <c r="I528" s="132" t="str">
        <f>IFERROR(IF($D528="","",VLOOKUP($D528,Cadastro!$C$4:$G$7,5,FALSE)),"")</f>
        <v/>
      </c>
      <c r="J528" s="148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9">
        <v>46254</v>
      </c>
      <c r="B529" s="32">
        <f t="shared" ref="B529:B539" si="137">B528+TIME(0,60,0)</f>
        <v>0.87499999999999967</v>
      </c>
      <c r="C529" s="26"/>
      <c r="D529" s="59"/>
      <c r="E529" s="120"/>
      <c r="F529" s="122" t="str">
        <f>IFERROR(IF($D529="","",VLOOKUP($D529,Cadastro!$C$4:$E$7,3,FALSE)),"")</f>
        <v/>
      </c>
      <c r="G529" s="114"/>
      <c r="H529" s="122" t="str">
        <f>IFERROR(IF($G529="","",$G529*$S$540/$G$540/Cadastro!$E$33),"")</f>
        <v/>
      </c>
      <c r="I529" s="129" t="str">
        <f>IFERROR(IF($D529="","",VLOOKUP($D529,Cadastro!$C$4:$G$7,5,FALSE)),"")</f>
        <v/>
      </c>
      <c r="J529" s="145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">
      <c r="A530" s="68">
        <v>46254</v>
      </c>
      <c r="B530" s="25">
        <f t="shared" si="137"/>
        <v>0.9166666666666663</v>
      </c>
      <c r="C530" s="26"/>
      <c r="D530" s="59"/>
      <c r="E530" s="120"/>
      <c r="F530" s="122" t="str">
        <f>IFERROR(IF($D530="","",VLOOKUP($D530,Cadastro!$C$4:$E$7,3,FALSE)),"")</f>
        <v/>
      </c>
      <c r="G530" s="114"/>
      <c r="H530" s="122" t="str">
        <f>IFERROR(IF($G530="","",$G530*$S$540/$G$540/Cadastro!$E$33),"")</f>
        <v/>
      </c>
      <c r="I530" s="129" t="str">
        <f>IFERROR(IF($D530="","",VLOOKUP($D530,Cadastro!$C$4:$G$7,5,FALSE)),"")</f>
        <v/>
      </c>
      <c r="J530" s="145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">
      <c r="A531" s="69">
        <v>46254</v>
      </c>
      <c r="B531" s="32">
        <f t="shared" si="137"/>
        <v>0.95833333333333293</v>
      </c>
      <c r="C531" s="26"/>
      <c r="D531" s="59"/>
      <c r="E531" s="120"/>
      <c r="F531" s="122" t="str">
        <f>IFERROR(IF($D531="","",VLOOKUP($D531,Cadastro!$C$4:$E$7,3,FALSE)),"")</f>
        <v/>
      </c>
      <c r="G531" s="114"/>
      <c r="H531" s="122" t="str">
        <f>IFERROR(IF($G531="","",$G531*$S$540/$G$540/Cadastro!$E$33),"")</f>
        <v/>
      </c>
      <c r="I531" s="129" t="str">
        <f>IFERROR(IF($D531="","",VLOOKUP($D531,Cadastro!$C$4:$G$7,5,FALSE)),"")</f>
        <v/>
      </c>
      <c r="J531" s="145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">
      <c r="A532" s="68">
        <v>46254</v>
      </c>
      <c r="B532" s="25">
        <f t="shared" si="137"/>
        <v>0.99999999999999956</v>
      </c>
      <c r="C532" s="26"/>
      <c r="D532" s="59"/>
      <c r="E532" s="120"/>
      <c r="F532" s="122" t="str">
        <f>IFERROR(IF($D532="","",VLOOKUP($D532,Cadastro!$C$4:$E$7,3,FALSE)),"")</f>
        <v/>
      </c>
      <c r="G532" s="114"/>
      <c r="H532" s="122" t="str">
        <f>IFERROR(IF($G532="","",$G532*$S$540/$G$540/Cadastro!$E$33),"")</f>
        <v/>
      </c>
      <c r="I532" s="129" t="str">
        <f>IFERROR(IF($D532="","",VLOOKUP($D532,Cadastro!$C$4:$G$7,5,FALSE)),"")</f>
        <v/>
      </c>
      <c r="J532" s="145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">
      <c r="A533" s="69">
        <v>46254</v>
      </c>
      <c r="B533" s="32">
        <f t="shared" si="137"/>
        <v>1.0416666666666663</v>
      </c>
      <c r="C533" s="26"/>
      <c r="D533" s="59"/>
      <c r="E533" s="120"/>
      <c r="F533" s="122" t="str">
        <f>IFERROR(IF($D533="","",VLOOKUP($D533,Cadastro!$C$4:$E$7,3,FALSE)),"")</f>
        <v/>
      </c>
      <c r="G533" s="114"/>
      <c r="H533" s="122" t="str">
        <f>IFERROR(IF($G533="","",$G533*$S$540/$G$540/Cadastro!$E$33),"")</f>
        <v/>
      </c>
      <c r="I533" s="129" t="str">
        <f>IFERROR(IF($D533="","",VLOOKUP($D533,Cadastro!$C$4:$G$7,5,FALSE)),"")</f>
        <v/>
      </c>
      <c r="J533" s="145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">
      <c r="A534" s="68">
        <v>46254</v>
      </c>
      <c r="B534" s="25">
        <f t="shared" si="137"/>
        <v>1.083333333333333</v>
      </c>
      <c r="C534" s="26"/>
      <c r="D534" s="59"/>
      <c r="E534" s="120"/>
      <c r="F534" s="122" t="str">
        <f>IFERROR(IF($D534="","",VLOOKUP($D534,Cadastro!$C$4:$E$7,3,FALSE)),"")</f>
        <v/>
      </c>
      <c r="G534" s="114"/>
      <c r="H534" s="122" t="str">
        <f>IFERROR(IF($G534="","",$G534*$S$540/$G$540/Cadastro!$E$33),"")</f>
        <v/>
      </c>
      <c r="I534" s="129" t="str">
        <f>IFERROR(IF($D534="","",VLOOKUP($D534,Cadastro!$C$4:$G$7,5,FALSE)),"")</f>
        <v/>
      </c>
      <c r="J534" s="145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">
      <c r="A535" s="69">
        <v>46254</v>
      </c>
      <c r="B535" s="32">
        <f t="shared" si="137"/>
        <v>1.1249999999999998</v>
      </c>
      <c r="C535" s="26"/>
      <c r="D535" s="59"/>
      <c r="E535" s="120"/>
      <c r="F535" s="122" t="str">
        <f>IFERROR(IF($D535="","",VLOOKUP($D535,Cadastro!$C$4:$E$7,3,FALSE)),"")</f>
        <v/>
      </c>
      <c r="G535" s="114"/>
      <c r="H535" s="122" t="str">
        <f>IFERROR(IF($G535="","",$G535*$S$540/$G$540/Cadastro!$E$33),"")</f>
        <v/>
      </c>
      <c r="I535" s="129" t="str">
        <f>IFERROR(IF($D535="","",VLOOKUP($D535,Cadastro!$C$4:$G$7,5,FALSE)),"")</f>
        <v/>
      </c>
      <c r="J535" s="145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">
      <c r="A536" s="68">
        <v>46254</v>
      </c>
      <c r="B536" s="25">
        <f t="shared" si="137"/>
        <v>1.1666666666666665</v>
      </c>
      <c r="C536" s="26"/>
      <c r="D536" s="59"/>
      <c r="E536" s="120"/>
      <c r="F536" s="122" t="str">
        <f>IFERROR(IF($D536="","",VLOOKUP($D536,Cadastro!$C$4:$E$7,3,FALSE)),"")</f>
        <v/>
      </c>
      <c r="G536" s="114"/>
      <c r="H536" s="122" t="str">
        <f>IFERROR(IF($G536="","",$G536*$S$540/$G$540/Cadastro!$E$33),"")</f>
        <v/>
      </c>
      <c r="I536" s="129" t="str">
        <f>IFERROR(IF($D536="","",VLOOKUP($D536,Cadastro!$C$4:$G$7,5,FALSE)),"")</f>
        <v/>
      </c>
      <c r="J536" s="145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">
      <c r="A537" s="69">
        <v>46254</v>
      </c>
      <c r="B537" s="32">
        <f t="shared" si="137"/>
        <v>1.2083333333333333</v>
      </c>
      <c r="C537" s="26"/>
      <c r="D537" s="59"/>
      <c r="E537" s="120"/>
      <c r="F537" s="122" t="str">
        <f>IFERROR(IF($D537="","",VLOOKUP($D537,Cadastro!$C$4:$E$7,3,FALSE)),"")</f>
        <v/>
      </c>
      <c r="G537" s="114"/>
      <c r="H537" s="122" t="str">
        <f>IFERROR(IF($G537="","",$G537*$S$540/$G$540/Cadastro!$E$33),"")</f>
        <v/>
      </c>
      <c r="I537" s="129" t="str">
        <f>IFERROR(IF($D537="","",VLOOKUP($D537,Cadastro!$C$4:$G$7,5,FALSE)),"")</f>
        <v/>
      </c>
      <c r="J537" s="145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">
      <c r="A538" s="68">
        <v>46254</v>
      </c>
      <c r="B538" s="25">
        <f t="shared" si="137"/>
        <v>1.25</v>
      </c>
      <c r="C538" s="26"/>
      <c r="D538" s="59"/>
      <c r="E538" s="120"/>
      <c r="F538" s="122" t="str">
        <f>IFERROR(IF($D538="","",VLOOKUP($D538,Cadastro!$C$4:$E$7,3,FALSE)),"")</f>
        <v/>
      </c>
      <c r="G538" s="114"/>
      <c r="H538" s="122" t="str">
        <f>IFERROR(IF($G538="","",$G538*$S$540/$G$540/Cadastro!$E$33),"")</f>
        <v/>
      </c>
      <c r="I538" s="129" t="str">
        <f>IFERROR(IF($D538="","",VLOOKUP($D538,Cadastro!$C$4:$G$7,5,FALSE)),"")</f>
        <v/>
      </c>
      <c r="J538" s="145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5">
      <c r="A539" s="69">
        <v>46254</v>
      </c>
      <c r="B539" s="32">
        <f t="shared" si="137"/>
        <v>1.2916666666666667</v>
      </c>
      <c r="C539" s="26"/>
      <c r="D539" s="59"/>
      <c r="E539" s="120"/>
      <c r="F539" s="118" t="str">
        <f>IFERROR(IF($D539="","",VLOOKUP($D539,Cadastro!$C$4:$E$7,3,FALSE)),"")</f>
        <v/>
      </c>
      <c r="G539" s="114"/>
      <c r="H539" s="118" t="str">
        <f>IFERROR(IF($G539="","",$G539*$S$540/$G$540/Cadastro!$E$33),"")</f>
        <v/>
      </c>
      <c r="I539" s="130" t="str">
        <f>IFERROR(IF($D539="","",VLOOKUP($D539,Cadastro!$C$4:$G$7,5,FALSE)),"")</f>
        <v/>
      </c>
      <c r="J539" s="146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5">
      <c r="A540" s="168" t="s">
        <v>234</v>
      </c>
      <c r="B540" s="169"/>
      <c r="C540" s="169"/>
      <c r="D540" s="169"/>
      <c r="E540" s="169">
        <f>SUM(E528:E539)</f>
        <v>0</v>
      </c>
      <c r="F540" s="124"/>
      <c r="G540" s="88">
        <f>SUM(G528:G539)</f>
        <v>0</v>
      </c>
      <c r="H540" s="124">
        <f>IFERROR(SUM(H528:H539),"")</f>
        <v>0</v>
      </c>
      <c r="I540" s="133"/>
      <c r="J540" s="149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232</v>
      </c>
      <c r="S540" s="39"/>
      <c r="T540" s="141">
        <f>IFERROR(J540,"")</f>
        <v>0</v>
      </c>
    </row>
    <row r="541" spans="1:20" ht="18" customHeight="1" x14ac:dyDescent="0.3">
      <c r="A541" s="165" t="s">
        <v>235</v>
      </c>
      <c r="B541" s="166"/>
      <c r="C541" s="166"/>
      <c r="D541" s="166"/>
      <c r="E541" s="166">
        <f>E527+E540</f>
        <v>0</v>
      </c>
      <c r="F541" s="125"/>
      <c r="G541" s="100">
        <f>G527+G540</f>
        <v>0</v>
      </c>
      <c r="H541" s="125">
        <f>IFERROR(H527+H540,"")</f>
        <v>0</v>
      </c>
      <c r="I541" s="134"/>
      <c r="J541" s="150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236</v>
      </c>
      <c r="S541" s="48">
        <f>IFERROR(S527+S540,"")</f>
        <v>0</v>
      </c>
      <c r="T541" s="143">
        <f>IFERROR(J541,"")</f>
        <v>0</v>
      </c>
    </row>
    <row r="542" spans="1:20" ht="15" customHeight="1" x14ac:dyDescent="0.3">
      <c r="A542" s="68">
        <v>46255</v>
      </c>
      <c r="B542" s="25">
        <v>0.33333333333333298</v>
      </c>
      <c r="C542" s="26"/>
      <c r="D542" s="59"/>
      <c r="E542" s="120"/>
      <c r="F542" s="119" t="str">
        <f>IFERROR(IF($D542="","",VLOOKUP($D542,Cadastro!$C$4:$E$7,3,FALSE)),"")</f>
        <v/>
      </c>
      <c r="G542" s="114"/>
      <c r="H542" s="119" t="str">
        <f>IFERROR(IF($G542="","",$G542*$S$554/$G$554/Cadastro!$E$33),"")</f>
        <v/>
      </c>
      <c r="I542" s="132" t="str">
        <f>IFERROR(IF($D542="","",VLOOKUP($D542,Cadastro!$C$4:$G$7,5,FALSE)),"")</f>
        <v/>
      </c>
      <c r="J542" s="148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9">
        <v>46255</v>
      </c>
      <c r="B543" s="32">
        <f t="shared" ref="B543:B553" si="141">B542+TIME(0,60,0)</f>
        <v>0.37499999999999967</v>
      </c>
      <c r="C543" s="26"/>
      <c r="D543" s="59"/>
      <c r="E543" s="120"/>
      <c r="F543" s="122" t="str">
        <f>IFERROR(IF($D543="","",VLOOKUP($D543,Cadastro!$C$4:$E$7,3,FALSE)),"")</f>
        <v/>
      </c>
      <c r="G543" s="114"/>
      <c r="H543" s="122" t="str">
        <f>IFERROR(IF($G543="","",$G543*$S$554/$G$554/Cadastro!$E$33),"")</f>
        <v/>
      </c>
      <c r="I543" s="129" t="str">
        <f>IFERROR(IF($D543="","",VLOOKUP($D543,Cadastro!$C$4:$G$7,5,FALSE)),"")</f>
        <v/>
      </c>
      <c r="J543" s="145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">
      <c r="A544" s="68">
        <v>46255</v>
      </c>
      <c r="B544" s="25">
        <f t="shared" si="141"/>
        <v>0.41666666666666635</v>
      </c>
      <c r="C544" s="26"/>
      <c r="D544" s="59"/>
      <c r="E544" s="120"/>
      <c r="F544" s="122" t="str">
        <f>IFERROR(IF($D544="","",VLOOKUP($D544,Cadastro!$C$4:$E$7,3,FALSE)),"")</f>
        <v/>
      </c>
      <c r="G544" s="114"/>
      <c r="H544" s="122" t="str">
        <f>IFERROR(IF($G544="","",$G544*$S$554/$G$554/Cadastro!$E$33),"")</f>
        <v/>
      </c>
      <c r="I544" s="129" t="str">
        <f>IFERROR(IF($D544="","",VLOOKUP($D544,Cadastro!$C$4:$G$7,5,FALSE)),"")</f>
        <v/>
      </c>
      <c r="J544" s="145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">
      <c r="A545" s="69">
        <v>46255</v>
      </c>
      <c r="B545" s="32">
        <f t="shared" si="141"/>
        <v>0.45833333333333304</v>
      </c>
      <c r="C545" s="26"/>
      <c r="D545" s="59"/>
      <c r="E545" s="120"/>
      <c r="F545" s="122" t="str">
        <f>IFERROR(IF($D545="","",VLOOKUP($D545,Cadastro!$C$4:$E$7,3,FALSE)),"")</f>
        <v/>
      </c>
      <c r="G545" s="114"/>
      <c r="H545" s="122" t="str">
        <f>IFERROR(IF($G545="","",$G545*$S$554/$G$554/Cadastro!$E$33),"")</f>
        <v/>
      </c>
      <c r="I545" s="129" t="str">
        <f>IFERROR(IF($D545="","",VLOOKUP($D545,Cadastro!$C$4:$G$7,5,FALSE)),"")</f>
        <v/>
      </c>
      <c r="J545" s="145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">
      <c r="A546" s="68">
        <v>46255</v>
      </c>
      <c r="B546" s="25">
        <f t="shared" si="141"/>
        <v>0.49999999999999972</v>
      </c>
      <c r="C546" s="26"/>
      <c r="D546" s="59"/>
      <c r="E546" s="120"/>
      <c r="F546" s="122" t="str">
        <f>IFERROR(IF($D546="","",VLOOKUP($D546,Cadastro!$C$4:$E$7,3,FALSE)),"")</f>
        <v/>
      </c>
      <c r="G546" s="114"/>
      <c r="H546" s="122" t="str">
        <f>IFERROR(IF($G546="","",$G546*$S$554/$G$554/Cadastro!$E$33),"")</f>
        <v/>
      </c>
      <c r="I546" s="129" t="str">
        <f>IFERROR(IF($D546="","",VLOOKUP($D546,Cadastro!$C$4:$G$7,5,FALSE)),"")</f>
        <v/>
      </c>
      <c r="J546" s="145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">
      <c r="A547" s="69">
        <v>46255</v>
      </c>
      <c r="B547" s="32">
        <f t="shared" si="141"/>
        <v>0.54166666666666641</v>
      </c>
      <c r="C547" s="26"/>
      <c r="D547" s="59"/>
      <c r="E547" s="120"/>
      <c r="F547" s="122" t="str">
        <f>IFERROR(IF($D547="","",VLOOKUP($D547,Cadastro!$C$4:$E$7,3,FALSE)),"")</f>
        <v/>
      </c>
      <c r="G547" s="114"/>
      <c r="H547" s="122" t="str">
        <f>IFERROR(IF($G547="","",$G547*$S$554/$G$554/Cadastro!$E$33),"")</f>
        <v/>
      </c>
      <c r="I547" s="129" t="str">
        <f>IFERROR(IF($D547="","",VLOOKUP($D547,Cadastro!$C$4:$G$7,5,FALSE)),"")</f>
        <v/>
      </c>
      <c r="J547" s="145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">
      <c r="A548" s="68">
        <v>46255</v>
      </c>
      <c r="B548" s="25">
        <f t="shared" si="141"/>
        <v>0.58333333333333304</v>
      </c>
      <c r="C548" s="26"/>
      <c r="D548" s="59"/>
      <c r="E548" s="120"/>
      <c r="F548" s="122" t="str">
        <f>IFERROR(IF($D548="","",VLOOKUP($D548,Cadastro!$C$4:$E$7,3,FALSE)),"")</f>
        <v/>
      </c>
      <c r="G548" s="114"/>
      <c r="H548" s="122" t="str">
        <f>IFERROR(IF($G548="","",$G548*$S$554/$G$554/Cadastro!$E$33),"")</f>
        <v/>
      </c>
      <c r="I548" s="129" t="str">
        <f>IFERROR(IF($D548="","",VLOOKUP($D548,Cadastro!$C$4:$G$7,5,FALSE)),"")</f>
        <v/>
      </c>
      <c r="J548" s="145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">
      <c r="A549" s="69">
        <v>46255</v>
      </c>
      <c r="B549" s="32">
        <f t="shared" si="141"/>
        <v>0.62499999999999967</v>
      </c>
      <c r="C549" s="26"/>
      <c r="D549" s="59"/>
      <c r="E549" s="120"/>
      <c r="F549" s="122" t="str">
        <f>IFERROR(IF($D549="","",VLOOKUP($D549,Cadastro!$C$4:$E$7,3,FALSE)),"")</f>
        <v/>
      </c>
      <c r="G549" s="114"/>
      <c r="H549" s="122" t="str">
        <f>IFERROR(IF($G549="","",$G549*$S$554/$G$554/Cadastro!$E$33),"")</f>
        <v/>
      </c>
      <c r="I549" s="129" t="str">
        <f>IFERROR(IF($D549="","",VLOOKUP($D549,Cadastro!$C$4:$G$7,5,FALSE)),"")</f>
        <v/>
      </c>
      <c r="J549" s="145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">
      <c r="A550" s="68">
        <v>46255</v>
      </c>
      <c r="B550" s="25">
        <f t="shared" si="141"/>
        <v>0.6666666666666663</v>
      </c>
      <c r="C550" s="26"/>
      <c r="D550" s="59"/>
      <c r="E550" s="120"/>
      <c r="F550" s="122" t="str">
        <f>IFERROR(IF($D550="","",VLOOKUP($D550,Cadastro!$C$4:$E$7,3,FALSE)),"")</f>
        <v/>
      </c>
      <c r="G550" s="114"/>
      <c r="H550" s="122" t="str">
        <f>IFERROR(IF($G550="","",$G550*$S$554/$G$554/Cadastro!$E$33),"")</f>
        <v/>
      </c>
      <c r="I550" s="129" t="str">
        <f>IFERROR(IF($D550="","",VLOOKUP($D550,Cadastro!$C$4:$G$7,5,FALSE)),"")</f>
        <v/>
      </c>
      <c r="J550" s="145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">
      <c r="A551" s="69">
        <v>46255</v>
      </c>
      <c r="B551" s="32">
        <f t="shared" si="141"/>
        <v>0.70833333333333293</v>
      </c>
      <c r="C551" s="26"/>
      <c r="D551" s="59"/>
      <c r="E551" s="120"/>
      <c r="F551" s="122" t="str">
        <f>IFERROR(IF($D551="","",VLOOKUP($D551,Cadastro!$C$4:$E$7,3,FALSE)),"")</f>
        <v/>
      </c>
      <c r="G551" s="114"/>
      <c r="H551" s="122" t="str">
        <f>IFERROR(IF($G551="","",$G551*$S$554/$G$554/Cadastro!$E$33),"")</f>
        <v/>
      </c>
      <c r="I551" s="129" t="str">
        <f>IFERROR(IF($D551="","",VLOOKUP($D551,Cadastro!$C$4:$G$7,5,FALSE)),"")</f>
        <v/>
      </c>
      <c r="J551" s="145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">
      <c r="A552" s="68">
        <v>46255</v>
      </c>
      <c r="B552" s="25">
        <f t="shared" si="141"/>
        <v>0.74999999999999956</v>
      </c>
      <c r="C552" s="26"/>
      <c r="D552" s="59"/>
      <c r="E552" s="120"/>
      <c r="F552" s="122" t="str">
        <f>IFERROR(IF($D552="","",VLOOKUP($D552,Cadastro!$C$4:$E$7,3,FALSE)),"")</f>
        <v/>
      </c>
      <c r="G552" s="114"/>
      <c r="H552" s="122" t="str">
        <f>IFERROR(IF($G552="","",$G552*$S$554/$G$554/Cadastro!$E$33),"")</f>
        <v/>
      </c>
      <c r="I552" s="129" t="str">
        <f>IFERROR(IF($D552="","",VLOOKUP($D552,Cadastro!$C$4:$G$7,5,FALSE)),"")</f>
        <v/>
      </c>
      <c r="J552" s="145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5">
      <c r="A553" s="69">
        <v>46255</v>
      </c>
      <c r="B553" s="32">
        <f t="shared" si="141"/>
        <v>0.79166666666666619</v>
      </c>
      <c r="C553" s="26"/>
      <c r="D553" s="59"/>
      <c r="E553" s="120"/>
      <c r="F553" s="118" t="str">
        <f>IFERROR(IF($D553="","",VLOOKUP($D553,Cadastro!$C$4:$E$7,3,FALSE)),"")</f>
        <v/>
      </c>
      <c r="G553" s="114"/>
      <c r="H553" s="118" t="str">
        <f>IFERROR(IF($G553="","",$G553*$S$554/$G$554/Cadastro!$E$33),"")</f>
        <v/>
      </c>
      <c r="I553" s="130" t="str">
        <f>IFERROR(IF($D553="","",VLOOKUP($D553,Cadastro!$C$4:$G$7,5,FALSE)),"")</f>
        <v/>
      </c>
      <c r="J553" s="146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5">
      <c r="A554" s="168" t="s">
        <v>231</v>
      </c>
      <c r="B554" s="169"/>
      <c r="C554" s="169"/>
      <c r="D554" s="169"/>
      <c r="E554" s="169">
        <f>SUM(E542:E553)</f>
        <v>0</v>
      </c>
      <c r="F554" s="123"/>
      <c r="G554" s="88">
        <f>SUM(G542:G553)</f>
        <v>0</v>
      </c>
      <c r="H554" s="123">
        <f>IFERROR(SUM(H542:H553),"")</f>
        <v>0</v>
      </c>
      <c r="I554" s="131"/>
      <c r="J554" s="147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232</v>
      </c>
      <c r="S554" s="39"/>
      <c r="T554" s="141">
        <f>IFERROR(J554,"")</f>
        <v>0</v>
      </c>
    </row>
    <row r="555" spans="1:20" ht="15" customHeight="1" x14ac:dyDescent="0.3">
      <c r="A555" s="69">
        <v>46255</v>
      </c>
      <c r="B555" s="32">
        <v>0.83333333333333304</v>
      </c>
      <c r="C555" s="33"/>
      <c r="D555" s="62"/>
      <c r="E555" s="121"/>
      <c r="F555" s="119" t="str">
        <f>IFERROR(IF($D555="","",VLOOKUP($D555,Cadastro!$C$4:$E$7,3,FALSE)),"")</f>
        <v/>
      </c>
      <c r="G555" s="114"/>
      <c r="H555" s="119" t="str">
        <f>IFERROR(IF($G555="","",$G555*$S$567/$G$567/Cadastro!$E$33),"")</f>
        <v/>
      </c>
      <c r="I555" s="132" t="str">
        <f>IFERROR(IF($D555="","",VLOOKUP($D555,Cadastro!$C$4:$G$7,5,FALSE)),"")</f>
        <v/>
      </c>
      <c r="J555" s="148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8">
        <v>46255</v>
      </c>
      <c r="B556" s="25">
        <f t="shared" ref="B556:B566" si="144">B555+TIME(0,60,0)</f>
        <v>0.87499999999999967</v>
      </c>
      <c r="C556" s="33"/>
      <c r="D556" s="62"/>
      <c r="E556" s="121"/>
      <c r="F556" s="122" t="str">
        <f>IFERROR(IF($D556="","",VLOOKUP($D556,Cadastro!$C$4:$E$7,3,FALSE)),"")</f>
        <v/>
      </c>
      <c r="G556" s="114"/>
      <c r="H556" s="122" t="str">
        <f>IFERROR(IF($G556="","",$G556*$S$567/$G$567/Cadastro!$E$33),"")</f>
        <v/>
      </c>
      <c r="I556" s="129" t="str">
        <f>IFERROR(IF($D556="","",VLOOKUP($D556,Cadastro!$C$4:$G$7,5,FALSE)),"")</f>
        <v/>
      </c>
      <c r="J556" s="145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9">
        <v>46255</v>
      </c>
      <c r="B557" s="32">
        <f t="shared" si="144"/>
        <v>0.9166666666666663</v>
      </c>
      <c r="C557" s="33"/>
      <c r="D557" s="62"/>
      <c r="E557" s="121"/>
      <c r="F557" s="122" t="str">
        <f>IFERROR(IF($D557="","",VLOOKUP($D557,Cadastro!$C$4:$E$7,3,FALSE)),"")</f>
        <v/>
      </c>
      <c r="G557" s="114"/>
      <c r="H557" s="122" t="str">
        <f>IFERROR(IF($G557="","",$G557*$S$567/$G$567/Cadastro!$E$33),"")</f>
        <v/>
      </c>
      <c r="I557" s="129" t="str">
        <f>IFERROR(IF($D557="","",VLOOKUP($D557,Cadastro!$C$4:$G$7,5,FALSE)),"")</f>
        <v/>
      </c>
      <c r="J557" s="145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">
      <c r="A558" s="68">
        <v>46255</v>
      </c>
      <c r="B558" s="25">
        <f t="shared" si="144"/>
        <v>0.95833333333333293</v>
      </c>
      <c r="C558" s="33"/>
      <c r="D558" s="62"/>
      <c r="E558" s="121"/>
      <c r="F558" s="122" t="str">
        <f>IFERROR(IF($D558="","",VLOOKUP($D558,Cadastro!$C$4:$E$7,3,FALSE)),"")</f>
        <v/>
      </c>
      <c r="G558" s="114"/>
      <c r="H558" s="122" t="str">
        <f>IFERROR(IF($G558="","",$G558*$S$567/$G$567/Cadastro!$E$33),"")</f>
        <v/>
      </c>
      <c r="I558" s="129" t="str">
        <f>IFERROR(IF($D558="","",VLOOKUP($D558,Cadastro!$C$4:$G$7,5,FALSE)),"")</f>
        <v/>
      </c>
      <c r="J558" s="145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">
      <c r="A559" s="69">
        <v>46255</v>
      </c>
      <c r="B559" s="32">
        <f t="shared" si="144"/>
        <v>0.99999999999999956</v>
      </c>
      <c r="C559" s="33"/>
      <c r="D559" s="62"/>
      <c r="E559" s="121"/>
      <c r="F559" s="122" t="str">
        <f>IFERROR(IF($D559="","",VLOOKUP($D559,Cadastro!$C$4:$E$7,3,FALSE)),"")</f>
        <v/>
      </c>
      <c r="G559" s="114"/>
      <c r="H559" s="122" t="str">
        <f>IFERROR(IF($G559="","",$G559*$S$567/$G$567/Cadastro!$E$33),"")</f>
        <v/>
      </c>
      <c r="I559" s="129" t="str">
        <f>IFERROR(IF($D559="","",VLOOKUP($D559,Cadastro!$C$4:$G$7,5,FALSE)),"")</f>
        <v/>
      </c>
      <c r="J559" s="145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">
      <c r="A560" s="68">
        <v>46255</v>
      </c>
      <c r="B560" s="25">
        <f t="shared" si="144"/>
        <v>1.0416666666666663</v>
      </c>
      <c r="C560" s="33"/>
      <c r="D560" s="62"/>
      <c r="E560" s="121"/>
      <c r="F560" s="122" t="str">
        <f>IFERROR(IF($D560="","",VLOOKUP($D560,Cadastro!$C$4:$E$7,3,FALSE)),"")</f>
        <v/>
      </c>
      <c r="G560" s="114"/>
      <c r="H560" s="122" t="str">
        <f>IFERROR(IF($G560="","",$G560*$S$567/$G$567/Cadastro!$E$33),"")</f>
        <v/>
      </c>
      <c r="I560" s="129" t="str">
        <f>IFERROR(IF($D560="","",VLOOKUP($D560,Cadastro!$C$4:$G$7,5,FALSE)),"")</f>
        <v/>
      </c>
      <c r="J560" s="145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">
      <c r="A561" s="69">
        <v>46255</v>
      </c>
      <c r="B561" s="32">
        <f t="shared" si="144"/>
        <v>1.083333333333333</v>
      </c>
      <c r="C561" s="33"/>
      <c r="D561" s="62"/>
      <c r="E561" s="121"/>
      <c r="F561" s="122" t="str">
        <f>IFERROR(IF($D561="","",VLOOKUP($D561,Cadastro!$C$4:$E$7,3,FALSE)),"")</f>
        <v/>
      </c>
      <c r="G561" s="114"/>
      <c r="H561" s="122" t="str">
        <f>IFERROR(IF($G561="","",$G561*$S$567/$G$567/Cadastro!$E$33),"")</f>
        <v/>
      </c>
      <c r="I561" s="129" t="str">
        <f>IFERROR(IF($D561="","",VLOOKUP($D561,Cadastro!$C$4:$G$7,5,FALSE)),"")</f>
        <v/>
      </c>
      <c r="J561" s="145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">
      <c r="A562" s="68">
        <v>46255</v>
      </c>
      <c r="B562" s="25">
        <f t="shared" si="144"/>
        <v>1.1249999999999998</v>
      </c>
      <c r="C562" s="33"/>
      <c r="D562" s="62"/>
      <c r="E562" s="121"/>
      <c r="F562" s="122" t="str">
        <f>IFERROR(IF($D562="","",VLOOKUP($D562,Cadastro!$C$4:$E$7,3,FALSE)),"")</f>
        <v/>
      </c>
      <c r="G562" s="114"/>
      <c r="H562" s="122" t="str">
        <f>IFERROR(IF($G562="","",$G562*$S$567/$G$567/Cadastro!$E$33),"")</f>
        <v/>
      </c>
      <c r="I562" s="129" t="str">
        <f>IFERROR(IF($D562="","",VLOOKUP($D562,Cadastro!$C$4:$G$7,5,FALSE)),"")</f>
        <v/>
      </c>
      <c r="J562" s="145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">
      <c r="A563" s="69">
        <v>46255</v>
      </c>
      <c r="B563" s="32">
        <f t="shared" si="144"/>
        <v>1.1666666666666665</v>
      </c>
      <c r="C563" s="33"/>
      <c r="D563" s="62"/>
      <c r="E563" s="121"/>
      <c r="F563" s="122" t="str">
        <f>IFERROR(IF($D563="","",VLOOKUP($D563,Cadastro!$C$4:$E$7,3,FALSE)),"")</f>
        <v/>
      </c>
      <c r="G563" s="114"/>
      <c r="H563" s="122" t="str">
        <f>IFERROR(IF($G563="","",$G563*$S$567/$G$567/Cadastro!$E$33),"")</f>
        <v/>
      </c>
      <c r="I563" s="129" t="str">
        <f>IFERROR(IF($D563="","",VLOOKUP($D563,Cadastro!$C$4:$G$7,5,FALSE)),"")</f>
        <v/>
      </c>
      <c r="J563" s="145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">
      <c r="A564" s="68">
        <v>46255</v>
      </c>
      <c r="B564" s="25">
        <f t="shared" si="144"/>
        <v>1.2083333333333333</v>
      </c>
      <c r="C564" s="33"/>
      <c r="D564" s="62"/>
      <c r="E564" s="121"/>
      <c r="F564" s="122" t="str">
        <f>IFERROR(IF($D564="","",VLOOKUP($D564,Cadastro!$C$4:$E$7,3,FALSE)),"")</f>
        <v/>
      </c>
      <c r="G564" s="114"/>
      <c r="H564" s="122" t="str">
        <f>IFERROR(IF($G564="","",$G564*$S$567/$G$567/Cadastro!$E$33),"")</f>
        <v/>
      </c>
      <c r="I564" s="129" t="str">
        <f>IFERROR(IF($D564="","",VLOOKUP($D564,Cadastro!$C$4:$G$7,5,FALSE)),"")</f>
        <v/>
      </c>
      <c r="J564" s="145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">
      <c r="A565" s="69">
        <v>46255</v>
      </c>
      <c r="B565" s="32">
        <f t="shared" si="144"/>
        <v>1.25</v>
      </c>
      <c r="C565" s="33"/>
      <c r="D565" s="62"/>
      <c r="E565" s="121"/>
      <c r="F565" s="122" t="str">
        <f>IFERROR(IF($D565="","",VLOOKUP($D565,Cadastro!$C$4:$E$7,3,FALSE)),"")</f>
        <v/>
      </c>
      <c r="G565" s="114"/>
      <c r="H565" s="122" t="str">
        <f>IFERROR(IF($G565="","",$G565*$S$567/$G$567/Cadastro!$E$33),"")</f>
        <v/>
      </c>
      <c r="I565" s="129" t="str">
        <f>IFERROR(IF($D565="","",VLOOKUP($D565,Cadastro!$C$4:$G$7,5,FALSE)),"")</f>
        <v/>
      </c>
      <c r="J565" s="145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5">
      <c r="A566" s="68">
        <v>46255</v>
      </c>
      <c r="B566" s="25">
        <f t="shared" si="144"/>
        <v>1.2916666666666667</v>
      </c>
      <c r="C566" s="33"/>
      <c r="D566" s="62"/>
      <c r="E566" s="121"/>
      <c r="F566" s="118" t="str">
        <f>IFERROR(IF($D566="","",VLOOKUP($D566,Cadastro!$C$4:$E$7,3,FALSE)),"")</f>
        <v/>
      </c>
      <c r="G566" s="114"/>
      <c r="H566" s="118" t="str">
        <f>IFERROR(IF($G566="","",$G566*$S$567/$G$567/Cadastro!$E$33),"")</f>
        <v/>
      </c>
      <c r="I566" s="130" t="str">
        <f>IFERROR(IF($D566="","",VLOOKUP($D566,Cadastro!$C$4:$G$7,5,FALSE)),"")</f>
        <v/>
      </c>
      <c r="J566" s="146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5">
      <c r="A567" s="168" t="s">
        <v>234</v>
      </c>
      <c r="B567" s="169"/>
      <c r="C567" s="169"/>
      <c r="D567" s="169"/>
      <c r="E567" s="169">
        <f>SUM(E555:E566)</f>
        <v>0</v>
      </c>
      <c r="F567" s="124"/>
      <c r="G567" s="88">
        <f>SUM(G555:G566)</f>
        <v>0</v>
      </c>
      <c r="H567" s="124">
        <f>IFERROR(SUM(H555:H566),"")</f>
        <v>0</v>
      </c>
      <c r="I567" s="133"/>
      <c r="J567" s="149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232</v>
      </c>
      <c r="S567" s="39"/>
      <c r="T567" s="141">
        <f>IFERROR(J567,"")</f>
        <v>0</v>
      </c>
    </row>
    <row r="568" spans="1:20" ht="18" customHeight="1" x14ac:dyDescent="0.3">
      <c r="A568" s="165" t="s">
        <v>235</v>
      </c>
      <c r="B568" s="166"/>
      <c r="C568" s="166"/>
      <c r="D568" s="166"/>
      <c r="E568" s="166">
        <f>E554+E567</f>
        <v>0</v>
      </c>
      <c r="F568" s="125"/>
      <c r="G568" s="100">
        <f>G554+G567</f>
        <v>0</v>
      </c>
      <c r="H568" s="125">
        <f>IFERROR(H554+H567,"")</f>
        <v>0</v>
      </c>
      <c r="I568" s="134"/>
      <c r="J568" s="150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236</v>
      </c>
      <c r="S568" s="48">
        <f>IFERROR(S554+S567,"")</f>
        <v>0</v>
      </c>
      <c r="T568" s="143">
        <f>IFERROR(J568,"")</f>
        <v>0</v>
      </c>
    </row>
    <row r="569" spans="1:20" ht="15" customHeight="1" x14ac:dyDescent="0.3">
      <c r="A569" s="69">
        <v>46256</v>
      </c>
      <c r="B569" s="32">
        <v>0.33333333333333298</v>
      </c>
      <c r="C569" s="33"/>
      <c r="D569" s="62"/>
      <c r="E569" s="121"/>
      <c r="F569" s="119" t="str">
        <f>IFERROR(IF($D569="","",VLOOKUP($D569,Cadastro!$C$4:$E$7,3,FALSE)),"")</f>
        <v/>
      </c>
      <c r="G569" s="114"/>
      <c r="H569" s="119" t="str">
        <f>IFERROR(IF($G569="","",$G569*$S$581/$G$581/Cadastro!$E$33),"")</f>
        <v/>
      </c>
      <c r="I569" s="132" t="str">
        <f>IFERROR(IF($D569="","",VLOOKUP($D569,Cadastro!$C$4:$G$7,5,FALSE)),"")</f>
        <v/>
      </c>
      <c r="J569" s="148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8">
        <v>46256</v>
      </c>
      <c r="B570" s="25">
        <f t="shared" ref="B570:B580" si="149">B569+TIME(0,60,0)</f>
        <v>0.37499999999999967</v>
      </c>
      <c r="C570" s="33"/>
      <c r="D570" s="62"/>
      <c r="E570" s="121"/>
      <c r="F570" s="122" t="str">
        <f>IFERROR(IF($D570="","",VLOOKUP($D570,Cadastro!$C$4:$E$7,3,FALSE)),"")</f>
        <v/>
      </c>
      <c r="G570" s="114"/>
      <c r="H570" s="122" t="str">
        <f>IFERROR(IF($G570="","",$G570*$S$581/$G$581/Cadastro!$E$33),"")</f>
        <v/>
      </c>
      <c r="I570" s="129" t="str">
        <f>IFERROR(IF($D570="","",VLOOKUP($D570,Cadastro!$C$4:$G$7,5,FALSE)),"")</f>
        <v/>
      </c>
      <c r="J570" s="145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">
      <c r="A571" s="69">
        <v>46256</v>
      </c>
      <c r="B571" s="32">
        <f t="shared" si="149"/>
        <v>0.41666666666666635</v>
      </c>
      <c r="C571" s="33"/>
      <c r="D571" s="62"/>
      <c r="E571" s="121"/>
      <c r="F571" s="122" t="str">
        <f>IFERROR(IF($D571="","",VLOOKUP($D571,Cadastro!$C$4:$E$7,3,FALSE)),"")</f>
        <v/>
      </c>
      <c r="G571" s="114"/>
      <c r="H571" s="122" t="str">
        <f>IFERROR(IF($G571="","",$G571*$S$581/$G$581/Cadastro!$E$33),"")</f>
        <v/>
      </c>
      <c r="I571" s="129" t="str">
        <f>IFERROR(IF($D571="","",VLOOKUP($D571,Cadastro!$C$4:$G$7,5,FALSE)),"")</f>
        <v/>
      </c>
      <c r="J571" s="145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">
      <c r="A572" s="68">
        <v>46256</v>
      </c>
      <c r="B572" s="25">
        <f t="shared" si="149"/>
        <v>0.45833333333333304</v>
      </c>
      <c r="C572" s="33"/>
      <c r="D572" s="62"/>
      <c r="E572" s="121"/>
      <c r="F572" s="122" t="str">
        <f>IFERROR(IF($D572="","",VLOOKUP($D572,Cadastro!$C$4:$E$7,3,FALSE)),"")</f>
        <v/>
      </c>
      <c r="G572" s="114"/>
      <c r="H572" s="122" t="str">
        <f>IFERROR(IF($G572="","",$G572*$S$581/$G$581/Cadastro!$E$33),"")</f>
        <v/>
      </c>
      <c r="I572" s="129" t="str">
        <f>IFERROR(IF($D572="","",VLOOKUP($D572,Cadastro!$C$4:$G$7,5,FALSE)),"")</f>
        <v/>
      </c>
      <c r="J572" s="145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">
      <c r="A573" s="69">
        <v>46256</v>
      </c>
      <c r="B573" s="32">
        <f t="shared" si="149"/>
        <v>0.49999999999999972</v>
      </c>
      <c r="C573" s="33"/>
      <c r="D573" s="62"/>
      <c r="E573" s="121"/>
      <c r="F573" s="122" t="str">
        <f>IFERROR(IF($D573="","",VLOOKUP($D573,Cadastro!$C$4:$E$7,3,FALSE)),"")</f>
        <v/>
      </c>
      <c r="G573" s="114"/>
      <c r="H573" s="122" t="str">
        <f>IFERROR(IF($G573="","",$G573*$S$581/$G$581/Cadastro!$E$33),"")</f>
        <v/>
      </c>
      <c r="I573" s="129" t="str">
        <f>IFERROR(IF($D573="","",VLOOKUP($D573,Cadastro!$C$4:$G$7,5,FALSE)),"")</f>
        <v/>
      </c>
      <c r="J573" s="145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">
      <c r="A574" s="68">
        <v>46256</v>
      </c>
      <c r="B574" s="25">
        <f t="shared" si="149"/>
        <v>0.54166666666666641</v>
      </c>
      <c r="C574" s="33"/>
      <c r="D574" s="62"/>
      <c r="E574" s="121"/>
      <c r="F574" s="122" t="str">
        <f>IFERROR(IF($D574="","",VLOOKUP($D574,Cadastro!$C$4:$E$7,3,FALSE)),"")</f>
        <v/>
      </c>
      <c r="G574" s="114"/>
      <c r="H574" s="122" t="str">
        <f>IFERROR(IF($G574="","",$G574*$S$581/$G$581/Cadastro!$E$33),"")</f>
        <v/>
      </c>
      <c r="I574" s="129" t="str">
        <f>IFERROR(IF($D574="","",VLOOKUP($D574,Cadastro!$C$4:$G$7,5,FALSE)),"")</f>
        <v/>
      </c>
      <c r="J574" s="145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">
      <c r="A575" s="69">
        <v>46256</v>
      </c>
      <c r="B575" s="32">
        <f t="shared" si="149"/>
        <v>0.58333333333333304</v>
      </c>
      <c r="C575" s="33"/>
      <c r="D575" s="62"/>
      <c r="E575" s="121"/>
      <c r="F575" s="122" t="str">
        <f>IFERROR(IF($D575="","",VLOOKUP($D575,Cadastro!$C$4:$E$7,3,FALSE)),"")</f>
        <v/>
      </c>
      <c r="G575" s="114"/>
      <c r="H575" s="122" t="str">
        <f>IFERROR(IF($G575="","",$G575*$S$581/$G$581/Cadastro!$E$33),"")</f>
        <v/>
      </c>
      <c r="I575" s="129" t="str">
        <f>IFERROR(IF($D575="","",VLOOKUP($D575,Cadastro!$C$4:$G$7,5,FALSE)),"")</f>
        <v/>
      </c>
      <c r="J575" s="145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8">
        <v>46256</v>
      </c>
      <c r="B576" s="25">
        <f t="shared" si="149"/>
        <v>0.62499999999999967</v>
      </c>
      <c r="C576" s="33"/>
      <c r="D576" s="62"/>
      <c r="E576" s="121"/>
      <c r="F576" s="122" t="str">
        <f>IFERROR(IF($D576="","",VLOOKUP($D576,Cadastro!$C$4:$E$7,3,FALSE)),"")</f>
        <v/>
      </c>
      <c r="G576" s="116"/>
      <c r="H576" s="122" t="str">
        <f>IFERROR(IF($G576="","",$G576*$S$581/$G$581/Cadastro!$E$33),"")</f>
        <v/>
      </c>
      <c r="I576" s="129" t="str">
        <f>IFERROR(IF($D576="","",VLOOKUP($D576,Cadastro!$C$4:$G$7,5,FALSE)),"")</f>
        <v/>
      </c>
      <c r="J576" s="145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9">
        <v>46256</v>
      </c>
      <c r="B577" s="32">
        <f t="shared" si="149"/>
        <v>0.6666666666666663</v>
      </c>
      <c r="C577" s="33"/>
      <c r="D577" s="62"/>
      <c r="E577" s="121"/>
      <c r="F577" s="122" t="str">
        <f>IFERROR(IF($D577="","",VLOOKUP($D577,Cadastro!$C$4:$E$7,3,FALSE)),"")</f>
        <v/>
      </c>
      <c r="G577" s="114"/>
      <c r="H577" s="122" t="str">
        <f>IFERROR(IF($G577="","",$G577*$S$581/$G$581/Cadastro!$E$33),"")</f>
        <v/>
      </c>
      <c r="I577" s="129" t="str">
        <f>IFERROR(IF($D577="","",VLOOKUP($D577,Cadastro!$C$4:$G$7,5,FALSE)),"")</f>
        <v/>
      </c>
      <c r="J577" s="145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8">
        <v>46256</v>
      </c>
      <c r="B578" s="25">
        <f t="shared" si="149"/>
        <v>0.70833333333333293</v>
      </c>
      <c r="C578" s="33"/>
      <c r="D578" s="62"/>
      <c r="E578" s="121"/>
      <c r="F578" s="122" t="str">
        <f>IFERROR(IF($D578="","",VLOOKUP($D578,Cadastro!$C$4:$E$7,3,FALSE)),"")</f>
        <v/>
      </c>
      <c r="G578" s="114"/>
      <c r="H578" s="122" t="str">
        <f>IFERROR(IF($G578="","",$G578*$S$581/$G$581/Cadastro!$E$33),"")</f>
        <v/>
      </c>
      <c r="I578" s="129" t="str">
        <f>IFERROR(IF($D578="","",VLOOKUP($D578,Cadastro!$C$4:$G$7,5,FALSE)),"")</f>
        <v/>
      </c>
      <c r="J578" s="145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9">
        <v>46256</v>
      </c>
      <c r="B579" s="32">
        <f t="shared" si="149"/>
        <v>0.74999999999999956</v>
      </c>
      <c r="C579" s="33"/>
      <c r="D579" s="62"/>
      <c r="E579" s="121"/>
      <c r="F579" s="122" t="str">
        <f>IFERROR(IF($D579="","",VLOOKUP($D579,Cadastro!$C$4:$E$7,3,FALSE)),"")</f>
        <v/>
      </c>
      <c r="G579" s="114"/>
      <c r="H579" s="122" t="str">
        <f>IFERROR(IF($G579="","",$G579*$S$581/$G$581/Cadastro!$E$33),"")</f>
        <v/>
      </c>
      <c r="I579" s="129" t="str">
        <f>IFERROR(IF($D579="","",VLOOKUP($D579,Cadastro!$C$4:$G$7,5,FALSE)),"")</f>
        <v/>
      </c>
      <c r="J579" s="145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8">
        <v>46256</v>
      </c>
      <c r="B580" s="25">
        <f t="shared" si="149"/>
        <v>0.79166666666666619</v>
      </c>
      <c r="C580" s="33"/>
      <c r="D580" s="62"/>
      <c r="E580" s="121"/>
      <c r="F580" s="118" t="str">
        <f>IFERROR(IF($D580="","",VLOOKUP($D580,Cadastro!$C$4:$E$7,3,FALSE)),"")</f>
        <v/>
      </c>
      <c r="G580" s="114"/>
      <c r="H580" s="118" t="str">
        <f>IFERROR(IF($G580="","",$G580*$S$581/$G$581/Cadastro!$E$33),"")</f>
        <v/>
      </c>
      <c r="I580" s="130" t="str">
        <f>IFERROR(IF($D580="","",VLOOKUP($D580,Cadastro!$C$4:$G$7,5,FALSE)),"")</f>
        <v/>
      </c>
      <c r="J580" s="146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68" t="s">
        <v>231</v>
      </c>
      <c r="B581" s="169"/>
      <c r="C581" s="169"/>
      <c r="D581" s="169"/>
      <c r="E581" s="169">
        <f>SUM(E569:E580)</f>
        <v>0</v>
      </c>
      <c r="F581" s="123"/>
      <c r="G581" s="88">
        <f>SUM(G569:G580)</f>
        <v>0</v>
      </c>
      <c r="H581" s="123">
        <f>IFERROR(SUM(H569:H580),"")</f>
        <v>0</v>
      </c>
      <c r="I581" s="131"/>
      <c r="J581" s="147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232</v>
      </c>
      <c r="S581" s="39"/>
      <c r="T581" s="141">
        <f>IFERROR(J581,"")</f>
        <v>0</v>
      </c>
    </row>
    <row r="582" spans="1:20" ht="15" customHeight="1" x14ac:dyDescent="0.3">
      <c r="A582" s="68">
        <v>46256</v>
      </c>
      <c r="B582" s="25">
        <v>0.83333333333333304</v>
      </c>
      <c r="C582" s="26"/>
      <c r="D582" s="59"/>
      <c r="E582" s="120"/>
      <c r="F582" s="119" t="str">
        <f>IFERROR(IF($D582="","",VLOOKUP($D582,Cadastro!$C$4:$E$7,3,FALSE)),"")</f>
        <v/>
      </c>
      <c r="G582" s="114"/>
      <c r="H582" s="119" t="str">
        <f>IFERROR(IF($G582="","",$G582*$S$594/$G$594/Cadastro!$E$33),"")</f>
        <v/>
      </c>
      <c r="I582" s="132" t="str">
        <f>IFERROR(IF($D582="","",VLOOKUP($D582,Cadastro!$C$4:$G$7,5,FALSE)),"")</f>
        <v/>
      </c>
      <c r="J582" s="148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9">
        <v>46256</v>
      </c>
      <c r="B583" s="32">
        <f t="shared" ref="B583:B593" si="153">B582+TIME(0,60,0)</f>
        <v>0.87499999999999967</v>
      </c>
      <c r="C583" s="26"/>
      <c r="D583" s="59"/>
      <c r="E583" s="120"/>
      <c r="F583" s="122" t="str">
        <f>IFERROR(IF($D583="","",VLOOKUP($D583,Cadastro!$C$4:$E$7,3,FALSE)),"")</f>
        <v/>
      </c>
      <c r="G583" s="114"/>
      <c r="H583" s="122" t="str">
        <f>IFERROR(IF($G583="","",$G583*$S$594/$G$594/Cadastro!$E$33),"")</f>
        <v/>
      </c>
      <c r="I583" s="129" t="str">
        <f>IFERROR(IF($D583="","",VLOOKUP($D583,Cadastro!$C$4:$G$7,5,FALSE)),"")</f>
        <v/>
      </c>
      <c r="J583" s="145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">
      <c r="A584" s="68">
        <v>46256</v>
      </c>
      <c r="B584" s="25">
        <f t="shared" si="153"/>
        <v>0.9166666666666663</v>
      </c>
      <c r="C584" s="26"/>
      <c r="D584" s="59"/>
      <c r="E584" s="120"/>
      <c r="F584" s="122" t="str">
        <f>IFERROR(IF($D584="","",VLOOKUP($D584,Cadastro!$C$4:$E$7,3,FALSE)),"")</f>
        <v/>
      </c>
      <c r="G584" s="114"/>
      <c r="H584" s="122" t="str">
        <f>IFERROR(IF($G584="","",$G584*$S$594/$G$594/Cadastro!$E$33),"")</f>
        <v/>
      </c>
      <c r="I584" s="129" t="str">
        <f>IFERROR(IF($D584="","",VLOOKUP($D584,Cadastro!$C$4:$G$7,5,FALSE)),"")</f>
        <v/>
      </c>
      <c r="J584" s="145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">
      <c r="A585" s="69">
        <v>46256</v>
      </c>
      <c r="B585" s="32">
        <f t="shared" si="153"/>
        <v>0.95833333333333293</v>
      </c>
      <c r="C585" s="26"/>
      <c r="D585" s="59"/>
      <c r="E585" s="120"/>
      <c r="F585" s="122" t="str">
        <f>IFERROR(IF($D585="","",VLOOKUP($D585,Cadastro!$C$4:$E$7,3,FALSE)),"")</f>
        <v/>
      </c>
      <c r="G585" s="114"/>
      <c r="H585" s="122" t="str">
        <f>IFERROR(IF($G585="","",$G585*$S$594/$G$594/Cadastro!$E$33),"")</f>
        <v/>
      </c>
      <c r="I585" s="129" t="str">
        <f>IFERROR(IF($D585="","",VLOOKUP($D585,Cadastro!$C$4:$G$7,5,FALSE)),"")</f>
        <v/>
      </c>
      <c r="J585" s="145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">
      <c r="A586" s="68">
        <v>46256</v>
      </c>
      <c r="B586" s="25">
        <f t="shared" si="153"/>
        <v>0.99999999999999956</v>
      </c>
      <c r="C586" s="26"/>
      <c r="D586" s="59"/>
      <c r="E586" s="120"/>
      <c r="F586" s="122" t="str">
        <f>IFERROR(IF($D586="","",VLOOKUP($D586,Cadastro!$C$4:$E$7,3,FALSE)),"")</f>
        <v/>
      </c>
      <c r="G586" s="114"/>
      <c r="H586" s="122" t="str">
        <f>IFERROR(IF($G586="","",$G586*$S$594/$G$594/Cadastro!$E$33),"")</f>
        <v/>
      </c>
      <c r="I586" s="129" t="str">
        <f>IFERROR(IF($D586="","",VLOOKUP($D586,Cadastro!$C$4:$G$7,5,FALSE)),"")</f>
        <v/>
      </c>
      <c r="J586" s="145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">
      <c r="A587" s="69">
        <v>46256</v>
      </c>
      <c r="B587" s="32">
        <f t="shared" si="153"/>
        <v>1.0416666666666663</v>
      </c>
      <c r="C587" s="26"/>
      <c r="D587" s="59"/>
      <c r="E587" s="120"/>
      <c r="F587" s="122" t="str">
        <f>IFERROR(IF($D587="","",VLOOKUP($D587,Cadastro!$C$4:$E$7,3,FALSE)),"")</f>
        <v/>
      </c>
      <c r="G587" s="114"/>
      <c r="H587" s="122" t="str">
        <f>IFERROR(IF($G587="","",$G587*$S$594/$G$594/Cadastro!$E$33),"")</f>
        <v/>
      </c>
      <c r="I587" s="129" t="str">
        <f>IFERROR(IF($D587="","",VLOOKUP($D587,Cadastro!$C$4:$G$7,5,FALSE)),"")</f>
        <v/>
      </c>
      <c r="J587" s="145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">
      <c r="A588" s="68">
        <v>46256</v>
      </c>
      <c r="B588" s="25">
        <f t="shared" si="153"/>
        <v>1.083333333333333</v>
      </c>
      <c r="C588" s="26"/>
      <c r="D588" s="59"/>
      <c r="E588" s="120"/>
      <c r="F588" s="122" t="str">
        <f>IFERROR(IF($D588="","",VLOOKUP($D588,Cadastro!$C$4:$E$7,3,FALSE)),"")</f>
        <v/>
      </c>
      <c r="G588" s="114"/>
      <c r="H588" s="122" t="str">
        <f>IFERROR(IF($G588="","",$G588*$S$594/$G$594/Cadastro!$E$33),"")</f>
        <v/>
      </c>
      <c r="I588" s="129" t="str">
        <f>IFERROR(IF($D588="","",VLOOKUP($D588,Cadastro!$C$4:$G$7,5,FALSE)),"")</f>
        <v/>
      </c>
      <c r="J588" s="145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">
      <c r="A589" s="69">
        <v>46256</v>
      </c>
      <c r="B589" s="32">
        <f t="shared" si="153"/>
        <v>1.1249999999999998</v>
      </c>
      <c r="C589" s="26"/>
      <c r="D589" s="59"/>
      <c r="E589" s="120"/>
      <c r="F589" s="122" t="str">
        <f>IFERROR(IF($D589="","",VLOOKUP($D589,Cadastro!$C$4:$E$7,3,FALSE)),"")</f>
        <v/>
      </c>
      <c r="G589" s="114"/>
      <c r="H589" s="122" t="str">
        <f>IFERROR(IF($G589="","",$G589*$S$594/$G$594/Cadastro!$E$33),"")</f>
        <v/>
      </c>
      <c r="I589" s="129" t="str">
        <f>IFERROR(IF($D589="","",VLOOKUP($D589,Cadastro!$C$4:$G$7,5,FALSE)),"")</f>
        <v/>
      </c>
      <c r="J589" s="145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">
      <c r="A590" s="68">
        <v>46256</v>
      </c>
      <c r="B590" s="25">
        <f t="shared" si="153"/>
        <v>1.1666666666666665</v>
      </c>
      <c r="C590" s="26"/>
      <c r="D590" s="59"/>
      <c r="E590" s="120"/>
      <c r="F590" s="122" t="str">
        <f>IFERROR(IF($D590="","",VLOOKUP($D590,Cadastro!$C$4:$E$7,3,FALSE)),"")</f>
        <v/>
      </c>
      <c r="G590" s="114"/>
      <c r="H590" s="122" t="str">
        <f>IFERROR(IF($G590="","",$G590*$S$594/$G$594/Cadastro!$E$33),"")</f>
        <v/>
      </c>
      <c r="I590" s="129" t="str">
        <f>IFERROR(IF($D590="","",VLOOKUP($D590,Cadastro!$C$4:$G$7,5,FALSE)),"")</f>
        <v/>
      </c>
      <c r="J590" s="145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">
      <c r="A591" s="69">
        <v>46256</v>
      </c>
      <c r="B591" s="32">
        <f t="shared" si="153"/>
        <v>1.2083333333333333</v>
      </c>
      <c r="C591" s="26"/>
      <c r="D591" s="59"/>
      <c r="E591" s="120"/>
      <c r="F591" s="122" t="str">
        <f>IFERROR(IF($D591="","",VLOOKUP($D591,Cadastro!$C$4:$E$7,3,FALSE)),"")</f>
        <v/>
      </c>
      <c r="G591" s="114"/>
      <c r="H591" s="122" t="str">
        <f>IFERROR(IF($G591="","",$G591*$S$594/$G$594/Cadastro!$E$33),"")</f>
        <v/>
      </c>
      <c r="I591" s="129" t="str">
        <f>IFERROR(IF($D591="","",VLOOKUP($D591,Cadastro!$C$4:$G$7,5,FALSE)),"")</f>
        <v/>
      </c>
      <c r="J591" s="145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">
      <c r="A592" s="68">
        <v>46256</v>
      </c>
      <c r="B592" s="25">
        <f t="shared" si="153"/>
        <v>1.25</v>
      </c>
      <c r="C592" s="26"/>
      <c r="D592" s="59"/>
      <c r="E592" s="120"/>
      <c r="F592" s="122" t="str">
        <f>IFERROR(IF($D592="","",VLOOKUP($D592,Cadastro!$C$4:$E$7,3,FALSE)),"")</f>
        <v/>
      </c>
      <c r="G592" s="114"/>
      <c r="H592" s="122" t="str">
        <f>IFERROR(IF($G592="","",$G592*$S$594/$G$594/Cadastro!$E$33),"")</f>
        <v/>
      </c>
      <c r="I592" s="129" t="str">
        <f>IFERROR(IF($D592="","",VLOOKUP($D592,Cadastro!$C$4:$G$7,5,FALSE)),"")</f>
        <v/>
      </c>
      <c r="J592" s="145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5">
      <c r="A593" s="69">
        <v>46256</v>
      </c>
      <c r="B593" s="32">
        <f t="shared" si="153"/>
        <v>1.2916666666666667</v>
      </c>
      <c r="C593" s="26"/>
      <c r="D593" s="59"/>
      <c r="E593" s="120"/>
      <c r="F593" s="118" t="str">
        <f>IFERROR(IF($D593="","",VLOOKUP($D593,Cadastro!$C$4:$E$7,3,FALSE)),"")</f>
        <v/>
      </c>
      <c r="G593" s="114"/>
      <c r="H593" s="118" t="str">
        <f>IFERROR(IF($G593="","",$G593*$S$594/$G$594/Cadastro!$E$33),"")</f>
        <v/>
      </c>
      <c r="I593" s="130" t="str">
        <f>IFERROR(IF($D593="","",VLOOKUP($D593,Cadastro!$C$4:$G$7,5,FALSE)),"")</f>
        <v/>
      </c>
      <c r="J593" s="146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5">
      <c r="A594" s="168" t="s">
        <v>234</v>
      </c>
      <c r="B594" s="169"/>
      <c r="C594" s="169"/>
      <c r="D594" s="169"/>
      <c r="E594" s="169">
        <f>SUM(E582:E593)</f>
        <v>0</v>
      </c>
      <c r="F594" s="124"/>
      <c r="G594" s="88">
        <f>SUM(G582:G593)</f>
        <v>0</v>
      </c>
      <c r="H594" s="124">
        <f>IFERROR(SUM(H582:H593),"")</f>
        <v>0</v>
      </c>
      <c r="I594" s="133"/>
      <c r="J594" s="149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232</v>
      </c>
      <c r="S594" s="39"/>
      <c r="T594" s="141">
        <f>IFERROR(J594,"")</f>
        <v>0</v>
      </c>
    </row>
    <row r="595" spans="1:20" ht="18" customHeight="1" x14ac:dyDescent="0.3">
      <c r="A595" s="165" t="s">
        <v>235</v>
      </c>
      <c r="B595" s="166"/>
      <c r="C595" s="166"/>
      <c r="D595" s="166"/>
      <c r="E595" s="166">
        <f>E581+E594</f>
        <v>0</v>
      </c>
      <c r="F595" s="125"/>
      <c r="G595" s="100">
        <f>G581+G594</f>
        <v>0</v>
      </c>
      <c r="H595" s="125">
        <f>IFERROR(H581+H594,"")</f>
        <v>0</v>
      </c>
      <c r="I595" s="134"/>
      <c r="J595" s="150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236</v>
      </c>
      <c r="S595" s="48">
        <f>IFERROR(S581+S594,"")</f>
        <v>0</v>
      </c>
      <c r="T595" s="143">
        <f>IFERROR(J595,"")</f>
        <v>0</v>
      </c>
    </row>
    <row r="596" spans="1:20" ht="15" customHeight="1" x14ac:dyDescent="0.3">
      <c r="A596" s="68">
        <v>46257</v>
      </c>
      <c r="B596" s="25">
        <v>0.33333333333333298</v>
      </c>
      <c r="C596" s="26"/>
      <c r="D596" s="59"/>
      <c r="E596" s="120"/>
      <c r="F596" s="119" t="str">
        <f>IFERROR(IF($D596="","",VLOOKUP($D596,Cadastro!$C$4:$E$7,3,FALSE)),"")</f>
        <v/>
      </c>
      <c r="G596" s="114"/>
      <c r="H596" s="119" t="str">
        <f>IFERROR(IF($G596="","",$G596*$S$608/$G$608/Cadastro!$E$33),"")</f>
        <v/>
      </c>
      <c r="I596" s="132" t="str">
        <f>IFERROR(IF($D596="","",VLOOKUP($D596,Cadastro!$C$4:$G$7,5,FALSE)),"")</f>
        <v/>
      </c>
      <c r="J596" s="148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9">
        <v>46257</v>
      </c>
      <c r="B597" s="32">
        <f t="shared" ref="B597:B607" si="157">B596+TIME(0,60,0)</f>
        <v>0.37499999999999967</v>
      </c>
      <c r="C597" s="26"/>
      <c r="D597" s="59"/>
      <c r="E597" s="120"/>
      <c r="F597" s="122" t="str">
        <f>IFERROR(IF($D597="","",VLOOKUP($D597,Cadastro!$C$4:$E$7,3,FALSE)),"")</f>
        <v/>
      </c>
      <c r="G597" s="114"/>
      <c r="H597" s="122" t="str">
        <f>IFERROR(IF($G597="","",$G597*$S$608/$G$608/Cadastro!$E$33),"")</f>
        <v/>
      </c>
      <c r="I597" s="129" t="str">
        <f>IFERROR(IF($D597="","",VLOOKUP($D597,Cadastro!$C$4:$G$7,5,FALSE)),"")</f>
        <v/>
      </c>
      <c r="J597" s="145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">
      <c r="A598" s="68">
        <v>46257</v>
      </c>
      <c r="B598" s="25">
        <f t="shared" si="157"/>
        <v>0.41666666666666635</v>
      </c>
      <c r="C598" s="26"/>
      <c r="D598" s="59"/>
      <c r="E598" s="120"/>
      <c r="F598" s="122" t="str">
        <f>IFERROR(IF($D598="","",VLOOKUP($D598,Cadastro!$C$4:$E$7,3,FALSE)),"")</f>
        <v/>
      </c>
      <c r="G598" s="114"/>
      <c r="H598" s="122" t="str">
        <f>IFERROR(IF($G598="","",$G598*$S$608/$G$608/Cadastro!$E$33),"")</f>
        <v/>
      </c>
      <c r="I598" s="129" t="str">
        <f>IFERROR(IF($D598="","",VLOOKUP($D598,Cadastro!$C$4:$G$7,5,FALSE)),"")</f>
        <v/>
      </c>
      <c r="J598" s="145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">
      <c r="A599" s="69">
        <v>46257</v>
      </c>
      <c r="B599" s="32">
        <f t="shared" si="157"/>
        <v>0.45833333333333304</v>
      </c>
      <c r="C599" s="26"/>
      <c r="D599" s="59"/>
      <c r="E599" s="120"/>
      <c r="F599" s="122" t="str">
        <f>IFERROR(IF($D599="","",VLOOKUP($D599,Cadastro!$C$4:$E$7,3,FALSE)),"")</f>
        <v/>
      </c>
      <c r="G599" s="114"/>
      <c r="H599" s="122" t="str">
        <f>IFERROR(IF($G599="","",$G599*$S$608/$G$608/Cadastro!$E$33),"")</f>
        <v/>
      </c>
      <c r="I599" s="129" t="str">
        <f>IFERROR(IF($D599="","",VLOOKUP($D599,Cadastro!$C$4:$G$7,5,FALSE)),"")</f>
        <v/>
      </c>
      <c r="J599" s="145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">
      <c r="A600" s="68">
        <v>46257</v>
      </c>
      <c r="B600" s="25">
        <f t="shared" si="157"/>
        <v>0.49999999999999972</v>
      </c>
      <c r="C600" s="26"/>
      <c r="D600" s="59"/>
      <c r="E600" s="120"/>
      <c r="F600" s="122" t="str">
        <f>IFERROR(IF($D600="","",VLOOKUP($D600,Cadastro!$C$4:$E$7,3,FALSE)),"")</f>
        <v/>
      </c>
      <c r="G600" s="114"/>
      <c r="H600" s="122" t="str">
        <f>IFERROR(IF($G600="","",$G600*$S$608/$G$608/Cadastro!$E$33),"")</f>
        <v/>
      </c>
      <c r="I600" s="129" t="str">
        <f>IFERROR(IF($D600="","",VLOOKUP($D600,Cadastro!$C$4:$G$7,5,FALSE)),"")</f>
        <v/>
      </c>
      <c r="J600" s="145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">
      <c r="A601" s="69">
        <v>46257</v>
      </c>
      <c r="B601" s="32">
        <f t="shared" si="157"/>
        <v>0.54166666666666641</v>
      </c>
      <c r="C601" s="26"/>
      <c r="D601" s="59"/>
      <c r="E601" s="120"/>
      <c r="F601" s="122" t="str">
        <f>IFERROR(IF($D601="","",VLOOKUP($D601,Cadastro!$C$4:$E$7,3,FALSE)),"")</f>
        <v/>
      </c>
      <c r="G601" s="114"/>
      <c r="H601" s="122" t="str">
        <f>IFERROR(IF($G601="","",$G601*$S$608/$G$608/Cadastro!$E$33),"")</f>
        <v/>
      </c>
      <c r="I601" s="129" t="str">
        <f>IFERROR(IF($D601="","",VLOOKUP($D601,Cadastro!$C$4:$G$7,5,FALSE)),"")</f>
        <v/>
      </c>
      <c r="J601" s="145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">
      <c r="A602" s="68">
        <v>46257</v>
      </c>
      <c r="B602" s="25">
        <f t="shared" si="157"/>
        <v>0.58333333333333304</v>
      </c>
      <c r="C602" s="26"/>
      <c r="D602" s="59"/>
      <c r="E602" s="120"/>
      <c r="F602" s="122" t="str">
        <f>IFERROR(IF($D602="","",VLOOKUP($D602,Cadastro!$C$4:$E$7,3,FALSE)),"")</f>
        <v/>
      </c>
      <c r="G602" s="114"/>
      <c r="H602" s="122" t="str">
        <f>IFERROR(IF($G602="","",$G602*$S$608/$G$608/Cadastro!$E$33),"")</f>
        <v/>
      </c>
      <c r="I602" s="129" t="str">
        <f>IFERROR(IF($D602="","",VLOOKUP($D602,Cadastro!$C$4:$G$7,5,FALSE)),"")</f>
        <v/>
      </c>
      <c r="J602" s="145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">
      <c r="A603" s="69">
        <v>46257</v>
      </c>
      <c r="B603" s="32">
        <f t="shared" si="157"/>
        <v>0.62499999999999967</v>
      </c>
      <c r="C603" s="26"/>
      <c r="D603" s="59"/>
      <c r="E603" s="120"/>
      <c r="F603" s="122" t="str">
        <f>IFERROR(IF($D603="","",VLOOKUP($D603,Cadastro!$C$4:$E$7,3,FALSE)),"")</f>
        <v/>
      </c>
      <c r="G603" s="114"/>
      <c r="H603" s="122" t="str">
        <f>IFERROR(IF($G603="","",$G603*$S$608/$G$608/Cadastro!$E$33),"")</f>
        <v/>
      </c>
      <c r="I603" s="129" t="str">
        <f>IFERROR(IF($D603="","",VLOOKUP($D603,Cadastro!$C$4:$G$7,5,FALSE)),"")</f>
        <v/>
      </c>
      <c r="J603" s="145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">
      <c r="A604" s="68">
        <v>46257</v>
      </c>
      <c r="B604" s="25">
        <f t="shared" si="157"/>
        <v>0.6666666666666663</v>
      </c>
      <c r="C604" s="26"/>
      <c r="D604" s="59"/>
      <c r="E604" s="120"/>
      <c r="F604" s="122" t="str">
        <f>IFERROR(IF($D604="","",VLOOKUP($D604,Cadastro!$C$4:$E$7,3,FALSE)),"")</f>
        <v/>
      </c>
      <c r="G604" s="114"/>
      <c r="H604" s="122" t="str">
        <f>IFERROR(IF($G604="","",$G604*$S$608/$G$608/Cadastro!$E$33),"")</f>
        <v/>
      </c>
      <c r="I604" s="129" t="str">
        <f>IFERROR(IF($D604="","",VLOOKUP($D604,Cadastro!$C$4:$G$7,5,FALSE)),"")</f>
        <v/>
      </c>
      <c r="J604" s="145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">
      <c r="A605" s="69">
        <v>46257</v>
      </c>
      <c r="B605" s="32">
        <f t="shared" si="157"/>
        <v>0.70833333333333293</v>
      </c>
      <c r="C605" s="26"/>
      <c r="D605" s="59"/>
      <c r="E605" s="120"/>
      <c r="F605" s="122" t="str">
        <f>IFERROR(IF($D605="","",VLOOKUP($D605,Cadastro!$C$4:$E$7,3,FALSE)),"")</f>
        <v/>
      </c>
      <c r="G605" s="114"/>
      <c r="H605" s="122" t="str">
        <f>IFERROR(IF($G605="","",$G605*$S$608/$G$608/Cadastro!$E$33),"")</f>
        <v/>
      </c>
      <c r="I605" s="129" t="str">
        <f>IFERROR(IF($D605="","",VLOOKUP($D605,Cadastro!$C$4:$G$7,5,FALSE)),"")</f>
        <v/>
      </c>
      <c r="J605" s="145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">
      <c r="A606" s="68">
        <v>46257</v>
      </c>
      <c r="B606" s="25">
        <f t="shared" si="157"/>
        <v>0.74999999999999956</v>
      </c>
      <c r="C606" s="26"/>
      <c r="D606" s="59"/>
      <c r="E606" s="120"/>
      <c r="F606" s="122" t="str">
        <f>IFERROR(IF($D606="","",VLOOKUP($D606,Cadastro!$C$4:$E$7,3,FALSE)),"")</f>
        <v/>
      </c>
      <c r="G606" s="114"/>
      <c r="H606" s="122" t="str">
        <f>IFERROR(IF($G606="","",$G606*$S$608/$G$608/Cadastro!$E$33),"")</f>
        <v/>
      </c>
      <c r="I606" s="129" t="str">
        <f>IFERROR(IF($D606="","",VLOOKUP($D606,Cadastro!$C$4:$G$7,5,FALSE)),"")</f>
        <v/>
      </c>
      <c r="J606" s="145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5">
      <c r="A607" s="69">
        <v>46257</v>
      </c>
      <c r="B607" s="32">
        <f t="shared" si="157"/>
        <v>0.79166666666666619</v>
      </c>
      <c r="C607" s="26"/>
      <c r="D607" s="59"/>
      <c r="E607" s="120"/>
      <c r="F607" s="118" t="str">
        <f>IFERROR(IF($D607="","",VLOOKUP($D607,Cadastro!$C$4:$E$7,3,FALSE)),"")</f>
        <v/>
      </c>
      <c r="G607" s="114"/>
      <c r="H607" s="118" t="str">
        <f>IFERROR(IF($G607="","",$G607*$S$608/$G$608/Cadastro!$E$33),"")</f>
        <v/>
      </c>
      <c r="I607" s="130" t="str">
        <f>IFERROR(IF($D607="","",VLOOKUP($D607,Cadastro!$C$4:$G$7,5,FALSE)),"")</f>
        <v/>
      </c>
      <c r="J607" s="146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5">
      <c r="A608" s="168" t="s">
        <v>231</v>
      </c>
      <c r="B608" s="169"/>
      <c r="C608" s="169"/>
      <c r="D608" s="169"/>
      <c r="E608" s="169">
        <f>SUM(E596:E607)</f>
        <v>0</v>
      </c>
      <c r="F608" s="123"/>
      <c r="G608" s="88">
        <f>SUM(G596:G607)</f>
        <v>0</v>
      </c>
      <c r="H608" s="123">
        <f>IFERROR(SUM(H596:H607),"")</f>
        <v>0</v>
      </c>
      <c r="I608" s="131"/>
      <c r="J608" s="147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232</v>
      </c>
      <c r="S608" s="39"/>
      <c r="T608" s="141">
        <f>IFERROR(J608,"")</f>
        <v>0</v>
      </c>
    </row>
    <row r="609" spans="1:20" ht="15" customHeight="1" x14ac:dyDescent="0.3">
      <c r="A609" s="69">
        <v>46257</v>
      </c>
      <c r="B609" s="32">
        <v>0.83333333333333304</v>
      </c>
      <c r="C609" s="33"/>
      <c r="D609" s="62"/>
      <c r="E609" s="121"/>
      <c r="F609" s="119" t="str">
        <f>IFERROR(IF($D609="","",VLOOKUP($D609,Cadastro!$C$4:$E$7,3,FALSE)),"")</f>
        <v/>
      </c>
      <c r="G609" s="114"/>
      <c r="H609" s="119" t="str">
        <f>IFERROR(IF($G609="","",$G609*$S$621/$G$621/Cadastro!$E$33),"")</f>
        <v/>
      </c>
      <c r="I609" s="132" t="str">
        <f>IFERROR(IF($D609="","",VLOOKUP($D609,Cadastro!$C$4:$G$7,5,FALSE)),"")</f>
        <v/>
      </c>
      <c r="J609" s="148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8">
        <v>46257</v>
      </c>
      <c r="B610" s="25">
        <f t="shared" ref="B610:B620" si="161">B609+TIME(0,60,0)</f>
        <v>0.87499999999999967</v>
      </c>
      <c r="C610" s="33"/>
      <c r="D610" s="62"/>
      <c r="E610" s="121"/>
      <c r="F610" s="122" t="str">
        <f>IFERROR(IF($D610="","",VLOOKUP($D610,Cadastro!$C$4:$E$7,3,FALSE)),"")</f>
        <v/>
      </c>
      <c r="G610" s="114"/>
      <c r="H610" s="122" t="str">
        <f>IFERROR(IF($G610="","",$G610*$S$621/$G$621/Cadastro!$E$33),"")</f>
        <v/>
      </c>
      <c r="I610" s="129" t="str">
        <f>IFERROR(IF($D610="","",VLOOKUP($D610,Cadastro!$C$4:$G$7,5,FALSE)),"")</f>
        <v/>
      </c>
      <c r="J610" s="145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">
      <c r="A611" s="69">
        <v>46257</v>
      </c>
      <c r="B611" s="32">
        <f t="shared" si="161"/>
        <v>0.9166666666666663</v>
      </c>
      <c r="C611" s="33"/>
      <c r="D611" s="62"/>
      <c r="E611" s="121"/>
      <c r="F611" s="122" t="str">
        <f>IFERROR(IF($D611="","",VLOOKUP($D611,Cadastro!$C$4:$E$7,3,FALSE)),"")</f>
        <v/>
      </c>
      <c r="G611" s="114"/>
      <c r="H611" s="122" t="str">
        <f>IFERROR(IF($G611="","",$G611*$S$621/$G$621/Cadastro!$E$33),"")</f>
        <v/>
      </c>
      <c r="I611" s="129" t="str">
        <f>IFERROR(IF($D611="","",VLOOKUP($D611,Cadastro!$C$4:$G$7,5,FALSE)),"")</f>
        <v/>
      </c>
      <c r="J611" s="145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">
      <c r="A612" s="68">
        <v>46257</v>
      </c>
      <c r="B612" s="25">
        <f t="shared" si="161"/>
        <v>0.95833333333333293</v>
      </c>
      <c r="C612" s="33"/>
      <c r="D612" s="62"/>
      <c r="E612" s="121"/>
      <c r="F612" s="122" t="str">
        <f>IFERROR(IF($D612="","",VLOOKUP($D612,Cadastro!$C$4:$E$7,3,FALSE)),"")</f>
        <v/>
      </c>
      <c r="G612" s="114"/>
      <c r="H612" s="122" t="str">
        <f>IFERROR(IF($G612="","",$G612*$S$621/$G$621/Cadastro!$E$33),"")</f>
        <v/>
      </c>
      <c r="I612" s="129" t="str">
        <f>IFERROR(IF($D612="","",VLOOKUP($D612,Cadastro!$C$4:$G$7,5,FALSE)),"")</f>
        <v/>
      </c>
      <c r="J612" s="145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">
      <c r="A613" s="69">
        <v>46257</v>
      </c>
      <c r="B613" s="32">
        <f t="shared" si="161"/>
        <v>0.99999999999999956</v>
      </c>
      <c r="C613" s="33"/>
      <c r="D613" s="62"/>
      <c r="E613" s="121"/>
      <c r="F613" s="122" t="str">
        <f>IFERROR(IF($D613="","",VLOOKUP($D613,Cadastro!$C$4:$E$7,3,FALSE)),"")</f>
        <v/>
      </c>
      <c r="G613" s="114"/>
      <c r="H613" s="122" t="str">
        <f>IFERROR(IF($G613="","",$G613*$S$621/$G$621/Cadastro!$E$33),"")</f>
        <v/>
      </c>
      <c r="I613" s="129" t="str">
        <f>IFERROR(IF($D613="","",VLOOKUP($D613,Cadastro!$C$4:$G$7,5,FALSE)),"")</f>
        <v/>
      </c>
      <c r="J613" s="145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">
      <c r="A614" s="68">
        <v>46257</v>
      </c>
      <c r="B614" s="25">
        <f t="shared" si="161"/>
        <v>1.0416666666666663</v>
      </c>
      <c r="C614" s="33"/>
      <c r="D614" s="62"/>
      <c r="E614" s="121"/>
      <c r="F614" s="122" t="str">
        <f>IFERROR(IF($D614="","",VLOOKUP($D614,Cadastro!$C$4:$E$7,3,FALSE)),"")</f>
        <v/>
      </c>
      <c r="G614" s="114"/>
      <c r="H614" s="122" t="str">
        <f>IFERROR(IF($G614="","",$G614*$S$621/$G$621/Cadastro!$E$33),"")</f>
        <v/>
      </c>
      <c r="I614" s="129" t="str">
        <f>IFERROR(IF($D614="","",VLOOKUP($D614,Cadastro!$C$4:$G$7,5,FALSE)),"")</f>
        <v/>
      </c>
      <c r="J614" s="145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">
      <c r="A615" s="69">
        <v>46257</v>
      </c>
      <c r="B615" s="32">
        <f t="shared" si="161"/>
        <v>1.083333333333333</v>
      </c>
      <c r="C615" s="33"/>
      <c r="D615" s="62"/>
      <c r="E615" s="121"/>
      <c r="F615" s="122" t="str">
        <f>IFERROR(IF($D615="","",VLOOKUP($D615,Cadastro!$C$4:$E$7,3,FALSE)),"")</f>
        <v/>
      </c>
      <c r="G615" s="114"/>
      <c r="H615" s="122" t="str">
        <f>IFERROR(IF($G615="","",$G615*$S$621/$G$621/Cadastro!$E$33),"")</f>
        <v/>
      </c>
      <c r="I615" s="129" t="str">
        <f>IFERROR(IF($D615="","",VLOOKUP($D615,Cadastro!$C$4:$G$7,5,FALSE)),"")</f>
        <v/>
      </c>
      <c r="J615" s="145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">
      <c r="A616" s="68">
        <v>46257</v>
      </c>
      <c r="B616" s="25">
        <f t="shared" si="161"/>
        <v>1.1249999999999998</v>
      </c>
      <c r="C616" s="33"/>
      <c r="D616" s="62"/>
      <c r="E616" s="121"/>
      <c r="F616" s="122" t="str">
        <f>IFERROR(IF($D616="","",VLOOKUP($D616,Cadastro!$C$4:$E$7,3,FALSE)),"")</f>
        <v/>
      </c>
      <c r="G616" s="114"/>
      <c r="H616" s="122" t="str">
        <f>IFERROR(IF($G616="","",$G616*$S$621/$G$621/Cadastro!$E$33),"")</f>
        <v/>
      </c>
      <c r="I616" s="129" t="str">
        <f>IFERROR(IF($D616="","",VLOOKUP($D616,Cadastro!$C$4:$G$7,5,FALSE)),"")</f>
        <v/>
      </c>
      <c r="J616" s="145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">
      <c r="A617" s="69">
        <v>46257</v>
      </c>
      <c r="B617" s="32">
        <f t="shared" si="161"/>
        <v>1.1666666666666665</v>
      </c>
      <c r="C617" s="33"/>
      <c r="D617" s="62"/>
      <c r="E617" s="121"/>
      <c r="F617" s="122" t="str">
        <f>IFERROR(IF($D617="","",VLOOKUP($D617,Cadastro!$C$4:$E$7,3,FALSE)),"")</f>
        <v/>
      </c>
      <c r="G617" s="114"/>
      <c r="H617" s="122" t="str">
        <f>IFERROR(IF($G617="","",$G617*$S$621/$G$621/Cadastro!$E$33),"")</f>
        <v/>
      </c>
      <c r="I617" s="129" t="str">
        <f>IFERROR(IF($D617="","",VLOOKUP($D617,Cadastro!$C$4:$G$7,5,FALSE)),"")</f>
        <v/>
      </c>
      <c r="J617" s="145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">
      <c r="A618" s="68">
        <v>46257</v>
      </c>
      <c r="B618" s="25">
        <f t="shared" si="161"/>
        <v>1.2083333333333333</v>
      </c>
      <c r="C618" s="33"/>
      <c r="D618" s="62"/>
      <c r="E618" s="121"/>
      <c r="F618" s="122" t="str">
        <f>IFERROR(IF($D618="","",VLOOKUP($D618,Cadastro!$C$4:$E$7,3,FALSE)),"")</f>
        <v/>
      </c>
      <c r="G618" s="114"/>
      <c r="H618" s="122" t="str">
        <f>IFERROR(IF($G618="","",$G618*$S$621/$G$621/Cadastro!$E$33),"")</f>
        <v/>
      </c>
      <c r="I618" s="129" t="str">
        <f>IFERROR(IF($D618="","",VLOOKUP($D618,Cadastro!$C$4:$G$7,5,FALSE)),"")</f>
        <v/>
      </c>
      <c r="J618" s="145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">
      <c r="A619" s="69">
        <v>46257</v>
      </c>
      <c r="B619" s="32">
        <f t="shared" si="161"/>
        <v>1.25</v>
      </c>
      <c r="C619" s="33"/>
      <c r="D619" s="62"/>
      <c r="E619" s="121"/>
      <c r="F619" s="122" t="str">
        <f>IFERROR(IF($D619="","",VLOOKUP($D619,Cadastro!$C$4:$E$7,3,FALSE)),"")</f>
        <v/>
      </c>
      <c r="G619" s="114"/>
      <c r="H619" s="122" t="str">
        <f>IFERROR(IF($G619="","",$G619*$S$621/$G$621/Cadastro!$E$33),"")</f>
        <v/>
      </c>
      <c r="I619" s="129" t="str">
        <f>IFERROR(IF($D619="","",VLOOKUP($D619,Cadastro!$C$4:$G$7,5,FALSE)),"")</f>
        <v/>
      </c>
      <c r="J619" s="145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5">
      <c r="A620" s="68">
        <v>46257</v>
      </c>
      <c r="B620" s="25">
        <f t="shared" si="161"/>
        <v>1.2916666666666667</v>
      </c>
      <c r="C620" s="33"/>
      <c r="D620" s="62"/>
      <c r="E620" s="121"/>
      <c r="F620" s="118" t="str">
        <f>IFERROR(IF($D620="","",VLOOKUP($D620,Cadastro!$C$4:$E$7,3,FALSE)),"")</f>
        <v/>
      </c>
      <c r="G620" s="114"/>
      <c r="H620" s="118" t="str">
        <f>IFERROR(IF($G620="","",$G620*$S$621/$G$621/Cadastro!$E$33),"")</f>
        <v/>
      </c>
      <c r="I620" s="130" t="str">
        <f>IFERROR(IF($D620="","",VLOOKUP($D620,Cadastro!$C$4:$G$7,5,FALSE)),"")</f>
        <v/>
      </c>
      <c r="J620" s="146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5">
      <c r="A621" s="168" t="s">
        <v>234</v>
      </c>
      <c r="B621" s="169"/>
      <c r="C621" s="169"/>
      <c r="D621" s="169"/>
      <c r="E621" s="169">
        <f>SUM(E609:E620)</f>
        <v>0</v>
      </c>
      <c r="F621" s="124"/>
      <c r="G621" s="88">
        <f>SUM(G609:G620)</f>
        <v>0</v>
      </c>
      <c r="H621" s="124">
        <f>IFERROR(SUM(H609:H620),"")</f>
        <v>0</v>
      </c>
      <c r="I621" s="133"/>
      <c r="J621" s="149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232</v>
      </c>
      <c r="S621" s="39"/>
      <c r="T621" s="141">
        <f>IFERROR(J621,"")</f>
        <v>0</v>
      </c>
    </row>
    <row r="622" spans="1:20" ht="18" customHeight="1" x14ac:dyDescent="0.3">
      <c r="A622" s="165" t="s">
        <v>235</v>
      </c>
      <c r="B622" s="166"/>
      <c r="C622" s="166"/>
      <c r="D622" s="166"/>
      <c r="E622" s="166">
        <f>E608+E621</f>
        <v>0</v>
      </c>
      <c r="F622" s="125"/>
      <c r="G622" s="100">
        <f>G608+G621</f>
        <v>0</v>
      </c>
      <c r="H622" s="125">
        <f>IFERROR(H608+H621,"")</f>
        <v>0</v>
      </c>
      <c r="I622" s="134"/>
      <c r="J622" s="150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236</v>
      </c>
      <c r="S622" s="48">
        <f>IFERROR(S608+S621,"")</f>
        <v>0</v>
      </c>
      <c r="T622" s="143">
        <f>IFERROR(J622,"")</f>
        <v>0</v>
      </c>
    </row>
    <row r="623" spans="1:20" ht="15" customHeight="1" x14ac:dyDescent="0.3">
      <c r="A623" s="69">
        <v>46258</v>
      </c>
      <c r="B623" s="32">
        <v>0.33333333333333298</v>
      </c>
      <c r="C623" s="33"/>
      <c r="D623" s="62"/>
      <c r="E623" s="121"/>
      <c r="F623" s="119" t="str">
        <f>IFERROR(IF($D623="","",VLOOKUP($D623,Cadastro!$C$4:$E$7,3,FALSE)),"")</f>
        <v/>
      </c>
      <c r="G623" s="114"/>
      <c r="H623" s="119" t="str">
        <f>IFERROR(IF($G623="","",$G623*$S$635/$G$635/Cadastro!$E$33),"")</f>
        <v/>
      </c>
      <c r="I623" s="132" t="str">
        <f>IFERROR(IF($D623="","",VLOOKUP($D623,Cadastro!$C$4:$G$7,5,FALSE)),"")</f>
        <v/>
      </c>
      <c r="J623" s="148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8">
        <v>46258</v>
      </c>
      <c r="B624" s="25">
        <f t="shared" ref="B624:B634" si="165">B623+TIME(0,60,0)</f>
        <v>0.37499999999999967</v>
      </c>
      <c r="C624" s="33"/>
      <c r="D624" s="62"/>
      <c r="E624" s="121"/>
      <c r="F624" s="122" t="str">
        <f>IFERROR(IF($D624="","",VLOOKUP($D624,Cadastro!$C$4:$E$7,3,FALSE)),"")</f>
        <v/>
      </c>
      <c r="G624" s="114"/>
      <c r="H624" s="122" t="str">
        <f>IFERROR(IF($G624="","",$G624*$S$635/$G$635/Cadastro!$E$33),"")</f>
        <v/>
      </c>
      <c r="I624" s="129" t="str">
        <f>IFERROR(IF($D624="","",VLOOKUP($D624,Cadastro!$C$4:$G$7,5,FALSE)),"")</f>
        <v/>
      </c>
      <c r="J624" s="145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">
      <c r="A625" s="69">
        <v>46258</v>
      </c>
      <c r="B625" s="32">
        <f t="shared" si="165"/>
        <v>0.41666666666666635</v>
      </c>
      <c r="C625" s="33"/>
      <c r="D625" s="62"/>
      <c r="E625" s="121"/>
      <c r="F625" s="122" t="str">
        <f>IFERROR(IF($D625="","",VLOOKUP($D625,Cadastro!$C$4:$E$7,3,FALSE)),"")</f>
        <v/>
      </c>
      <c r="G625" s="114"/>
      <c r="H625" s="122" t="str">
        <f>IFERROR(IF($G625="","",$G625*$S$635/$G$635/Cadastro!$E$33),"")</f>
        <v/>
      </c>
      <c r="I625" s="129" t="str">
        <f>IFERROR(IF($D625="","",VLOOKUP($D625,Cadastro!$C$4:$G$7,5,FALSE)),"")</f>
        <v/>
      </c>
      <c r="J625" s="145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">
      <c r="A626" s="68">
        <v>46258</v>
      </c>
      <c r="B626" s="25">
        <f t="shared" si="165"/>
        <v>0.45833333333333304</v>
      </c>
      <c r="C626" s="33"/>
      <c r="D626" s="62"/>
      <c r="E626" s="121"/>
      <c r="F626" s="122" t="str">
        <f>IFERROR(IF($D626="","",VLOOKUP($D626,Cadastro!$C$4:$E$7,3,FALSE)),"")</f>
        <v/>
      </c>
      <c r="G626" s="114"/>
      <c r="H626" s="122" t="str">
        <f>IFERROR(IF($G626="","",$G626*$S$635/$G$635/Cadastro!$E$33),"")</f>
        <v/>
      </c>
      <c r="I626" s="129" t="str">
        <f>IFERROR(IF($D626="","",VLOOKUP($D626,Cadastro!$C$4:$G$7,5,FALSE)),"")</f>
        <v/>
      </c>
      <c r="J626" s="145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">
      <c r="A627" s="69">
        <v>46258</v>
      </c>
      <c r="B627" s="32">
        <f t="shared" si="165"/>
        <v>0.49999999999999972</v>
      </c>
      <c r="C627" s="33"/>
      <c r="D627" s="62"/>
      <c r="E627" s="121"/>
      <c r="F627" s="122" t="str">
        <f>IFERROR(IF($D627="","",VLOOKUP($D627,Cadastro!$C$4:$E$7,3,FALSE)),"")</f>
        <v/>
      </c>
      <c r="G627" s="114"/>
      <c r="H627" s="122" t="str">
        <f>IFERROR(IF($G627="","",$G627*$S$635/$G$635/Cadastro!$E$33),"")</f>
        <v/>
      </c>
      <c r="I627" s="129" t="str">
        <f>IFERROR(IF($D627="","",VLOOKUP($D627,Cadastro!$C$4:$G$7,5,FALSE)),"")</f>
        <v/>
      </c>
      <c r="J627" s="145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">
      <c r="A628" s="68">
        <v>46258</v>
      </c>
      <c r="B628" s="25">
        <f t="shared" si="165"/>
        <v>0.54166666666666641</v>
      </c>
      <c r="C628" s="33"/>
      <c r="D628" s="62"/>
      <c r="E628" s="121"/>
      <c r="F628" s="122" t="str">
        <f>IFERROR(IF($D628="","",VLOOKUP($D628,Cadastro!$C$4:$E$7,3,FALSE)),"")</f>
        <v/>
      </c>
      <c r="G628" s="114"/>
      <c r="H628" s="122" t="str">
        <f>IFERROR(IF($G628="","",$G628*$S$635/$G$635/Cadastro!$E$33),"")</f>
        <v/>
      </c>
      <c r="I628" s="129" t="str">
        <f>IFERROR(IF($D628="","",VLOOKUP($D628,Cadastro!$C$4:$G$7,5,FALSE)),"")</f>
        <v/>
      </c>
      <c r="J628" s="145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">
      <c r="A629" s="69">
        <v>46258</v>
      </c>
      <c r="B629" s="32">
        <f t="shared" si="165"/>
        <v>0.58333333333333304</v>
      </c>
      <c r="C629" s="33"/>
      <c r="D629" s="62"/>
      <c r="E629" s="121"/>
      <c r="F629" s="122" t="str">
        <f>IFERROR(IF($D629="","",VLOOKUP($D629,Cadastro!$C$4:$E$7,3,FALSE)),"")</f>
        <v/>
      </c>
      <c r="G629" s="114"/>
      <c r="H629" s="122" t="str">
        <f>IFERROR(IF($G629="","",$G629*$S$635/$G$635/Cadastro!$E$33),"")</f>
        <v/>
      </c>
      <c r="I629" s="129" t="str">
        <f>IFERROR(IF($D629="","",VLOOKUP($D629,Cadastro!$C$4:$G$7,5,FALSE)),"")</f>
        <v/>
      </c>
      <c r="J629" s="145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">
      <c r="A630" s="68">
        <v>46258</v>
      </c>
      <c r="B630" s="25">
        <f t="shared" si="165"/>
        <v>0.62499999999999967</v>
      </c>
      <c r="C630" s="33"/>
      <c r="D630" s="62"/>
      <c r="E630" s="121"/>
      <c r="F630" s="122" t="str">
        <f>IFERROR(IF($D630="","",VLOOKUP($D630,Cadastro!$C$4:$E$7,3,FALSE)),"")</f>
        <v/>
      </c>
      <c r="G630" s="114"/>
      <c r="H630" s="122" t="str">
        <f>IFERROR(IF($G630="","",$G630*$S$635/$G$635/Cadastro!$E$33),"")</f>
        <v/>
      </c>
      <c r="I630" s="129" t="str">
        <f>IFERROR(IF($D630="","",VLOOKUP($D630,Cadastro!$C$4:$G$7,5,FALSE)),"")</f>
        <v/>
      </c>
      <c r="J630" s="145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">
      <c r="A631" s="69">
        <v>46258</v>
      </c>
      <c r="B631" s="32">
        <f t="shared" si="165"/>
        <v>0.6666666666666663</v>
      </c>
      <c r="C631" s="33"/>
      <c r="D631" s="62"/>
      <c r="E631" s="121"/>
      <c r="F631" s="122" t="str">
        <f>IFERROR(IF($D631="","",VLOOKUP($D631,Cadastro!$C$4:$E$7,3,FALSE)),"")</f>
        <v/>
      </c>
      <c r="G631" s="114"/>
      <c r="H631" s="122" t="str">
        <f>IFERROR(IF($G631="","",$G631*$S$635/$G$635/Cadastro!$E$33),"")</f>
        <v/>
      </c>
      <c r="I631" s="129" t="str">
        <f>IFERROR(IF($D631="","",VLOOKUP($D631,Cadastro!$C$4:$G$7,5,FALSE)),"")</f>
        <v/>
      </c>
      <c r="J631" s="145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">
      <c r="A632" s="68">
        <v>46258</v>
      </c>
      <c r="B632" s="25">
        <f t="shared" si="165"/>
        <v>0.70833333333333293</v>
      </c>
      <c r="C632" s="33"/>
      <c r="D632" s="62"/>
      <c r="E632" s="121"/>
      <c r="F632" s="122" t="str">
        <f>IFERROR(IF($D632="","",VLOOKUP($D632,Cadastro!$C$4:$E$7,3,FALSE)),"")</f>
        <v/>
      </c>
      <c r="G632" s="114"/>
      <c r="H632" s="122" t="str">
        <f>IFERROR(IF($G632="","",$G632*$S$635/$G$635/Cadastro!$E$33),"")</f>
        <v/>
      </c>
      <c r="I632" s="129" t="str">
        <f>IFERROR(IF($D632="","",VLOOKUP($D632,Cadastro!$C$4:$G$7,5,FALSE)),"")</f>
        <v/>
      </c>
      <c r="J632" s="145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">
      <c r="A633" s="69">
        <v>46258</v>
      </c>
      <c r="B633" s="32">
        <f t="shared" si="165"/>
        <v>0.74999999999999956</v>
      </c>
      <c r="C633" s="33"/>
      <c r="D633" s="62"/>
      <c r="E633" s="121"/>
      <c r="F633" s="122" t="str">
        <f>IFERROR(IF($D633="","",VLOOKUP($D633,Cadastro!$C$4:$E$7,3,FALSE)),"")</f>
        <v/>
      </c>
      <c r="G633" s="114"/>
      <c r="H633" s="122" t="str">
        <f>IFERROR(IF($G633="","",$G633*$S$635/$G$635/Cadastro!$E$33),"")</f>
        <v/>
      </c>
      <c r="I633" s="129" t="str">
        <f>IFERROR(IF($D633="","",VLOOKUP($D633,Cadastro!$C$4:$G$7,5,FALSE)),"")</f>
        <v/>
      </c>
      <c r="J633" s="145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5">
      <c r="A634" s="68">
        <v>46258</v>
      </c>
      <c r="B634" s="25">
        <f t="shared" si="165"/>
        <v>0.79166666666666619</v>
      </c>
      <c r="C634" s="33"/>
      <c r="D634" s="62"/>
      <c r="E634" s="121"/>
      <c r="F634" s="118" t="str">
        <f>IFERROR(IF($D634="","",VLOOKUP($D634,Cadastro!$C$4:$E$7,3,FALSE)),"")</f>
        <v/>
      </c>
      <c r="G634" s="114"/>
      <c r="H634" s="118" t="str">
        <f>IFERROR(IF($G634="","",$G634*$S$635/$G$635/Cadastro!$E$33),"")</f>
        <v/>
      </c>
      <c r="I634" s="130" t="str">
        <f>IFERROR(IF($D634="","",VLOOKUP($D634,Cadastro!$C$4:$G$7,5,FALSE)),"")</f>
        <v/>
      </c>
      <c r="J634" s="146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5">
      <c r="A635" s="168" t="s">
        <v>231</v>
      </c>
      <c r="B635" s="169"/>
      <c r="C635" s="169"/>
      <c r="D635" s="169"/>
      <c r="E635" s="169">
        <f>SUM(E623:E634)</f>
        <v>0</v>
      </c>
      <c r="F635" s="123"/>
      <c r="G635" s="88">
        <f>SUM(G623:G634)</f>
        <v>0</v>
      </c>
      <c r="H635" s="123">
        <f>IFERROR(SUM(H623:H634),"")</f>
        <v>0</v>
      </c>
      <c r="I635" s="131"/>
      <c r="J635" s="147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232</v>
      </c>
      <c r="S635" s="39"/>
      <c r="T635" s="141">
        <f>IFERROR(J635,"")</f>
        <v>0</v>
      </c>
    </row>
    <row r="636" spans="1:20" ht="15" customHeight="1" x14ac:dyDescent="0.3">
      <c r="A636" s="68">
        <v>46258</v>
      </c>
      <c r="B636" s="25">
        <v>0.83333333333333304</v>
      </c>
      <c r="C636" s="26"/>
      <c r="D636" s="59"/>
      <c r="E636" s="120"/>
      <c r="F636" s="119" t="str">
        <f>IFERROR(IF($D636="","",VLOOKUP($D636,Cadastro!$C$4:$E$7,3,FALSE)),"")</f>
        <v/>
      </c>
      <c r="G636" s="114"/>
      <c r="H636" s="119" t="str">
        <f>IFERROR(IF($G636="","",$G636*$S$648/$G$648/Cadastro!$E$33),"")</f>
        <v/>
      </c>
      <c r="I636" s="132" t="str">
        <f>IFERROR(IF($D636="","",VLOOKUP($D636,Cadastro!$C$4:$G$7,5,FALSE)),"")</f>
        <v/>
      </c>
      <c r="J636" s="148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9">
        <v>46258</v>
      </c>
      <c r="B637" s="32">
        <f t="shared" ref="B637:B647" si="169">B636+TIME(0,60,0)</f>
        <v>0.87499999999999967</v>
      </c>
      <c r="C637" s="26"/>
      <c r="D637" s="59"/>
      <c r="E637" s="120"/>
      <c r="F637" s="122" t="str">
        <f>IFERROR(IF($D637="","",VLOOKUP($D637,Cadastro!$C$4:$E$7,3,FALSE)),"")</f>
        <v/>
      </c>
      <c r="G637" s="114"/>
      <c r="H637" s="122" t="str">
        <f>IFERROR(IF($G637="","",$G637*$S$648/$G$648/Cadastro!$E$33),"")</f>
        <v/>
      </c>
      <c r="I637" s="129" t="str">
        <f>IFERROR(IF($D637="","",VLOOKUP($D637,Cadastro!$C$4:$G$7,5,FALSE)),"")</f>
        <v/>
      </c>
      <c r="J637" s="145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">
      <c r="A638" s="68">
        <v>46258</v>
      </c>
      <c r="B638" s="25">
        <f t="shared" si="169"/>
        <v>0.9166666666666663</v>
      </c>
      <c r="C638" s="26"/>
      <c r="D638" s="59"/>
      <c r="E638" s="120"/>
      <c r="F638" s="122" t="str">
        <f>IFERROR(IF($D638="","",VLOOKUP($D638,Cadastro!$C$4:$E$7,3,FALSE)),"")</f>
        <v/>
      </c>
      <c r="G638" s="114"/>
      <c r="H638" s="122" t="str">
        <f>IFERROR(IF($G638="","",$G638*$S$648/$G$648/Cadastro!$E$33),"")</f>
        <v/>
      </c>
      <c r="I638" s="129" t="str">
        <f>IFERROR(IF($D638="","",VLOOKUP($D638,Cadastro!$C$4:$G$7,5,FALSE)),"")</f>
        <v/>
      </c>
      <c r="J638" s="145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">
      <c r="A639" s="69">
        <v>46258</v>
      </c>
      <c r="B639" s="32">
        <f t="shared" si="169"/>
        <v>0.95833333333333293</v>
      </c>
      <c r="C639" s="26"/>
      <c r="D639" s="59"/>
      <c r="E639" s="120"/>
      <c r="F639" s="122" t="str">
        <f>IFERROR(IF($D639="","",VLOOKUP($D639,Cadastro!$C$4:$E$7,3,FALSE)),"")</f>
        <v/>
      </c>
      <c r="G639" s="114"/>
      <c r="H639" s="122" t="str">
        <f>IFERROR(IF($G639="","",$G639*$S$648/$G$648/Cadastro!$E$33),"")</f>
        <v/>
      </c>
      <c r="I639" s="129" t="str">
        <f>IFERROR(IF($D639="","",VLOOKUP($D639,Cadastro!$C$4:$G$7,5,FALSE)),"")</f>
        <v/>
      </c>
      <c r="J639" s="145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">
      <c r="A640" s="68">
        <v>46258</v>
      </c>
      <c r="B640" s="25">
        <f t="shared" si="169"/>
        <v>0.99999999999999956</v>
      </c>
      <c r="C640" s="26"/>
      <c r="D640" s="59"/>
      <c r="E640" s="120"/>
      <c r="F640" s="122" t="str">
        <f>IFERROR(IF($D640="","",VLOOKUP($D640,Cadastro!$C$4:$E$7,3,FALSE)),"")</f>
        <v/>
      </c>
      <c r="G640" s="114"/>
      <c r="H640" s="122" t="str">
        <f>IFERROR(IF($G640="","",$G640*$S$648/$G$648/Cadastro!$E$33),"")</f>
        <v/>
      </c>
      <c r="I640" s="129" t="str">
        <f>IFERROR(IF($D640="","",VLOOKUP($D640,Cadastro!$C$4:$G$7,5,FALSE)),"")</f>
        <v/>
      </c>
      <c r="J640" s="145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">
      <c r="A641" s="69">
        <v>46258</v>
      </c>
      <c r="B641" s="32">
        <f t="shared" si="169"/>
        <v>1.0416666666666663</v>
      </c>
      <c r="C641" s="26"/>
      <c r="D641" s="59"/>
      <c r="E641" s="120"/>
      <c r="F641" s="122" t="str">
        <f>IFERROR(IF($D641="","",VLOOKUP($D641,Cadastro!$C$4:$E$7,3,FALSE)),"")</f>
        <v/>
      </c>
      <c r="G641" s="114"/>
      <c r="H641" s="122" t="str">
        <f>IFERROR(IF($G641="","",$G641*$S$648/$G$648/Cadastro!$E$33),"")</f>
        <v/>
      </c>
      <c r="I641" s="129" t="str">
        <f>IFERROR(IF($D641="","",VLOOKUP($D641,Cadastro!$C$4:$G$7,5,FALSE)),"")</f>
        <v/>
      </c>
      <c r="J641" s="145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">
      <c r="A642" s="68">
        <v>46258</v>
      </c>
      <c r="B642" s="25">
        <f t="shared" si="169"/>
        <v>1.083333333333333</v>
      </c>
      <c r="C642" s="26"/>
      <c r="D642" s="59"/>
      <c r="E642" s="120"/>
      <c r="F642" s="122" t="str">
        <f>IFERROR(IF($D642="","",VLOOKUP($D642,Cadastro!$C$4:$E$7,3,FALSE)),"")</f>
        <v/>
      </c>
      <c r="G642" s="114"/>
      <c r="H642" s="122" t="str">
        <f>IFERROR(IF($G642="","",$G642*$S$648/$G$648/Cadastro!$E$33),"")</f>
        <v/>
      </c>
      <c r="I642" s="129" t="str">
        <f>IFERROR(IF($D642="","",VLOOKUP($D642,Cadastro!$C$4:$G$7,5,FALSE)),"")</f>
        <v/>
      </c>
      <c r="J642" s="145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">
      <c r="A643" s="69">
        <v>46258</v>
      </c>
      <c r="B643" s="32">
        <f t="shared" si="169"/>
        <v>1.1249999999999998</v>
      </c>
      <c r="C643" s="26"/>
      <c r="D643" s="59"/>
      <c r="E643" s="120"/>
      <c r="F643" s="122" t="str">
        <f>IFERROR(IF($D643="","",VLOOKUP($D643,Cadastro!$C$4:$E$7,3,FALSE)),"")</f>
        <v/>
      </c>
      <c r="G643" s="114"/>
      <c r="H643" s="122" t="str">
        <f>IFERROR(IF($G643="","",$G643*$S$648/$G$648/Cadastro!$E$33),"")</f>
        <v/>
      </c>
      <c r="I643" s="129" t="str">
        <f>IFERROR(IF($D643="","",VLOOKUP($D643,Cadastro!$C$4:$G$7,5,FALSE)),"")</f>
        <v/>
      </c>
      <c r="J643" s="145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">
      <c r="A644" s="68">
        <v>46258</v>
      </c>
      <c r="B644" s="25">
        <f t="shared" si="169"/>
        <v>1.1666666666666665</v>
      </c>
      <c r="C644" s="26"/>
      <c r="D644" s="59"/>
      <c r="E644" s="120"/>
      <c r="F644" s="122" t="str">
        <f>IFERROR(IF($D644="","",VLOOKUP($D644,Cadastro!$C$4:$E$7,3,FALSE)),"")</f>
        <v/>
      </c>
      <c r="G644" s="114"/>
      <c r="H644" s="122" t="str">
        <f>IFERROR(IF($G644="","",$G644*$S$648/$G$648/Cadastro!$E$33),"")</f>
        <v/>
      </c>
      <c r="I644" s="129" t="str">
        <f>IFERROR(IF($D644="","",VLOOKUP($D644,Cadastro!$C$4:$G$7,5,FALSE)),"")</f>
        <v/>
      </c>
      <c r="J644" s="145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">
      <c r="A645" s="69">
        <v>46258</v>
      </c>
      <c r="B645" s="32">
        <f t="shared" si="169"/>
        <v>1.2083333333333333</v>
      </c>
      <c r="C645" s="26"/>
      <c r="D645" s="59"/>
      <c r="E645" s="120"/>
      <c r="F645" s="122" t="str">
        <f>IFERROR(IF($D645="","",VLOOKUP($D645,Cadastro!$C$4:$E$7,3,FALSE)),"")</f>
        <v/>
      </c>
      <c r="G645" s="114"/>
      <c r="H645" s="122" t="str">
        <f>IFERROR(IF($G645="","",$G645*$S$648/$G$648/Cadastro!$E$33),"")</f>
        <v/>
      </c>
      <c r="I645" s="129" t="str">
        <f>IFERROR(IF($D645="","",VLOOKUP($D645,Cadastro!$C$4:$G$7,5,FALSE)),"")</f>
        <v/>
      </c>
      <c r="J645" s="145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">
      <c r="A646" s="68">
        <v>46258</v>
      </c>
      <c r="B646" s="25">
        <f t="shared" si="169"/>
        <v>1.25</v>
      </c>
      <c r="C646" s="26"/>
      <c r="D646" s="59"/>
      <c r="E646" s="120"/>
      <c r="F646" s="122" t="str">
        <f>IFERROR(IF($D646="","",VLOOKUP($D646,Cadastro!$C$4:$E$7,3,FALSE)),"")</f>
        <v/>
      </c>
      <c r="G646" s="114"/>
      <c r="H646" s="122" t="str">
        <f>IFERROR(IF($G646="","",$G646*$S$648/$G$648/Cadastro!$E$33),"")</f>
        <v/>
      </c>
      <c r="I646" s="129" t="str">
        <f>IFERROR(IF($D646="","",VLOOKUP($D646,Cadastro!$C$4:$G$7,5,FALSE)),"")</f>
        <v/>
      </c>
      <c r="J646" s="145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5">
      <c r="A647" s="69">
        <v>46258</v>
      </c>
      <c r="B647" s="32">
        <f t="shared" si="169"/>
        <v>1.2916666666666667</v>
      </c>
      <c r="C647" s="26"/>
      <c r="D647" s="59"/>
      <c r="E647" s="120"/>
      <c r="F647" s="118" t="str">
        <f>IFERROR(IF($D647="","",VLOOKUP($D647,Cadastro!$C$4:$E$7,3,FALSE)),"")</f>
        <v/>
      </c>
      <c r="G647" s="114"/>
      <c r="H647" s="118" t="str">
        <f>IFERROR(IF($G647="","",$G647*$S$648/$G$648/Cadastro!$E$33),"")</f>
        <v/>
      </c>
      <c r="I647" s="130" t="str">
        <f>IFERROR(IF($D647="","",VLOOKUP($D647,Cadastro!$C$4:$G$7,5,FALSE)),"")</f>
        <v/>
      </c>
      <c r="J647" s="146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5">
      <c r="A648" s="168" t="s">
        <v>234</v>
      </c>
      <c r="B648" s="169"/>
      <c r="C648" s="169"/>
      <c r="D648" s="169"/>
      <c r="E648" s="169">
        <f>SUM(E636:E647)</f>
        <v>0</v>
      </c>
      <c r="F648" s="124"/>
      <c r="G648" s="88">
        <f>SUM(G636:G647)</f>
        <v>0</v>
      </c>
      <c r="H648" s="124">
        <f>IFERROR(SUM(H636:H647),"")</f>
        <v>0</v>
      </c>
      <c r="I648" s="133"/>
      <c r="J648" s="149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232</v>
      </c>
      <c r="S648" s="39"/>
      <c r="T648" s="141">
        <f>IFERROR(J648,"")</f>
        <v>0</v>
      </c>
    </row>
    <row r="649" spans="1:20" ht="18" customHeight="1" x14ac:dyDescent="0.3">
      <c r="A649" s="165" t="s">
        <v>235</v>
      </c>
      <c r="B649" s="166"/>
      <c r="C649" s="166"/>
      <c r="D649" s="166"/>
      <c r="E649" s="166">
        <f>E635+E648</f>
        <v>0</v>
      </c>
      <c r="F649" s="125"/>
      <c r="G649" s="100">
        <f>G635+G648</f>
        <v>0</v>
      </c>
      <c r="H649" s="125">
        <f>IFERROR(H635+H648,"")</f>
        <v>0</v>
      </c>
      <c r="I649" s="134"/>
      <c r="J649" s="150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236</v>
      </c>
      <c r="S649" s="48">
        <f>IFERROR(S635+S648,"")</f>
        <v>0</v>
      </c>
      <c r="T649" s="143">
        <f>IFERROR(J649,"")</f>
        <v>0</v>
      </c>
    </row>
    <row r="650" spans="1:20" ht="15" customHeight="1" x14ac:dyDescent="0.3">
      <c r="A650" s="68">
        <v>46259</v>
      </c>
      <c r="B650" s="25">
        <v>0.33333333333333298</v>
      </c>
      <c r="C650" s="26"/>
      <c r="D650" s="59"/>
      <c r="E650" s="120"/>
      <c r="F650" s="119" t="str">
        <f>IFERROR(IF($D650="","",VLOOKUP($D650,Cadastro!$C$4:$E$7,3,FALSE)),"")</f>
        <v/>
      </c>
      <c r="G650" s="114"/>
      <c r="H650" s="119" t="str">
        <f>IFERROR(IF($G650="","",$G650*$S$662/$G$662/Cadastro!$E$33),"")</f>
        <v/>
      </c>
      <c r="I650" s="132" t="str">
        <f>IFERROR(IF($D650="","",VLOOKUP($D650,Cadastro!$C$4:$G$7,5,FALSE)),"")</f>
        <v/>
      </c>
      <c r="J650" s="148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9">
        <v>46259</v>
      </c>
      <c r="B651" s="32">
        <f t="shared" ref="B651:B661" si="173">B650+TIME(0,60,0)</f>
        <v>0.37499999999999967</v>
      </c>
      <c r="C651" s="26"/>
      <c r="D651" s="59"/>
      <c r="E651" s="120"/>
      <c r="F651" s="122" t="str">
        <f>IFERROR(IF($D651="","",VLOOKUP($D651,Cadastro!$C$4:$E$7,3,FALSE)),"")</f>
        <v/>
      </c>
      <c r="G651" s="114"/>
      <c r="H651" s="122" t="str">
        <f>IFERROR(IF($G651="","",$G651*$S$662/$G$662/Cadastro!$E$33),"")</f>
        <v/>
      </c>
      <c r="I651" s="129" t="str">
        <f>IFERROR(IF($D651="","",VLOOKUP($D651,Cadastro!$C$4:$G$7,5,FALSE)),"")</f>
        <v/>
      </c>
      <c r="J651" s="145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">
      <c r="A652" s="68">
        <v>46259</v>
      </c>
      <c r="B652" s="25">
        <f t="shared" si="173"/>
        <v>0.41666666666666635</v>
      </c>
      <c r="C652" s="26"/>
      <c r="D652" s="59"/>
      <c r="E652" s="120"/>
      <c r="F652" s="122" t="str">
        <f>IFERROR(IF($D652="","",VLOOKUP($D652,Cadastro!$C$4:$E$7,3,FALSE)),"")</f>
        <v/>
      </c>
      <c r="G652" s="114"/>
      <c r="H652" s="122" t="str">
        <f>IFERROR(IF($G652="","",$G652*$S$662/$G$662/Cadastro!$E$33),"")</f>
        <v/>
      </c>
      <c r="I652" s="129" t="str">
        <f>IFERROR(IF($D652="","",VLOOKUP($D652,Cadastro!$C$4:$G$7,5,FALSE)),"")</f>
        <v/>
      </c>
      <c r="J652" s="145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">
      <c r="A653" s="69">
        <v>46259</v>
      </c>
      <c r="B653" s="32">
        <f t="shared" si="173"/>
        <v>0.45833333333333304</v>
      </c>
      <c r="C653" s="26"/>
      <c r="D653" s="59"/>
      <c r="E653" s="120"/>
      <c r="F653" s="122" t="str">
        <f>IFERROR(IF($D653="","",VLOOKUP($D653,Cadastro!$C$4:$E$7,3,FALSE)),"")</f>
        <v/>
      </c>
      <c r="G653" s="114"/>
      <c r="H653" s="122" t="str">
        <f>IFERROR(IF($G653="","",$G653*$S$662/$G$662/Cadastro!$E$33),"")</f>
        <v/>
      </c>
      <c r="I653" s="129" t="str">
        <f>IFERROR(IF($D653="","",VLOOKUP($D653,Cadastro!$C$4:$G$7,5,FALSE)),"")</f>
        <v/>
      </c>
      <c r="J653" s="145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">
      <c r="A654" s="68">
        <v>46259</v>
      </c>
      <c r="B654" s="25">
        <f t="shared" si="173"/>
        <v>0.49999999999999972</v>
      </c>
      <c r="C654" s="26"/>
      <c r="D654" s="59"/>
      <c r="E654" s="120"/>
      <c r="F654" s="122" t="str">
        <f>IFERROR(IF($D654="","",VLOOKUP($D654,Cadastro!$C$4:$E$7,3,FALSE)),"")</f>
        <v/>
      </c>
      <c r="G654" s="114"/>
      <c r="H654" s="122" t="str">
        <f>IFERROR(IF($G654="","",$G654*$S$662/$G$662/Cadastro!$E$33),"")</f>
        <v/>
      </c>
      <c r="I654" s="129" t="str">
        <f>IFERROR(IF($D654="","",VLOOKUP($D654,Cadastro!$C$4:$G$7,5,FALSE)),"")</f>
        <v/>
      </c>
      <c r="J654" s="145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">
      <c r="A655" s="69">
        <v>46259</v>
      </c>
      <c r="B655" s="32">
        <f t="shared" si="173"/>
        <v>0.54166666666666641</v>
      </c>
      <c r="C655" s="26"/>
      <c r="D655" s="59"/>
      <c r="E655" s="120"/>
      <c r="F655" s="122" t="str">
        <f>IFERROR(IF($D655="","",VLOOKUP($D655,Cadastro!$C$4:$E$7,3,FALSE)),"")</f>
        <v/>
      </c>
      <c r="G655" s="114"/>
      <c r="H655" s="122" t="str">
        <f>IFERROR(IF($G655="","",$G655*$S$662/$G$662/Cadastro!$E$33),"")</f>
        <v/>
      </c>
      <c r="I655" s="129" t="str">
        <f>IFERROR(IF($D655="","",VLOOKUP($D655,Cadastro!$C$4:$G$7,5,FALSE)),"")</f>
        <v/>
      </c>
      <c r="J655" s="145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">
      <c r="A656" s="68">
        <v>46259</v>
      </c>
      <c r="B656" s="25">
        <f t="shared" si="173"/>
        <v>0.58333333333333304</v>
      </c>
      <c r="C656" s="26"/>
      <c r="D656" s="59"/>
      <c r="E656" s="120"/>
      <c r="F656" s="122" t="str">
        <f>IFERROR(IF($D656="","",VLOOKUP($D656,Cadastro!$C$4:$E$7,3,FALSE)),"")</f>
        <v/>
      </c>
      <c r="G656" s="114"/>
      <c r="H656" s="122" t="str">
        <f>IFERROR(IF($G656="","",$G656*$S$662/$G$662/Cadastro!$E$33),"")</f>
        <v/>
      </c>
      <c r="I656" s="129" t="str">
        <f>IFERROR(IF($D656="","",VLOOKUP($D656,Cadastro!$C$4:$G$7,5,FALSE)),"")</f>
        <v/>
      </c>
      <c r="J656" s="145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">
      <c r="A657" s="69">
        <v>46259</v>
      </c>
      <c r="B657" s="32">
        <f t="shared" si="173"/>
        <v>0.62499999999999967</v>
      </c>
      <c r="C657" s="26"/>
      <c r="D657" s="59"/>
      <c r="E657" s="120"/>
      <c r="F657" s="122" t="str">
        <f>IFERROR(IF($D657="","",VLOOKUP($D657,Cadastro!$C$4:$E$7,3,FALSE)),"")</f>
        <v/>
      </c>
      <c r="G657" s="114"/>
      <c r="H657" s="122" t="str">
        <f>IFERROR(IF($G657="","",$G657*$S$662/$G$662/Cadastro!$E$33),"")</f>
        <v/>
      </c>
      <c r="I657" s="129" t="str">
        <f>IFERROR(IF($D657="","",VLOOKUP($D657,Cadastro!$C$4:$G$7,5,FALSE)),"")</f>
        <v/>
      </c>
      <c r="J657" s="145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">
      <c r="A658" s="68">
        <v>46259</v>
      </c>
      <c r="B658" s="25">
        <f t="shared" si="173"/>
        <v>0.6666666666666663</v>
      </c>
      <c r="C658" s="26"/>
      <c r="D658" s="59"/>
      <c r="E658" s="120"/>
      <c r="F658" s="122" t="str">
        <f>IFERROR(IF($D658="","",VLOOKUP($D658,Cadastro!$C$4:$E$7,3,FALSE)),"")</f>
        <v/>
      </c>
      <c r="G658" s="114"/>
      <c r="H658" s="122" t="str">
        <f>IFERROR(IF($G658="","",$G658*$S$662/$G$662/Cadastro!$E$33),"")</f>
        <v/>
      </c>
      <c r="I658" s="129" t="str">
        <f>IFERROR(IF($D658="","",VLOOKUP($D658,Cadastro!$C$4:$G$7,5,FALSE)),"")</f>
        <v/>
      </c>
      <c r="J658" s="145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">
      <c r="A659" s="69">
        <v>46259</v>
      </c>
      <c r="B659" s="32">
        <f t="shared" si="173"/>
        <v>0.70833333333333293</v>
      </c>
      <c r="C659" s="26"/>
      <c r="D659" s="59"/>
      <c r="E659" s="120"/>
      <c r="F659" s="122" t="str">
        <f>IFERROR(IF($D659="","",VLOOKUP($D659,Cadastro!$C$4:$E$7,3,FALSE)),"")</f>
        <v/>
      </c>
      <c r="G659" s="114"/>
      <c r="H659" s="122" t="str">
        <f>IFERROR(IF($G659="","",$G659*$S$662/$G$662/Cadastro!$E$33),"")</f>
        <v/>
      </c>
      <c r="I659" s="129" t="str">
        <f>IFERROR(IF($D659="","",VLOOKUP($D659,Cadastro!$C$4:$G$7,5,FALSE)),"")</f>
        <v/>
      </c>
      <c r="J659" s="145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">
      <c r="A660" s="68">
        <v>46259</v>
      </c>
      <c r="B660" s="25">
        <f t="shared" si="173"/>
        <v>0.74999999999999956</v>
      </c>
      <c r="C660" s="26"/>
      <c r="D660" s="59"/>
      <c r="E660" s="120"/>
      <c r="F660" s="122" t="str">
        <f>IFERROR(IF($D660="","",VLOOKUP($D660,Cadastro!$C$4:$E$7,3,FALSE)),"")</f>
        <v/>
      </c>
      <c r="G660" s="114"/>
      <c r="H660" s="122" t="str">
        <f>IFERROR(IF($G660="","",$G660*$S$662/$G$662/Cadastro!$E$33),"")</f>
        <v/>
      </c>
      <c r="I660" s="129" t="str">
        <f>IFERROR(IF($D660="","",VLOOKUP($D660,Cadastro!$C$4:$G$7,5,FALSE)),"")</f>
        <v/>
      </c>
      <c r="J660" s="145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5">
      <c r="A661" s="69">
        <v>46259</v>
      </c>
      <c r="B661" s="32">
        <f t="shared" si="173"/>
        <v>0.79166666666666619</v>
      </c>
      <c r="C661" s="26"/>
      <c r="D661" s="59"/>
      <c r="E661" s="120"/>
      <c r="F661" s="118" t="str">
        <f>IFERROR(IF($D661="","",VLOOKUP($D661,Cadastro!$C$4:$E$7,3,FALSE)),"")</f>
        <v/>
      </c>
      <c r="G661" s="114"/>
      <c r="H661" s="118" t="str">
        <f>IFERROR(IF($G661="","",$G661*$S$662/$G$662/Cadastro!$E$33),"")</f>
        <v/>
      </c>
      <c r="I661" s="130" t="str">
        <f>IFERROR(IF($D661="","",VLOOKUP($D661,Cadastro!$C$4:$G$7,5,FALSE)),"")</f>
        <v/>
      </c>
      <c r="J661" s="146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5">
      <c r="A662" s="168" t="s">
        <v>231</v>
      </c>
      <c r="B662" s="169"/>
      <c r="C662" s="169"/>
      <c r="D662" s="169"/>
      <c r="E662" s="169">
        <f>SUM(E650:E661)</f>
        <v>0</v>
      </c>
      <c r="F662" s="123"/>
      <c r="G662" s="88">
        <f>SUM(G650:G661)</f>
        <v>0</v>
      </c>
      <c r="H662" s="123">
        <f>IFERROR(SUM(H650:H661),"")</f>
        <v>0</v>
      </c>
      <c r="I662" s="131"/>
      <c r="J662" s="147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232</v>
      </c>
      <c r="S662" s="39"/>
      <c r="T662" s="141">
        <f>IFERROR(J662,"")</f>
        <v>0</v>
      </c>
    </row>
    <row r="663" spans="1:20" ht="15" customHeight="1" x14ac:dyDescent="0.3">
      <c r="A663" s="69">
        <v>46259</v>
      </c>
      <c r="B663" s="32">
        <v>0.83333333333333304</v>
      </c>
      <c r="C663" s="33"/>
      <c r="D663" s="62"/>
      <c r="E663" s="121"/>
      <c r="F663" s="119" t="str">
        <f>IFERROR(IF($D663="","",VLOOKUP($D663,Cadastro!$C$4:$E$7,3,FALSE)),"")</f>
        <v/>
      </c>
      <c r="G663" s="114"/>
      <c r="H663" s="119" t="str">
        <f>IFERROR(IF($G663="","",$G663*$S$675/$G$675/Cadastro!$E$33),"")</f>
        <v/>
      </c>
      <c r="I663" s="132" t="str">
        <f>IFERROR(IF($D663="","",VLOOKUP($D663,Cadastro!$C$4:$G$7,5,FALSE)),"")</f>
        <v/>
      </c>
      <c r="J663" s="148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8">
        <v>46259</v>
      </c>
      <c r="B664" s="25">
        <f t="shared" ref="B664:B674" si="177">B663+TIME(0,60,0)</f>
        <v>0.87499999999999967</v>
      </c>
      <c r="C664" s="33"/>
      <c r="D664" s="62"/>
      <c r="E664" s="121"/>
      <c r="F664" s="122" t="str">
        <f>IFERROR(IF($D664="","",VLOOKUP($D664,Cadastro!$C$4:$E$7,3,FALSE)),"")</f>
        <v/>
      </c>
      <c r="G664" s="114"/>
      <c r="H664" s="122" t="str">
        <f>IFERROR(IF($G664="","",$G664*$S$675/$G$675/Cadastro!$E$33),"")</f>
        <v/>
      </c>
      <c r="I664" s="129" t="str">
        <f>IFERROR(IF($D664="","",VLOOKUP($D664,Cadastro!$C$4:$G$7,5,FALSE)),"")</f>
        <v/>
      </c>
      <c r="J664" s="145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">
      <c r="A665" s="69">
        <v>46259</v>
      </c>
      <c r="B665" s="32">
        <f t="shared" si="177"/>
        <v>0.9166666666666663</v>
      </c>
      <c r="C665" s="33"/>
      <c r="D665" s="62"/>
      <c r="E665" s="121"/>
      <c r="F665" s="122" t="str">
        <f>IFERROR(IF($D665="","",VLOOKUP($D665,Cadastro!$C$4:$E$7,3,FALSE)),"")</f>
        <v/>
      </c>
      <c r="G665" s="114"/>
      <c r="H665" s="122" t="str">
        <f>IFERROR(IF($G665="","",$G665*$S$675/$G$675/Cadastro!$E$33),"")</f>
        <v/>
      </c>
      <c r="I665" s="129" t="str">
        <f>IFERROR(IF($D665="","",VLOOKUP($D665,Cadastro!$C$4:$G$7,5,FALSE)),"")</f>
        <v/>
      </c>
      <c r="J665" s="145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">
      <c r="A666" s="68">
        <v>46259</v>
      </c>
      <c r="B666" s="25">
        <f t="shared" si="177"/>
        <v>0.95833333333333293</v>
      </c>
      <c r="C666" s="33"/>
      <c r="D666" s="62"/>
      <c r="E666" s="121"/>
      <c r="F666" s="122" t="str">
        <f>IFERROR(IF($D666="","",VLOOKUP($D666,Cadastro!$C$4:$E$7,3,FALSE)),"")</f>
        <v/>
      </c>
      <c r="G666" s="114"/>
      <c r="H666" s="122" t="str">
        <f>IFERROR(IF($G666="","",$G666*$S$675/$G$675/Cadastro!$E$33),"")</f>
        <v/>
      </c>
      <c r="I666" s="129" t="str">
        <f>IFERROR(IF($D666="","",VLOOKUP($D666,Cadastro!$C$4:$G$7,5,FALSE)),"")</f>
        <v/>
      </c>
      <c r="J666" s="145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">
      <c r="A667" s="69">
        <v>46259</v>
      </c>
      <c r="B667" s="32">
        <f t="shared" si="177"/>
        <v>0.99999999999999956</v>
      </c>
      <c r="C667" s="33"/>
      <c r="D667" s="62"/>
      <c r="E667" s="121"/>
      <c r="F667" s="122" t="str">
        <f>IFERROR(IF($D667="","",VLOOKUP($D667,Cadastro!$C$4:$E$7,3,FALSE)),"")</f>
        <v/>
      </c>
      <c r="G667" s="114"/>
      <c r="H667" s="122" t="str">
        <f>IFERROR(IF($G667="","",$G667*$S$675/$G$675/Cadastro!$E$33),"")</f>
        <v/>
      </c>
      <c r="I667" s="129" t="str">
        <f>IFERROR(IF($D667="","",VLOOKUP($D667,Cadastro!$C$4:$G$7,5,FALSE)),"")</f>
        <v/>
      </c>
      <c r="J667" s="145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">
      <c r="A668" s="68">
        <v>46259</v>
      </c>
      <c r="B668" s="25">
        <f t="shared" si="177"/>
        <v>1.0416666666666663</v>
      </c>
      <c r="C668" s="33"/>
      <c r="D668" s="62"/>
      <c r="E668" s="121"/>
      <c r="F668" s="122" t="str">
        <f>IFERROR(IF($D668="","",VLOOKUP($D668,Cadastro!$C$4:$E$7,3,FALSE)),"")</f>
        <v/>
      </c>
      <c r="G668" s="114"/>
      <c r="H668" s="122" t="str">
        <f>IFERROR(IF($G668="","",$G668*$S$675/$G$675/Cadastro!$E$33),"")</f>
        <v/>
      </c>
      <c r="I668" s="129" t="str">
        <f>IFERROR(IF($D668="","",VLOOKUP($D668,Cadastro!$C$4:$G$7,5,FALSE)),"")</f>
        <v/>
      </c>
      <c r="J668" s="145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">
      <c r="A669" s="69">
        <v>46259</v>
      </c>
      <c r="B669" s="32">
        <f t="shared" si="177"/>
        <v>1.083333333333333</v>
      </c>
      <c r="C669" s="33"/>
      <c r="D669" s="62"/>
      <c r="E669" s="121"/>
      <c r="F669" s="122" t="str">
        <f>IFERROR(IF($D669="","",VLOOKUP($D669,Cadastro!$C$4:$E$7,3,FALSE)),"")</f>
        <v/>
      </c>
      <c r="G669" s="114"/>
      <c r="H669" s="122" t="str">
        <f>IFERROR(IF($G669="","",$G669*$S$675/$G$675/Cadastro!$E$33),"")</f>
        <v/>
      </c>
      <c r="I669" s="129" t="str">
        <f>IFERROR(IF($D669="","",VLOOKUP($D669,Cadastro!$C$4:$G$7,5,FALSE)),"")</f>
        <v/>
      </c>
      <c r="J669" s="145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">
      <c r="A670" s="68">
        <v>46259</v>
      </c>
      <c r="B670" s="25">
        <f t="shared" si="177"/>
        <v>1.1249999999999998</v>
      </c>
      <c r="C670" s="33"/>
      <c r="D670" s="62"/>
      <c r="E670" s="121"/>
      <c r="F670" s="122" t="str">
        <f>IFERROR(IF($D670="","",VLOOKUP($D670,Cadastro!$C$4:$E$7,3,FALSE)),"")</f>
        <v/>
      </c>
      <c r="G670" s="114"/>
      <c r="H670" s="122" t="str">
        <f>IFERROR(IF($G670="","",$G670*$S$675/$G$675/Cadastro!$E$33),"")</f>
        <v/>
      </c>
      <c r="I670" s="129" t="str">
        <f>IFERROR(IF($D670="","",VLOOKUP($D670,Cadastro!$C$4:$G$7,5,FALSE)),"")</f>
        <v/>
      </c>
      <c r="J670" s="145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">
      <c r="A671" s="69">
        <v>46259</v>
      </c>
      <c r="B671" s="32">
        <f t="shared" si="177"/>
        <v>1.1666666666666665</v>
      </c>
      <c r="C671" s="33"/>
      <c r="D671" s="62"/>
      <c r="E671" s="121"/>
      <c r="F671" s="122" t="str">
        <f>IFERROR(IF($D671="","",VLOOKUP($D671,Cadastro!$C$4:$E$7,3,FALSE)),"")</f>
        <v/>
      </c>
      <c r="G671" s="114"/>
      <c r="H671" s="122" t="str">
        <f>IFERROR(IF($G671="","",$G671*$S$675/$G$675/Cadastro!$E$33),"")</f>
        <v/>
      </c>
      <c r="I671" s="129" t="str">
        <f>IFERROR(IF($D671="","",VLOOKUP($D671,Cadastro!$C$4:$G$7,5,FALSE)),"")</f>
        <v/>
      </c>
      <c r="J671" s="145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">
      <c r="A672" s="68">
        <v>46259</v>
      </c>
      <c r="B672" s="25">
        <f t="shared" si="177"/>
        <v>1.2083333333333333</v>
      </c>
      <c r="C672" s="33"/>
      <c r="D672" s="62"/>
      <c r="E672" s="121"/>
      <c r="F672" s="122" t="str">
        <f>IFERROR(IF($D672="","",VLOOKUP($D672,Cadastro!$C$4:$E$7,3,FALSE)),"")</f>
        <v/>
      </c>
      <c r="G672" s="114"/>
      <c r="H672" s="122" t="str">
        <f>IFERROR(IF($G672="","",$G672*$S$675/$G$675/Cadastro!$E$33),"")</f>
        <v/>
      </c>
      <c r="I672" s="129" t="str">
        <f>IFERROR(IF($D672="","",VLOOKUP($D672,Cadastro!$C$4:$G$7,5,FALSE)),"")</f>
        <v/>
      </c>
      <c r="J672" s="145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">
      <c r="A673" s="69">
        <v>46259</v>
      </c>
      <c r="B673" s="32">
        <f t="shared" si="177"/>
        <v>1.25</v>
      </c>
      <c r="C673" s="33"/>
      <c r="D673" s="62"/>
      <c r="E673" s="121"/>
      <c r="F673" s="122" t="str">
        <f>IFERROR(IF($D673="","",VLOOKUP($D673,Cadastro!$C$4:$E$7,3,FALSE)),"")</f>
        <v/>
      </c>
      <c r="G673" s="114"/>
      <c r="H673" s="122" t="str">
        <f>IFERROR(IF($G673="","",$G673*$S$675/$G$675/Cadastro!$E$33),"")</f>
        <v/>
      </c>
      <c r="I673" s="129" t="str">
        <f>IFERROR(IF($D673="","",VLOOKUP($D673,Cadastro!$C$4:$G$7,5,FALSE)),"")</f>
        <v/>
      </c>
      <c r="J673" s="145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5">
      <c r="A674" s="68">
        <v>46259</v>
      </c>
      <c r="B674" s="25">
        <f t="shared" si="177"/>
        <v>1.2916666666666667</v>
      </c>
      <c r="C674" s="26"/>
      <c r="D674" s="59"/>
      <c r="E674" s="120"/>
      <c r="F674" s="118" t="str">
        <f>IFERROR(IF($D674="","",VLOOKUP($D674,Cadastro!$C$4:$E$7,3,FALSE)),"")</f>
        <v/>
      </c>
      <c r="G674" s="114"/>
      <c r="H674" s="118" t="str">
        <f>IFERROR(IF($G674="","",$G674*$S$675/$G$675/Cadastro!$E$33),"")</f>
        <v/>
      </c>
      <c r="I674" s="130" t="str">
        <f>IFERROR(IF($D674="","",VLOOKUP($D674,Cadastro!$C$4:$G$7,5,FALSE)),"")</f>
        <v/>
      </c>
      <c r="J674" s="146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5">
      <c r="A675" s="168" t="s">
        <v>234</v>
      </c>
      <c r="B675" s="169"/>
      <c r="C675" s="169"/>
      <c r="D675" s="169"/>
      <c r="E675" s="169">
        <f>SUM(E663:E674)</f>
        <v>0</v>
      </c>
      <c r="F675" s="124"/>
      <c r="G675" s="88">
        <f>SUM(G663:G674)</f>
        <v>0</v>
      </c>
      <c r="H675" s="124">
        <f>IFERROR(SUM(H663:H674),"")</f>
        <v>0</v>
      </c>
      <c r="I675" s="133"/>
      <c r="J675" s="149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232</v>
      </c>
      <c r="S675" s="39"/>
      <c r="T675" s="141">
        <f>IFERROR(J675,"")</f>
        <v>0</v>
      </c>
    </row>
    <row r="676" spans="1:20" ht="18" customHeight="1" x14ac:dyDescent="0.3">
      <c r="A676" s="165" t="s">
        <v>235</v>
      </c>
      <c r="B676" s="166"/>
      <c r="C676" s="166"/>
      <c r="D676" s="166"/>
      <c r="E676" s="166">
        <f>E662+E675</f>
        <v>0</v>
      </c>
      <c r="F676" s="125"/>
      <c r="G676" s="100">
        <f>G662+G675</f>
        <v>0</v>
      </c>
      <c r="H676" s="125">
        <f>IFERROR(H662+H675,"")</f>
        <v>0</v>
      </c>
      <c r="I676" s="134"/>
      <c r="J676" s="150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236</v>
      </c>
      <c r="S676" s="48">
        <f>IFERROR(S662+S675,"")</f>
        <v>0</v>
      </c>
      <c r="T676" s="143">
        <f>IFERROR(J676,"")</f>
        <v>0</v>
      </c>
    </row>
    <row r="677" spans="1:20" ht="15" customHeight="1" x14ac:dyDescent="0.3">
      <c r="A677" s="69">
        <v>46260</v>
      </c>
      <c r="B677" s="32">
        <v>0.33333333333333298</v>
      </c>
      <c r="C677" s="33"/>
      <c r="D677" s="62"/>
      <c r="E677" s="121"/>
      <c r="F677" s="119" t="str">
        <f>IFERROR(IF($D677="","",VLOOKUP($D677,Cadastro!$C$4:$E$7,3,FALSE)),"")</f>
        <v/>
      </c>
      <c r="G677" s="114"/>
      <c r="H677" s="119" t="str">
        <f>IFERROR(IF($G677="","",$G677*$S$689/$G$689/Cadastro!$E$33),"")</f>
        <v/>
      </c>
      <c r="I677" s="132" t="str">
        <f>IFERROR(IF($D677="","",VLOOKUP($D677,Cadastro!$C$4:$G$7,5,FALSE)),"")</f>
        <v/>
      </c>
      <c r="J677" s="148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8">
        <v>46260</v>
      </c>
      <c r="B678" s="25">
        <f t="shared" ref="B678:B688" si="181">B677+TIME(0,60,0)</f>
        <v>0.37499999999999967</v>
      </c>
      <c r="C678" s="33"/>
      <c r="D678" s="62"/>
      <c r="E678" s="121"/>
      <c r="F678" s="122" t="str">
        <f>IFERROR(IF($D678="","",VLOOKUP($D678,Cadastro!$C$4:$E$7,3,FALSE)),"")</f>
        <v/>
      </c>
      <c r="G678" s="114"/>
      <c r="H678" s="122" t="str">
        <f>IFERROR(IF($G678="","",$G678*$S$689/$G$689/Cadastro!$E$33),"")</f>
        <v/>
      </c>
      <c r="I678" s="129" t="str">
        <f>IFERROR(IF($D678="","",VLOOKUP($D678,Cadastro!$C$4:$G$7,5,FALSE)),"")</f>
        <v/>
      </c>
      <c r="J678" s="145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">
      <c r="A679" s="69">
        <v>46260</v>
      </c>
      <c r="B679" s="32">
        <f t="shared" si="181"/>
        <v>0.41666666666666635</v>
      </c>
      <c r="C679" s="33"/>
      <c r="D679" s="62"/>
      <c r="E679" s="121"/>
      <c r="F679" s="122" t="str">
        <f>IFERROR(IF($D679="","",VLOOKUP($D679,Cadastro!$C$4:$E$7,3,FALSE)),"")</f>
        <v/>
      </c>
      <c r="G679" s="114"/>
      <c r="H679" s="122" t="str">
        <f>IFERROR(IF($G679="","",$G679*$S$689/$G$689/Cadastro!$E$33),"")</f>
        <v/>
      </c>
      <c r="I679" s="129" t="str">
        <f>IFERROR(IF($D679="","",VLOOKUP($D679,Cadastro!$C$4:$G$7,5,FALSE)),"")</f>
        <v/>
      </c>
      <c r="J679" s="145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">
      <c r="A680" s="68">
        <v>46260</v>
      </c>
      <c r="B680" s="25">
        <f t="shared" si="181"/>
        <v>0.45833333333333304</v>
      </c>
      <c r="C680" s="33"/>
      <c r="D680" s="62"/>
      <c r="E680" s="121"/>
      <c r="F680" s="122" t="str">
        <f>IFERROR(IF($D680="","",VLOOKUP($D680,Cadastro!$C$4:$E$7,3,FALSE)),"")</f>
        <v/>
      </c>
      <c r="G680" s="114"/>
      <c r="H680" s="122" t="str">
        <f>IFERROR(IF($G680="","",$G680*$S$689/$G$689/Cadastro!$E$33),"")</f>
        <v/>
      </c>
      <c r="I680" s="129" t="str">
        <f>IFERROR(IF($D680="","",VLOOKUP($D680,Cadastro!$C$4:$G$7,5,FALSE)),"")</f>
        <v/>
      </c>
      <c r="J680" s="145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">
      <c r="A681" s="69">
        <v>46260</v>
      </c>
      <c r="B681" s="32">
        <f t="shared" si="181"/>
        <v>0.49999999999999972</v>
      </c>
      <c r="C681" s="33"/>
      <c r="D681" s="62"/>
      <c r="E681" s="121"/>
      <c r="F681" s="122" t="str">
        <f>IFERROR(IF($D681="","",VLOOKUP($D681,Cadastro!$C$4:$E$7,3,FALSE)),"")</f>
        <v/>
      </c>
      <c r="G681" s="114"/>
      <c r="H681" s="122" t="str">
        <f>IFERROR(IF($G681="","",$G681*$S$689/$G$689/Cadastro!$E$33),"")</f>
        <v/>
      </c>
      <c r="I681" s="129" t="str">
        <f>IFERROR(IF($D681="","",VLOOKUP($D681,Cadastro!$C$4:$G$7,5,FALSE)),"")</f>
        <v/>
      </c>
      <c r="J681" s="145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">
      <c r="A682" s="68">
        <v>46260</v>
      </c>
      <c r="B682" s="25">
        <f t="shared" si="181"/>
        <v>0.54166666666666641</v>
      </c>
      <c r="C682" s="33"/>
      <c r="D682" s="62"/>
      <c r="E682" s="121"/>
      <c r="F682" s="122" t="str">
        <f>IFERROR(IF($D682="","",VLOOKUP($D682,Cadastro!$C$4:$E$7,3,FALSE)),"")</f>
        <v/>
      </c>
      <c r="G682" s="114"/>
      <c r="H682" s="122" t="str">
        <f>IFERROR(IF($G682="","",$G682*$S$689/$G$689/Cadastro!$E$33),"")</f>
        <v/>
      </c>
      <c r="I682" s="129" t="str">
        <f>IFERROR(IF($D682="","",VLOOKUP($D682,Cadastro!$C$4:$G$7,5,FALSE)),"")</f>
        <v/>
      </c>
      <c r="J682" s="145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">
      <c r="A683" s="69">
        <v>46260</v>
      </c>
      <c r="B683" s="32">
        <f t="shared" si="181"/>
        <v>0.58333333333333304</v>
      </c>
      <c r="C683" s="33"/>
      <c r="D683" s="62"/>
      <c r="E683" s="121"/>
      <c r="F683" s="122" t="str">
        <f>IFERROR(IF($D683="","",VLOOKUP($D683,Cadastro!$C$4:$E$7,3,FALSE)),"")</f>
        <v/>
      </c>
      <c r="G683" s="114"/>
      <c r="H683" s="122" t="str">
        <f>IFERROR(IF($G683="","",$G683*$S$689/$G$689/Cadastro!$E$33),"")</f>
        <v/>
      </c>
      <c r="I683" s="129" t="str">
        <f>IFERROR(IF($D683="","",VLOOKUP($D683,Cadastro!$C$4:$G$7,5,FALSE)),"")</f>
        <v/>
      </c>
      <c r="J683" s="145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">
      <c r="A684" s="68">
        <v>46260</v>
      </c>
      <c r="B684" s="25">
        <f t="shared" si="181"/>
        <v>0.62499999999999967</v>
      </c>
      <c r="C684" s="33"/>
      <c r="D684" s="62"/>
      <c r="E684" s="121"/>
      <c r="F684" s="122" t="str">
        <f>IFERROR(IF($D684="","",VLOOKUP($D684,Cadastro!$C$4:$E$7,3,FALSE)),"")</f>
        <v/>
      </c>
      <c r="G684" s="114"/>
      <c r="H684" s="122" t="str">
        <f>IFERROR(IF($G684="","",$G684*$S$689/$G$689/Cadastro!$E$33),"")</f>
        <v/>
      </c>
      <c r="I684" s="129" t="str">
        <f>IFERROR(IF($D684="","",VLOOKUP($D684,Cadastro!$C$4:$G$7,5,FALSE)),"")</f>
        <v/>
      </c>
      <c r="J684" s="145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">
      <c r="A685" s="69">
        <v>46260</v>
      </c>
      <c r="B685" s="32">
        <f t="shared" si="181"/>
        <v>0.6666666666666663</v>
      </c>
      <c r="C685" s="33"/>
      <c r="D685" s="62"/>
      <c r="E685" s="121"/>
      <c r="F685" s="122" t="str">
        <f>IFERROR(IF($D685="","",VLOOKUP($D685,Cadastro!$C$4:$E$7,3,FALSE)),"")</f>
        <v/>
      </c>
      <c r="G685" s="114"/>
      <c r="H685" s="122" t="str">
        <f>IFERROR(IF($G685="","",$G685*$S$689/$G$689/Cadastro!$E$33),"")</f>
        <v/>
      </c>
      <c r="I685" s="129" t="str">
        <f>IFERROR(IF($D685="","",VLOOKUP($D685,Cadastro!$C$4:$G$7,5,FALSE)),"")</f>
        <v/>
      </c>
      <c r="J685" s="145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">
      <c r="A686" s="68">
        <v>46260</v>
      </c>
      <c r="B686" s="25">
        <f t="shared" si="181"/>
        <v>0.70833333333333293</v>
      </c>
      <c r="C686" s="33"/>
      <c r="D686" s="62"/>
      <c r="E686" s="121"/>
      <c r="F686" s="122" t="str">
        <f>IFERROR(IF($D686="","",VLOOKUP($D686,Cadastro!$C$4:$E$7,3,FALSE)),"")</f>
        <v/>
      </c>
      <c r="G686" s="114"/>
      <c r="H686" s="122" t="str">
        <f>IFERROR(IF($G686="","",$G686*$S$689/$G$689/Cadastro!$E$33),"")</f>
        <v/>
      </c>
      <c r="I686" s="129" t="str">
        <f>IFERROR(IF($D686="","",VLOOKUP($D686,Cadastro!$C$4:$G$7,5,FALSE)),"")</f>
        <v/>
      </c>
      <c r="J686" s="145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">
      <c r="A687" s="69">
        <v>46260</v>
      </c>
      <c r="B687" s="32">
        <f t="shared" si="181"/>
        <v>0.74999999999999956</v>
      </c>
      <c r="C687" s="33"/>
      <c r="D687" s="62"/>
      <c r="E687" s="121"/>
      <c r="F687" s="122" t="str">
        <f>IFERROR(IF($D687="","",VLOOKUP($D687,Cadastro!$C$4:$E$7,3,FALSE)),"")</f>
        <v/>
      </c>
      <c r="G687" s="114"/>
      <c r="H687" s="122" t="str">
        <f>IFERROR(IF($G687="","",$G687*$S$689/$G$689/Cadastro!$E$33),"")</f>
        <v/>
      </c>
      <c r="I687" s="129" t="str">
        <f>IFERROR(IF($D687="","",VLOOKUP($D687,Cadastro!$C$4:$G$7,5,FALSE)),"")</f>
        <v/>
      </c>
      <c r="J687" s="145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5">
      <c r="A688" s="68">
        <v>46260</v>
      </c>
      <c r="B688" s="25">
        <f t="shared" si="181"/>
        <v>0.79166666666666619</v>
      </c>
      <c r="C688" s="33"/>
      <c r="D688" s="62"/>
      <c r="E688" s="121"/>
      <c r="F688" s="118" t="str">
        <f>IFERROR(IF($D688="","",VLOOKUP($D688,Cadastro!$C$4:$E$7,3,FALSE)),"")</f>
        <v/>
      </c>
      <c r="G688" s="114"/>
      <c r="H688" s="118" t="str">
        <f>IFERROR(IF($G688="","",$G688*$S$689/$G$689/Cadastro!$E$33),"")</f>
        <v/>
      </c>
      <c r="I688" s="130" t="str">
        <f>IFERROR(IF($D688="","",VLOOKUP($D688,Cadastro!$C$4:$G$7,5,FALSE)),"")</f>
        <v/>
      </c>
      <c r="J688" s="146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5">
      <c r="A689" s="168" t="s">
        <v>231</v>
      </c>
      <c r="B689" s="169"/>
      <c r="C689" s="169"/>
      <c r="D689" s="169"/>
      <c r="E689" s="169">
        <f>SUM(E677:E688)</f>
        <v>0</v>
      </c>
      <c r="F689" s="123"/>
      <c r="G689" s="88">
        <f>SUM(G677:G688)</f>
        <v>0</v>
      </c>
      <c r="H689" s="123">
        <f>IFERROR(SUM(H677:H688),"")</f>
        <v>0</v>
      </c>
      <c r="I689" s="131"/>
      <c r="J689" s="147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232</v>
      </c>
      <c r="S689" s="39"/>
      <c r="T689" s="141">
        <f>IFERROR(J689,"")</f>
        <v>0</v>
      </c>
    </row>
    <row r="690" spans="1:20" ht="15" customHeight="1" x14ac:dyDescent="0.3">
      <c r="A690" s="68">
        <v>46260</v>
      </c>
      <c r="B690" s="25">
        <v>0.83333333333333304</v>
      </c>
      <c r="C690" s="26"/>
      <c r="D690" s="59"/>
      <c r="E690" s="120"/>
      <c r="F690" s="119" t="str">
        <f>IFERROR(IF($D690="","",VLOOKUP($D690,Cadastro!$C$4:$E$7,3,FALSE)),"")</f>
        <v/>
      </c>
      <c r="G690" s="114"/>
      <c r="H690" s="119" t="str">
        <f>IFERROR(IF($G690="","",$G690*$S$702/$G$702/Cadastro!$E$33),"")</f>
        <v/>
      </c>
      <c r="I690" s="132" t="str">
        <f>IFERROR(IF($D690="","",VLOOKUP($D690,Cadastro!$C$4:$G$7,5,FALSE)),"")</f>
        <v/>
      </c>
      <c r="J690" s="148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9">
        <v>46260</v>
      </c>
      <c r="B691" s="32">
        <f t="shared" ref="B691:B701" si="185">B690+TIME(0,60,0)</f>
        <v>0.87499999999999967</v>
      </c>
      <c r="C691" s="26"/>
      <c r="D691" s="59"/>
      <c r="E691" s="120"/>
      <c r="F691" s="122" t="str">
        <f>IFERROR(IF($D691="","",VLOOKUP($D691,Cadastro!$C$4:$E$7,3,FALSE)),"")</f>
        <v/>
      </c>
      <c r="G691" s="114"/>
      <c r="H691" s="122" t="str">
        <f>IFERROR(IF($G691="","",$G691*$S$702/$G$702/Cadastro!$E$33),"")</f>
        <v/>
      </c>
      <c r="I691" s="129" t="str">
        <f>IFERROR(IF($D691="","",VLOOKUP($D691,Cadastro!$C$4:$G$7,5,FALSE)),"")</f>
        <v/>
      </c>
      <c r="J691" s="145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">
      <c r="A692" s="68">
        <v>46260</v>
      </c>
      <c r="B692" s="25">
        <f t="shared" si="185"/>
        <v>0.9166666666666663</v>
      </c>
      <c r="C692" s="26"/>
      <c r="D692" s="59"/>
      <c r="E692" s="120"/>
      <c r="F692" s="122" t="str">
        <f>IFERROR(IF($D692="","",VLOOKUP($D692,Cadastro!$C$4:$E$7,3,FALSE)),"")</f>
        <v/>
      </c>
      <c r="G692" s="114"/>
      <c r="H692" s="122" t="str">
        <f>IFERROR(IF($G692="","",$G692*$S$702/$G$702/Cadastro!$E$33),"")</f>
        <v/>
      </c>
      <c r="I692" s="129" t="str">
        <f>IFERROR(IF($D692="","",VLOOKUP($D692,Cadastro!$C$4:$G$7,5,FALSE)),"")</f>
        <v/>
      </c>
      <c r="J692" s="145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">
      <c r="A693" s="69">
        <v>46260</v>
      </c>
      <c r="B693" s="32">
        <f t="shared" si="185"/>
        <v>0.95833333333333293</v>
      </c>
      <c r="C693" s="26"/>
      <c r="D693" s="59"/>
      <c r="E693" s="120"/>
      <c r="F693" s="122" t="str">
        <f>IFERROR(IF($D693="","",VLOOKUP($D693,Cadastro!$C$4:$E$7,3,FALSE)),"")</f>
        <v/>
      </c>
      <c r="G693" s="114"/>
      <c r="H693" s="122" t="str">
        <f>IFERROR(IF($G693="","",$G693*$S$702/$G$702/Cadastro!$E$33),"")</f>
        <v/>
      </c>
      <c r="I693" s="129" t="str">
        <f>IFERROR(IF($D693="","",VLOOKUP($D693,Cadastro!$C$4:$G$7,5,FALSE)),"")</f>
        <v/>
      </c>
      <c r="J693" s="145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">
      <c r="A694" s="68">
        <v>46260</v>
      </c>
      <c r="B694" s="25">
        <f t="shared" si="185"/>
        <v>0.99999999999999956</v>
      </c>
      <c r="C694" s="26"/>
      <c r="D694" s="59"/>
      <c r="E694" s="120"/>
      <c r="F694" s="122" t="str">
        <f>IFERROR(IF($D694="","",VLOOKUP($D694,Cadastro!$C$4:$E$7,3,FALSE)),"")</f>
        <v/>
      </c>
      <c r="G694" s="114"/>
      <c r="H694" s="122" t="str">
        <f>IFERROR(IF($G694="","",$G694*$S$702/$G$702/Cadastro!$E$33),"")</f>
        <v/>
      </c>
      <c r="I694" s="129" t="str">
        <f>IFERROR(IF($D694="","",VLOOKUP($D694,Cadastro!$C$4:$G$7,5,FALSE)),"")</f>
        <v/>
      </c>
      <c r="J694" s="145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">
      <c r="A695" s="69">
        <v>46260</v>
      </c>
      <c r="B695" s="32">
        <f t="shared" si="185"/>
        <v>1.0416666666666663</v>
      </c>
      <c r="C695" s="26"/>
      <c r="D695" s="59"/>
      <c r="E695" s="120"/>
      <c r="F695" s="122" t="str">
        <f>IFERROR(IF($D695="","",VLOOKUP($D695,Cadastro!$C$4:$E$7,3,FALSE)),"")</f>
        <v/>
      </c>
      <c r="G695" s="114"/>
      <c r="H695" s="122" t="str">
        <f>IFERROR(IF($G695="","",$G695*$S$702/$G$702/Cadastro!$E$33),"")</f>
        <v/>
      </c>
      <c r="I695" s="129" t="str">
        <f>IFERROR(IF($D695="","",VLOOKUP($D695,Cadastro!$C$4:$G$7,5,FALSE)),"")</f>
        <v/>
      </c>
      <c r="J695" s="145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">
      <c r="A696" s="68">
        <v>46260</v>
      </c>
      <c r="B696" s="25">
        <f t="shared" si="185"/>
        <v>1.083333333333333</v>
      </c>
      <c r="C696" s="26"/>
      <c r="D696" s="59"/>
      <c r="E696" s="120"/>
      <c r="F696" s="122" t="str">
        <f>IFERROR(IF($D696="","",VLOOKUP($D696,Cadastro!$C$4:$E$7,3,FALSE)),"")</f>
        <v/>
      </c>
      <c r="G696" s="114"/>
      <c r="H696" s="122" t="str">
        <f>IFERROR(IF($G696="","",$G696*$S$702/$G$702/Cadastro!$E$33),"")</f>
        <v/>
      </c>
      <c r="I696" s="129" t="str">
        <f>IFERROR(IF($D696="","",VLOOKUP($D696,Cadastro!$C$4:$G$7,5,FALSE)),"")</f>
        <v/>
      </c>
      <c r="J696" s="145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">
      <c r="A697" s="69">
        <v>46260</v>
      </c>
      <c r="B697" s="32">
        <f t="shared" si="185"/>
        <v>1.1249999999999998</v>
      </c>
      <c r="C697" s="26"/>
      <c r="D697" s="59"/>
      <c r="E697" s="120"/>
      <c r="F697" s="122" t="str">
        <f>IFERROR(IF($D697="","",VLOOKUP($D697,Cadastro!$C$4:$E$7,3,FALSE)),"")</f>
        <v/>
      </c>
      <c r="G697" s="114"/>
      <c r="H697" s="122" t="str">
        <f>IFERROR(IF($G697="","",$G697*$S$702/$G$702/Cadastro!$E$33),"")</f>
        <v/>
      </c>
      <c r="I697" s="129" t="str">
        <f>IFERROR(IF($D697="","",VLOOKUP($D697,Cadastro!$C$4:$G$7,5,FALSE)),"")</f>
        <v/>
      </c>
      <c r="J697" s="145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">
      <c r="A698" s="68">
        <v>46260</v>
      </c>
      <c r="B698" s="25">
        <f t="shared" si="185"/>
        <v>1.1666666666666665</v>
      </c>
      <c r="C698" s="26"/>
      <c r="D698" s="59"/>
      <c r="E698" s="120"/>
      <c r="F698" s="122" t="str">
        <f>IFERROR(IF($D698="","",VLOOKUP($D698,Cadastro!$C$4:$E$7,3,FALSE)),"")</f>
        <v/>
      </c>
      <c r="G698" s="114"/>
      <c r="H698" s="122" t="str">
        <f>IFERROR(IF($G698="","",$G698*$S$702/$G$702/Cadastro!$E$33),"")</f>
        <v/>
      </c>
      <c r="I698" s="129" t="str">
        <f>IFERROR(IF($D698="","",VLOOKUP($D698,Cadastro!$C$4:$G$7,5,FALSE)),"")</f>
        <v/>
      </c>
      <c r="J698" s="145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">
      <c r="A699" s="69">
        <v>46260</v>
      </c>
      <c r="B699" s="32">
        <f t="shared" si="185"/>
        <v>1.2083333333333333</v>
      </c>
      <c r="C699" s="26"/>
      <c r="D699" s="59"/>
      <c r="E699" s="120"/>
      <c r="F699" s="122" t="str">
        <f>IFERROR(IF($D699="","",VLOOKUP($D699,Cadastro!$C$4:$E$7,3,FALSE)),"")</f>
        <v/>
      </c>
      <c r="G699" s="114"/>
      <c r="H699" s="122" t="str">
        <f>IFERROR(IF($G699="","",$G699*$S$702/$G$702/Cadastro!$E$33),"")</f>
        <v/>
      </c>
      <c r="I699" s="129" t="str">
        <f>IFERROR(IF($D699="","",VLOOKUP($D699,Cadastro!$C$4:$G$7,5,FALSE)),"")</f>
        <v/>
      </c>
      <c r="J699" s="145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">
      <c r="A700" s="68">
        <v>46260</v>
      </c>
      <c r="B700" s="25">
        <f t="shared" si="185"/>
        <v>1.25</v>
      </c>
      <c r="C700" s="26"/>
      <c r="D700" s="59"/>
      <c r="E700" s="120"/>
      <c r="F700" s="122" t="str">
        <f>IFERROR(IF($D700="","",VLOOKUP($D700,Cadastro!$C$4:$E$7,3,FALSE)),"")</f>
        <v/>
      </c>
      <c r="G700" s="114"/>
      <c r="H700" s="122" t="str">
        <f>IFERROR(IF($G700="","",$G700*$S$702/$G$702/Cadastro!$E$33),"")</f>
        <v/>
      </c>
      <c r="I700" s="129" t="str">
        <f>IFERROR(IF($D700="","",VLOOKUP($D700,Cadastro!$C$4:$G$7,5,FALSE)),"")</f>
        <v/>
      </c>
      <c r="J700" s="145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5">
      <c r="A701" s="69">
        <v>46260</v>
      </c>
      <c r="B701" s="32">
        <f t="shared" si="185"/>
        <v>1.2916666666666667</v>
      </c>
      <c r="C701" s="26"/>
      <c r="D701" s="59"/>
      <c r="E701" s="120"/>
      <c r="F701" s="118" t="str">
        <f>IFERROR(IF($D701="","",VLOOKUP($D701,Cadastro!$C$4:$E$7,3,FALSE)),"")</f>
        <v/>
      </c>
      <c r="G701" s="114"/>
      <c r="H701" s="118" t="str">
        <f>IFERROR(IF($G701="","",$G701*$S$702/$G$702/Cadastro!$E$33),"")</f>
        <v/>
      </c>
      <c r="I701" s="130" t="str">
        <f>IFERROR(IF($D701="","",VLOOKUP($D701,Cadastro!$C$4:$G$7,5,FALSE)),"")</f>
        <v/>
      </c>
      <c r="J701" s="146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5">
      <c r="A702" s="168" t="s">
        <v>234</v>
      </c>
      <c r="B702" s="169"/>
      <c r="C702" s="169"/>
      <c r="D702" s="169"/>
      <c r="E702" s="169">
        <f>SUM(E690:E701)</f>
        <v>0</v>
      </c>
      <c r="F702" s="124"/>
      <c r="G702" s="88">
        <f>SUM(G690:G701)</f>
        <v>0</v>
      </c>
      <c r="H702" s="124">
        <f>IFERROR(SUM(H690:H701),"")</f>
        <v>0</v>
      </c>
      <c r="I702" s="133"/>
      <c r="J702" s="149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232</v>
      </c>
      <c r="S702" s="39"/>
      <c r="T702" s="141">
        <f>IFERROR(J702,"")</f>
        <v>0</v>
      </c>
    </row>
    <row r="703" spans="1:20" ht="18" customHeight="1" x14ac:dyDescent="0.3">
      <c r="A703" s="165" t="s">
        <v>235</v>
      </c>
      <c r="B703" s="166"/>
      <c r="C703" s="166"/>
      <c r="D703" s="166"/>
      <c r="E703" s="166">
        <f>E689+E702</f>
        <v>0</v>
      </c>
      <c r="F703" s="125"/>
      <c r="G703" s="100">
        <f>G689+G702</f>
        <v>0</v>
      </c>
      <c r="H703" s="125">
        <f>IFERROR(H689+H702,"")</f>
        <v>0</v>
      </c>
      <c r="I703" s="134"/>
      <c r="J703" s="150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236</v>
      </c>
      <c r="S703" s="48">
        <f>IFERROR(S689+S702,"")</f>
        <v>0</v>
      </c>
      <c r="T703" s="143">
        <f>IFERROR(J703,"")</f>
        <v>0</v>
      </c>
    </row>
    <row r="704" spans="1:20" ht="15" customHeight="1" x14ac:dyDescent="0.3">
      <c r="A704" s="68">
        <v>46261</v>
      </c>
      <c r="B704" s="25">
        <v>0.33333333333333298</v>
      </c>
      <c r="C704" s="26"/>
      <c r="D704" s="59"/>
      <c r="E704" s="120"/>
      <c r="F704" s="119" t="str">
        <f>IFERROR(IF($D704="","",VLOOKUP($D704,Cadastro!$C$4:$E$7,3,FALSE)),"")</f>
        <v/>
      </c>
      <c r="G704" s="114"/>
      <c r="H704" s="119" t="str">
        <f>IFERROR(IF($G704="","",$G704*$S$716/$G$716/Cadastro!$E$33),"")</f>
        <v/>
      </c>
      <c r="I704" s="132" t="str">
        <f>IFERROR(IF($D704="","",VLOOKUP($D704,Cadastro!$C$4:$G$7,5,FALSE)),"")</f>
        <v/>
      </c>
      <c r="J704" s="148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9">
        <v>46261</v>
      </c>
      <c r="B705" s="32">
        <f t="shared" ref="B705:B715" si="189">B704+TIME(0,60,0)</f>
        <v>0.37499999999999967</v>
      </c>
      <c r="C705" s="26"/>
      <c r="D705" s="59"/>
      <c r="E705" s="120"/>
      <c r="F705" s="122" t="str">
        <f>IFERROR(IF($D705="","",VLOOKUP($D705,Cadastro!$C$4:$E$7,3,FALSE)),"")</f>
        <v/>
      </c>
      <c r="G705" s="114"/>
      <c r="H705" s="122" t="str">
        <f>IFERROR(IF($G705="","",$G705*$S$716/$G$716/Cadastro!$E$33),"")</f>
        <v/>
      </c>
      <c r="I705" s="129" t="str">
        <f>IFERROR(IF($D705="","",VLOOKUP($D705,Cadastro!$C$4:$G$7,5,FALSE)),"")</f>
        <v/>
      </c>
      <c r="J705" s="145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">
      <c r="A706" s="68">
        <v>46261</v>
      </c>
      <c r="B706" s="25">
        <f t="shared" si="189"/>
        <v>0.41666666666666635</v>
      </c>
      <c r="C706" s="26"/>
      <c r="D706" s="59"/>
      <c r="E706" s="120"/>
      <c r="F706" s="122" t="str">
        <f>IFERROR(IF($D706="","",VLOOKUP($D706,Cadastro!$C$4:$E$7,3,FALSE)),"")</f>
        <v/>
      </c>
      <c r="G706" s="114"/>
      <c r="H706" s="122" t="str">
        <f>IFERROR(IF($G706="","",$G706*$S$716/$G$716/Cadastro!$E$33),"")</f>
        <v/>
      </c>
      <c r="I706" s="129" t="str">
        <f>IFERROR(IF($D706="","",VLOOKUP($D706,Cadastro!$C$4:$G$7,5,FALSE)),"")</f>
        <v/>
      </c>
      <c r="J706" s="145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">
      <c r="A707" s="69">
        <v>46261</v>
      </c>
      <c r="B707" s="32">
        <f t="shared" si="189"/>
        <v>0.45833333333333304</v>
      </c>
      <c r="C707" s="26"/>
      <c r="D707" s="59"/>
      <c r="E707" s="120"/>
      <c r="F707" s="122" t="str">
        <f>IFERROR(IF($D707="","",VLOOKUP($D707,Cadastro!$C$4:$E$7,3,FALSE)),"")</f>
        <v/>
      </c>
      <c r="G707" s="114"/>
      <c r="H707" s="122" t="str">
        <f>IFERROR(IF($G707="","",$G707*$S$716/$G$716/Cadastro!$E$33),"")</f>
        <v/>
      </c>
      <c r="I707" s="129" t="str">
        <f>IFERROR(IF($D707="","",VLOOKUP($D707,Cadastro!$C$4:$G$7,5,FALSE)),"")</f>
        <v/>
      </c>
      <c r="J707" s="145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">
      <c r="A708" s="68">
        <v>46261</v>
      </c>
      <c r="B708" s="25">
        <f t="shared" si="189"/>
        <v>0.49999999999999972</v>
      </c>
      <c r="C708" s="26"/>
      <c r="D708" s="59"/>
      <c r="E708" s="120"/>
      <c r="F708" s="122" t="str">
        <f>IFERROR(IF($D708="","",VLOOKUP($D708,Cadastro!$C$4:$E$7,3,FALSE)),"")</f>
        <v/>
      </c>
      <c r="G708" s="114"/>
      <c r="H708" s="122" t="str">
        <f>IFERROR(IF($G708="","",$G708*$S$716/$G$716/Cadastro!$E$33),"")</f>
        <v/>
      </c>
      <c r="I708" s="129" t="str">
        <f>IFERROR(IF($D708="","",VLOOKUP($D708,Cadastro!$C$4:$G$7,5,FALSE)),"")</f>
        <v/>
      </c>
      <c r="J708" s="145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">
      <c r="A709" s="69">
        <v>46261</v>
      </c>
      <c r="B709" s="32">
        <f t="shared" si="189"/>
        <v>0.54166666666666641</v>
      </c>
      <c r="C709" s="26"/>
      <c r="D709" s="59"/>
      <c r="E709" s="120"/>
      <c r="F709" s="122" t="str">
        <f>IFERROR(IF($D709="","",VLOOKUP($D709,Cadastro!$C$4:$E$7,3,FALSE)),"")</f>
        <v/>
      </c>
      <c r="G709" s="114"/>
      <c r="H709" s="122" t="str">
        <f>IFERROR(IF($G709="","",$G709*$S$716/$G$716/Cadastro!$E$33),"")</f>
        <v/>
      </c>
      <c r="I709" s="129" t="str">
        <f>IFERROR(IF($D709="","",VLOOKUP($D709,Cadastro!$C$4:$G$7,5,FALSE)),"")</f>
        <v/>
      </c>
      <c r="J709" s="145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">
      <c r="A710" s="68">
        <v>46261</v>
      </c>
      <c r="B710" s="25">
        <f t="shared" si="189"/>
        <v>0.58333333333333304</v>
      </c>
      <c r="C710" s="26"/>
      <c r="D710" s="59"/>
      <c r="E710" s="120"/>
      <c r="F710" s="122" t="str">
        <f>IFERROR(IF($D710="","",VLOOKUP($D710,Cadastro!$C$4:$E$7,3,FALSE)),"")</f>
        <v/>
      </c>
      <c r="G710" s="114"/>
      <c r="H710" s="122" t="str">
        <f>IFERROR(IF($G710="","",$G710*$S$716/$G$716/Cadastro!$E$33),"")</f>
        <v/>
      </c>
      <c r="I710" s="129" t="str">
        <f>IFERROR(IF($D710="","",VLOOKUP($D710,Cadastro!$C$4:$G$7,5,FALSE)),"")</f>
        <v/>
      </c>
      <c r="J710" s="145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">
      <c r="A711" s="69">
        <v>46261</v>
      </c>
      <c r="B711" s="32">
        <f t="shared" si="189"/>
        <v>0.62499999999999967</v>
      </c>
      <c r="C711" s="26"/>
      <c r="D711" s="59"/>
      <c r="E711" s="120"/>
      <c r="F711" s="122" t="str">
        <f>IFERROR(IF($D711="","",VLOOKUP($D711,Cadastro!$C$4:$E$7,3,FALSE)),"")</f>
        <v/>
      </c>
      <c r="G711" s="114"/>
      <c r="H711" s="122" t="str">
        <f>IFERROR(IF($G711="","",$G711*$S$716/$G$716/Cadastro!$E$33),"")</f>
        <v/>
      </c>
      <c r="I711" s="129" t="str">
        <f>IFERROR(IF($D711="","",VLOOKUP($D711,Cadastro!$C$4:$G$7,5,FALSE)),"")</f>
        <v/>
      </c>
      <c r="J711" s="145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">
      <c r="A712" s="68">
        <v>46261</v>
      </c>
      <c r="B712" s="25">
        <f t="shared" si="189"/>
        <v>0.6666666666666663</v>
      </c>
      <c r="C712" s="26"/>
      <c r="D712" s="59"/>
      <c r="E712" s="120"/>
      <c r="F712" s="122" t="str">
        <f>IFERROR(IF($D712="","",VLOOKUP($D712,Cadastro!$C$4:$E$7,3,FALSE)),"")</f>
        <v/>
      </c>
      <c r="G712" s="114"/>
      <c r="H712" s="122" t="str">
        <f>IFERROR(IF($G712="","",$G712*$S$716/$G$716/Cadastro!$E$33),"")</f>
        <v/>
      </c>
      <c r="I712" s="129" t="str">
        <f>IFERROR(IF($D712="","",VLOOKUP($D712,Cadastro!$C$4:$G$7,5,FALSE)),"")</f>
        <v/>
      </c>
      <c r="J712" s="145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">
      <c r="A713" s="69">
        <v>46261</v>
      </c>
      <c r="B713" s="32">
        <f t="shared" si="189"/>
        <v>0.70833333333333293</v>
      </c>
      <c r="C713" s="26"/>
      <c r="D713" s="59"/>
      <c r="E713" s="120"/>
      <c r="F713" s="122" t="str">
        <f>IFERROR(IF($D713="","",VLOOKUP($D713,Cadastro!$C$4:$E$7,3,FALSE)),"")</f>
        <v/>
      </c>
      <c r="G713" s="114"/>
      <c r="H713" s="122" t="str">
        <f>IFERROR(IF($G713="","",$G713*$S$716/$G$716/Cadastro!$E$33),"")</f>
        <v/>
      </c>
      <c r="I713" s="129" t="str">
        <f>IFERROR(IF($D713="","",VLOOKUP($D713,Cadastro!$C$4:$G$7,5,FALSE)),"")</f>
        <v/>
      </c>
      <c r="J713" s="145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">
      <c r="A714" s="68">
        <v>46261</v>
      </c>
      <c r="B714" s="25">
        <f t="shared" si="189"/>
        <v>0.74999999999999956</v>
      </c>
      <c r="C714" s="26"/>
      <c r="D714" s="59"/>
      <c r="E714" s="120"/>
      <c r="F714" s="122" t="str">
        <f>IFERROR(IF($D714="","",VLOOKUP($D714,Cadastro!$C$4:$E$7,3,FALSE)),"")</f>
        <v/>
      </c>
      <c r="G714" s="114"/>
      <c r="H714" s="122" t="str">
        <f>IFERROR(IF($G714="","",$G714*$S$716/$G$716/Cadastro!$E$33),"")</f>
        <v/>
      </c>
      <c r="I714" s="129" t="str">
        <f>IFERROR(IF($D714="","",VLOOKUP($D714,Cadastro!$C$4:$G$7,5,FALSE)),"")</f>
        <v/>
      </c>
      <c r="J714" s="145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5">
      <c r="A715" s="69">
        <v>46261</v>
      </c>
      <c r="B715" s="32">
        <f t="shared" si="189"/>
        <v>0.79166666666666619</v>
      </c>
      <c r="C715" s="26"/>
      <c r="D715" s="59"/>
      <c r="E715" s="120"/>
      <c r="F715" s="118" t="str">
        <f>IFERROR(IF($D715="","",VLOOKUP($D715,Cadastro!$C$4:$E$7,3,FALSE)),"")</f>
        <v/>
      </c>
      <c r="G715" s="114"/>
      <c r="H715" s="118" t="str">
        <f>IFERROR(IF($G715="","",$G715*$S$716/$G$716/Cadastro!$E$33),"")</f>
        <v/>
      </c>
      <c r="I715" s="130" t="str">
        <f>IFERROR(IF($D715="","",VLOOKUP($D715,Cadastro!$C$4:$G$7,5,FALSE)),"")</f>
        <v/>
      </c>
      <c r="J715" s="146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5">
      <c r="A716" s="168" t="s">
        <v>231</v>
      </c>
      <c r="B716" s="169"/>
      <c r="C716" s="169"/>
      <c r="D716" s="169"/>
      <c r="E716" s="169">
        <f>SUM(E704:E715)</f>
        <v>0</v>
      </c>
      <c r="F716" s="123"/>
      <c r="G716" s="88">
        <f>SUM(G704:G715)</f>
        <v>0</v>
      </c>
      <c r="H716" s="123">
        <f>IFERROR(SUM(H704:H715),"")</f>
        <v>0</v>
      </c>
      <c r="I716" s="131"/>
      <c r="J716" s="147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232</v>
      </c>
      <c r="S716" s="39"/>
      <c r="T716" s="141">
        <f>IFERROR(J716,"")</f>
        <v>0</v>
      </c>
    </row>
    <row r="717" spans="1:20" ht="15" customHeight="1" x14ac:dyDescent="0.3">
      <c r="A717" s="69">
        <v>46261</v>
      </c>
      <c r="B717" s="32">
        <v>0.83333333333333304</v>
      </c>
      <c r="C717" s="33"/>
      <c r="D717" s="62"/>
      <c r="E717" s="121"/>
      <c r="F717" s="119" t="str">
        <f>IFERROR(IF($D717="","",VLOOKUP($D717,Cadastro!$C$4:$E$7,3,FALSE)),"")</f>
        <v/>
      </c>
      <c r="G717" s="114"/>
      <c r="H717" s="119" t="str">
        <f>IFERROR(IF($G717="","",$G717*$S$729/$G$729/Cadastro!$E$33),"")</f>
        <v/>
      </c>
      <c r="I717" s="132" t="str">
        <f>IFERROR(IF($D717="","",VLOOKUP($D717,Cadastro!$C$4:$G$7,5,FALSE)),"")</f>
        <v/>
      </c>
      <c r="J717" s="148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8">
        <v>46261</v>
      </c>
      <c r="B718" s="25">
        <f t="shared" ref="B718:B728" si="193">B717+TIME(0,60,0)</f>
        <v>0.87499999999999967</v>
      </c>
      <c r="C718" s="26"/>
      <c r="D718" s="59"/>
      <c r="E718" s="120"/>
      <c r="F718" s="122" t="str">
        <f>IFERROR(IF($D718="","",VLOOKUP($D718,Cadastro!$C$4:$E$7,3,FALSE)),"")</f>
        <v/>
      </c>
      <c r="G718" s="114"/>
      <c r="H718" s="122" t="str">
        <f>IFERROR(IF($G718="","",$G718*$S$729/$G$729/Cadastro!$E$33),"")</f>
        <v/>
      </c>
      <c r="I718" s="129" t="str">
        <f>IFERROR(IF($D718="","",VLOOKUP($D718,Cadastro!$C$4:$G$7,5,FALSE)),"")</f>
        <v/>
      </c>
      <c r="J718" s="145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">
      <c r="A719" s="69">
        <v>46261</v>
      </c>
      <c r="B719" s="32">
        <f t="shared" si="193"/>
        <v>0.9166666666666663</v>
      </c>
      <c r="C719" s="33"/>
      <c r="D719" s="62"/>
      <c r="E719" s="121"/>
      <c r="F719" s="122" t="str">
        <f>IFERROR(IF($D719="","",VLOOKUP($D719,Cadastro!$C$4:$E$7,3,FALSE)),"")</f>
        <v/>
      </c>
      <c r="G719" s="114"/>
      <c r="H719" s="122" t="str">
        <f>IFERROR(IF($G719="","",$G719*$S$729/$G$729/Cadastro!$E$33),"")</f>
        <v/>
      </c>
      <c r="I719" s="129" t="str">
        <f>IFERROR(IF($D719="","",VLOOKUP($D719,Cadastro!$C$4:$G$7,5,FALSE)),"")</f>
        <v/>
      </c>
      <c r="J719" s="145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">
      <c r="A720" s="68">
        <v>46261</v>
      </c>
      <c r="B720" s="25">
        <f t="shared" si="193"/>
        <v>0.95833333333333293</v>
      </c>
      <c r="C720" s="26"/>
      <c r="D720" s="59"/>
      <c r="E720" s="120"/>
      <c r="F720" s="122" t="str">
        <f>IFERROR(IF($D720="","",VLOOKUP($D720,Cadastro!$C$4:$E$7,3,FALSE)),"")</f>
        <v/>
      </c>
      <c r="G720" s="114"/>
      <c r="H720" s="122" t="str">
        <f>IFERROR(IF($G720="","",$G720*$S$729/$G$729/Cadastro!$E$33),"")</f>
        <v/>
      </c>
      <c r="I720" s="129" t="str">
        <f>IFERROR(IF($D720="","",VLOOKUP($D720,Cadastro!$C$4:$G$7,5,FALSE)),"")</f>
        <v/>
      </c>
      <c r="J720" s="145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">
      <c r="A721" s="69">
        <v>46261</v>
      </c>
      <c r="B721" s="32">
        <f t="shared" si="193"/>
        <v>0.99999999999999956</v>
      </c>
      <c r="C721" s="33"/>
      <c r="D721" s="62"/>
      <c r="E721" s="121"/>
      <c r="F721" s="122" t="str">
        <f>IFERROR(IF($D721="","",VLOOKUP($D721,Cadastro!$C$4:$E$7,3,FALSE)),"")</f>
        <v/>
      </c>
      <c r="G721" s="114"/>
      <c r="H721" s="122" t="str">
        <f>IFERROR(IF($G721="","",$G721*$S$729/$G$729/Cadastro!$E$33),"")</f>
        <v/>
      </c>
      <c r="I721" s="129" t="str">
        <f>IFERROR(IF($D721="","",VLOOKUP($D721,Cadastro!$C$4:$G$7,5,FALSE)),"")</f>
        <v/>
      </c>
      <c r="J721" s="145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">
      <c r="A722" s="68">
        <v>46261</v>
      </c>
      <c r="B722" s="25">
        <f t="shared" si="193"/>
        <v>1.0416666666666663</v>
      </c>
      <c r="C722" s="26"/>
      <c r="D722" s="59"/>
      <c r="E722" s="120"/>
      <c r="F722" s="122" t="str">
        <f>IFERROR(IF($D722="","",VLOOKUP($D722,Cadastro!$C$4:$E$7,3,FALSE)),"")</f>
        <v/>
      </c>
      <c r="G722" s="114"/>
      <c r="H722" s="122" t="str">
        <f>IFERROR(IF($G722="","",$G722*$S$729/$G$729/Cadastro!$E$33),"")</f>
        <v/>
      </c>
      <c r="I722" s="129" t="str">
        <f>IFERROR(IF($D722="","",VLOOKUP($D722,Cadastro!$C$4:$G$7,5,FALSE)),"")</f>
        <v/>
      </c>
      <c r="J722" s="145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">
      <c r="A723" s="69">
        <v>46261</v>
      </c>
      <c r="B723" s="32">
        <f t="shared" si="193"/>
        <v>1.083333333333333</v>
      </c>
      <c r="C723" s="33"/>
      <c r="D723" s="62"/>
      <c r="E723" s="121"/>
      <c r="F723" s="122" t="str">
        <f>IFERROR(IF($D723="","",VLOOKUP($D723,Cadastro!$C$4:$E$7,3,FALSE)),"")</f>
        <v/>
      </c>
      <c r="G723" s="114"/>
      <c r="H723" s="122" t="str">
        <f>IFERROR(IF($G723="","",$G723*$S$729/$G$729/Cadastro!$E$33),"")</f>
        <v/>
      </c>
      <c r="I723" s="129" t="str">
        <f>IFERROR(IF($D723="","",VLOOKUP($D723,Cadastro!$C$4:$G$7,5,FALSE)),"")</f>
        <v/>
      </c>
      <c r="J723" s="145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">
      <c r="A724" s="68">
        <v>46261</v>
      </c>
      <c r="B724" s="25">
        <f t="shared" si="193"/>
        <v>1.1249999999999998</v>
      </c>
      <c r="C724" s="26"/>
      <c r="D724" s="59"/>
      <c r="E724" s="120"/>
      <c r="F724" s="122" t="str">
        <f>IFERROR(IF($D724="","",VLOOKUP($D724,Cadastro!$C$4:$E$7,3,FALSE)),"")</f>
        <v/>
      </c>
      <c r="G724" s="114"/>
      <c r="H724" s="122" t="str">
        <f>IFERROR(IF($G724="","",$G724*$S$729/$G$729/Cadastro!$E$33),"")</f>
        <v/>
      </c>
      <c r="I724" s="129" t="str">
        <f>IFERROR(IF($D724="","",VLOOKUP($D724,Cadastro!$C$4:$G$7,5,FALSE)),"")</f>
        <v/>
      </c>
      <c r="J724" s="145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">
      <c r="A725" s="69">
        <v>46261</v>
      </c>
      <c r="B725" s="32">
        <f t="shared" si="193"/>
        <v>1.1666666666666665</v>
      </c>
      <c r="C725" s="33"/>
      <c r="D725" s="62"/>
      <c r="E725" s="121"/>
      <c r="F725" s="122" t="str">
        <f>IFERROR(IF($D725="","",VLOOKUP($D725,Cadastro!$C$4:$E$7,3,FALSE)),"")</f>
        <v/>
      </c>
      <c r="G725" s="114"/>
      <c r="H725" s="122" t="str">
        <f>IFERROR(IF($G725="","",$G725*$S$729/$G$729/Cadastro!$E$33),"")</f>
        <v/>
      </c>
      <c r="I725" s="129" t="str">
        <f>IFERROR(IF($D725="","",VLOOKUP($D725,Cadastro!$C$4:$G$7,5,FALSE)),"")</f>
        <v/>
      </c>
      <c r="J725" s="145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">
      <c r="A726" s="68">
        <v>46261</v>
      </c>
      <c r="B726" s="25">
        <f t="shared" si="193"/>
        <v>1.2083333333333333</v>
      </c>
      <c r="C726" s="26"/>
      <c r="D726" s="59"/>
      <c r="E726" s="120"/>
      <c r="F726" s="122" t="str">
        <f>IFERROR(IF($D726="","",VLOOKUP($D726,Cadastro!$C$4:$E$7,3,FALSE)),"")</f>
        <v/>
      </c>
      <c r="G726" s="114"/>
      <c r="H726" s="122" t="str">
        <f>IFERROR(IF($G726="","",$G726*$S$729/$G$729/Cadastro!$E$33),"")</f>
        <v/>
      </c>
      <c r="I726" s="129" t="str">
        <f>IFERROR(IF($D726="","",VLOOKUP($D726,Cadastro!$C$4:$G$7,5,FALSE)),"")</f>
        <v/>
      </c>
      <c r="J726" s="145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">
      <c r="A727" s="69">
        <v>46261</v>
      </c>
      <c r="B727" s="32">
        <f t="shared" si="193"/>
        <v>1.25</v>
      </c>
      <c r="C727" s="33"/>
      <c r="D727" s="62"/>
      <c r="E727" s="121"/>
      <c r="F727" s="122" t="str">
        <f>IFERROR(IF($D727="","",VLOOKUP($D727,Cadastro!$C$4:$E$7,3,FALSE)),"")</f>
        <v/>
      </c>
      <c r="G727" s="114"/>
      <c r="H727" s="122" t="str">
        <f>IFERROR(IF($G727="","",$G727*$S$729/$G$729/Cadastro!$E$33),"")</f>
        <v/>
      </c>
      <c r="I727" s="129" t="str">
        <f>IFERROR(IF($D727="","",VLOOKUP($D727,Cadastro!$C$4:$G$7,5,FALSE)),"")</f>
        <v/>
      </c>
      <c r="J727" s="145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5">
      <c r="A728" s="68">
        <v>46261</v>
      </c>
      <c r="B728" s="25">
        <f t="shared" si="193"/>
        <v>1.2916666666666667</v>
      </c>
      <c r="C728" s="26"/>
      <c r="D728" s="59"/>
      <c r="E728" s="120"/>
      <c r="F728" s="118" t="str">
        <f>IFERROR(IF($D728="","",VLOOKUP($D728,Cadastro!$C$4:$E$7,3,FALSE)),"")</f>
        <v/>
      </c>
      <c r="G728" s="114"/>
      <c r="H728" s="118" t="str">
        <f>IFERROR(IF($G728="","",$G728*$S$729/$G$729/Cadastro!$E$33),"")</f>
        <v/>
      </c>
      <c r="I728" s="130" t="str">
        <f>IFERROR(IF($D728="","",VLOOKUP($D728,Cadastro!$C$4:$G$7,5,FALSE)),"")</f>
        <v/>
      </c>
      <c r="J728" s="146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5">
      <c r="A729" s="168" t="s">
        <v>234</v>
      </c>
      <c r="B729" s="169"/>
      <c r="C729" s="169"/>
      <c r="D729" s="169"/>
      <c r="E729" s="169">
        <f>SUM(E717:E728)</f>
        <v>0</v>
      </c>
      <c r="F729" s="124"/>
      <c r="G729" s="88">
        <f>SUM(G717:G728)</f>
        <v>0</v>
      </c>
      <c r="H729" s="124">
        <f>IFERROR(SUM(H717:H728),"")</f>
        <v>0</v>
      </c>
      <c r="I729" s="133"/>
      <c r="J729" s="149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232</v>
      </c>
      <c r="S729" s="39"/>
      <c r="T729" s="141">
        <f>IFERROR(J729,"")</f>
        <v>0</v>
      </c>
    </row>
    <row r="730" spans="1:20" ht="18" customHeight="1" x14ac:dyDescent="0.3">
      <c r="A730" s="165" t="s">
        <v>235</v>
      </c>
      <c r="B730" s="166"/>
      <c r="C730" s="166"/>
      <c r="D730" s="166"/>
      <c r="E730" s="166">
        <f>E716+E729</f>
        <v>0</v>
      </c>
      <c r="F730" s="125"/>
      <c r="G730" s="100">
        <f>G716+G729</f>
        <v>0</v>
      </c>
      <c r="H730" s="125">
        <f>IFERROR(H716+H729,"")</f>
        <v>0</v>
      </c>
      <c r="I730" s="134"/>
      <c r="J730" s="150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236</v>
      </c>
      <c r="S730" s="48">
        <f>IFERROR(S716+S729,"")</f>
        <v>0</v>
      </c>
      <c r="T730" s="143">
        <f>IFERROR(J730,"")</f>
        <v>0</v>
      </c>
    </row>
    <row r="731" spans="1:20" ht="15" customHeight="1" x14ac:dyDescent="0.3">
      <c r="A731" s="69">
        <v>46262</v>
      </c>
      <c r="B731" s="32">
        <v>0.33333333333333298</v>
      </c>
      <c r="C731" s="33"/>
      <c r="D731" s="62"/>
      <c r="E731" s="121"/>
      <c r="F731" s="119" t="str">
        <f>IFERROR(IF($D731="","",VLOOKUP($D731,Cadastro!$C$4:$E$7,3,FALSE)),"")</f>
        <v/>
      </c>
      <c r="G731" s="114"/>
      <c r="H731" s="119" t="str">
        <f>IFERROR(IF($G731="","",$G731*$S$743/$G$743/Cadastro!$E$33),"")</f>
        <v/>
      </c>
      <c r="I731" s="132" t="str">
        <f>IFERROR(IF($D731="","",VLOOKUP($D731,Cadastro!$C$4:$G$7,5,FALSE)),"")</f>
        <v/>
      </c>
      <c r="J731" s="148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8">
        <v>46262</v>
      </c>
      <c r="B732" s="25">
        <f t="shared" ref="B732:B742" si="197">B731+TIME(0,60,0)</f>
        <v>0.37499999999999967</v>
      </c>
      <c r="C732" s="26"/>
      <c r="D732" s="59"/>
      <c r="E732" s="120"/>
      <c r="F732" s="122" t="str">
        <f>IFERROR(IF($D732="","",VLOOKUP($D732,Cadastro!$C$4:$E$7,3,FALSE)),"")</f>
        <v/>
      </c>
      <c r="G732" s="114"/>
      <c r="H732" s="122" t="str">
        <f>IFERROR(IF($G732="","",$G732*$S$743/$G$743/Cadastro!$E$33),"")</f>
        <v/>
      </c>
      <c r="I732" s="129" t="str">
        <f>IFERROR(IF($D732="","",VLOOKUP($D732,Cadastro!$C$4:$G$7,5,FALSE)),"")</f>
        <v/>
      </c>
      <c r="J732" s="145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">
      <c r="A733" s="69">
        <v>46262</v>
      </c>
      <c r="B733" s="32">
        <f t="shared" si="197"/>
        <v>0.41666666666666635</v>
      </c>
      <c r="C733" s="33"/>
      <c r="D733" s="62"/>
      <c r="E733" s="121"/>
      <c r="F733" s="122" t="str">
        <f>IFERROR(IF($D733="","",VLOOKUP($D733,Cadastro!$C$4:$E$7,3,FALSE)),"")</f>
        <v/>
      </c>
      <c r="G733" s="114"/>
      <c r="H733" s="122" t="str">
        <f>IFERROR(IF($G733="","",$G733*$S$743/$G$743/Cadastro!$E$33),"")</f>
        <v/>
      </c>
      <c r="I733" s="129" t="str">
        <f>IFERROR(IF($D733="","",VLOOKUP($D733,Cadastro!$C$4:$G$7,5,FALSE)),"")</f>
        <v/>
      </c>
      <c r="J733" s="145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">
      <c r="A734" s="68">
        <v>46262</v>
      </c>
      <c r="B734" s="25">
        <f t="shared" si="197"/>
        <v>0.45833333333333304</v>
      </c>
      <c r="C734" s="26"/>
      <c r="D734" s="59"/>
      <c r="E734" s="120"/>
      <c r="F734" s="122" t="str">
        <f>IFERROR(IF($D734="","",VLOOKUP($D734,Cadastro!$C$4:$E$7,3,FALSE)),"")</f>
        <v/>
      </c>
      <c r="G734" s="114"/>
      <c r="H734" s="122" t="str">
        <f>IFERROR(IF($G734="","",$G734*$S$743/$G$743/Cadastro!$E$33),"")</f>
        <v/>
      </c>
      <c r="I734" s="129" t="str">
        <f>IFERROR(IF($D734="","",VLOOKUP($D734,Cadastro!$C$4:$G$7,5,FALSE)),"")</f>
        <v/>
      </c>
      <c r="J734" s="145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">
      <c r="A735" s="69">
        <v>46262</v>
      </c>
      <c r="B735" s="32">
        <f t="shared" si="197"/>
        <v>0.49999999999999972</v>
      </c>
      <c r="C735" s="33"/>
      <c r="D735" s="62"/>
      <c r="E735" s="121"/>
      <c r="F735" s="122" t="str">
        <f>IFERROR(IF($D735="","",VLOOKUP($D735,Cadastro!$C$4:$E$7,3,FALSE)),"")</f>
        <v/>
      </c>
      <c r="G735" s="114"/>
      <c r="H735" s="122" t="str">
        <f>IFERROR(IF($G735="","",$G735*$S$743/$G$743/Cadastro!$E$33),"")</f>
        <v/>
      </c>
      <c r="I735" s="129" t="str">
        <f>IFERROR(IF($D735="","",VLOOKUP($D735,Cadastro!$C$4:$G$7,5,FALSE)),"")</f>
        <v/>
      </c>
      <c r="J735" s="145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">
      <c r="A736" s="68">
        <v>46262</v>
      </c>
      <c r="B736" s="25">
        <f t="shared" si="197"/>
        <v>0.54166666666666641</v>
      </c>
      <c r="C736" s="26"/>
      <c r="D736" s="59"/>
      <c r="E736" s="120"/>
      <c r="F736" s="122" t="str">
        <f>IFERROR(IF($D736="","",VLOOKUP($D736,Cadastro!$C$4:$E$7,3,FALSE)),"")</f>
        <v/>
      </c>
      <c r="G736" s="114"/>
      <c r="H736" s="122" t="str">
        <f>IFERROR(IF($G736="","",$G736*$S$743/$G$743/Cadastro!$E$33),"")</f>
        <v/>
      </c>
      <c r="I736" s="129" t="str">
        <f>IFERROR(IF($D736="","",VLOOKUP($D736,Cadastro!$C$4:$G$7,5,FALSE)),"")</f>
        <v/>
      </c>
      <c r="J736" s="145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">
      <c r="A737" s="69">
        <v>46262</v>
      </c>
      <c r="B737" s="32">
        <f t="shared" si="197"/>
        <v>0.58333333333333304</v>
      </c>
      <c r="C737" s="33"/>
      <c r="D737" s="62"/>
      <c r="E737" s="121"/>
      <c r="F737" s="122" t="str">
        <f>IFERROR(IF($D737="","",VLOOKUP($D737,Cadastro!$C$4:$E$7,3,FALSE)),"")</f>
        <v/>
      </c>
      <c r="G737" s="114"/>
      <c r="H737" s="122" t="str">
        <f>IFERROR(IF($G737="","",$G737*$S$743/$G$743/Cadastro!$E$33),"")</f>
        <v/>
      </c>
      <c r="I737" s="129" t="str">
        <f>IFERROR(IF($D737="","",VLOOKUP($D737,Cadastro!$C$4:$G$7,5,FALSE)),"")</f>
        <v/>
      </c>
      <c r="J737" s="145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">
      <c r="A738" s="68">
        <v>46262</v>
      </c>
      <c r="B738" s="25">
        <f t="shared" si="197"/>
        <v>0.62499999999999967</v>
      </c>
      <c r="C738" s="26"/>
      <c r="D738" s="59"/>
      <c r="E738" s="120"/>
      <c r="F738" s="122" t="str">
        <f>IFERROR(IF($D738="","",VLOOKUP($D738,Cadastro!$C$4:$E$7,3,FALSE)),"")</f>
        <v/>
      </c>
      <c r="G738" s="114"/>
      <c r="H738" s="122" t="str">
        <f>IFERROR(IF($G738="","",$G738*$S$743/$G$743/Cadastro!$E$33),"")</f>
        <v/>
      </c>
      <c r="I738" s="129" t="str">
        <f>IFERROR(IF($D738="","",VLOOKUP($D738,Cadastro!$C$4:$G$7,5,FALSE)),"")</f>
        <v/>
      </c>
      <c r="J738" s="145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">
      <c r="A739" s="69">
        <v>46262</v>
      </c>
      <c r="B739" s="32">
        <f t="shared" si="197"/>
        <v>0.6666666666666663</v>
      </c>
      <c r="C739" s="33"/>
      <c r="D739" s="62"/>
      <c r="E739" s="121"/>
      <c r="F739" s="122" t="str">
        <f>IFERROR(IF($D739="","",VLOOKUP($D739,Cadastro!$C$4:$E$7,3,FALSE)),"")</f>
        <v/>
      </c>
      <c r="G739" s="114"/>
      <c r="H739" s="122" t="str">
        <f>IFERROR(IF($G739="","",$G739*$S$743/$G$743/Cadastro!$E$33),"")</f>
        <v/>
      </c>
      <c r="I739" s="129" t="str">
        <f>IFERROR(IF($D739="","",VLOOKUP($D739,Cadastro!$C$4:$G$7,5,FALSE)),"")</f>
        <v/>
      </c>
      <c r="J739" s="145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">
      <c r="A740" s="68">
        <v>46262</v>
      </c>
      <c r="B740" s="25">
        <f t="shared" si="197"/>
        <v>0.70833333333333293</v>
      </c>
      <c r="C740" s="26"/>
      <c r="D740" s="59"/>
      <c r="E740" s="120"/>
      <c r="F740" s="122" t="str">
        <f>IFERROR(IF($D740="","",VLOOKUP($D740,Cadastro!$C$4:$E$7,3,FALSE)),"")</f>
        <v/>
      </c>
      <c r="G740" s="114"/>
      <c r="H740" s="122" t="str">
        <f>IFERROR(IF($G740="","",$G740*$S$743/$G$743/Cadastro!$E$33),"")</f>
        <v/>
      </c>
      <c r="I740" s="129" t="str">
        <f>IFERROR(IF($D740="","",VLOOKUP($D740,Cadastro!$C$4:$G$7,5,FALSE)),"")</f>
        <v/>
      </c>
      <c r="J740" s="145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">
      <c r="A741" s="69">
        <v>46262</v>
      </c>
      <c r="B741" s="32">
        <f t="shared" si="197"/>
        <v>0.74999999999999956</v>
      </c>
      <c r="C741" s="33"/>
      <c r="D741" s="62"/>
      <c r="E741" s="121"/>
      <c r="F741" s="122" t="str">
        <f>IFERROR(IF($D741="","",VLOOKUP($D741,Cadastro!$C$4:$E$7,3,FALSE)),"")</f>
        <v/>
      </c>
      <c r="G741" s="114"/>
      <c r="H741" s="122" t="str">
        <f>IFERROR(IF($G741="","",$G741*$S$743/$G$743/Cadastro!$E$33),"")</f>
        <v/>
      </c>
      <c r="I741" s="129" t="str">
        <f>IFERROR(IF($D741="","",VLOOKUP($D741,Cadastro!$C$4:$G$7,5,FALSE)),"")</f>
        <v/>
      </c>
      <c r="J741" s="145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5">
      <c r="A742" s="68">
        <v>46262</v>
      </c>
      <c r="B742" s="25">
        <f t="shared" si="197"/>
        <v>0.79166666666666619</v>
      </c>
      <c r="C742" s="26"/>
      <c r="D742" s="59"/>
      <c r="E742" s="120"/>
      <c r="F742" s="118" t="str">
        <f>IFERROR(IF($D742="","",VLOOKUP($D742,Cadastro!$C$4:$E$7,3,FALSE)),"")</f>
        <v/>
      </c>
      <c r="G742" s="114"/>
      <c r="H742" s="118" t="str">
        <f>IFERROR(IF($G742="","",$G742*$S$743/$G$743/Cadastro!$E$33),"")</f>
        <v/>
      </c>
      <c r="I742" s="130" t="str">
        <f>IFERROR(IF($D742="","",VLOOKUP($D742,Cadastro!$C$4:$G$7,5,FALSE)),"")</f>
        <v/>
      </c>
      <c r="J742" s="146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5">
      <c r="A743" s="168" t="s">
        <v>231</v>
      </c>
      <c r="B743" s="169"/>
      <c r="C743" s="169"/>
      <c r="D743" s="169"/>
      <c r="E743" s="169">
        <f>SUM(E731:E742)</f>
        <v>0</v>
      </c>
      <c r="F743" s="123"/>
      <c r="G743" s="88">
        <f>SUM(G731:G742)</f>
        <v>0</v>
      </c>
      <c r="H743" s="123">
        <f>IFERROR(SUM(H731:H742),"")</f>
        <v>0</v>
      </c>
      <c r="I743" s="131"/>
      <c r="J743" s="147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232</v>
      </c>
      <c r="S743" s="39"/>
      <c r="T743" s="141">
        <f>IFERROR(J743,"")</f>
        <v>0</v>
      </c>
    </row>
    <row r="744" spans="1:20" ht="15" customHeight="1" x14ac:dyDescent="0.3">
      <c r="A744" s="68">
        <v>46262</v>
      </c>
      <c r="B744" s="25">
        <v>0.83333333333333304</v>
      </c>
      <c r="C744" s="26"/>
      <c r="D744" s="59"/>
      <c r="E744" s="120"/>
      <c r="F744" s="119" t="str">
        <f>IFERROR(IF($D744="","",VLOOKUP($D744,Cadastro!$C$4:$E$7,3,FALSE)),"")</f>
        <v/>
      </c>
      <c r="G744" s="114"/>
      <c r="H744" s="119" t="str">
        <f>IFERROR(IF($G744="","",$G744*$S$756/$G$756/Cadastro!$E$33),"")</f>
        <v/>
      </c>
      <c r="I744" s="132" t="str">
        <f>IFERROR(IF($D744="","",VLOOKUP($D744,Cadastro!$C$4:$G$7,5,FALSE)),"")</f>
        <v/>
      </c>
      <c r="J744" s="148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9">
        <v>46262</v>
      </c>
      <c r="B745" s="32">
        <f t="shared" ref="B745:B755" si="201">B744+TIME(0,60,0)</f>
        <v>0.87499999999999967</v>
      </c>
      <c r="C745" s="33"/>
      <c r="D745" s="62"/>
      <c r="E745" s="121"/>
      <c r="F745" s="122" t="str">
        <f>IFERROR(IF($D745="","",VLOOKUP($D745,Cadastro!$C$4:$E$7,3,FALSE)),"")</f>
        <v/>
      </c>
      <c r="G745" s="114"/>
      <c r="H745" s="122" t="str">
        <f>IFERROR(IF($G745="","",$G745*$S$756/$G$756/Cadastro!$E$33),"")</f>
        <v/>
      </c>
      <c r="I745" s="129" t="str">
        <f>IFERROR(IF($D745="","",VLOOKUP($D745,Cadastro!$C$4:$G$7,5,FALSE)),"")</f>
        <v/>
      </c>
      <c r="J745" s="145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">
      <c r="A746" s="68">
        <v>46262</v>
      </c>
      <c r="B746" s="25">
        <f t="shared" si="201"/>
        <v>0.9166666666666663</v>
      </c>
      <c r="C746" s="26"/>
      <c r="D746" s="59"/>
      <c r="E746" s="120"/>
      <c r="F746" s="122" t="str">
        <f>IFERROR(IF($D746="","",VLOOKUP($D746,Cadastro!$C$4:$E$7,3,FALSE)),"")</f>
        <v/>
      </c>
      <c r="G746" s="114"/>
      <c r="H746" s="122" t="str">
        <f>IFERROR(IF($G746="","",$G746*$S$756/$G$756/Cadastro!$E$33),"")</f>
        <v/>
      </c>
      <c r="I746" s="129" t="str">
        <f>IFERROR(IF($D746="","",VLOOKUP($D746,Cadastro!$C$4:$G$7,5,FALSE)),"")</f>
        <v/>
      </c>
      <c r="J746" s="145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">
      <c r="A747" s="69">
        <v>46262</v>
      </c>
      <c r="B747" s="32">
        <f t="shared" si="201"/>
        <v>0.95833333333333293</v>
      </c>
      <c r="C747" s="33"/>
      <c r="D747" s="62"/>
      <c r="E747" s="121"/>
      <c r="F747" s="122" t="str">
        <f>IFERROR(IF($D747="","",VLOOKUP($D747,Cadastro!$C$4:$E$7,3,FALSE)),"")</f>
        <v/>
      </c>
      <c r="G747" s="114"/>
      <c r="H747" s="122" t="str">
        <f>IFERROR(IF($G747="","",$G747*$S$756/$G$756/Cadastro!$E$33),"")</f>
        <v/>
      </c>
      <c r="I747" s="129" t="str">
        <f>IFERROR(IF($D747="","",VLOOKUP($D747,Cadastro!$C$4:$G$7,5,FALSE)),"")</f>
        <v/>
      </c>
      <c r="J747" s="145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">
      <c r="A748" s="68">
        <v>46262</v>
      </c>
      <c r="B748" s="25">
        <f t="shared" si="201"/>
        <v>0.99999999999999956</v>
      </c>
      <c r="C748" s="26"/>
      <c r="D748" s="59"/>
      <c r="E748" s="120"/>
      <c r="F748" s="122" t="str">
        <f>IFERROR(IF($D748="","",VLOOKUP($D748,Cadastro!$C$4:$E$7,3,FALSE)),"")</f>
        <v/>
      </c>
      <c r="G748" s="114"/>
      <c r="H748" s="122" t="str">
        <f>IFERROR(IF($G748="","",$G748*$S$756/$G$756/Cadastro!$E$33),"")</f>
        <v/>
      </c>
      <c r="I748" s="129" t="str">
        <f>IFERROR(IF($D748="","",VLOOKUP($D748,Cadastro!$C$4:$G$7,5,FALSE)),"")</f>
        <v/>
      </c>
      <c r="J748" s="145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">
      <c r="A749" s="69">
        <v>46262</v>
      </c>
      <c r="B749" s="32">
        <f t="shared" si="201"/>
        <v>1.0416666666666663</v>
      </c>
      <c r="C749" s="33"/>
      <c r="D749" s="62"/>
      <c r="E749" s="121"/>
      <c r="F749" s="122" t="str">
        <f>IFERROR(IF($D749="","",VLOOKUP($D749,Cadastro!$C$4:$E$7,3,FALSE)),"")</f>
        <v/>
      </c>
      <c r="G749" s="114"/>
      <c r="H749" s="122" t="str">
        <f>IFERROR(IF($G749="","",$G749*$S$756/$G$756/Cadastro!$E$33),"")</f>
        <v/>
      </c>
      <c r="I749" s="129" t="str">
        <f>IFERROR(IF($D749="","",VLOOKUP($D749,Cadastro!$C$4:$G$7,5,FALSE)),"")</f>
        <v/>
      </c>
      <c r="J749" s="145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">
      <c r="A750" s="68">
        <v>46262</v>
      </c>
      <c r="B750" s="25">
        <f t="shared" si="201"/>
        <v>1.083333333333333</v>
      </c>
      <c r="C750" s="26"/>
      <c r="D750" s="59"/>
      <c r="E750" s="120"/>
      <c r="F750" s="122" t="str">
        <f>IFERROR(IF($D750="","",VLOOKUP($D750,Cadastro!$C$4:$E$7,3,FALSE)),"")</f>
        <v/>
      </c>
      <c r="G750" s="114"/>
      <c r="H750" s="122" t="str">
        <f>IFERROR(IF($G750="","",$G750*$S$756/$G$756/Cadastro!$E$33),"")</f>
        <v/>
      </c>
      <c r="I750" s="129" t="str">
        <f>IFERROR(IF($D750="","",VLOOKUP($D750,Cadastro!$C$4:$G$7,5,FALSE)),"")</f>
        <v/>
      </c>
      <c r="J750" s="145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">
      <c r="A751" s="69">
        <v>46262</v>
      </c>
      <c r="B751" s="32">
        <f t="shared" si="201"/>
        <v>1.1249999999999998</v>
      </c>
      <c r="C751" s="33"/>
      <c r="D751" s="62"/>
      <c r="E751" s="121"/>
      <c r="F751" s="122" t="str">
        <f>IFERROR(IF($D751="","",VLOOKUP($D751,Cadastro!$C$4:$E$7,3,FALSE)),"")</f>
        <v/>
      </c>
      <c r="G751" s="114"/>
      <c r="H751" s="122" t="str">
        <f>IFERROR(IF($G751="","",$G751*$S$756/$G$756/Cadastro!$E$33),"")</f>
        <v/>
      </c>
      <c r="I751" s="129" t="str">
        <f>IFERROR(IF($D751="","",VLOOKUP($D751,Cadastro!$C$4:$G$7,5,FALSE)),"")</f>
        <v/>
      </c>
      <c r="J751" s="145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">
      <c r="A752" s="68">
        <v>46262</v>
      </c>
      <c r="B752" s="25">
        <f t="shared" si="201"/>
        <v>1.1666666666666665</v>
      </c>
      <c r="C752" s="26"/>
      <c r="D752" s="59"/>
      <c r="E752" s="120"/>
      <c r="F752" s="122" t="str">
        <f>IFERROR(IF($D752="","",VLOOKUP($D752,Cadastro!$C$4:$E$7,3,FALSE)),"")</f>
        <v/>
      </c>
      <c r="G752" s="114"/>
      <c r="H752" s="122" t="str">
        <f>IFERROR(IF($G752="","",$G752*$S$756/$G$756/Cadastro!$E$33),"")</f>
        <v/>
      </c>
      <c r="I752" s="129" t="str">
        <f>IFERROR(IF($D752="","",VLOOKUP($D752,Cadastro!$C$4:$G$7,5,FALSE)),"")</f>
        <v/>
      </c>
      <c r="J752" s="145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">
      <c r="A753" s="69">
        <v>46262</v>
      </c>
      <c r="B753" s="32">
        <f t="shared" si="201"/>
        <v>1.2083333333333333</v>
      </c>
      <c r="C753" s="33"/>
      <c r="D753" s="62"/>
      <c r="E753" s="121"/>
      <c r="F753" s="122" t="str">
        <f>IFERROR(IF($D753="","",VLOOKUP($D753,Cadastro!$C$4:$E$7,3,FALSE)),"")</f>
        <v/>
      </c>
      <c r="G753" s="114"/>
      <c r="H753" s="122" t="str">
        <f>IFERROR(IF($G753="","",$G753*$S$756/$G$756/Cadastro!$E$33),"")</f>
        <v/>
      </c>
      <c r="I753" s="129" t="str">
        <f>IFERROR(IF($D753="","",VLOOKUP($D753,Cadastro!$C$4:$G$7,5,FALSE)),"")</f>
        <v/>
      </c>
      <c r="J753" s="145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">
      <c r="A754" s="68">
        <v>46262</v>
      </c>
      <c r="B754" s="25">
        <f t="shared" si="201"/>
        <v>1.25</v>
      </c>
      <c r="C754" s="26"/>
      <c r="D754" s="59"/>
      <c r="E754" s="120"/>
      <c r="F754" s="122" t="str">
        <f>IFERROR(IF($D754="","",VLOOKUP($D754,Cadastro!$C$4:$E$7,3,FALSE)),"")</f>
        <v/>
      </c>
      <c r="G754" s="114"/>
      <c r="H754" s="122" t="str">
        <f>IFERROR(IF($G754="","",$G754*$S$756/$G$756/Cadastro!$E$33),"")</f>
        <v/>
      </c>
      <c r="I754" s="129" t="str">
        <f>IFERROR(IF($D754="","",VLOOKUP($D754,Cadastro!$C$4:$G$7,5,FALSE)),"")</f>
        <v/>
      </c>
      <c r="J754" s="145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5">
      <c r="A755" s="69">
        <v>46262</v>
      </c>
      <c r="B755" s="32">
        <f t="shared" si="201"/>
        <v>1.2916666666666667</v>
      </c>
      <c r="C755" s="33"/>
      <c r="D755" s="62"/>
      <c r="E755" s="121"/>
      <c r="F755" s="118" t="str">
        <f>IFERROR(IF($D755="","",VLOOKUP($D755,Cadastro!$C$4:$E$7,3,FALSE)),"")</f>
        <v/>
      </c>
      <c r="G755" s="114"/>
      <c r="H755" s="118" t="str">
        <f>IFERROR(IF($G755="","",$G755*$S$756/$G$756/Cadastro!$E$33),"")</f>
        <v/>
      </c>
      <c r="I755" s="130" t="str">
        <f>IFERROR(IF($D755="","",VLOOKUP($D755,Cadastro!$C$4:$G$7,5,FALSE)),"")</f>
        <v/>
      </c>
      <c r="J755" s="146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5">
      <c r="A756" s="168" t="s">
        <v>234</v>
      </c>
      <c r="B756" s="169"/>
      <c r="C756" s="169"/>
      <c r="D756" s="169"/>
      <c r="E756" s="169">
        <f>SUM(E744:E755)</f>
        <v>0</v>
      </c>
      <c r="F756" s="124"/>
      <c r="G756" s="88">
        <f>SUM(G744:G755)</f>
        <v>0</v>
      </c>
      <c r="H756" s="124">
        <f>IFERROR(SUM(H744:H755),"")</f>
        <v>0</v>
      </c>
      <c r="I756" s="133"/>
      <c r="J756" s="149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232</v>
      </c>
      <c r="S756" s="39"/>
      <c r="T756" s="141">
        <f>IFERROR(J756,"")</f>
        <v>0</v>
      </c>
    </row>
    <row r="757" spans="1:20" ht="18" customHeight="1" x14ac:dyDescent="0.3">
      <c r="A757" s="165" t="s">
        <v>235</v>
      </c>
      <c r="B757" s="166"/>
      <c r="C757" s="166"/>
      <c r="D757" s="166"/>
      <c r="E757" s="166">
        <f>E743+E756</f>
        <v>0</v>
      </c>
      <c r="F757" s="125"/>
      <c r="G757" s="100">
        <f>G743+G756</f>
        <v>0</v>
      </c>
      <c r="H757" s="125">
        <f>IFERROR(H743+H756,"")</f>
        <v>0</v>
      </c>
      <c r="I757" s="134"/>
      <c r="J757" s="150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236</v>
      </c>
      <c r="S757" s="48">
        <f>IFERROR(S743+S756,"")</f>
        <v>0</v>
      </c>
      <c r="T757" s="143">
        <f>IFERROR(J757,"")</f>
        <v>0</v>
      </c>
    </row>
    <row r="758" spans="1:20" ht="15" customHeight="1" x14ac:dyDescent="0.3">
      <c r="A758" s="68">
        <v>46263</v>
      </c>
      <c r="B758" s="25">
        <v>0.33333333333333298</v>
      </c>
      <c r="C758" s="26"/>
      <c r="D758" s="59"/>
      <c r="E758" s="120"/>
      <c r="F758" s="119" t="str">
        <f>IFERROR(IF($D758="","",VLOOKUP($D758,Cadastro!$C$4:$E$7,3,FALSE)),"")</f>
        <v/>
      </c>
      <c r="G758" s="114"/>
      <c r="H758" s="119" t="str">
        <f>IFERROR(IF($G758="","",$G758*$S$770/$G$770/Cadastro!$E$33),"")</f>
        <v/>
      </c>
      <c r="I758" s="132" t="str">
        <f>IFERROR(IF($D758="","",VLOOKUP($D758,Cadastro!$C$4:$G$7,5,FALSE)),"")</f>
        <v/>
      </c>
      <c r="J758" s="148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9">
        <v>46263</v>
      </c>
      <c r="B759" s="32">
        <f t="shared" ref="B759:B769" si="205">B758+TIME(0,60,0)</f>
        <v>0.37499999999999967</v>
      </c>
      <c r="C759" s="33"/>
      <c r="D759" s="62"/>
      <c r="E759" s="121"/>
      <c r="F759" s="122" t="str">
        <f>IFERROR(IF($D759="","",VLOOKUP($D759,Cadastro!$C$4:$E$7,3,FALSE)),"")</f>
        <v/>
      </c>
      <c r="G759" s="114"/>
      <c r="H759" s="122" t="str">
        <f>IFERROR(IF($G759="","",$G759*$S$770/$G$770/Cadastro!$E$33),"")</f>
        <v/>
      </c>
      <c r="I759" s="129" t="str">
        <f>IFERROR(IF($D759="","",VLOOKUP($D759,Cadastro!$C$4:$G$7,5,FALSE)),"")</f>
        <v/>
      </c>
      <c r="J759" s="145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">
      <c r="A760" s="68">
        <v>46263</v>
      </c>
      <c r="B760" s="25">
        <f t="shared" si="205"/>
        <v>0.41666666666666635</v>
      </c>
      <c r="C760" s="26"/>
      <c r="D760" s="59"/>
      <c r="E760" s="120"/>
      <c r="F760" s="122" t="str">
        <f>IFERROR(IF($D760="","",VLOOKUP($D760,Cadastro!$C$4:$E$7,3,FALSE)),"")</f>
        <v/>
      </c>
      <c r="G760" s="114"/>
      <c r="H760" s="122" t="str">
        <f>IFERROR(IF($G760="","",$G760*$S$770/$G$770/Cadastro!$E$33),"")</f>
        <v/>
      </c>
      <c r="I760" s="129" t="str">
        <f>IFERROR(IF($D760="","",VLOOKUP($D760,Cadastro!$C$4:$G$7,5,FALSE)),"")</f>
        <v/>
      </c>
      <c r="J760" s="145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">
      <c r="A761" s="69">
        <v>46263</v>
      </c>
      <c r="B761" s="32">
        <f t="shared" si="205"/>
        <v>0.45833333333333304</v>
      </c>
      <c r="C761" s="33"/>
      <c r="D761" s="62"/>
      <c r="E761" s="121"/>
      <c r="F761" s="122" t="str">
        <f>IFERROR(IF($D761="","",VLOOKUP($D761,Cadastro!$C$4:$E$7,3,FALSE)),"")</f>
        <v/>
      </c>
      <c r="G761" s="114"/>
      <c r="H761" s="122" t="str">
        <f>IFERROR(IF($G761="","",$G761*$S$770/$G$770/Cadastro!$E$33),"")</f>
        <v/>
      </c>
      <c r="I761" s="129" t="str">
        <f>IFERROR(IF($D761="","",VLOOKUP($D761,Cadastro!$C$4:$G$7,5,FALSE)),"")</f>
        <v/>
      </c>
      <c r="J761" s="145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">
      <c r="A762" s="68">
        <v>46263</v>
      </c>
      <c r="B762" s="25">
        <f t="shared" si="205"/>
        <v>0.49999999999999972</v>
      </c>
      <c r="C762" s="26"/>
      <c r="D762" s="59"/>
      <c r="E762" s="120"/>
      <c r="F762" s="122" t="str">
        <f>IFERROR(IF($D762="","",VLOOKUP($D762,Cadastro!$C$4:$E$7,3,FALSE)),"")</f>
        <v/>
      </c>
      <c r="G762" s="114"/>
      <c r="H762" s="122" t="str">
        <f>IFERROR(IF($G762="","",$G762*$S$770/$G$770/Cadastro!$E$33),"")</f>
        <v/>
      </c>
      <c r="I762" s="129" t="str">
        <f>IFERROR(IF($D762="","",VLOOKUP($D762,Cadastro!$C$4:$G$7,5,FALSE)),"")</f>
        <v/>
      </c>
      <c r="J762" s="145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">
      <c r="A763" s="69">
        <v>46263</v>
      </c>
      <c r="B763" s="32">
        <f t="shared" si="205"/>
        <v>0.54166666666666641</v>
      </c>
      <c r="C763" s="33"/>
      <c r="D763" s="62"/>
      <c r="E763" s="121"/>
      <c r="F763" s="122" t="str">
        <f>IFERROR(IF($D763="","",VLOOKUP($D763,Cadastro!$C$4:$E$7,3,FALSE)),"")</f>
        <v/>
      </c>
      <c r="G763" s="114"/>
      <c r="H763" s="122" t="str">
        <f>IFERROR(IF($G763="","",$G763*$S$770/$G$770/Cadastro!$E$33),"")</f>
        <v/>
      </c>
      <c r="I763" s="129" t="str">
        <f>IFERROR(IF($D763="","",VLOOKUP($D763,Cadastro!$C$4:$G$7,5,FALSE)),"")</f>
        <v/>
      </c>
      <c r="J763" s="145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">
      <c r="A764" s="68">
        <v>46263</v>
      </c>
      <c r="B764" s="25">
        <f t="shared" si="205"/>
        <v>0.58333333333333304</v>
      </c>
      <c r="C764" s="26"/>
      <c r="D764" s="59"/>
      <c r="E764" s="120"/>
      <c r="F764" s="122" t="str">
        <f>IFERROR(IF($D764="","",VLOOKUP($D764,Cadastro!$C$4:$E$7,3,FALSE)),"")</f>
        <v/>
      </c>
      <c r="G764" s="114"/>
      <c r="H764" s="122" t="str">
        <f>IFERROR(IF($G764="","",$G764*$S$770/$G$770/Cadastro!$E$33),"")</f>
        <v/>
      </c>
      <c r="I764" s="129" t="str">
        <f>IFERROR(IF($D764="","",VLOOKUP($D764,Cadastro!$C$4:$G$7,5,FALSE)),"")</f>
        <v/>
      </c>
      <c r="J764" s="145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">
      <c r="A765" s="69">
        <v>46263</v>
      </c>
      <c r="B765" s="32">
        <f t="shared" si="205"/>
        <v>0.62499999999999967</v>
      </c>
      <c r="C765" s="33"/>
      <c r="D765" s="62"/>
      <c r="E765" s="121"/>
      <c r="F765" s="122" t="str">
        <f>IFERROR(IF($D765="","",VLOOKUP($D765,Cadastro!$C$4:$E$7,3,FALSE)),"")</f>
        <v/>
      </c>
      <c r="G765" s="114"/>
      <c r="H765" s="122" t="str">
        <f>IFERROR(IF($G765="","",$G765*$S$770/$G$770/Cadastro!$E$33),"")</f>
        <v/>
      </c>
      <c r="I765" s="129" t="str">
        <f>IFERROR(IF($D765="","",VLOOKUP($D765,Cadastro!$C$4:$G$7,5,FALSE)),"")</f>
        <v/>
      </c>
      <c r="J765" s="145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">
      <c r="A766" s="68">
        <v>46263</v>
      </c>
      <c r="B766" s="25">
        <f t="shared" si="205"/>
        <v>0.6666666666666663</v>
      </c>
      <c r="C766" s="26"/>
      <c r="D766" s="59"/>
      <c r="E766" s="120"/>
      <c r="F766" s="122" t="str">
        <f>IFERROR(IF($D766="","",VLOOKUP($D766,Cadastro!$C$4:$E$7,3,FALSE)),"")</f>
        <v/>
      </c>
      <c r="G766" s="114"/>
      <c r="H766" s="122" t="str">
        <f>IFERROR(IF($G766="","",$G766*$S$770/$G$770/Cadastro!$E$33),"")</f>
        <v/>
      </c>
      <c r="I766" s="129" t="str">
        <f>IFERROR(IF($D766="","",VLOOKUP($D766,Cadastro!$C$4:$G$7,5,FALSE)),"")</f>
        <v/>
      </c>
      <c r="J766" s="145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">
      <c r="A767" s="69">
        <v>46263</v>
      </c>
      <c r="B767" s="32">
        <f t="shared" si="205"/>
        <v>0.70833333333333293</v>
      </c>
      <c r="C767" s="33"/>
      <c r="D767" s="62"/>
      <c r="E767" s="121"/>
      <c r="F767" s="122" t="str">
        <f>IFERROR(IF($D767="","",VLOOKUP($D767,Cadastro!$C$4:$E$7,3,FALSE)),"")</f>
        <v/>
      </c>
      <c r="G767" s="114"/>
      <c r="H767" s="122" t="str">
        <f>IFERROR(IF($G767="","",$G767*$S$770/$G$770/Cadastro!$E$33),"")</f>
        <v/>
      </c>
      <c r="I767" s="129" t="str">
        <f>IFERROR(IF($D767="","",VLOOKUP($D767,Cadastro!$C$4:$G$7,5,FALSE)),"")</f>
        <v/>
      </c>
      <c r="J767" s="145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">
      <c r="A768" s="68">
        <v>46263</v>
      </c>
      <c r="B768" s="25">
        <f t="shared" si="205"/>
        <v>0.74999999999999956</v>
      </c>
      <c r="C768" s="26"/>
      <c r="D768" s="59"/>
      <c r="E768" s="120"/>
      <c r="F768" s="122" t="str">
        <f>IFERROR(IF($D768="","",VLOOKUP($D768,Cadastro!$C$4:$E$7,3,FALSE)),"")</f>
        <v/>
      </c>
      <c r="G768" s="114"/>
      <c r="H768" s="122" t="str">
        <f>IFERROR(IF($G768="","",$G768*$S$770/$G$770/Cadastro!$E$33),"")</f>
        <v/>
      </c>
      <c r="I768" s="129" t="str">
        <f>IFERROR(IF($D768="","",VLOOKUP($D768,Cadastro!$C$4:$G$7,5,FALSE)),"")</f>
        <v/>
      </c>
      <c r="J768" s="145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5">
      <c r="A769" s="69">
        <v>46263</v>
      </c>
      <c r="B769" s="32">
        <f t="shared" si="205"/>
        <v>0.79166666666666619</v>
      </c>
      <c r="C769" s="33"/>
      <c r="D769" s="62"/>
      <c r="E769" s="121"/>
      <c r="F769" s="118" t="str">
        <f>IFERROR(IF($D769="","",VLOOKUP($D769,Cadastro!$C$4:$E$7,3,FALSE)),"")</f>
        <v/>
      </c>
      <c r="G769" s="114"/>
      <c r="H769" s="118" t="str">
        <f>IFERROR(IF($G769="","",$G769*$S$770/$G$770/Cadastro!$E$33),"")</f>
        <v/>
      </c>
      <c r="I769" s="130" t="str">
        <f>IFERROR(IF($D769="","",VLOOKUP($D769,Cadastro!$C$4:$G$7,5,FALSE)),"")</f>
        <v/>
      </c>
      <c r="J769" s="146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5">
      <c r="A770" s="168" t="s">
        <v>231</v>
      </c>
      <c r="B770" s="169"/>
      <c r="C770" s="169"/>
      <c r="D770" s="169"/>
      <c r="E770" s="169">
        <f>SUM(E758:E769)</f>
        <v>0</v>
      </c>
      <c r="F770" s="123"/>
      <c r="G770" s="88">
        <f>SUM(G758:G769)</f>
        <v>0</v>
      </c>
      <c r="H770" s="123">
        <f>IFERROR(SUM(H758:H769),"")</f>
        <v>0</v>
      </c>
      <c r="I770" s="131"/>
      <c r="J770" s="147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232</v>
      </c>
      <c r="S770" s="39"/>
      <c r="T770" s="141">
        <f>IFERROR(J770,"")</f>
        <v>0</v>
      </c>
    </row>
    <row r="771" spans="1:20" ht="15" customHeight="1" x14ac:dyDescent="0.3">
      <c r="A771" s="69">
        <v>46263</v>
      </c>
      <c r="B771" s="32">
        <v>0.83333333333333304</v>
      </c>
      <c r="C771" s="33"/>
      <c r="D771" s="62"/>
      <c r="E771" s="121"/>
      <c r="F771" s="119" t="str">
        <f>IFERROR(IF($D771="","",VLOOKUP($D771,Cadastro!$C$4:$E$7,3,FALSE)),"")</f>
        <v/>
      </c>
      <c r="G771" s="114"/>
      <c r="H771" s="119" t="str">
        <f>IFERROR(IF($G771="","",$G771*$S$783/$G$783/Cadastro!$E$33),"")</f>
        <v/>
      </c>
      <c r="I771" s="132" t="str">
        <f>IFERROR(IF($D771="","",VLOOKUP($D771,Cadastro!$C$4:$G$7,5,FALSE)),"")</f>
        <v/>
      </c>
      <c r="J771" s="148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8">
        <v>46263</v>
      </c>
      <c r="B772" s="25">
        <f t="shared" ref="B772:B782" si="209">B771+TIME(0,60,0)</f>
        <v>0.87499999999999967</v>
      </c>
      <c r="C772" s="26"/>
      <c r="D772" s="59"/>
      <c r="E772" s="120"/>
      <c r="F772" s="122" t="str">
        <f>IFERROR(IF($D772="","",VLOOKUP($D772,Cadastro!$C$4:$E$7,3,FALSE)),"")</f>
        <v/>
      </c>
      <c r="G772" s="114"/>
      <c r="H772" s="122" t="str">
        <f>IFERROR(IF($G772="","",$G772*$S$783/$G$783/Cadastro!$E$33),"")</f>
        <v/>
      </c>
      <c r="I772" s="129" t="str">
        <f>IFERROR(IF($D772="","",VLOOKUP($D772,Cadastro!$C$4:$G$7,5,FALSE)),"")</f>
        <v/>
      </c>
      <c r="J772" s="145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">
      <c r="A773" s="69">
        <v>46263</v>
      </c>
      <c r="B773" s="32">
        <f t="shared" si="209"/>
        <v>0.9166666666666663</v>
      </c>
      <c r="C773" s="33"/>
      <c r="D773" s="62"/>
      <c r="E773" s="121"/>
      <c r="F773" s="122" t="str">
        <f>IFERROR(IF($D773="","",VLOOKUP($D773,Cadastro!$C$4:$E$7,3,FALSE)),"")</f>
        <v/>
      </c>
      <c r="G773" s="114"/>
      <c r="H773" s="122" t="str">
        <f>IFERROR(IF($G773="","",$G773*$S$783/$G$783/Cadastro!$E$33),"")</f>
        <v/>
      </c>
      <c r="I773" s="129" t="str">
        <f>IFERROR(IF($D773="","",VLOOKUP($D773,Cadastro!$C$4:$G$7,5,FALSE)),"")</f>
        <v/>
      </c>
      <c r="J773" s="145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">
      <c r="A774" s="68">
        <v>46263</v>
      </c>
      <c r="B774" s="25">
        <f t="shared" si="209"/>
        <v>0.95833333333333293</v>
      </c>
      <c r="C774" s="26"/>
      <c r="D774" s="59"/>
      <c r="E774" s="120"/>
      <c r="F774" s="122" t="str">
        <f>IFERROR(IF($D774="","",VLOOKUP($D774,Cadastro!$C$4:$E$7,3,FALSE)),"")</f>
        <v/>
      </c>
      <c r="G774" s="114"/>
      <c r="H774" s="122" t="str">
        <f>IFERROR(IF($G774="","",$G774*$S$783/$G$783/Cadastro!$E$33),"")</f>
        <v/>
      </c>
      <c r="I774" s="129" t="str">
        <f>IFERROR(IF($D774="","",VLOOKUP($D774,Cadastro!$C$4:$G$7,5,FALSE)),"")</f>
        <v/>
      </c>
      <c r="J774" s="145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">
      <c r="A775" s="69">
        <v>46263</v>
      </c>
      <c r="B775" s="32">
        <f t="shared" si="209"/>
        <v>0.99999999999999956</v>
      </c>
      <c r="C775" s="33"/>
      <c r="D775" s="62"/>
      <c r="E775" s="121"/>
      <c r="F775" s="122" t="str">
        <f>IFERROR(IF($D775="","",VLOOKUP($D775,Cadastro!$C$4:$E$7,3,FALSE)),"")</f>
        <v/>
      </c>
      <c r="G775" s="114"/>
      <c r="H775" s="122" t="str">
        <f>IFERROR(IF($G775="","",$G775*$S$783/$G$783/Cadastro!$E$33),"")</f>
        <v/>
      </c>
      <c r="I775" s="129" t="str">
        <f>IFERROR(IF($D775="","",VLOOKUP($D775,Cadastro!$C$4:$G$7,5,FALSE)),"")</f>
        <v/>
      </c>
      <c r="J775" s="145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">
      <c r="A776" s="68">
        <v>46263</v>
      </c>
      <c r="B776" s="25">
        <f t="shared" si="209"/>
        <v>1.0416666666666663</v>
      </c>
      <c r="C776" s="26"/>
      <c r="D776" s="59"/>
      <c r="E776" s="120"/>
      <c r="F776" s="122" t="str">
        <f>IFERROR(IF($D776="","",VLOOKUP($D776,Cadastro!$C$4:$E$7,3,FALSE)),"")</f>
        <v/>
      </c>
      <c r="G776" s="114"/>
      <c r="H776" s="122" t="str">
        <f>IFERROR(IF($G776="","",$G776*$S$783/$G$783/Cadastro!$E$33),"")</f>
        <v/>
      </c>
      <c r="I776" s="129" t="str">
        <f>IFERROR(IF($D776="","",VLOOKUP($D776,Cadastro!$C$4:$G$7,5,FALSE)),"")</f>
        <v/>
      </c>
      <c r="J776" s="145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">
      <c r="A777" s="69">
        <v>46263</v>
      </c>
      <c r="B777" s="32">
        <f t="shared" si="209"/>
        <v>1.083333333333333</v>
      </c>
      <c r="C777" s="33"/>
      <c r="D777" s="62"/>
      <c r="E777" s="121"/>
      <c r="F777" s="122" t="str">
        <f>IFERROR(IF($D777="","",VLOOKUP($D777,Cadastro!$C$4:$E$7,3,FALSE)),"")</f>
        <v/>
      </c>
      <c r="G777" s="114"/>
      <c r="H777" s="122" t="str">
        <f>IFERROR(IF($G777="","",$G777*$S$783/$G$783/Cadastro!$E$33),"")</f>
        <v/>
      </c>
      <c r="I777" s="129" t="str">
        <f>IFERROR(IF($D777="","",VLOOKUP($D777,Cadastro!$C$4:$G$7,5,FALSE)),"")</f>
        <v/>
      </c>
      <c r="J777" s="145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">
      <c r="A778" s="68">
        <v>46263</v>
      </c>
      <c r="B778" s="25">
        <f t="shared" si="209"/>
        <v>1.1249999999999998</v>
      </c>
      <c r="C778" s="26"/>
      <c r="D778" s="59"/>
      <c r="E778" s="120"/>
      <c r="F778" s="122" t="str">
        <f>IFERROR(IF($D778="","",VLOOKUP($D778,Cadastro!$C$4:$E$7,3,FALSE)),"")</f>
        <v/>
      </c>
      <c r="G778" s="114"/>
      <c r="H778" s="122" t="str">
        <f>IFERROR(IF($G778="","",$G778*$S$783/$G$783/Cadastro!$E$33),"")</f>
        <v/>
      </c>
      <c r="I778" s="129" t="str">
        <f>IFERROR(IF($D778="","",VLOOKUP($D778,Cadastro!$C$4:$G$7,5,FALSE)),"")</f>
        <v/>
      </c>
      <c r="J778" s="145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">
      <c r="A779" s="69">
        <v>46263</v>
      </c>
      <c r="B779" s="32">
        <f t="shared" si="209"/>
        <v>1.1666666666666665</v>
      </c>
      <c r="C779" s="33"/>
      <c r="D779" s="62"/>
      <c r="E779" s="121"/>
      <c r="F779" s="122" t="str">
        <f>IFERROR(IF($D779="","",VLOOKUP($D779,Cadastro!$C$4:$E$7,3,FALSE)),"")</f>
        <v/>
      </c>
      <c r="G779" s="114"/>
      <c r="H779" s="122" t="str">
        <f>IFERROR(IF($G779="","",$G779*$S$783/$G$783/Cadastro!$E$33),"")</f>
        <v/>
      </c>
      <c r="I779" s="129" t="str">
        <f>IFERROR(IF($D779="","",VLOOKUP($D779,Cadastro!$C$4:$G$7,5,FALSE)),"")</f>
        <v/>
      </c>
      <c r="J779" s="145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">
      <c r="A780" s="68">
        <v>46263</v>
      </c>
      <c r="B780" s="25">
        <f t="shared" si="209"/>
        <v>1.2083333333333333</v>
      </c>
      <c r="C780" s="26"/>
      <c r="D780" s="59"/>
      <c r="E780" s="120"/>
      <c r="F780" s="122" t="str">
        <f>IFERROR(IF($D780="","",VLOOKUP($D780,Cadastro!$C$4:$E$7,3,FALSE)),"")</f>
        <v/>
      </c>
      <c r="G780" s="114"/>
      <c r="H780" s="122" t="str">
        <f>IFERROR(IF($G780="","",$G780*$S$783/$G$783/Cadastro!$E$33),"")</f>
        <v/>
      </c>
      <c r="I780" s="129" t="str">
        <f>IFERROR(IF($D780="","",VLOOKUP($D780,Cadastro!$C$4:$G$7,5,FALSE)),"")</f>
        <v/>
      </c>
      <c r="J780" s="145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">
      <c r="A781" s="69">
        <v>46263</v>
      </c>
      <c r="B781" s="32">
        <f t="shared" si="209"/>
        <v>1.25</v>
      </c>
      <c r="C781" s="33"/>
      <c r="D781" s="62"/>
      <c r="E781" s="121"/>
      <c r="F781" s="122" t="str">
        <f>IFERROR(IF($D781="","",VLOOKUP($D781,Cadastro!$C$4:$E$7,3,FALSE)),"")</f>
        <v/>
      </c>
      <c r="G781" s="114"/>
      <c r="H781" s="122" t="str">
        <f>IFERROR(IF($G781="","",$G781*$S$783/$G$783/Cadastro!$E$33),"")</f>
        <v/>
      </c>
      <c r="I781" s="129" t="str">
        <f>IFERROR(IF($D781="","",VLOOKUP($D781,Cadastro!$C$4:$G$7,5,FALSE)),"")</f>
        <v/>
      </c>
      <c r="J781" s="145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5">
      <c r="A782" s="68">
        <v>46263</v>
      </c>
      <c r="B782" s="25">
        <f t="shared" si="209"/>
        <v>1.2916666666666667</v>
      </c>
      <c r="C782" s="26"/>
      <c r="D782" s="59"/>
      <c r="E782" s="120"/>
      <c r="F782" s="118" t="str">
        <f>IFERROR(IF($D782="","",VLOOKUP($D782,Cadastro!$C$4:$E$7,3,FALSE)),"")</f>
        <v/>
      </c>
      <c r="G782" s="114"/>
      <c r="H782" s="118" t="str">
        <f>IFERROR(IF($G782="","",$G782*$S$783/$G$783/Cadastro!$E$33),"")</f>
        <v/>
      </c>
      <c r="I782" s="130" t="str">
        <f>IFERROR(IF($D782="","",VLOOKUP($D782,Cadastro!$C$4:$G$7,5,FALSE)),"")</f>
        <v/>
      </c>
      <c r="J782" s="146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5">
      <c r="A783" s="168" t="s">
        <v>234</v>
      </c>
      <c r="B783" s="169"/>
      <c r="C783" s="169"/>
      <c r="D783" s="169"/>
      <c r="E783" s="169">
        <f>SUM(E771:E782)</f>
        <v>0</v>
      </c>
      <c r="F783" s="124"/>
      <c r="G783" s="88">
        <f>SUM(G771:G782)</f>
        <v>0</v>
      </c>
      <c r="H783" s="124">
        <f>IFERROR(SUM(H771:H782),"")</f>
        <v>0</v>
      </c>
      <c r="I783" s="133"/>
      <c r="J783" s="149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232</v>
      </c>
      <c r="S783" s="39"/>
      <c r="T783" s="141">
        <f>IFERROR(J783,"")</f>
        <v>0</v>
      </c>
    </row>
    <row r="784" spans="1:20" ht="18" customHeight="1" x14ac:dyDescent="0.3">
      <c r="A784" s="165" t="s">
        <v>235</v>
      </c>
      <c r="B784" s="166"/>
      <c r="C784" s="166"/>
      <c r="D784" s="166"/>
      <c r="E784" s="166">
        <f>E770+E783</f>
        <v>0</v>
      </c>
      <c r="F784" s="125"/>
      <c r="G784" s="100">
        <f>G770+G783</f>
        <v>0</v>
      </c>
      <c r="H784" s="125">
        <f>IFERROR(H770+H783,"")</f>
        <v>0</v>
      </c>
      <c r="I784" s="134"/>
      <c r="J784" s="150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236</v>
      </c>
      <c r="S784" s="48">
        <f>IFERROR(S770+S783,"")</f>
        <v>0</v>
      </c>
      <c r="T784" s="143">
        <f>IFERROR(J784,"")</f>
        <v>0</v>
      </c>
    </row>
    <row r="785" spans="1:20" ht="15" customHeight="1" x14ac:dyDescent="0.3">
      <c r="A785" s="69">
        <v>46264</v>
      </c>
      <c r="B785" s="32">
        <v>0.33333333333333298</v>
      </c>
      <c r="C785" s="33"/>
      <c r="D785" s="62"/>
      <c r="E785" s="121"/>
      <c r="F785" s="119" t="str">
        <f>IFERROR(IF($D785="","",VLOOKUP($D785,Cadastro!$C$4:$E$7,3,FALSE)),"")</f>
        <v/>
      </c>
      <c r="G785" s="114"/>
      <c r="H785" s="119" t="str">
        <f>IFERROR(IF($G785="","",$G785*$S$797/$G$797/Cadastro!$E$33),"")</f>
        <v/>
      </c>
      <c r="I785" s="132" t="str">
        <f>IFERROR(IF($D785="","",VLOOKUP($D785,Cadastro!$C$4:$G$7,5,FALSE)),"")</f>
        <v/>
      </c>
      <c r="J785" s="148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8">
        <v>46264</v>
      </c>
      <c r="B786" s="25">
        <f t="shared" ref="B786:B796" si="212">B785+TIME(0,60,0)</f>
        <v>0.37499999999999967</v>
      </c>
      <c r="C786" s="26"/>
      <c r="D786" s="59"/>
      <c r="E786" s="120"/>
      <c r="F786" s="122" t="str">
        <f>IFERROR(IF($D786="","",VLOOKUP($D786,Cadastro!$C$4:$E$7,3,FALSE)),"")</f>
        <v/>
      </c>
      <c r="G786" s="114"/>
      <c r="H786" s="122" t="str">
        <f>IFERROR(IF($G786="","",$G786*$S$797/$G$797/Cadastro!$E$33),"")</f>
        <v/>
      </c>
      <c r="I786" s="129" t="str">
        <f>IFERROR(IF($D786="","",VLOOKUP($D786,Cadastro!$C$4:$G$7,5,FALSE)),"")</f>
        <v/>
      </c>
      <c r="J786" s="145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">
      <c r="A787" s="69">
        <v>46264</v>
      </c>
      <c r="B787" s="32">
        <f t="shared" si="212"/>
        <v>0.41666666666666635</v>
      </c>
      <c r="C787" s="33"/>
      <c r="D787" s="62"/>
      <c r="E787" s="121"/>
      <c r="F787" s="122" t="str">
        <f>IFERROR(IF($D787="","",VLOOKUP($D787,Cadastro!$C$4:$E$7,3,FALSE)),"")</f>
        <v/>
      </c>
      <c r="G787" s="114"/>
      <c r="H787" s="122" t="str">
        <f>IFERROR(IF($G787="","",$G787*$S$797/$G$797/Cadastro!$E$33),"")</f>
        <v/>
      </c>
      <c r="I787" s="129" t="str">
        <f>IFERROR(IF($D787="","",VLOOKUP($D787,Cadastro!$C$4:$G$7,5,FALSE)),"")</f>
        <v/>
      </c>
      <c r="J787" s="145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">
      <c r="A788" s="68">
        <v>46264</v>
      </c>
      <c r="B788" s="25">
        <f t="shared" si="212"/>
        <v>0.45833333333333304</v>
      </c>
      <c r="C788" s="26"/>
      <c r="D788" s="59"/>
      <c r="E788" s="120"/>
      <c r="F788" s="122" t="str">
        <f>IFERROR(IF($D788="","",VLOOKUP($D788,Cadastro!$C$4:$E$7,3,FALSE)),"")</f>
        <v/>
      </c>
      <c r="G788" s="114"/>
      <c r="H788" s="122" t="str">
        <f>IFERROR(IF($G788="","",$G788*$S$797/$G$797/Cadastro!$E$33),"")</f>
        <v/>
      </c>
      <c r="I788" s="129" t="str">
        <f>IFERROR(IF($D788="","",VLOOKUP($D788,Cadastro!$C$4:$G$7,5,FALSE)),"")</f>
        <v/>
      </c>
      <c r="J788" s="145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">
      <c r="A789" s="69">
        <v>46264</v>
      </c>
      <c r="B789" s="32">
        <f t="shared" si="212"/>
        <v>0.49999999999999972</v>
      </c>
      <c r="C789" s="33"/>
      <c r="D789" s="62"/>
      <c r="E789" s="121"/>
      <c r="F789" s="122" t="str">
        <f>IFERROR(IF($D789="","",VLOOKUP($D789,Cadastro!$C$4:$E$7,3,FALSE)),"")</f>
        <v/>
      </c>
      <c r="G789" s="114"/>
      <c r="H789" s="122" t="str">
        <f>IFERROR(IF($G789="","",$G789*$S$797/$G$797/Cadastro!$E$33),"")</f>
        <v/>
      </c>
      <c r="I789" s="129" t="str">
        <f>IFERROR(IF($D789="","",VLOOKUP($D789,Cadastro!$C$4:$G$7,5,FALSE)),"")</f>
        <v/>
      </c>
      <c r="J789" s="145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">
      <c r="A790" s="68">
        <v>46264</v>
      </c>
      <c r="B790" s="25">
        <f t="shared" si="212"/>
        <v>0.54166666666666641</v>
      </c>
      <c r="C790" s="26"/>
      <c r="D790" s="59"/>
      <c r="E790" s="120"/>
      <c r="F790" s="122" t="str">
        <f>IFERROR(IF($D790="","",VLOOKUP($D790,Cadastro!$C$4:$E$7,3,FALSE)),"")</f>
        <v/>
      </c>
      <c r="G790" s="114"/>
      <c r="H790" s="122" t="str">
        <f>IFERROR(IF($G790="","",$G790*$S$797/$G$797/Cadastro!$E$33),"")</f>
        <v/>
      </c>
      <c r="I790" s="129" t="str">
        <f>IFERROR(IF($D790="","",VLOOKUP($D790,Cadastro!$C$4:$G$7,5,FALSE)),"")</f>
        <v/>
      </c>
      <c r="J790" s="145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">
      <c r="A791" s="69">
        <v>46264</v>
      </c>
      <c r="B791" s="32">
        <f t="shared" si="212"/>
        <v>0.58333333333333304</v>
      </c>
      <c r="C791" s="33"/>
      <c r="D791" s="62"/>
      <c r="E791" s="121"/>
      <c r="F791" s="122" t="str">
        <f>IFERROR(IF($D791="","",VLOOKUP($D791,Cadastro!$C$4:$E$7,3,FALSE)),"")</f>
        <v/>
      </c>
      <c r="G791" s="114"/>
      <c r="H791" s="122" t="str">
        <f>IFERROR(IF($G791="","",$G791*$S$797/$G$797/Cadastro!$E$33),"")</f>
        <v/>
      </c>
      <c r="I791" s="129" t="str">
        <f>IFERROR(IF($D791="","",VLOOKUP($D791,Cadastro!$C$4:$G$7,5,FALSE)),"")</f>
        <v/>
      </c>
      <c r="J791" s="145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">
      <c r="A792" s="68">
        <v>46264</v>
      </c>
      <c r="B792" s="25">
        <f t="shared" si="212"/>
        <v>0.62499999999999967</v>
      </c>
      <c r="C792" s="26"/>
      <c r="D792" s="59"/>
      <c r="E792" s="120"/>
      <c r="F792" s="122" t="str">
        <f>IFERROR(IF($D792="","",VLOOKUP($D792,Cadastro!$C$4:$E$7,3,FALSE)),"")</f>
        <v/>
      </c>
      <c r="G792" s="114"/>
      <c r="H792" s="122" t="str">
        <f>IFERROR(IF($G792="","",$G792*$S$797/$G$797/Cadastro!$E$33),"")</f>
        <v/>
      </c>
      <c r="I792" s="129" t="str">
        <f>IFERROR(IF($D792="","",VLOOKUP($D792,Cadastro!$C$4:$G$7,5,FALSE)),"")</f>
        <v/>
      </c>
      <c r="J792" s="145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">
      <c r="A793" s="69">
        <v>46264</v>
      </c>
      <c r="B793" s="32">
        <f t="shared" si="212"/>
        <v>0.6666666666666663</v>
      </c>
      <c r="C793" s="33"/>
      <c r="D793" s="62"/>
      <c r="E793" s="121"/>
      <c r="F793" s="122" t="str">
        <f>IFERROR(IF($D793="","",VLOOKUP($D793,Cadastro!$C$4:$E$7,3,FALSE)),"")</f>
        <v/>
      </c>
      <c r="G793" s="114"/>
      <c r="H793" s="122" t="str">
        <f>IFERROR(IF($G793="","",$G793*$S$797/$G$797/Cadastro!$E$33),"")</f>
        <v/>
      </c>
      <c r="I793" s="129" t="str">
        <f>IFERROR(IF($D793="","",VLOOKUP($D793,Cadastro!$C$4:$G$7,5,FALSE)),"")</f>
        <v/>
      </c>
      <c r="J793" s="145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">
      <c r="A794" s="68">
        <v>46264</v>
      </c>
      <c r="B794" s="25">
        <f t="shared" si="212"/>
        <v>0.70833333333333293</v>
      </c>
      <c r="C794" s="26"/>
      <c r="D794" s="59"/>
      <c r="E794" s="120"/>
      <c r="F794" s="122" t="str">
        <f>IFERROR(IF($D794="","",VLOOKUP($D794,Cadastro!$C$4:$E$7,3,FALSE)),"")</f>
        <v/>
      </c>
      <c r="G794" s="114"/>
      <c r="H794" s="122" t="str">
        <f>IFERROR(IF($G794="","",$G794*$S$797/$G$797/Cadastro!$E$33),"")</f>
        <v/>
      </c>
      <c r="I794" s="129" t="str">
        <f>IFERROR(IF($D794="","",VLOOKUP($D794,Cadastro!$C$4:$G$7,5,FALSE)),"")</f>
        <v/>
      </c>
      <c r="J794" s="145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">
      <c r="A795" s="69">
        <v>46264</v>
      </c>
      <c r="B795" s="32">
        <f t="shared" si="212"/>
        <v>0.74999999999999956</v>
      </c>
      <c r="C795" s="33"/>
      <c r="D795" s="62"/>
      <c r="E795" s="121"/>
      <c r="F795" s="122" t="str">
        <f>IFERROR(IF($D795="","",VLOOKUP($D795,Cadastro!$C$4:$E$7,3,FALSE)),"")</f>
        <v/>
      </c>
      <c r="G795" s="114"/>
      <c r="H795" s="122" t="str">
        <f>IFERROR(IF($G795="","",$G795*$S$797/$G$797/Cadastro!$E$33),"")</f>
        <v/>
      </c>
      <c r="I795" s="129" t="str">
        <f>IFERROR(IF($D795="","",VLOOKUP($D795,Cadastro!$C$4:$G$7,5,FALSE)),"")</f>
        <v/>
      </c>
      <c r="J795" s="145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5">
      <c r="A796" s="68">
        <v>46264</v>
      </c>
      <c r="B796" s="25">
        <f t="shared" si="212"/>
        <v>0.79166666666666619</v>
      </c>
      <c r="C796" s="26"/>
      <c r="D796" s="59"/>
      <c r="E796" s="120"/>
      <c r="F796" s="118" t="str">
        <f>IFERROR(IF($D796="","",VLOOKUP($D796,Cadastro!$C$4:$E$7,3,FALSE)),"")</f>
        <v/>
      </c>
      <c r="G796" s="114"/>
      <c r="H796" s="118" t="str">
        <f>IFERROR(IF($G796="","",$G796*$S$797/$G$797/Cadastro!$E$33),"")</f>
        <v/>
      </c>
      <c r="I796" s="130" t="str">
        <f>IFERROR(IF($D796="","",VLOOKUP($D796,Cadastro!$C$4:$G$7,5,FALSE)),"")</f>
        <v/>
      </c>
      <c r="J796" s="146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5">
      <c r="A797" s="168" t="s">
        <v>231</v>
      </c>
      <c r="B797" s="169"/>
      <c r="C797" s="169"/>
      <c r="D797" s="169"/>
      <c r="E797" s="169">
        <f>SUM(E785:E796)</f>
        <v>0</v>
      </c>
      <c r="F797" s="123"/>
      <c r="G797" s="88">
        <f>SUM(G785:G796)</f>
        <v>0</v>
      </c>
      <c r="H797" s="123">
        <f>IFERROR(SUM(H785:H796),"")</f>
        <v>0</v>
      </c>
      <c r="I797" s="131"/>
      <c r="J797" s="147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232</v>
      </c>
      <c r="S797" s="39"/>
      <c r="T797" s="141">
        <f>IFERROR(J797,"")</f>
        <v>0</v>
      </c>
    </row>
    <row r="798" spans="1:20" ht="15" customHeight="1" x14ac:dyDescent="0.3">
      <c r="A798" s="68">
        <v>46264</v>
      </c>
      <c r="B798" s="25">
        <v>0.83333333333333304</v>
      </c>
      <c r="C798" s="26"/>
      <c r="D798" s="59"/>
      <c r="E798" s="120"/>
      <c r="F798" s="119" t="str">
        <f>IFERROR(IF($D798="","",VLOOKUP($D798,Cadastro!$C$4:$E$7,3,FALSE)),"")</f>
        <v/>
      </c>
      <c r="G798" s="114"/>
      <c r="H798" s="119" t="str">
        <f>IFERROR(IF($G798="","",$G798*$S$810/$G$810/Cadastro!$E$33),"")</f>
        <v/>
      </c>
      <c r="I798" s="132" t="str">
        <f>IFERROR(IF($D798="","",VLOOKUP($D798,Cadastro!$C$4:$G$7,5,FALSE)),"")</f>
        <v/>
      </c>
      <c r="J798" s="148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9">
        <v>46264</v>
      </c>
      <c r="B799" s="32">
        <f t="shared" ref="B799:B809" si="215">B798+TIME(0,60,0)</f>
        <v>0.87499999999999967</v>
      </c>
      <c r="C799" s="33"/>
      <c r="D799" s="62"/>
      <c r="E799" s="121"/>
      <c r="F799" s="122" t="str">
        <f>IFERROR(IF($D799="","",VLOOKUP($D799,Cadastro!$C$4:$E$7,3,FALSE)),"")</f>
        <v/>
      </c>
      <c r="G799" s="114"/>
      <c r="H799" s="122" t="str">
        <f>IFERROR(IF($G799="","",$G799*$S$810/$G$810/Cadastro!$E$33),"")</f>
        <v/>
      </c>
      <c r="I799" s="129" t="str">
        <f>IFERROR(IF($D799="","",VLOOKUP($D799,Cadastro!$C$4:$G$7,5,FALSE)),"")</f>
        <v/>
      </c>
      <c r="J799" s="145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">
      <c r="A800" s="68">
        <v>46264</v>
      </c>
      <c r="B800" s="25">
        <f t="shared" si="215"/>
        <v>0.9166666666666663</v>
      </c>
      <c r="C800" s="26"/>
      <c r="D800" s="59"/>
      <c r="E800" s="120"/>
      <c r="F800" s="122" t="str">
        <f>IFERROR(IF($D800="","",VLOOKUP($D800,Cadastro!$C$4:$E$7,3,FALSE)),"")</f>
        <v/>
      </c>
      <c r="G800" s="114"/>
      <c r="H800" s="122" t="str">
        <f>IFERROR(IF($G800="","",$G800*$S$810/$G$810/Cadastro!$E$33),"")</f>
        <v/>
      </c>
      <c r="I800" s="129" t="str">
        <f>IFERROR(IF($D800="","",VLOOKUP($D800,Cadastro!$C$4:$G$7,5,FALSE)),"")</f>
        <v/>
      </c>
      <c r="J800" s="145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">
      <c r="A801" s="69">
        <v>46264</v>
      </c>
      <c r="B801" s="32">
        <f t="shared" si="215"/>
        <v>0.95833333333333293</v>
      </c>
      <c r="C801" s="33"/>
      <c r="D801" s="62"/>
      <c r="E801" s="121"/>
      <c r="F801" s="122" t="str">
        <f>IFERROR(IF($D801="","",VLOOKUP($D801,Cadastro!$C$4:$E$7,3,FALSE)),"")</f>
        <v/>
      </c>
      <c r="G801" s="114"/>
      <c r="H801" s="122" t="str">
        <f>IFERROR(IF($G801="","",$G801*$S$810/$G$810/Cadastro!$E$33),"")</f>
        <v/>
      </c>
      <c r="I801" s="129" t="str">
        <f>IFERROR(IF($D801="","",VLOOKUP($D801,Cadastro!$C$4:$G$7,5,FALSE)),"")</f>
        <v/>
      </c>
      <c r="J801" s="145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">
      <c r="A802" s="68">
        <v>46264</v>
      </c>
      <c r="B802" s="25">
        <f t="shared" si="215"/>
        <v>0.99999999999999956</v>
      </c>
      <c r="C802" s="26"/>
      <c r="D802" s="59"/>
      <c r="E802" s="120"/>
      <c r="F802" s="122" t="str">
        <f>IFERROR(IF($D802="","",VLOOKUP($D802,Cadastro!$C$4:$E$7,3,FALSE)),"")</f>
        <v/>
      </c>
      <c r="G802" s="114"/>
      <c r="H802" s="122" t="str">
        <f>IFERROR(IF($G802="","",$G802*$S$810/$G$810/Cadastro!$E$33),"")</f>
        <v/>
      </c>
      <c r="I802" s="129" t="str">
        <f>IFERROR(IF($D802="","",VLOOKUP($D802,Cadastro!$C$4:$G$7,5,FALSE)),"")</f>
        <v/>
      </c>
      <c r="J802" s="145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">
      <c r="A803" s="69">
        <v>46264</v>
      </c>
      <c r="B803" s="32">
        <f t="shared" si="215"/>
        <v>1.0416666666666663</v>
      </c>
      <c r="C803" s="33"/>
      <c r="D803" s="62"/>
      <c r="E803" s="121"/>
      <c r="F803" s="122" t="str">
        <f>IFERROR(IF($D803="","",VLOOKUP($D803,Cadastro!$C$4:$E$7,3,FALSE)),"")</f>
        <v/>
      </c>
      <c r="G803" s="114"/>
      <c r="H803" s="122" t="str">
        <f>IFERROR(IF($G803="","",$G803*$S$810/$G$810/Cadastro!$E$33),"")</f>
        <v/>
      </c>
      <c r="I803" s="129" t="str">
        <f>IFERROR(IF($D803="","",VLOOKUP($D803,Cadastro!$C$4:$G$7,5,FALSE)),"")</f>
        <v/>
      </c>
      <c r="J803" s="145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">
      <c r="A804" s="68">
        <v>46264</v>
      </c>
      <c r="B804" s="25">
        <f t="shared" si="215"/>
        <v>1.083333333333333</v>
      </c>
      <c r="C804" s="26"/>
      <c r="D804" s="59"/>
      <c r="E804" s="120"/>
      <c r="F804" s="122" t="str">
        <f>IFERROR(IF($D804="","",VLOOKUP($D804,Cadastro!$C$4:$E$7,3,FALSE)),"")</f>
        <v/>
      </c>
      <c r="G804" s="114"/>
      <c r="H804" s="122" t="str">
        <f>IFERROR(IF($G804="","",$G804*$S$810/$G$810/Cadastro!$E$33),"")</f>
        <v/>
      </c>
      <c r="I804" s="129" t="str">
        <f>IFERROR(IF($D804="","",VLOOKUP($D804,Cadastro!$C$4:$G$7,5,FALSE)),"")</f>
        <v/>
      </c>
      <c r="J804" s="145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">
      <c r="A805" s="69">
        <v>46264</v>
      </c>
      <c r="B805" s="32">
        <f t="shared" si="215"/>
        <v>1.1249999999999998</v>
      </c>
      <c r="C805" s="33"/>
      <c r="D805" s="62"/>
      <c r="E805" s="121"/>
      <c r="F805" s="122" t="str">
        <f>IFERROR(IF($D805="","",VLOOKUP($D805,Cadastro!$C$4:$E$7,3,FALSE)),"")</f>
        <v/>
      </c>
      <c r="G805" s="114"/>
      <c r="H805" s="122" t="str">
        <f>IFERROR(IF($G805="","",$G805*$S$810/$G$810/Cadastro!$E$33),"")</f>
        <v/>
      </c>
      <c r="I805" s="129" t="str">
        <f>IFERROR(IF($D805="","",VLOOKUP($D805,Cadastro!$C$4:$G$7,5,FALSE)),"")</f>
        <v/>
      </c>
      <c r="J805" s="145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">
      <c r="A806" s="68">
        <v>46264</v>
      </c>
      <c r="B806" s="25">
        <f t="shared" si="215"/>
        <v>1.1666666666666665</v>
      </c>
      <c r="C806" s="26"/>
      <c r="D806" s="59"/>
      <c r="E806" s="120"/>
      <c r="F806" s="122" t="str">
        <f>IFERROR(IF($D806="","",VLOOKUP($D806,Cadastro!$C$4:$E$7,3,FALSE)),"")</f>
        <v/>
      </c>
      <c r="G806" s="114"/>
      <c r="H806" s="122" t="str">
        <f>IFERROR(IF($G806="","",$G806*$S$810/$G$810/Cadastro!$E$33),"")</f>
        <v/>
      </c>
      <c r="I806" s="129" t="str">
        <f>IFERROR(IF($D806="","",VLOOKUP($D806,Cadastro!$C$4:$G$7,5,FALSE)),"")</f>
        <v/>
      </c>
      <c r="J806" s="145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">
      <c r="A807" s="69">
        <v>46264</v>
      </c>
      <c r="B807" s="32">
        <f t="shared" si="215"/>
        <v>1.2083333333333333</v>
      </c>
      <c r="C807" s="33"/>
      <c r="D807" s="62"/>
      <c r="E807" s="121"/>
      <c r="F807" s="122" t="str">
        <f>IFERROR(IF($D807="","",VLOOKUP($D807,Cadastro!$C$4:$E$7,3,FALSE)),"")</f>
        <v/>
      </c>
      <c r="G807" s="114"/>
      <c r="H807" s="122" t="str">
        <f>IFERROR(IF($G807="","",$G807*$S$810/$G$810/Cadastro!$E$33),"")</f>
        <v/>
      </c>
      <c r="I807" s="129" t="str">
        <f>IFERROR(IF($D807="","",VLOOKUP($D807,Cadastro!$C$4:$G$7,5,FALSE)),"")</f>
        <v/>
      </c>
      <c r="J807" s="145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">
      <c r="A808" s="68">
        <v>46264</v>
      </c>
      <c r="B808" s="25">
        <f t="shared" si="215"/>
        <v>1.25</v>
      </c>
      <c r="C808" s="26"/>
      <c r="D808" s="59"/>
      <c r="E808" s="120"/>
      <c r="F808" s="122" t="str">
        <f>IFERROR(IF($D808="","",VLOOKUP($D808,Cadastro!$C$4:$E$7,3,FALSE)),"")</f>
        <v/>
      </c>
      <c r="G808" s="114"/>
      <c r="H808" s="122" t="str">
        <f>IFERROR(IF($G808="","",$G808*$S$810/$G$810/Cadastro!$E$33),"")</f>
        <v/>
      </c>
      <c r="I808" s="129" t="str">
        <f>IFERROR(IF($D808="","",VLOOKUP($D808,Cadastro!$C$4:$G$7,5,FALSE)),"")</f>
        <v/>
      </c>
      <c r="J808" s="145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5">
      <c r="A809" s="69">
        <v>46264</v>
      </c>
      <c r="B809" s="32">
        <f t="shared" si="215"/>
        <v>1.2916666666666667</v>
      </c>
      <c r="C809" s="33"/>
      <c r="D809" s="62"/>
      <c r="E809" s="121"/>
      <c r="F809" s="118" t="str">
        <f>IFERROR(IF($D809="","",VLOOKUP($D809,Cadastro!$C$4:$E$7,3,FALSE)),"")</f>
        <v/>
      </c>
      <c r="G809" s="114"/>
      <c r="H809" s="118" t="str">
        <f>IFERROR(IF($G809="","",$G809*$S$810/$G$810/Cadastro!$E$33),"")</f>
        <v/>
      </c>
      <c r="I809" s="130" t="str">
        <f>IFERROR(IF($D809="","",VLOOKUP($D809,Cadastro!$C$4:$G$7,5,FALSE)),"")</f>
        <v/>
      </c>
      <c r="J809" s="146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5">
      <c r="A810" s="168" t="s">
        <v>234</v>
      </c>
      <c r="B810" s="169"/>
      <c r="C810" s="169"/>
      <c r="D810" s="169"/>
      <c r="E810" s="169">
        <f>SUM(E798:E809)</f>
        <v>0</v>
      </c>
      <c r="F810" s="124"/>
      <c r="G810" s="88">
        <f>SUM(G798:G809)</f>
        <v>0</v>
      </c>
      <c r="H810" s="124">
        <f>IFERROR(SUM(H798:H809),"")</f>
        <v>0</v>
      </c>
      <c r="I810" s="133"/>
      <c r="J810" s="149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232</v>
      </c>
      <c r="S810" s="39"/>
      <c r="T810" s="141">
        <f>IFERROR(J810,"")</f>
        <v>0</v>
      </c>
    </row>
    <row r="811" spans="1:20" ht="18" customHeight="1" x14ac:dyDescent="0.3">
      <c r="A811" s="165" t="s">
        <v>235</v>
      </c>
      <c r="B811" s="166"/>
      <c r="C811" s="166"/>
      <c r="D811" s="166"/>
      <c r="E811" s="166">
        <f>E797+E810</f>
        <v>0</v>
      </c>
      <c r="F811" s="125"/>
      <c r="G811" s="100">
        <f>G797+G810</f>
        <v>0</v>
      </c>
      <c r="H811" s="125">
        <f>IFERROR(H797+H810,"")</f>
        <v>0</v>
      </c>
      <c r="I811" s="134"/>
      <c r="J811" s="150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236</v>
      </c>
      <c r="S811" s="43">
        <f>IFERROR(S797+S810,"")</f>
        <v>0</v>
      </c>
      <c r="T811" s="142">
        <f>IFERROR(J811,"")</f>
        <v>0</v>
      </c>
    </row>
    <row r="812" spans="1:20" ht="15" customHeight="1" x14ac:dyDescent="0.3">
      <c r="A812" s="68">
        <v>46265</v>
      </c>
      <c r="B812" s="25">
        <v>0.33333333333333298</v>
      </c>
      <c r="C812" s="26"/>
      <c r="D812" s="59"/>
      <c r="E812" s="120"/>
      <c r="F812" s="119" t="str">
        <f>IFERROR(IF($D812="","",VLOOKUP($D812,Cadastro!$C$4:$E$7,3,FALSE)),"")</f>
        <v/>
      </c>
      <c r="G812" s="114"/>
      <c r="H812" s="119" t="str">
        <f>IFERROR(IF($G812="","",$G812*$S$824/$G$824/Cadastro!$E$33),"")</f>
        <v/>
      </c>
      <c r="I812" s="132" t="str">
        <f>IFERROR(IF($D812="","",VLOOKUP($D812,Cadastro!$C$4:$G$7,5,FALSE)),"")</f>
        <v/>
      </c>
      <c r="J812" s="148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9">
        <v>46265</v>
      </c>
      <c r="B813" s="32">
        <f t="shared" ref="B813:B823" si="220">B812+TIME(0,60,0)</f>
        <v>0.37499999999999967</v>
      </c>
      <c r="C813" s="26"/>
      <c r="D813" s="59"/>
      <c r="E813" s="120"/>
      <c r="F813" s="122" t="str">
        <f>IFERROR(IF($D813="","",VLOOKUP($D813,Cadastro!$C$4:$E$7,3,FALSE)),"")</f>
        <v/>
      </c>
      <c r="G813" s="114"/>
      <c r="H813" s="122" t="str">
        <f>IFERROR(IF($G813="","",$G813*$S$824/$G$824/Cadastro!$E$33),"")</f>
        <v/>
      </c>
      <c r="I813" s="129" t="str">
        <f>IFERROR(IF($D813="","",VLOOKUP($D813,Cadastro!$C$4:$G$7,5,FALSE)),"")</f>
        <v/>
      </c>
      <c r="J813" s="145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">
      <c r="A814" s="68">
        <v>46265</v>
      </c>
      <c r="B814" s="25">
        <f t="shared" si="220"/>
        <v>0.41666666666666635</v>
      </c>
      <c r="C814" s="26"/>
      <c r="D814" s="59"/>
      <c r="E814" s="120"/>
      <c r="F814" s="122" t="str">
        <f>IFERROR(IF($D814="","",VLOOKUP($D814,Cadastro!$C$4:$E$7,3,FALSE)),"")</f>
        <v/>
      </c>
      <c r="G814" s="114"/>
      <c r="H814" s="122" t="str">
        <f>IFERROR(IF($G814="","",$G814*$S$824/$G$824/Cadastro!$E$33),"")</f>
        <v/>
      </c>
      <c r="I814" s="129" t="str">
        <f>IFERROR(IF($D814="","",VLOOKUP($D814,Cadastro!$C$4:$G$7,5,FALSE)),"")</f>
        <v/>
      </c>
      <c r="J814" s="145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">
      <c r="A815" s="69">
        <v>46265</v>
      </c>
      <c r="B815" s="32">
        <f t="shared" si="220"/>
        <v>0.45833333333333304</v>
      </c>
      <c r="C815" s="26"/>
      <c r="D815" s="59"/>
      <c r="E815" s="120"/>
      <c r="F815" s="122" t="str">
        <f>IFERROR(IF($D815="","",VLOOKUP($D815,Cadastro!$C$4:$E$7,3,FALSE)),"")</f>
        <v/>
      </c>
      <c r="G815" s="114"/>
      <c r="H815" s="122" t="str">
        <f>IFERROR(IF($G815="","",$G815*$S$824/$G$824/Cadastro!$E$33),"")</f>
        <v/>
      </c>
      <c r="I815" s="129" t="str">
        <f>IFERROR(IF($D815="","",VLOOKUP($D815,Cadastro!$C$4:$G$7,5,FALSE)),"")</f>
        <v/>
      </c>
      <c r="J815" s="145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">
      <c r="A816" s="68">
        <v>46265</v>
      </c>
      <c r="B816" s="25">
        <f t="shared" si="220"/>
        <v>0.49999999999999972</v>
      </c>
      <c r="C816" s="26"/>
      <c r="D816" s="59"/>
      <c r="E816" s="120"/>
      <c r="F816" s="122" t="str">
        <f>IFERROR(IF($D816="","",VLOOKUP($D816,Cadastro!$C$4:$E$7,3,FALSE)),"")</f>
        <v/>
      </c>
      <c r="G816" s="114"/>
      <c r="H816" s="122" t="str">
        <f>IFERROR(IF($G816="","",$G816*$S$824/$G$824/Cadastro!$E$33),"")</f>
        <v/>
      </c>
      <c r="I816" s="129" t="str">
        <f>IFERROR(IF($D816="","",VLOOKUP($D816,Cadastro!$C$4:$G$7,5,FALSE)),"")</f>
        <v/>
      </c>
      <c r="J816" s="145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">
      <c r="A817" s="69">
        <v>46265</v>
      </c>
      <c r="B817" s="32">
        <f t="shared" si="220"/>
        <v>0.54166666666666641</v>
      </c>
      <c r="C817" s="26"/>
      <c r="D817" s="59"/>
      <c r="E817" s="120"/>
      <c r="F817" s="122" t="str">
        <f>IFERROR(IF($D817="","",VLOOKUP($D817,Cadastro!$C$4:$E$7,3,FALSE)),"")</f>
        <v/>
      </c>
      <c r="G817" s="114"/>
      <c r="H817" s="122" t="str">
        <f>IFERROR(IF($G817="","",$G817*$S$824/$G$824/Cadastro!$E$33),"")</f>
        <v/>
      </c>
      <c r="I817" s="129" t="str">
        <f>IFERROR(IF($D817="","",VLOOKUP($D817,Cadastro!$C$4:$G$7,5,FALSE)),"")</f>
        <v/>
      </c>
      <c r="J817" s="145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">
      <c r="A818" s="68">
        <v>46265</v>
      </c>
      <c r="B818" s="25">
        <f t="shared" si="220"/>
        <v>0.58333333333333304</v>
      </c>
      <c r="C818" s="26"/>
      <c r="D818" s="59"/>
      <c r="E818" s="120"/>
      <c r="F818" s="122" t="str">
        <f>IFERROR(IF($D818="","",VLOOKUP($D818,Cadastro!$C$4:$E$7,3,FALSE)),"")</f>
        <v/>
      </c>
      <c r="G818" s="114"/>
      <c r="H818" s="122" t="str">
        <f>IFERROR(IF($G818="","",$G818*$S$824/$G$824/Cadastro!$E$33),"")</f>
        <v/>
      </c>
      <c r="I818" s="129" t="str">
        <f>IFERROR(IF($D818="","",VLOOKUP($D818,Cadastro!$C$4:$G$7,5,FALSE)),"")</f>
        <v/>
      </c>
      <c r="J818" s="145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">
      <c r="A819" s="69">
        <v>46265</v>
      </c>
      <c r="B819" s="32">
        <f t="shared" si="220"/>
        <v>0.62499999999999967</v>
      </c>
      <c r="C819" s="26"/>
      <c r="D819" s="59"/>
      <c r="E819" s="120"/>
      <c r="F819" s="122" t="str">
        <f>IFERROR(IF($D819="","",VLOOKUP($D819,Cadastro!$C$4:$E$7,3,FALSE)),"")</f>
        <v/>
      </c>
      <c r="G819" s="114"/>
      <c r="H819" s="122" t="str">
        <f>IFERROR(IF($G819="","",$G819*$S$824/$G$824/Cadastro!$E$33),"")</f>
        <v/>
      </c>
      <c r="I819" s="129" t="str">
        <f>IFERROR(IF($D819="","",VLOOKUP($D819,Cadastro!$C$4:$G$7,5,FALSE)),"")</f>
        <v/>
      </c>
      <c r="J819" s="145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">
      <c r="A820" s="68">
        <v>46265</v>
      </c>
      <c r="B820" s="25">
        <f t="shared" si="220"/>
        <v>0.6666666666666663</v>
      </c>
      <c r="C820" s="26"/>
      <c r="D820" s="59"/>
      <c r="E820" s="120"/>
      <c r="F820" s="122" t="str">
        <f>IFERROR(IF($D820="","",VLOOKUP($D820,Cadastro!$C$4:$E$7,3,FALSE)),"")</f>
        <v/>
      </c>
      <c r="G820" s="114"/>
      <c r="H820" s="122" t="str">
        <f>IFERROR(IF($G820="","",$G820*$S$824/$G$824/Cadastro!$E$33),"")</f>
        <v/>
      </c>
      <c r="I820" s="129" t="str">
        <f>IFERROR(IF($D820="","",VLOOKUP($D820,Cadastro!$C$4:$G$7,5,FALSE)),"")</f>
        <v/>
      </c>
      <c r="J820" s="145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">
      <c r="A821" s="69">
        <v>46265</v>
      </c>
      <c r="B821" s="32">
        <f t="shared" si="220"/>
        <v>0.70833333333333293</v>
      </c>
      <c r="C821" s="26"/>
      <c r="D821" s="59"/>
      <c r="E821" s="120"/>
      <c r="F821" s="122" t="str">
        <f>IFERROR(IF($D821="","",VLOOKUP($D821,Cadastro!$C$4:$E$7,3,FALSE)),"")</f>
        <v/>
      </c>
      <c r="G821" s="114"/>
      <c r="H821" s="122" t="str">
        <f>IFERROR(IF($G821="","",$G821*$S$824/$G$824/Cadastro!$E$33),"")</f>
        <v/>
      </c>
      <c r="I821" s="129" t="str">
        <f>IFERROR(IF($D821="","",VLOOKUP($D821,Cadastro!$C$4:$G$7,5,FALSE)),"")</f>
        <v/>
      </c>
      <c r="J821" s="145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">
      <c r="A822" s="68">
        <v>46265</v>
      </c>
      <c r="B822" s="25">
        <f t="shared" si="220"/>
        <v>0.74999999999999956</v>
      </c>
      <c r="C822" s="26"/>
      <c r="D822" s="59"/>
      <c r="E822" s="120"/>
      <c r="F822" s="122" t="str">
        <f>IFERROR(IF($D822="","",VLOOKUP($D822,Cadastro!$C$4:$E$7,3,FALSE)),"")</f>
        <v/>
      </c>
      <c r="G822" s="114"/>
      <c r="H822" s="122" t="str">
        <f>IFERROR(IF($G822="","",$G822*$S$824/$G$824/Cadastro!$E$33),"")</f>
        <v/>
      </c>
      <c r="I822" s="129" t="str">
        <f>IFERROR(IF($D822="","",VLOOKUP($D822,Cadastro!$C$4:$G$7,5,FALSE)),"")</f>
        <v/>
      </c>
      <c r="J822" s="145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5">
      <c r="A823" s="69">
        <v>46265</v>
      </c>
      <c r="B823" s="32">
        <f t="shared" si="220"/>
        <v>0.79166666666666619</v>
      </c>
      <c r="C823" s="26"/>
      <c r="D823" s="59"/>
      <c r="E823" s="120"/>
      <c r="F823" s="118" t="str">
        <f>IFERROR(IF($D823="","",VLOOKUP($D823,Cadastro!$C$4:$E$7,3,FALSE)),"")</f>
        <v/>
      </c>
      <c r="G823" s="114"/>
      <c r="H823" s="118" t="str">
        <f>IFERROR(IF($G823="","",$G823*$S$824/$G$824/Cadastro!$E$33),"")</f>
        <v/>
      </c>
      <c r="I823" s="130" t="str">
        <f>IFERROR(IF($D823="","",VLOOKUP($D823,Cadastro!$C$4:$G$7,5,FALSE)),"")</f>
        <v/>
      </c>
      <c r="J823" s="146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5">
      <c r="A824" s="168" t="s">
        <v>231</v>
      </c>
      <c r="B824" s="169"/>
      <c r="C824" s="169"/>
      <c r="D824" s="169"/>
      <c r="E824" s="169">
        <f>SUM(E812:E823)</f>
        <v>0</v>
      </c>
      <c r="F824" s="123"/>
      <c r="G824" s="88">
        <f>SUM(G812:G823)</f>
        <v>0</v>
      </c>
      <c r="H824" s="123">
        <f>IFERROR(SUM(H812:H823),"")</f>
        <v>0</v>
      </c>
      <c r="I824" s="131"/>
      <c r="J824" s="147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232</v>
      </c>
      <c r="S824" s="39"/>
      <c r="T824" s="141">
        <f>IFERROR(J824,"")</f>
        <v>0</v>
      </c>
    </row>
    <row r="825" spans="1:20" ht="15" customHeight="1" x14ac:dyDescent="0.3">
      <c r="A825" s="69">
        <v>46265</v>
      </c>
      <c r="B825" s="32">
        <v>0.83333333333333304</v>
      </c>
      <c r="C825" s="33"/>
      <c r="D825" s="62"/>
      <c r="E825" s="121"/>
      <c r="F825" s="119" t="str">
        <f>IFERROR(IF($D825="","",VLOOKUP($D825,Cadastro!$C$4:$E$7,3,FALSE)),"")</f>
        <v/>
      </c>
      <c r="G825" s="114"/>
      <c r="H825" s="119" t="str">
        <f>IFERROR(IF($G825="","",$G825*$S$837/$G$837/Cadastro!$E$33),"")</f>
        <v/>
      </c>
      <c r="I825" s="132" t="str">
        <f>IFERROR(IF($D825="","",VLOOKUP($D825,Cadastro!$C$4:$G$7,5,FALSE)),"")</f>
        <v/>
      </c>
      <c r="J825" s="148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8">
        <v>46265</v>
      </c>
      <c r="B826" s="25">
        <f t="shared" ref="B826:B836" si="224">B825+TIME(0,60,0)</f>
        <v>0.87499999999999967</v>
      </c>
      <c r="C826" s="33"/>
      <c r="D826" s="62"/>
      <c r="E826" s="121"/>
      <c r="F826" s="122" t="str">
        <f>IFERROR(IF($D826="","",VLOOKUP($D826,Cadastro!$C$4:$E$7,3,FALSE)),"")</f>
        <v/>
      </c>
      <c r="G826" s="114"/>
      <c r="H826" s="122" t="str">
        <f>IFERROR(IF($G826="","",$G826*$S$837/$G$837/Cadastro!$E$33),"")</f>
        <v/>
      </c>
      <c r="I826" s="129" t="str">
        <f>IFERROR(IF($D826="","",VLOOKUP($D826,Cadastro!$C$4:$G$7,5,FALSE)),"")</f>
        <v/>
      </c>
      <c r="J826" s="145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">
      <c r="A827" s="69">
        <v>46265</v>
      </c>
      <c r="B827" s="32">
        <f t="shared" si="224"/>
        <v>0.9166666666666663</v>
      </c>
      <c r="C827" s="33"/>
      <c r="D827" s="62"/>
      <c r="E827" s="121"/>
      <c r="F827" s="122" t="str">
        <f>IFERROR(IF($D827="","",VLOOKUP($D827,Cadastro!$C$4:$E$7,3,FALSE)),"")</f>
        <v/>
      </c>
      <c r="G827" s="114"/>
      <c r="H827" s="122" t="str">
        <f>IFERROR(IF($G827="","",$G827*$S$837/$G$837/Cadastro!$E$33),"")</f>
        <v/>
      </c>
      <c r="I827" s="129" t="str">
        <f>IFERROR(IF($D827="","",VLOOKUP($D827,Cadastro!$C$4:$G$7,5,FALSE)),"")</f>
        <v/>
      </c>
      <c r="J827" s="145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">
      <c r="A828" s="68">
        <v>46265</v>
      </c>
      <c r="B828" s="25">
        <f t="shared" si="224"/>
        <v>0.95833333333333293</v>
      </c>
      <c r="C828" s="33"/>
      <c r="D828" s="62"/>
      <c r="E828" s="121"/>
      <c r="F828" s="122" t="str">
        <f>IFERROR(IF($D828="","",VLOOKUP($D828,Cadastro!$C$4:$E$7,3,FALSE)),"")</f>
        <v/>
      </c>
      <c r="G828" s="114"/>
      <c r="H828" s="122" t="str">
        <f>IFERROR(IF($G828="","",$G828*$S$837/$G$837/Cadastro!$E$33),"")</f>
        <v/>
      </c>
      <c r="I828" s="129" t="str">
        <f>IFERROR(IF($D828="","",VLOOKUP($D828,Cadastro!$C$4:$G$7,5,FALSE)),"")</f>
        <v/>
      </c>
      <c r="J828" s="145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">
      <c r="A829" s="69">
        <v>46265</v>
      </c>
      <c r="B829" s="32">
        <f t="shared" si="224"/>
        <v>0.99999999999999956</v>
      </c>
      <c r="C829" s="33"/>
      <c r="D829" s="62"/>
      <c r="E829" s="121"/>
      <c r="F829" s="122" t="str">
        <f>IFERROR(IF($D829="","",VLOOKUP($D829,Cadastro!$C$4:$E$7,3,FALSE)),"")</f>
        <v/>
      </c>
      <c r="G829" s="114"/>
      <c r="H829" s="122" t="str">
        <f>IFERROR(IF($G829="","",$G829*$S$837/$G$837/Cadastro!$E$33),"")</f>
        <v/>
      </c>
      <c r="I829" s="129" t="str">
        <f>IFERROR(IF($D829="","",VLOOKUP($D829,Cadastro!$C$4:$G$7,5,FALSE)),"")</f>
        <v/>
      </c>
      <c r="J829" s="145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">
      <c r="A830" s="68">
        <v>46265</v>
      </c>
      <c r="B830" s="25">
        <f t="shared" si="224"/>
        <v>1.0416666666666663</v>
      </c>
      <c r="C830" s="33"/>
      <c r="D830" s="62"/>
      <c r="E830" s="121"/>
      <c r="F830" s="122" t="str">
        <f>IFERROR(IF($D830="","",VLOOKUP($D830,Cadastro!$C$4:$E$7,3,FALSE)),"")</f>
        <v/>
      </c>
      <c r="G830" s="114"/>
      <c r="H830" s="122" t="str">
        <f>IFERROR(IF($G830="","",$G830*$S$837/$G$837/Cadastro!$E$33),"")</f>
        <v/>
      </c>
      <c r="I830" s="129" t="str">
        <f>IFERROR(IF($D830="","",VLOOKUP($D830,Cadastro!$C$4:$G$7,5,FALSE)),"")</f>
        <v/>
      </c>
      <c r="J830" s="145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">
      <c r="A831" s="69">
        <v>46265</v>
      </c>
      <c r="B831" s="32">
        <f t="shared" si="224"/>
        <v>1.083333333333333</v>
      </c>
      <c r="C831" s="33"/>
      <c r="D831" s="62"/>
      <c r="E831" s="121"/>
      <c r="F831" s="122" t="str">
        <f>IFERROR(IF($D831="","",VLOOKUP($D831,Cadastro!$C$4:$E$7,3,FALSE)),"")</f>
        <v/>
      </c>
      <c r="G831" s="114"/>
      <c r="H831" s="122" t="str">
        <f>IFERROR(IF($G831="","",$G831*$S$837/$G$837/Cadastro!$E$33),"")</f>
        <v/>
      </c>
      <c r="I831" s="129" t="str">
        <f>IFERROR(IF($D831="","",VLOOKUP($D831,Cadastro!$C$4:$G$7,5,FALSE)),"")</f>
        <v/>
      </c>
      <c r="J831" s="145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">
      <c r="A832" s="68">
        <v>46265</v>
      </c>
      <c r="B832" s="25">
        <f t="shared" si="224"/>
        <v>1.1249999999999998</v>
      </c>
      <c r="C832" s="33"/>
      <c r="D832" s="62"/>
      <c r="E832" s="121"/>
      <c r="F832" s="122" t="str">
        <f>IFERROR(IF($D832="","",VLOOKUP($D832,Cadastro!$C$4:$E$7,3,FALSE)),"")</f>
        <v/>
      </c>
      <c r="G832" s="114"/>
      <c r="H832" s="122" t="str">
        <f>IFERROR(IF($G832="","",$G832*$S$837/$G$837/Cadastro!$E$33),"")</f>
        <v/>
      </c>
      <c r="I832" s="129" t="str">
        <f>IFERROR(IF($D832="","",VLOOKUP($D832,Cadastro!$C$4:$G$7,5,FALSE)),"")</f>
        <v/>
      </c>
      <c r="J832" s="145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">
      <c r="A833" s="69">
        <v>46265</v>
      </c>
      <c r="B833" s="32">
        <f t="shared" si="224"/>
        <v>1.1666666666666665</v>
      </c>
      <c r="C833" s="33"/>
      <c r="D833" s="62"/>
      <c r="E833" s="121"/>
      <c r="F833" s="122" t="str">
        <f>IFERROR(IF($D833="","",VLOOKUP($D833,Cadastro!$C$4:$E$7,3,FALSE)),"")</f>
        <v/>
      </c>
      <c r="G833" s="114"/>
      <c r="H833" s="122" t="str">
        <f>IFERROR(IF($G833="","",$G833*$S$837/$G$837/Cadastro!$E$33),"")</f>
        <v/>
      </c>
      <c r="I833" s="129" t="str">
        <f>IFERROR(IF($D833="","",VLOOKUP($D833,Cadastro!$C$4:$G$7,5,FALSE)),"")</f>
        <v/>
      </c>
      <c r="J833" s="145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">
      <c r="A834" s="68">
        <v>46265</v>
      </c>
      <c r="B834" s="25">
        <f t="shared" si="224"/>
        <v>1.2083333333333333</v>
      </c>
      <c r="C834" s="33"/>
      <c r="D834" s="62"/>
      <c r="E834" s="121"/>
      <c r="F834" s="122" t="str">
        <f>IFERROR(IF($D834="","",VLOOKUP($D834,Cadastro!$C$4:$E$7,3,FALSE)),"")</f>
        <v/>
      </c>
      <c r="G834" s="114"/>
      <c r="H834" s="122" t="str">
        <f>IFERROR(IF($G834="","",$G834*$S$837/$G$837/Cadastro!$E$33),"")</f>
        <v/>
      </c>
      <c r="I834" s="129" t="str">
        <f>IFERROR(IF($D834="","",VLOOKUP($D834,Cadastro!$C$4:$G$7,5,FALSE)),"")</f>
        <v/>
      </c>
      <c r="J834" s="145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">
      <c r="A835" s="69">
        <v>46265</v>
      </c>
      <c r="B835" s="32">
        <f t="shared" si="224"/>
        <v>1.25</v>
      </c>
      <c r="C835" s="33"/>
      <c r="D835" s="62"/>
      <c r="E835" s="121"/>
      <c r="F835" s="122" t="str">
        <f>IFERROR(IF($D835="","",VLOOKUP($D835,Cadastro!$C$4:$E$7,3,FALSE)),"")</f>
        <v/>
      </c>
      <c r="G835" s="114"/>
      <c r="H835" s="122" t="str">
        <f>IFERROR(IF($G835="","",$G835*$S$837/$G$837/Cadastro!$E$33),"")</f>
        <v/>
      </c>
      <c r="I835" s="129" t="str">
        <f>IFERROR(IF($D835="","",VLOOKUP($D835,Cadastro!$C$4:$G$7,5,FALSE)),"")</f>
        <v/>
      </c>
      <c r="J835" s="145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5">
      <c r="A836" s="68">
        <v>46265</v>
      </c>
      <c r="B836" s="25">
        <f t="shared" si="224"/>
        <v>1.2916666666666667</v>
      </c>
      <c r="C836" s="33"/>
      <c r="D836" s="62"/>
      <c r="E836" s="121"/>
      <c r="F836" s="118" t="str">
        <f>IFERROR(IF($D836="","",VLOOKUP($D836,Cadastro!$C$4:$E$7,3,FALSE)),"")</f>
        <v/>
      </c>
      <c r="G836" s="114"/>
      <c r="H836" s="118" t="str">
        <f>IFERROR(IF($G836="","",$G836*$S$837/$G$837/Cadastro!$E$33),"")</f>
        <v/>
      </c>
      <c r="I836" s="130" t="str">
        <f>IFERROR(IF($D836="","",VLOOKUP($D836,Cadastro!$C$4:$G$7,5,FALSE)),"")</f>
        <v/>
      </c>
      <c r="J836" s="146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5">
      <c r="A837" s="168" t="s">
        <v>234</v>
      </c>
      <c r="B837" s="169"/>
      <c r="C837" s="169"/>
      <c r="D837" s="169"/>
      <c r="E837" s="169">
        <f>SUM(E825:E836)</f>
        <v>0</v>
      </c>
      <c r="F837" s="124"/>
      <c r="G837" s="88">
        <f>SUM(G825:G836)</f>
        <v>0</v>
      </c>
      <c r="H837" s="124">
        <f>IFERROR(SUM(H825:H836),"")</f>
        <v>0</v>
      </c>
      <c r="I837" s="133"/>
      <c r="J837" s="149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232</v>
      </c>
      <c r="S837" s="39"/>
      <c r="T837" s="141">
        <f>IFERROR(J837,"")</f>
        <v>0</v>
      </c>
    </row>
    <row r="838" spans="1:20" ht="18" customHeight="1" x14ac:dyDescent="0.3">
      <c r="A838" s="165" t="s">
        <v>235</v>
      </c>
      <c r="B838" s="166"/>
      <c r="C838" s="166"/>
      <c r="D838" s="166"/>
      <c r="E838" s="166">
        <f>E824+E837</f>
        <v>0</v>
      </c>
      <c r="F838" s="125"/>
      <c r="G838" s="100">
        <f>G824+G837</f>
        <v>0</v>
      </c>
      <c r="H838" s="125">
        <f>IFERROR(H824+H837,"")</f>
        <v>0</v>
      </c>
      <c r="I838" s="134"/>
      <c r="J838" s="150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236</v>
      </c>
      <c r="S838" s="48">
        <f>IFERROR(S824+S837,"")</f>
        <v>0</v>
      </c>
      <c r="T838" s="143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cp:lastPrinted>2026-08-11T17:08:14Z</cp:lastPrinted>
  <dcterms:created xsi:type="dcterms:W3CDTF">2026-06-05T19:56:02Z</dcterms:created>
  <dcterms:modified xsi:type="dcterms:W3CDTF">2026-08-12T19:37:05Z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