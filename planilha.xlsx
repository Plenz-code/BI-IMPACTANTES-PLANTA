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609" documentId="13_ncr:1_{0A10D8D4-8450-4366-8075-B53B08E6B7EA}" xr6:coauthVersionLast="47" xr6:coauthVersionMax="47" xr10:uidLastSave="{807A9B74-777C-4A05-8888-1AD3151C128C}"/>
  <bookViews>
    <workbookView xWindow="-28920" yWindow="-6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2" i="6"/>
  <c r="J342" i="6" s="1"/>
  <c r="H343" i="6"/>
  <c r="J343" i="6" s="1"/>
  <c r="H344" i="6"/>
  <c r="J344" i="6" s="1"/>
  <c r="H345" i="6"/>
  <c r="J345" i="6" s="1"/>
  <c r="H346" i="6"/>
  <c r="J346" i="6" s="1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2" i="5"/>
  <c r="J342" i="5" s="1"/>
  <c r="H343" i="5"/>
  <c r="J343" i="5" s="1"/>
  <c r="H344" i="5"/>
  <c r="J344" i="5" s="1"/>
  <c r="H345" i="5"/>
  <c r="J345" i="5" s="1"/>
  <c r="H346" i="5"/>
  <c r="J346" i="5" s="1"/>
  <c r="H347" i="5"/>
  <c r="J347" i="5" s="1"/>
  <c r="H348" i="5"/>
  <c r="J348" i="5" s="1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2" i="4"/>
  <c r="J342" i="4" s="1"/>
  <c r="H343" i="4"/>
  <c r="J343" i="4" s="1"/>
  <c r="H344" i="4"/>
  <c r="J344" i="4" s="1"/>
  <c r="H345" i="4"/>
  <c r="J345" i="4" s="1"/>
  <c r="H346" i="4"/>
  <c r="J346" i="4" s="1"/>
  <c r="H347" i="4"/>
  <c r="J347" i="4" s="1"/>
  <c r="H348" i="4"/>
  <c r="J348" i="4" s="1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H341" i="6" s="1"/>
  <c r="J341" i="6" s="1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H341" i="5" s="1"/>
  <c r="J341" i="5" s="1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H341" i="4" s="1"/>
  <c r="J341" i="4" s="1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39" i="6" l="1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<sst xmlns="http://schemas.openxmlformats.org/spreadsheetml/2006/main" count="6105" uniqueCount="340">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</sst>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:G34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F342" sqref="F342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/>
      <c r="M339" s="35">
        <f t="shared" ref="M339:M350" ca="1" si="71">IFERROR(IF(K339="","",IF(L339="",MOD(NOW()-K339,1),IF(L339&gt;=K339,L339-K339,L339+1-K339))),"")</f>
        <v>9.2073958330729511E-2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f t="shared" si="70"/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45</v>
      </c>
      <c r="G351" s="36">
        <f>SUM(G339:G350)</f>
        <v>225</v>
      </c>
      <c r="H351" s="37"/>
      <c r="I351" s="37"/>
      <c r="J351" s="37"/>
      <c r="K351" s="37"/>
      <c r="L351" s="37"/>
      <c r="M351" s="38">
        <f ca="1">IFERROR(SUM(M339:M350),"")</f>
        <v>9.2073958330729511E-2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277</v>
      </c>
      <c r="G352" s="40">
        <f>G338+G351</f>
        <v>1385</v>
      </c>
      <c r="H352" s="41"/>
      <c r="I352" s="41"/>
      <c r="J352" s="41"/>
      <c r="K352" s="41"/>
      <c r="L352" s="41"/>
      <c r="M352" s="42">
        <f ca="1">IFERROR(M338+M351,"")</f>
        <v>0.1691572916640629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23" activePane="bottomLeft" state="frozen"/>
      <selection pane="bottomLeft" activeCell="R342" sqref="R34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0.81707395832927432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0.95596284721816316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1.0406850694403855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39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163.80000000000001</v>
      </c>
      <c r="L351" s="37"/>
      <c r="M351" s="37"/>
      <c r="N351" s="37"/>
      <c r="O351" s="37"/>
      <c r="P351" s="37"/>
      <c r="Q351" s="38">
        <f ca="1">IFERROR(SUM(Q339:Q350),"")</f>
        <v>5.1388888888889039E-2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76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336.8</v>
      </c>
      <c r="L352" s="41"/>
      <c r="M352" s="41"/>
      <c r="N352" s="41"/>
      <c r="O352" s="41"/>
      <c r="P352" s="41"/>
      <c r="Q352" s="42">
        <f ca="1">IFERROR(Q338+Q351,"")</f>
        <v>0.39375000000000004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24" activePane="bottomLeft" state="frozen"/>
      <selection pane="bottomLeft" activeCell="G342" sqref="G34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6"/>
        <v>0</v>
      </c>
      <c r="K341" s="34">
        <f t="shared" si="77"/>
        <v>33.6</v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19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79.800000000000011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80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376.8</v>
      </c>
      <c r="L352" s="41"/>
      <c r="M352" s="41"/>
      <c r="N352" s="41"/>
      <c r="O352" s="41"/>
      <c r="P352" s="41"/>
      <c r="Q352" s="42">
        <f ca="1">IFERROR(Q338+Q351,"")</f>
        <v>0.23402777777777772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22" activePane="bottomLeft" state="frozen"/>
      <selection pane="bottomLeft" activeCell="P342" sqref="P34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78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327.60000000000002</v>
      </c>
      <c r="L351" s="37"/>
      <c r="M351" s="37"/>
      <c r="N351" s="37"/>
      <c r="O351" s="61"/>
      <c r="P351" s="61"/>
      <c r="Q351" s="38">
        <f ca="1">IFERROR(SUM(Q339:Q350),"")</f>
        <v>1.041666666666663E-2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295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1295.8000000000002</v>
      </c>
      <c r="L352" s="41"/>
      <c r="M352" s="41"/>
      <c r="N352" s="41"/>
      <c r="O352" s="63"/>
      <c r="P352" s="63"/>
      <c r="Q352" s="42">
        <f ca="1">IFERROR(Q338+Q351,"")</f>
        <v>5.1388888888888762E-2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2026-08-14T02:31:42Z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