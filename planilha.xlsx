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637" documentId="13_ncr:1_{0A10D8D4-8450-4366-8075-B53B08E6B7EA}" xr6:coauthVersionLast="47" xr6:coauthVersionMax="47" xr10:uidLastSave="{C1CE6B48-4B97-4EF1-88A2-A252CD4EB1D2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6" i="6"/>
  <c r="J386" i="6" s="1"/>
  <c r="H387" i="6"/>
  <c r="J387" i="6" s="1"/>
  <c r="H388" i="6"/>
  <c r="J388" i="6" s="1"/>
  <c r="H389" i="6"/>
  <c r="J389" i="6" s="1"/>
  <c r="H390" i="6"/>
  <c r="J390" i="6" s="1"/>
  <c r="H391" i="6"/>
  <c r="J39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6" i="5"/>
  <c r="J386" i="5" s="1"/>
  <c r="H387" i="5"/>
  <c r="J387" i="5" s="1"/>
  <c r="H388" i="5"/>
  <c r="J388" i="5" s="1"/>
  <c r="H389" i="5"/>
  <c r="J389" i="5" s="1"/>
  <c r="H390" i="5"/>
  <c r="J390" i="5" s="1"/>
  <c r="H391" i="5"/>
  <c r="J39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6" i="4"/>
  <c r="J386" i="4" s="1"/>
  <c r="H387" i="4"/>
  <c r="J387" i="4" s="1"/>
  <c r="H388" i="4"/>
  <c r="J388" i="4" s="1"/>
  <c r="H389" i="4"/>
  <c r="J389" i="4" s="1"/>
  <c r="H390" i="4"/>
  <c r="J390" i="4" s="1"/>
  <c r="H391" i="4"/>
  <c r="J39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T405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85" i="6" s="1"/>
  <c r="J385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84" i="5" l="1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<sst xmlns="http://schemas.openxmlformats.org/spreadsheetml/2006/main" count="6733" uniqueCount="348">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</sst>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16.285156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51288900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2353.6180215403101</v>
      </c>
      <c r="I35" s="97">
        <f>IFERROR(SUM(I4:I34),"")</f>
        <v>1557.8</v>
      </c>
      <c r="J35" s="130">
        <f>IFERROR(AVERAGE(J4:J34),"-")</f>
        <v>0.63436078708106625</v>
      </c>
      <c r="K35" s="157">
        <f>SUM(K4:K34)</f>
        <v>450.78</v>
      </c>
    </row>
  </sheetData>
  <sheetProtection algorithmName="SHA-512" hashValue="DtnU+LQrGD+BPOoeLpOmpXFPEIbdLh7ekyVkpmLJDrgyn+lbNSI9LzZ5/MFrI0390WqDhlu/mGfH5+hTx5yFzw==" saltValue="LYIs+5X94fEYBJVMCU/i9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63" activePane="bottomLeft" state="frozen"/>
      <selection pane="bottomLeft" activeCell="F386" sqref="F386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61</v>
      </c>
      <c r="G392" s="36">
        <f>SUM(G380:G391)</f>
        <v>320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61</v>
      </c>
      <c r="G406" s="40">
        <f>G392+G405</f>
        <v>320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248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270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271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272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273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274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275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276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277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0.42605717592232395</v>
      </c>
      <c r="R53" s="46" t="s">
        <v>278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0.56494606481121279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0.64966828703343515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270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279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280</v>
      </c>
      <c r="Q96" s="30" t="str">
        <f t="shared" ref="Q96:Q107" ca="1" si="22">IFERROR(IF(O96="","",IF(P96="",MOD(NOW()-O96,1),IF(P96&gt;=O96,P96-O96,P96+1-O96))),"")</f>
        <v/>
      </c>
      <c r="R96" s="46" t="s">
        <v>281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282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283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284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285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286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287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289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286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290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291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284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279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293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294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295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296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297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298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299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291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286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279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300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67.2</v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85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357.00000000000006</v>
      </c>
      <c r="L392" s="37"/>
      <c r="M392" s="37"/>
      <c r="N392" s="37"/>
      <c r="O392" s="37"/>
      <c r="P392" s="37"/>
      <c r="Q392" s="38">
        <f ca="1">IFERROR(SUM(Q380:Q391),"")</f>
        <v>4.5833333333333282E-2</v>
      </c>
      <c r="R392" s="36" t="s">
        <v>244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85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357.00000000000006</v>
      </c>
      <c r="L406" s="41"/>
      <c r="M406" s="41"/>
      <c r="N406" s="41"/>
      <c r="O406" s="41"/>
      <c r="P406" s="41"/>
      <c r="Q406" s="42">
        <f ca="1">IFERROR(Q392+Q405,"")</f>
        <v>4.5833333333333282E-2</v>
      </c>
      <c r="R406" s="40" t="s">
        <v>248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86" sqref="G38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273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279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287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279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290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290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314</v>
      </c>
      <c r="Q222" s="30" t="str">
        <f t="shared" ca="1" si="49"/>
        <v/>
      </c>
      <c r="R222" s="27" t="s">
        <v>315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297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298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279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0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88"/>
        <v>0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88"/>
        <v>0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88"/>
        <v>0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11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88"/>
        <v>0</v>
      </c>
      <c r="K385" s="34">
        <f t="shared" si="89"/>
        <v>46.2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45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159.60000000000002</v>
      </c>
      <c r="L392" s="37"/>
      <c r="M392" s="37"/>
      <c r="N392" s="37"/>
      <c r="O392" s="37"/>
      <c r="P392" s="37"/>
      <c r="Q392" s="38">
        <f ca="1">IFERROR(SUM(Q380:Q391),"")</f>
        <v>4.7222222222222276E-2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45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159.60000000000002</v>
      </c>
      <c r="L406" s="41"/>
      <c r="M406" s="41"/>
      <c r="N406" s="41"/>
      <c r="O406" s="41"/>
      <c r="P406" s="41"/>
      <c r="Q406" s="42">
        <f ca="1">IFERROR(Q392+Q405,"")</f>
        <v>4.7222222222222276E-2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51" activePane="bottomLeft" state="frozen"/>
      <selection pane="bottomLeft" activeCell="G386" sqref="G38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268</v>
      </c>
      <c r="I1" s="133" t="s">
        <v>20</v>
      </c>
      <c r="J1" s="133" t="s">
        <v>269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269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318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276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319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320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321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322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323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324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325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326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279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327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328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287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329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331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333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334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335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336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337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338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339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340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341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342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343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344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345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346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347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0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0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0</v>
      </c>
      <c r="I381" s="135">
        <f>IFERROR(IF($D381="","",VLOOKUP($D381,Cadastro!$C$4:$G$7,5,FALSE)),"")</f>
        <v>0.6</v>
      </c>
      <c r="J381" s="136">
        <f t="shared" si="90"/>
        <v>0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0</v>
      </c>
      <c r="I382" s="135">
        <f>IFERROR(IF($D382="","",VLOOKUP($D382,Cadastro!$C$4:$G$7,5,FALSE)),"")</f>
        <v>0.6</v>
      </c>
      <c r="J382" s="136">
        <f t="shared" si="90"/>
        <v>0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0</v>
      </c>
      <c r="I383" s="135">
        <f>IFERROR(IF($D383="","",VLOOKUP($D383,Cadastro!$C$4:$G$7,5,FALSE)),"")</f>
        <v>0.6</v>
      </c>
      <c r="J383" s="136">
        <f t="shared" si="90"/>
        <v>0</v>
      </c>
      <c r="K383" s="34">
        <f t="shared" si="91"/>
        <v>63</v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90"/>
        <v>0</v>
      </c>
      <c r="K384" s="28">
        <f t="shared" si="91"/>
        <v>42</v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0</v>
      </c>
      <c r="I385" s="135">
        <f>IFERROR(IF($D385="","",VLOOKUP($D385,Cadastro!$C$4:$G$7,5,FALSE)),"")</f>
        <v>0.6</v>
      </c>
      <c r="J385" s="136">
        <f t="shared" si="90"/>
        <v>0</v>
      </c>
      <c r="K385" s="34">
        <f t="shared" si="91"/>
        <v>33.6</v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/>
      <c r="H386" s="134" t="str">
        <f>IFERROR(IF($G386="","",$G386*$S$392/$G$392/Cadastro!$E$33),"")</f>
        <v/>
      </c>
      <c r="I386" s="135">
        <f>IFERROR(IF($D386="","",VLOOKUP($D386,Cadastro!$C$4:$G$7,5,FALSE)),"")</f>
        <v>0.6</v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/>
      <c r="H387" s="134" t="str">
        <f>IFERROR(IF($G387="","",$G387*$S$392/$G$392/Cadastro!$E$33),"")</f>
        <v/>
      </c>
      <c r="I387" s="135">
        <f>IFERROR(IF($D387="","",VLOOKUP($D387,Cadastro!$C$4:$G$7,5,FALSE)),"")</f>
        <v>0.6</v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/>
      <c r="H388" s="134" t="str">
        <f>IFERROR(IF($G388="","",$G388*$S$392/$G$392/Cadastro!$E$33),"")</f>
        <v/>
      </c>
      <c r="I388" s="135">
        <f>IFERROR(IF($D388="","",VLOOKUP($D388,Cadastro!$C$4:$G$7,5,FALSE)),"")</f>
        <v>0.6</v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/>
      <c r="H389" s="134" t="str">
        <f>IFERROR(IF($G389="","",$G389*$S$392/$G$392/Cadastro!$E$33),"")</f>
        <v/>
      </c>
      <c r="I389" s="135">
        <f>IFERROR(IF($D389="","",VLOOKUP($D389,Cadastro!$C$4:$G$7,5,FALSE)),"")</f>
        <v>0.6</v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/>
      <c r="H390" s="134" t="str">
        <f>IFERROR(IF($G390="","",$G390*$S$392/$G$392/Cadastro!$E$33),"")</f>
        <v/>
      </c>
      <c r="I390" s="135">
        <f>IFERROR(IF($D390="","",VLOOKUP($D390,Cadastro!$C$4:$G$7,5,FALSE)),"")</f>
        <v>0.6</v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/>
      <c r="H391" s="137" t="str">
        <f>IFERROR(IF($G391="","",$G391*$S$392/$G$392/Cadastro!$E$33),"")</f>
        <v/>
      </c>
      <c r="I391" s="138">
        <f>IFERROR(IF($D391="","",VLOOKUP($D391,Cadastro!$C$4:$G$7,5,FALSE)),"")</f>
        <v>0.6</v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79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331.80000000000007</v>
      </c>
      <c r="L392" s="37"/>
      <c r="M392" s="37"/>
      <c r="N392" s="37"/>
      <c r="O392" s="61"/>
      <c r="P392" s="61"/>
      <c r="Q392" s="38">
        <f ca="1">IFERROR(SUM(Q380:Q391),"")</f>
        <v>2.2222222222222199E-2</v>
      </c>
      <c r="R392" s="36" t="s">
        <v>244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79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331.80000000000007</v>
      </c>
      <c r="L406" s="41"/>
      <c r="M406" s="41"/>
      <c r="N406" s="41"/>
      <c r="O406" s="63"/>
      <c r="P406" s="63"/>
      <c r="Q406" s="42">
        <f ca="1">IFERROR(Q392+Q405,"")</f>
        <v>2.2222222222222199E-2</v>
      </c>
      <c r="R406" s="40" t="s">
        <v>248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2026-08-15T17:08:45Z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