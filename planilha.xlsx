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12" documentId="8_{AF585B22-221D-4780-BB9C-493D365A6A02}" xr6:coauthVersionLast="47" xr6:coauthVersionMax="47" xr10:uidLastSave="{D27E6D6E-18A8-47AE-9977-78EE2BEE2E25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<sst xmlns="http://schemas.openxmlformats.org/spreadsheetml/2006/main" count="8782" uniqueCount="370">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</sst>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30" activePane="bottomLeft" state="frozen"/>
      <selection pane="bottomLeft" activeCell="F559" sqref="F55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79</v>
      </c>
      <c r="G567" s="36">
        <f>SUM(G555:G566)</f>
        <v>395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209</v>
      </c>
      <c r="G568" s="40">
        <f>G554+G567</f>
        <v>1045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9" sqref="F5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0.74265254629426636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0.90029143518315524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1.0100136574053775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0.72112476851907559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0.89195810185240898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1.0370969907412979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56</v>
      </c>
      <c r="G567" s="36">
        <f>SUM(G555:G566)</f>
        <v>235.2</v>
      </c>
      <c r="H567" s="37"/>
      <c r="I567" s="37"/>
      <c r="J567" s="37"/>
      <c r="K567" s="37"/>
      <c r="L567" s="37"/>
      <c r="M567" s="38">
        <f ca="1">IFERROR(SUM(M555:M566),"")</f>
        <v>3.819444444444442E-2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294</v>
      </c>
      <c r="G568" s="40">
        <f>G554+G567</f>
        <v>1234.8</v>
      </c>
      <c r="H568" s="41"/>
      <c r="I568" s="41"/>
      <c r="J568" s="41"/>
      <c r="K568" s="41"/>
      <c r="L568" s="41"/>
      <c r="M568" s="42">
        <f ca="1">IFERROR(M554+M567,"")</f>
        <v>0.12291666666666667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J555" sqref="J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/>
      <c r="M555" s="35">
        <f t="shared" ref="M555:M566" ca="1" si="124">IFERROR(IF(K555="","",IF(L555="",MOD(NOW()-K555,1),IF(L555&gt;=K555,L555-K555,L555+1-K555))),"")</f>
        <v>1.6803240723675117E-3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26</v>
      </c>
      <c r="G567" s="36">
        <f>SUM(G555:G566)</f>
        <v>109.20000000000002</v>
      </c>
      <c r="H567" s="37"/>
      <c r="I567" s="37"/>
      <c r="J567" s="37"/>
      <c r="K567" s="37"/>
      <c r="L567" s="37"/>
      <c r="M567" s="38">
        <f ca="1">IFERROR(SUM(M555:M566),"")</f>
        <v>1.6803240723675117E-3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59</v>
      </c>
      <c r="G568" s="40">
        <f>G554+G567</f>
        <v>247.80000000000004</v>
      </c>
      <c r="H568" s="41"/>
      <c r="I568" s="41"/>
      <c r="J568" s="41"/>
      <c r="K568" s="41"/>
      <c r="L568" s="41"/>
      <c r="M568" s="42">
        <f ca="1">IFERROR(M554+M567,"")</f>
        <v>5.8624768516811976E-2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J556" sqref="J5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0.73293032407673309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0.93223587963228871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1.2995969907433997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/>
      <c r="M556" s="30">
        <f t="shared" ref="M555:M566" ca="1" si="125">IFERROR(IF(K556="","",IF(L556="",MOD(NOW()-K556,1),IF(L556&gt;=K556,L556-K556,L556+1-K556))),"")</f>
        <v>4.4581018519238569E-3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51</v>
      </c>
      <c r="G567" s="36">
        <f>SUM(G555:G566)</f>
        <v>214.2</v>
      </c>
      <c r="H567" s="37"/>
      <c r="I567" s="37"/>
      <c r="J567" s="37"/>
      <c r="K567" s="61"/>
      <c r="L567" s="61"/>
      <c r="M567" s="38">
        <f ca="1">IFERROR(SUM(M555:M566),"")</f>
        <v>3.2235879629701633E-2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201</v>
      </c>
      <c r="G568" s="40">
        <f>G554+G567</f>
        <v>844.2</v>
      </c>
      <c r="H568" s="41"/>
      <c r="I568" s="41"/>
      <c r="J568" s="41"/>
      <c r="K568" s="63"/>
      <c r="L568" s="63"/>
      <c r="M568" s="42">
        <f ca="1">IFERROR(M554+M567,"")</f>
        <v>0.21140254629636823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2026-07-22T03:34:59Z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