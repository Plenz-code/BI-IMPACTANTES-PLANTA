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1" documentId="13_ncr:1_{A6DBCFB4-28D9-4249-9038-216934055CA6}" xr6:coauthVersionLast="47" xr6:coauthVersionMax="47" xr10:uidLastSave="{99232B5A-6618-4218-8096-6BA01D16F42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<sst xmlns="http://schemas.openxmlformats.org/spreadsheetml/2006/main" count="8595" uniqueCount="398">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</sst>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6" sqref="N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1.3829745366820134E-2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0.15271863425570786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0.23744085647793067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/>
      <c r="H508" s="88" t="str">
        <f>IFERROR(IF($G508="","",$G508*$S$513/$G$513/Cadastro!$E$33),"")</f>
        <v/>
      </c>
      <c r="I508" s="90">
        <f>IFERROR(IF($D508="","",VLOOKUP($D508,Cadastro!$C$4:$G$7,5,FALSE())),"")</f>
        <v>0.6</v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R505" sqref="R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0.13333333333333333</v>
      </c>
      <c r="Q505" s="71">
        <f t="shared" ca="1" si="125"/>
        <v>2.7777777777777679E-3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7.2916666666666546E-2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0.16874999999999998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7" sqref="G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