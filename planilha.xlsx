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04" documentId="13_ncr:1_{0A10D8D4-8450-4366-8075-B53B08E6B7EA}" xr6:coauthVersionLast="47" xr6:coauthVersionMax="47" xr10:uidLastSave="{0AC4A7DE-2BE3-448F-8E9D-5671C948016F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0" i="5" l="1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<sst xmlns="http://schemas.openxmlformats.org/spreadsheetml/2006/main" count="6753" uniqueCount="351">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</sst>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56" activePane="bottomLeft" state="frozen"/>
      <selection pane="bottomLeft" activeCell="O393" sqref="O39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280</v>
      </c>
      <c r="G406" s="40">
        <f>G392+G405</f>
        <v>1415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G392" sqref="G39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0.66283553240646143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0.80172442129535026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0.88644664351757263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90"/>
        <v>0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0</v>
      </c>
      <c r="I391" s="138">
        <f>IFERROR(IF($D391="","",VLOOKUP($D391,Cadastro!$C$4:$G$7,5,FALSE)),"")</f>
        <v>0.6</v>
      </c>
      <c r="J391" s="139">
        <f t="shared" si="90"/>
        <v>0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697.20000000000016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92" sqref="G39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88"/>
        <v>0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88"/>
        <v>0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88"/>
        <v>0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88"/>
        <v>0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0</v>
      </c>
      <c r="I391" s="138">
        <f>IFERROR(IF($D391="","",VLOOKUP($D391,Cadastro!$C$4:$G$7,5,FALSE)),"")</f>
        <v>0.6</v>
      </c>
      <c r="J391" s="139">
        <f t="shared" si="88"/>
        <v>0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92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92" sqref="G39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0.15658553240791662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90"/>
        <v>0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0</v>
      </c>
      <c r="I391" s="138">
        <f>IFERROR(IF($D391="","",VLOOKUP($D391,Cadastro!$C$4:$G$7,5,FALSE)),"")</f>
        <v>0.6</v>
      </c>
      <c r="J391" s="139">
        <f t="shared" si="90"/>
        <v>0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0.22116886574124989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140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0.22116886574124989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2026-08-15T22:50:01Z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