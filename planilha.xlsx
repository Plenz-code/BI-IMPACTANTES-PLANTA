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018" documentId="8_{AF585B22-221D-4780-BB9C-493D365A6A02}" xr6:coauthVersionLast="47" xr6:coauthVersionMax="47" xr10:uidLastSave="{BDCA2CCA-992E-45D4-B32C-50556BD99AD0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<sst xmlns="http://schemas.openxmlformats.org/spreadsheetml/2006/main" count="11115" uniqueCount="412">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</sst>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82242808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27" activePane="bottomLeft" state="frozen"/>
      <selection pane="bottomLeft" activeCell="E733" sqref="E73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231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231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51</v>
      </c>
      <c r="G743" s="36">
        <f>SUM(G731:G742)</f>
        <v>255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51</v>
      </c>
      <c r="G757" s="40">
        <f>G743+G756</f>
        <v>255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17" activePane="bottomLeft" state="frozen"/>
      <selection pane="bottomLeft" activeCell="F734" sqref="F7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0.20693946759274695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0.36457835648163583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0.474300578703858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0.18541168981755618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0.35624502315088957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0.5013839120397785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14</v>
      </c>
      <c r="G733" s="34">
        <f t="shared" si="162"/>
        <v>58.800000000000004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41</v>
      </c>
      <c r="G743" s="36">
        <f>SUM(G731:G742)</f>
        <v>172.20000000000002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41</v>
      </c>
      <c r="G757" s="40">
        <f>G743+G756</f>
        <v>172.20000000000002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14" zoomScale="50" zoomScaleNormal="50" workbookViewId="0">
      <selection activeCell="F734" sqref="F7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337</v>
      </c>
      <c r="N166" s="27" t="s">
        <v>338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/>
      <c r="F731" s="27">
        <v>1</v>
      </c>
      <c r="G731" s="34" t="str">
        <f t="shared" ref="G731:G742" si="162">IF(F731="","",IF(E731="PC 17",F731*4.2,IF(E731="PC 19",F731*5,"")))</f>
        <v/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/>
      <c r="F732" s="27">
        <v>10</v>
      </c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/>
      <c r="F733" s="27">
        <v>13</v>
      </c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24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1.5277777777777779E-2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24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1.5277777777777779E-2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15" activePane="bottomLeft" state="frozen"/>
      <selection pane="bottomLeft" activeCell="L735" sqref="L73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363</v>
      </c>
      <c r="L58" s="29">
        <v>0.54097222222222219</v>
      </c>
      <c r="M58" s="30" t="str">
        <f t="shared" ca="1" si="13"/>
        <v/>
      </c>
      <c r="N58" s="27" t="s">
        <v>364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0.19721736111387145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0.39652291666942707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0.7638840277805381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409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410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/>
      <c r="G734" s="28" t="str">
        <f t="shared" si="162"/>
        <v/>
      </c>
      <c r="H734" s="26" t="s">
        <v>20</v>
      </c>
      <c r="I734" s="26" t="s">
        <v>155</v>
      </c>
      <c r="J734" s="26" t="s">
        <v>74</v>
      </c>
      <c r="K734" s="29">
        <v>0.37430555555555556</v>
      </c>
      <c r="L734" s="29">
        <v>0.38333333333333336</v>
      </c>
      <c r="M734" s="30">
        <f t="shared" ca="1" si="163"/>
        <v>9.0277777777778012E-3</v>
      </c>
      <c r="N734" s="27" t="s">
        <v>411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/>
      <c r="G735" s="34" t="str">
        <f t="shared" si="162"/>
        <v/>
      </c>
      <c r="H735" s="33" t="s">
        <v>18</v>
      </c>
      <c r="I735" s="33" t="s">
        <v>127</v>
      </c>
      <c r="J735" s="33" t="s">
        <v>164</v>
      </c>
      <c r="K735" s="29">
        <v>0.42708333333333331</v>
      </c>
      <c r="L735" s="29"/>
      <c r="M735" s="35">
        <f t="shared" ca="1" si="163"/>
        <v>1.943958333140472E-2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31</v>
      </c>
      <c r="G743" s="36">
        <f>SUM(G731:G742)</f>
        <v>130.19999999999999</v>
      </c>
      <c r="H743" s="37"/>
      <c r="I743" s="37"/>
      <c r="J743" s="37"/>
      <c r="K743" s="61"/>
      <c r="L743" s="61"/>
      <c r="M743" s="38">
        <f ca="1">IFERROR(SUM(M731:M742),"")</f>
        <v>7.9161805553626896E-2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31</v>
      </c>
      <c r="G757" s="40">
        <f>G743+G756</f>
        <v>130.19999999999999</v>
      </c>
      <c r="H757" s="41"/>
      <c r="I757" s="41"/>
      <c r="J757" s="41"/>
      <c r="K757" s="63"/>
      <c r="L757" s="63"/>
      <c r="M757" s="42">
        <f ca="1">IFERROR(M743+M756,"")</f>
        <v>7.9161805553626896E-2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2026-07-28T14:43:26Z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