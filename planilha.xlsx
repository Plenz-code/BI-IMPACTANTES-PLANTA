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36" documentId="8_{AF585B22-221D-4780-BB9C-493D365A6A02}" xr6:coauthVersionLast="47" xr6:coauthVersionMax="47" xr10:uidLastSave="{8938DBC9-E67E-473E-B282-DC2453953F99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<sst xmlns="http://schemas.openxmlformats.org/spreadsheetml/2006/main" count="12179" uniqueCount="438">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</sst>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71" activePane="bottomLeft" state="frozen"/>
      <selection pane="bottomLeft" activeCell="H798" sqref="H7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20</v>
      </c>
      <c r="I798" s="26" t="s">
        <v>23</v>
      </c>
      <c r="J798" s="26"/>
      <c r="K798" s="29">
        <v>6.458333333333334E-2</v>
      </c>
      <c r="L798" s="29"/>
      <c r="M798" s="30">
        <f t="shared" ref="M798:M809" ca="1" si="177">IFERROR(IF(K798="","",IF(L798="",MOD(NOW()-K798,1),IF(L798&gt;=K798,L798-K798,L798+1-K798))),"")</f>
        <v>0.98758807870763121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225</v>
      </c>
      <c r="G810" s="36">
        <f>SUM(G798:G809)</f>
        <v>1104.2</v>
      </c>
      <c r="H810" s="37"/>
      <c r="I810" s="37"/>
      <c r="J810" s="37"/>
      <c r="K810" s="37"/>
      <c r="L810" s="37"/>
      <c r="M810" s="38">
        <f ca="1">IFERROR(SUM(M798:M809),"")</f>
        <v>0.98758807870763121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516</v>
      </c>
      <c r="G811" s="40">
        <f>G797+G810</f>
        <v>1104.2</v>
      </c>
      <c r="H811" s="41"/>
      <c r="I811" s="41"/>
      <c r="J811" s="41"/>
      <c r="K811" s="41"/>
      <c r="L811" s="41"/>
      <c r="M811" s="42">
        <f ca="1">IFERROR(M797+M810,"")</f>
        <v>1.068838078707631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F804" sqref="F8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0.81258807870472083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0.97022696759360971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1.079949189815832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0.79106030092953006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0.96189363426286345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1.1070325231517524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/>
      <c r="M799" s="35">
        <f t="shared" ca="1" si="177"/>
        <v>1.3976967595226597E-2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104</v>
      </c>
      <c r="G810" s="36">
        <f>SUM(G798:G809)</f>
        <v>436.8</v>
      </c>
      <c r="H810" s="37"/>
      <c r="I810" s="37"/>
      <c r="J810" s="37"/>
      <c r="K810" s="37"/>
      <c r="L810" s="37"/>
      <c r="M810" s="38">
        <f ca="1">IFERROR(SUM(M798:M809),"")</f>
        <v>2.4393634261893261E-2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258</v>
      </c>
      <c r="G811" s="40">
        <f>G797+G810</f>
        <v>1089.2</v>
      </c>
      <c r="H811" s="41"/>
      <c r="I811" s="41"/>
      <c r="J811" s="41"/>
      <c r="K811" s="41"/>
      <c r="L811" s="41"/>
      <c r="M811" s="42">
        <f ca="1">IFERROR(M797+M810,"")</f>
        <v>0.14522696759522649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4" sqref="F8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36</v>
      </c>
      <c r="G810" s="36">
        <f>SUM(G798:G809)</f>
        <v>151.20000000000002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130</v>
      </c>
      <c r="G811" s="40">
        <f>G797+G810</f>
        <v>551.6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4" sqref="F8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0.80286585648718756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1.0021714120427432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1.3695325231538542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66</v>
      </c>
      <c r="G810" s="36">
        <f>SUM(G798:G809)</f>
        <v>277.20000000000005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88</v>
      </c>
      <c r="G811" s="40">
        <f>G797+G810</f>
        <v>369.6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