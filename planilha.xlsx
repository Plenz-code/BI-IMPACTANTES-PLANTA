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612" documentId="8_{AF585B22-221D-4780-BB9C-493D365A6A02}" xr6:coauthVersionLast="47" xr6:coauthVersionMax="47" xr10:uidLastSave="{335CE07D-891B-4441-AA37-7A9566125239}"/>
  <bookViews>
    <workbookView xWindow="-110" yWindow="-110" windowWidth="25820" windowHeight="1550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95" i="6" l="1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<sst xmlns="http://schemas.openxmlformats.org/spreadsheetml/2006/main" count="9242" uniqueCount="378">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</sst>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N29" sqref="N29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67260151</v>
      </c>
      <c r="D35" s="13">
        <f>IFERROR(SUM(D4:D34),"")</f>
        <v>27105150</v>
      </c>
      <c r="E35" s="13">
        <f>IFERROR(SUM(E4:E34),"")</f>
        <v>14975420</v>
      </c>
      <c r="F35" s="13">
        <f>IFERROR(SUM(F4:F34),"")</f>
        <v>29297020</v>
      </c>
      <c r="G35" s="13">
        <f>IFERROR(SUM(G4:G34),"")</f>
        <v>71377590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581" activePane="bottomLeft" state="frozen"/>
      <selection pane="bottomLeft" activeCell="F597" sqref="F59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9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2" t="s">
        <v>232</v>
      </c>
      <c r="B230" s="103"/>
      <c r="C230" s="103"/>
      <c r="D230" s="103"/>
      <c r="E230" s="10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232</v>
      </c>
      <c r="B338" s="103"/>
      <c r="C338" s="103"/>
      <c r="D338" s="103"/>
      <c r="E338" s="10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232</v>
      </c>
      <c r="B365" s="103"/>
      <c r="C365" s="103"/>
      <c r="D365" s="103"/>
      <c r="E365" s="10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2" t="s">
        <v>234</v>
      </c>
      <c r="B432" s="103"/>
      <c r="C432" s="103"/>
      <c r="D432" s="103"/>
      <c r="E432" s="104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99" t="s">
        <v>235</v>
      </c>
      <c r="B433" s="100"/>
      <c r="C433" s="100"/>
      <c r="D433" s="100"/>
      <c r="E433" s="101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2" t="s">
        <v>234</v>
      </c>
      <c r="B513" s="103"/>
      <c r="C513" s="103"/>
      <c r="D513" s="103"/>
      <c r="E513" s="104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99" t="s">
        <v>235</v>
      </c>
      <c r="B514" s="100"/>
      <c r="C514" s="100"/>
      <c r="D514" s="100"/>
      <c r="E514" s="101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/>
      <c r="I596" s="26"/>
      <c r="J596" s="33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27</v>
      </c>
      <c r="G608" s="36">
        <f>SUM(G596:G607)</f>
        <v>135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27</v>
      </c>
      <c r="G622" s="40">
        <f>G608+G621</f>
        <v>135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68" activePane="bottomLeft" state="frozen"/>
      <selection pane="bottomLeft" activeCell="F597" sqref="F59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9.42578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262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263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264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265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266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267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268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269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270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271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272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273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277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278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280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281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275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283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284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285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286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232</v>
      </c>
      <c r="B338" s="103"/>
      <c r="C338" s="103"/>
      <c r="D338" s="103"/>
      <c r="E338" s="10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290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291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232</v>
      </c>
      <c r="B365" s="103"/>
      <c r="C365" s="103"/>
      <c r="D365" s="103"/>
      <c r="E365" s="10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0.11121377314702841</v>
      </c>
      <c r="N377" s="46"/>
      <c r="O377" s="47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0.26885266203591729</v>
      </c>
      <c r="N378" s="36" t="s">
        <v>233</v>
      </c>
      <c r="O378" s="77">
        <v>511980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0.37857488425813945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275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292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293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294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8.9685995371837635E-2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0.26051932870517103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0.4056582175940599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296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297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298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299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300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301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302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303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304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305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306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/>
      <c r="F596" s="27">
        <v>13</v>
      </c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13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77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13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236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99" t="s">
        <v>235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68" zoomScale="50" zoomScaleNormal="50" workbookViewId="0">
      <selection activeCell="F598" sqref="F59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8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308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310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297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311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272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274</v>
      </c>
      <c r="K141" s="29">
        <v>0.71597222222222223</v>
      </c>
      <c r="L141" s="29" t="s">
        <v>313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314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315</v>
      </c>
      <c r="N166" s="27" t="s">
        <v>316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317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2" t="s">
        <v>232</v>
      </c>
      <c r="B230" s="103"/>
      <c r="C230" s="103"/>
      <c r="D230" s="103"/>
      <c r="E230" s="10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318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319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320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321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323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325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2" t="s">
        <v>232</v>
      </c>
      <c r="B338" s="103"/>
      <c r="C338" s="103"/>
      <c r="D338" s="103"/>
      <c r="E338" s="10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2" t="s">
        <v>232</v>
      </c>
      <c r="B365" s="103"/>
      <c r="C365" s="103"/>
      <c r="D365" s="103"/>
      <c r="E365" s="10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294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2" t="s">
        <v>234</v>
      </c>
      <c r="B432" s="103"/>
      <c r="C432" s="103"/>
      <c r="D432" s="103"/>
      <c r="E432" s="104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99" t="s">
        <v>235</v>
      </c>
      <c r="B433" s="100"/>
      <c r="C433" s="100"/>
      <c r="D433" s="100"/>
      <c r="E433" s="101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327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2" t="s">
        <v>234</v>
      </c>
      <c r="B513" s="103"/>
      <c r="C513" s="103"/>
      <c r="D513" s="103"/>
      <c r="E513" s="104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99" t="s">
        <v>235</v>
      </c>
      <c r="B514" s="100"/>
      <c r="C514" s="100"/>
      <c r="D514" s="100"/>
      <c r="E514" s="101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328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329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330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332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333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/>
      <c r="F596" s="27">
        <v>17</v>
      </c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17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17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99" t="s">
        <v>235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68" activePane="bottomLeft" state="frozen"/>
      <selection pane="bottomLeft" activeCell="F597" sqref="F59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48.71093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334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297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335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336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337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338</v>
      </c>
      <c r="L58" s="29">
        <v>0.54097222222222219</v>
      </c>
      <c r="M58" s="30" t="str">
        <f t="shared" ca="1" si="13"/>
        <v/>
      </c>
      <c r="N58" s="27" t="s">
        <v>339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340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341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342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343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344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345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346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347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0.10149155092949513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272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0.30079710648505076</v>
      </c>
      <c r="N135" s="36" t="s">
        <v>233</v>
      </c>
      <c r="O135" s="39">
        <v>729290</v>
      </c>
    </row>
    <row r="136" spans="1:18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0.66815821759616179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348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350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351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352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353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354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355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2" t="s">
        <v>232</v>
      </c>
      <c r="B230" s="103"/>
      <c r="C230" s="103"/>
      <c r="D230" s="103"/>
      <c r="E230" s="10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357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358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359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269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297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2" t="s">
        <v>232</v>
      </c>
      <c r="B338" s="103"/>
      <c r="C338" s="103"/>
      <c r="D338" s="103"/>
      <c r="E338" s="10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361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362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363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350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364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365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366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2" t="s">
        <v>234</v>
      </c>
      <c r="B432" s="103"/>
      <c r="C432" s="103"/>
      <c r="D432" s="103"/>
      <c r="E432" s="104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99" t="s">
        <v>235</v>
      </c>
      <c r="B433" s="100"/>
      <c r="C433" s="100"/>
      <c r="D433" s="100"/>
      <c r="E433" s="101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367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368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369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343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343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370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2" t="s">
        <v>234</v>
      </c>
      <c r="B513" s="103"/>
      <c r="C513" s="103"/>
      <c r="D513" s="103"/>
      <c r="E513" s="104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99" t="s">
        <v>235</v>
      </c>
      <c r="B514" s="100"/>
      <c r="C514" s="100"/>
      <c r="D514" s="100"/>
      <c r="E514" s="101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371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372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373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374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375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376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377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/>
      <c r="F596" s="27">
        <v>27</v>
      </c>
      <c r="G596" s="28" t="str">
        <f t="shared" ref="G596:G607" si="132">IF(F596="","",IF(E596="PC 17",F596*4.2,IF(E596="PC 19",F596*5,"")))</f>
        <v/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27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1.5277777777777779E-2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27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1.5277777777777779E-2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99" t="s">
        <v>235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2026-07-23T12:25:41Z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