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811" documentId="8_{AF585B22-221D-4780-BB9C-493D365A6A02}" xr6:coauthVersionLast="47" xr6:coauthVersionMax="47" xr10:uidLastSave="{F39B251F-A881-4AE1-9B27-FFBBD9026E9B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<sst xmlns="http://schemas.openxmlformats.org/spreadsheetml/2006/main" count="2122" uniqueCount="224">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</sst>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4296875" defaultRowHeight="14.5" x14ac:dyDescent="0.35"/>
  <cols>
    <col min="2" max="2" width="17.453125" style="71" customWidth="1"/>
    <col min="3" max="3" width="21.453125" customWidth="1"/>
    <col min="4" max="6" width="16" hidden="1" customWidth="1"/>
    <col min="7" max="7" width="34" customWidth="1"/>
  </cols>
  <sheetData>
    <row r="1" spans="1:7" ht="31.5" customHeight="1" x14ac:dyDescent="0.35">
      <c r="A1" s="88" t="s">
        <v>0</v>
      </c>
      <c r="B1" s="88"/>
      <c r="C1" s="88"/>
      <c r="D1" s="88"/>
      <c r="E1" s="88"/>
      <c r="F1" s="88"/>
      <c r="G1" s="88"/>
    </row>
    <row r="2" spans="1:7" ht="24.75" customHeight="1" x14ac:dyDescent="0.35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35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35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35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 x14ac:dyDescent="0.35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 x14ac:dyDescent="0.35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 x14ac:dyDescent="0.35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 x14ac:dyDescent="0.35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 x14ac:dyDescent="0.35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 x14ac:dyDescent="0.35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 x14ac:dyDescent="0.35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 x14ac:dyDescent="0.35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 x14ac:dyDescent="0.35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 x14ac:dyDescent="0.35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 x14ac:dyDescent="0.35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35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35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 x14ac:dyDescent="0.35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35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35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35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35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35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35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35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35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35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35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35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35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35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35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35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35">
      <c r="A35" s="90" t="s">
        <v>9</v>
      </c>
      <c r="B35" s="90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4296875" defaultRowHeight="14.5" x14ac:dyDescent="0.35"/>
  <cols>
    <col min="1" max="1" width="14" customWidth="1"/>
    <col min="2" max="2" width="2" customWidth="1"/>
    <col min="3" max="3" width="17.5429687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796875" customWidth="1"/>
    <col min="10" max="10" width="45.453125" customWidth="1"/>
    <col min="11" max="11" width="42.1796875" customWidth="1"/>
    <col min="12" max="12" width="36" customWidth="1"/>
    <col min="13" max="13" width="45.81640625" customWidth="1"/>
  </cols>
  <sheetData>
    <row r="1" spans="1:13" ht="27.75" customHeight="1" x14ac:dyDescent="0.35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 x14ac:dyDescent="0.35">
      <c r="H2" s="92"/>
    </row>
    <row r="3" spans="1:13" ht="21.75" customHeight="1" x14ac:dyDescent="0.35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35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35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35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35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35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35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35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35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35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35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35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 x14ac:dyDescent="0.35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 x14ac:dyDescent="0.35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 x14ac:dyDescent="0.35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 x14ac:dyDescent="0.35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 x14ac:dyDescent="0.35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 x14ac:dyDescent="0.35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 x14ac:dyDescent="0.35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 x14ac:dyDescent="0.35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 x14ac:dyDescent="0.35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 x14ac:dyDescent="0.35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 x14ac:dyDescent="0.35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 x14ac:dyDescent="0.35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 x14ac:dyDescent="0.35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 x14ac:dyDescent="0.35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 x14ac:dyDescent="0.35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 x14ac:dyDescent="0.35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 x14ac:dyDescent="0.35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 x14ac:dyDescent="0.35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 x14ac:dyDescent="0.35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 x14ac:dyDescent="0.35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 x14ac:dyDescent="0.35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 x14ac:dyDescent="0.35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 x14ac:dyDescent="0.35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 x14ac:dyDescent="0.35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 x14ac:dyDescent="0.35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 x14ac:dyDescent="0.35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 x14ac:dyDescent="0.35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 x14ac:dyDescent="0.35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 x14ac:dyDescent="0.35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 x14ac:dyDescent="0.35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 x14ac:dyDescent="0.35">
      <c r="A45" s="17"/>
      <c r="C45" s="17"/>
      <c r="E45" s="17"/>
      <c r="G45" s="17"/>
      <c r="H45" s="92"/>
      <c r="I45" s="17"/>
      <c r="J45" s="17"/>
      <c r="K45" s="17"/>
      <c r="L45" s="17"/>
      <c r="M45" s="17" t="s">
        <v>172</v>
      </c>
    </row>
    <row r="46" spans="1:13" ht="15.75" customHeight="1" x14ac:dyDescent="0.35">
      <c r="A46" s="16"/>
      <c r="C46" s="16"/>
      <c r="E46" s="16"/>
      <c r="G46" s="16"/>
      <c r="H46" s="92"/>
      <c r="I46" s="16"/>
      <c r="J46" s="16"/>
      <c r="K46" s="16" t="s">
        <v>173</v>
      </c>
      <c r="L46" s="16"/>
      <c r="M46" s="16" t="s">
        <v>174</v>
      </c>
    </row>
    <row r="47" spans="1:13" ht="15.75" customHeight="1" x14ac:dyDescent="0.35">
      <c r="A47" s="17"/>
      <c r="C47" s="17"/>
      <c r="E47" s="17"/>
      <c r="G47" s="17"/>
      <c r="H47" s="92"/>
      <c r="I47" s="17"/>
      <c r="J47" s="17"/>
      <c r="K47" s="17" t="s">
        <v>175</v>
      </c>
      <c r="L47" s="17"/>
      <c r="M47" s="17"/>
    </row>
    <row r="48" spans="1:13" ht="15.75" customHeight="1" x14ac:dyDescent="0.35">
      <c r="A48" s="16"/>
      <c r="C48" s="16"/>
      <c r="E48" s="16"/>
      <c r="G48" s="16"/>
      <c r="H48" s="92"/>
      <c r="I48" s="16"/>
      <c r="J48" s="16"/>
      <c r="K48" s="16" t="s">
        <v>176</v>
      </c>
      <c r="L48" s="16"/>
      <c r="M48" s="16"/>
    </row>
    <row r="49" spans="1:13" ht="18" customHeight="1" x14ac:dyDescent="0.35">
      <c r="H49" s="92"/>
      <c r="I49" s="17"/>
      <c r="J49" s="17"/>
      <c r="K49" s="17" t="s">
        <v>177</v>
      </c>
      <c r="L49" s="17"/>
      <c r="M49" s="17"/>
    </row>
    <row r="50" spans="1:13" ht="21" customHeight="1" x14ac:dyDescent="0.35">
      <c r="A50" s="19" t="s">
        <v>178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179</v>
      </c>
      <c r="L50" s="16"/>
      <c r="M50" s="16"/>
    </row>
    <row r="51" spans="1:13" ht="24" customHeight="1" x14ac:dyDescent="0.35">
      <c r="H51" s="92"/>
      <c r="I51" s="17"/>
      <c r="J51" s="17"/>
      <c r="K51" s="17" t="s">
        <v>180</v>
      </c>
      <c r="L51" s="17"/>
      <c r="M51" s="17"/>
    </row>
    <row r="52" spans="1:13" ht="24" customHeight="1" x14ac:dyDescent="0.35">
      <c r="H52" s="92"/>
      <c r="I52" s="16"/>
      <c r="J52" s="16"/>
      <c r="K52" s="16" t="s">
        <v>181</v>
      </c>
      <c r="L52" s="16"/>
      <c r="M52" s="16"/>
    </row>
    <row r="53" spans="1:13" ht="36" customHeight="1" x14ac:dyDescent="0.35">
      <c r="H53" s="92"/>
      <c r="I53" s="17"/>
      <c r="J53" s="17"/>
      <c r="K53" s="17" t="s">
        <v>182</v>
      </c>
      <c r="L53" s="17"/>
      <c r="M53" s="17"/>
    </row>
    <row r="54" spans="1:13" ht="15" customHeight="1" x14ac:dyDescent="0.35">
      <c r="H54" s="92"/>
      <c r="I54" s="16"/>
      <c r="J54" s="16"/>
      <c r="K54" s="16"/>
      <c r="L54" s="16"/>
      <c r="M54" s="16"/>
    </row>
    <row r="55" spans="1:13" ht="15" customHeight="1" x14ac:dyDescent="0.35">
      <c r="H55" s="92"/>
      <c r="I55" s="17"/>
      <c r="J55" s="17"/>
      <c r="K55" s="17"/>
      <c r="L55" s="17"/>
      <c r="M55" s="17"/>
    </row>
    <row r="56" spans="1:13" ht="15" customHeight="1" x14ac:dyDescent="0.35">
      <c r="H56" s="92"/>
      <c r="I56" s="16"/>
      <c r="J56" s="16"/>
      <c r="K56" s="16"/>
      <c r="L56" s="16"/>
      <c r="M56" s="16"/>
    </row>
    <row r="57" spans="1:13" ht="15" customHeight="1" x14ac:dyDescent="0.35">
      <c r="H57" s="92"/>
      <c r="I57" s="17"/>
      <c r="J57" s="17"/>
      <c r="K57" s="17"/>
      <c r="L57" s="17"/>
      <c r="M57" s="17"/>
    </row>
    <row r="58" spans="1:13" ht="15" customHeight="1" x14ac:dyDescent="0.35">
      <c r="H58" s="92"/>
      <c r="I58" s="16"/>
      <c r="J58" s="16"/>
      <c r="K58" s="16"/>
      <c r="L58" s="16"/>
      <c r="M58" s="16"/>
    </row>
    <row r="59" spans="1:13" ht="15" customHeight="1" x14ac:dyDescent="0.35">
      <c r="H59" s="92"/>
      <c r="I59" s="17"/>
      <c r="J59" s="17"/>
      <c r="K59" s="17"/>
      <c r="L59" s="17"/>
      <c r="M59" s="17"/>
    </row>
    <row r="60" spans="1:13" ht="15" customHeight="1" x14ac:dyDescent="0.35">
      <c r="H60" s="92"/>
      <c r="I60" s="16"/>
      <c r="J60" s="16"/>
      <c r="K60" s="16"/>
      <c r="L60" s="16"/>
      <c r="M60" s="16"/>
    </row>
    <row r="61" spans="1:13" ht="15" customHeight="1" x14ac:dyDescent="0.35">
      <c r="H61" s="92"/>
      <c r="I61" s="17"/>
      <c r="J61" s="17"/>
      <c r="K61" s="17"/>
      <c r="L61" s="17"/>
      <c r="M61" s="17"/>
    </row>
    <row r="62" spans="1:13" ht="15" customHeight="1" x14ac:dyDescent="0.35">
      <c r="H62" s="92"/>
      <c r="I62" s="16"/>
      <c r="J62" s="16"/>
      <c r="K62" s="16"/>
      <c r="L62" s="16"/>
      <c r="M62" s="16"/>
    </row>
    <row r="63" spans="1:13" ht="15" customHeight="1" x14ac:dyDescent="0.35">
      <c r="H63" s="92"/>
      <c r="I63" s="17"/>
      <c r="J63" s="17"/>
      <c r="K63" s="17"/>
      <c r="L63" s="17"/>
      <c r="M63" s="17"/>
    </row>
    <row r="64" spans="1:13" ht="15" customHeight="1" x14ac:dyDescent="0.35">
      <c r="H64" s="92"/>
      <c r="I64" s="16"/>
      <c r="J64" s="16"/>
      <c r="K64" s="16"/>
      <c r="L64" s="16"/>
      <c r="M64" s="16"/>
    </row>
    <row r="65" spans="8:13" ht="15" customHeight="1" x14ac:dyDescent="0.35">
      <c r="H65" s="92"/>
      <c r="I65" s="17"/>
      <c r="J65" s="17"/>
      <c r="K65" s="17"/>
      <c r="L65" s="17"/>
      <c r="M65" s="17"/>
    </row>
    <row r="66" spans="8:13" ht="15" customHeight="1" x14ac:dyDescent="0.35">
      <c r="H66" s="92"/>
      <c r="I66" s="16"/>
      <c r="J66" s="16"/>
      <c r="K66" s="16"/>
      <c r="L66" s="16"/>
      <c r="M66" s="16"/>
    </row>
    <row r="67" spans="8:13" ht="15" customHeight="1" x14ac:dyDescent="0.35">
      <c r="H67" s="92"/>
      <c r="I67" s="17"/>
      <c r="J67" s="17"/>
      <c r="K67" s="17"/>
      <c r="L67" s="17"/>
      <c r="M67" s="17"/>
    </row>
    <row r="68" spans="8:13" ht="15" customHeight="1" x14ac:dyDescent="0.35">
      <c r="H68" s="92"/>
      <c r="I68" s="16"/>
      <c r="J68" s="16"/>
      <c r="K68" s="16"/>
      <c r="L68" s="16"/>
      <c r="M68" s="16"/>
    </row>
    <row r="69" spans="8:13" ht="15" customHeight="1" x14ac:dyDescent="0.35">
      <c r="H69" s="92"/>
      <c r="I69" s="17"/>
      <c r="J69" s="17"/>
      <c r="K69" s="17"/>
      <c r="L69" s="17"/>
      <c r="M69" s="17"/>
    </row>
    <row r="70" spans="8:13" ht="15" customHeight="1" x14ac:dyDescent="0.35">
      <c r="H70" s="92"/>
      <c r="I70" s="16"/>
      <c r="J70" s="16"/>
      <c r="K70" s="16"/>
      <c r="L70" s="16"/>
      <c r="M70" s="16"/>
    </row>
    <row r="71" spans="8:13" ht="15" customHeight="1" x14ac:dyDescent="0.35">
      <c r="H71" s="92"/>
      <c r="I71" s="17"/>
      <c r="J71" s="17"/>
      <c r="K71" s="17"/>
      <c r="L71" s="17"/>
      <c r="M71" s="17"/>
    </row>
    <row r="72" spans="8:13" ht="15" customHeight="1" x14ac:dyDescent="0.35">
      <c r="H72" s="92"/>
      <c r="I72" s="16"/>
      <c r="J72" s="16"/>
      <c r="K72" s="16"/>
      <c r="L72" s="16"/>
      <c r="M72" s="16"/>
    </row>
    <row r="73" spans="8:13" ht="15" customHeight="1" x14ac:dyDescent="0.35">
      <c r="H73" s="92"/>
      <c r="I73" s="17"/>
      <c r="J73" s="17"/>
      <c r="K73" s="17"/>
      <c r="L73" s="17"/>
      <c r="M73" s="17"/>
    </row>
    <row r="74" spans="8:13" ht="15" customHeight="1" x14ac:dyDescent="0.35">
      <c r="H74" s="92"/>
      <c r="I74" s="16"/>
      <c r="J74" s="16"/>
      <c r="K74" s="16"/>
      <c r="L74" s="16"/>
      <c r="M74" s="16"/>
    </row>
    <row r="75" spans="8:13" ht="15" customHeight="1" x14ac:dyDescent="0.35">
      <c r="H75" s="92"/>
      <c r="I75" s="17"/>
      <c r="J75" s="17"/>
      <c r="K75" s="17"/>
      <c r="L75" s="17"/>
      <c r="M75" s="17"/>
    </row>
    <row r="76" spans="8:13" ht="15" customHeight="1" x14ac:dyDescent="0.35"/>
    <row r="77" spans="8:13" ht="15" customHeight="1" x14ac:dyDescent="0.35"/>
    <row r="78" spans="8:13" ht="15" customHeight="1" x14ac:dyDescent="0.35"/>
    <row r="79" spans="8:13" ht="15" customHeight="1" x14ac:dyDescent="0.35"/>
    <row r="80" spans="8:13" ht="15" customHeight="1" x14ac:dyDescent="0.35"/>
    <row r="81" ht="15" customHeight="1" x14ac:dyDescent="0.35"/>
    <row r="82" ht="15" customHeight="1" x14ac:dyDescent="0.35"/>
    <row r="83" ht="15" customHeight="1" x14ac:dyDescent="0.35"/>
    <row r="84" ht="15" customHeight="1" x14ac:dyDescent="0.35"/>
    <row r="85" ht="15" customHeight="1" x14ac:dyDescent="0.35"/>
    <row r="86" ht="15" customHeight="1" x14ac:dyDescent="0.35"/>
    <row r="87" ht="15" customHeight="1" x14ac:dyDescent="0.35"/>
    <row r="88" ht="15" customHeight="1" x14ac:dyDescent="0.35"/>
    <row r="89" ht="15" customHeight="1" x14ac:dyDescent="0.35"/>
    <row r="90" ht="15" customHeight="1" x14ac:dyDescent="0.35"/>
    <row r="91" ht="15" customHeight="1" x14ac:dyDescent="0.35"/>
    <row r="92" ht="15" customHeight="1" x14ac:dyDescent="0.35"/>
    <row r="93" ht="15" customHeight="1" x14ac:dyDescent="0.35"/>
    <row r="94" ht="15" customHeight="1" x14ac:dyDescent="0.35"/>
    <row r="95" ht="15" customHeight="1" x14ac:dyDescent="0.35"/>
    <row r="96" ht="15" customHeight="1" x14ac:dyDescent="0.35"/>
    <row r="97" ht="15" customHeight="1" x14ac:dyDescent="0.35"/>
    <row r="98" ht="15" customHeight="1" x14ac:dyDescent="0.35"/>
    <row r="99" ht="15" customHeight="1" x14ac:dyDescent="0.35"/>
    <row r="100" ht="15" customHeight="1" x14ac:dyDescent="0.35"/>
    <row r="101" ht="15" customHeight="1" x14ac:dyDescent="0.35"/>
    <row r="102" ht="15" customHeight="1" x14ac:dyDescent="0.35"/>
    <row r="103" ht="15" customHeight="1" x14ac:dyDescent="0.35"/>
    <row r="104" ht="15" customHeight="1" x14ac:dyDescent="0.35"/>
    <row r="105" ht="15" customHeight="1" x14ac:dyDescent="0.35"/>
    <row r="106" ht="15" customHeight="1" x14ac:dyDescent="0.35"/>
    <row r="107" ht="15" customHeight="1" x14ac:dyDescent="0.35"/>
    <row r="108" ht="15" customHeight="1" x14ac:dyDescent="0.35"/>
    <row r="109" ht="15" customHeight="1" x14ac:dyDescent="0.35"/>
    <row r="110" ht="15" customHeight="1" x14ac:dyDescent="0.35"/>
    <row r="111" ht="15" customHeight="1" x14ac:dyDescent="0.35"/>
    <row r="112" ht="15" customHeight="1" x14ac:dyDescent="0.35"/>
    <row r="113" ht="15" customHeight="1" x14ac:dyDescent="0.35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L84" sqref="L84"/>
    </sheetView>
  </sheetViews>
  <sheetFormatPr defaultColWidth="8.54296875" defaultRowHeight="14.5" x14ac:dyDescent="0.3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796875" style="20" customWidth="1"/>
    <col min="9" max="9" width="23.453125" style="20" customWidth="1"/>
    <col min="10" max="10" width="43.1796875" style="20" customWidth="1"/>
    <col min="11" max="11" width="14" style="20" customWidth="1"/>
    <col min="12" max="12" width="13.1796875" style="21" customWidth="1"/>
    <col min="13" max="13" width="14" style="20" customWidth="1"/>
    <col min="14" max="14" width="50.453125" style="20" customWidth="1"/>
    <col min="15" max="15" width="14" customWidth="1"/>
  </cols>
  <sheetData>
    <row r="1" spans="1:15" ht="37.5" customHeight="1" x14ac:dyDescent="0.35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 x14ac:dyDescent="0.35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 x14ac:dyDescent="0.35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35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5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5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5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5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5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5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5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5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5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5">
      <c r="A14" s="82" t="s">
        <v>196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 x14ac:dyDescent="0.3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35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35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35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5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5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5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5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5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5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5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5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5">
      <c r="A27" s="82" t="s">
        <v>198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 x14ac:dyDescent="0.35">
      <c r="A28" s="85" t="s">
        <v>199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 x14ac:dyDescent="0.3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 x14ac:dyDescent="0.3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 x14ac:dyDescent="0.3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5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5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5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 x14ac:dyDescent="0.35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 x14ac:dyDescent="0.35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 x14ac:dyDescent="0.35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5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5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5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5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5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5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5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5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5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5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 x14ac:dyDescent="0.35">
      <c r="A55" s="85" t="s">
        <v>199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 x14ac:dyDescent="0.35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35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35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5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5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5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5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5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5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5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5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5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5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 x14ac:dyDescent="0.35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 x14ac:dyDescent="0.35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 x14ac:dyDescent="0.35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5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5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5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5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5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5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5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5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5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5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 x14ac:dyDescent="0.35">
      <c r="A82" s="85" t="s">
        <v>199</v>
      </c>
      <c r="B82" s="86"/>
      <c r="C82" s="86"/>
      <c r="D82" s="86"/>
      <c r="E82" s="8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 x14ac:dyDescent="0.35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/>
      <c r="G83" s="28" t="str">
        <f t="shared" ref="G83:G94" si="18">IF(F83="","",IF(E83="PC 17",F83*4.2,IF(E83="PC 19",F83*5,"")))</f>
        <v/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203</v>
      </c>
      <c r="O83" s="31"/>
    </row>
    <row r="84" spans="1:15" ht="15" customHeight="1" x14ac:dyDescent="0.35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35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5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5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5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5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5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5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5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5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5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5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1.5972222222222221E-2</v>
      </c>
      <c r="N95" s="36" t="s">
        <v>197</v>
      </c>
      <c r="O95" s="39"/>
    </row>
    <row r="96" spans="1:15" ht="15" customHeight="1" x14ac:dyDescent="0.3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3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5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 x14ac:dyDescent="0.35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1.5972222222222221E-2</v>
      </c>
      <c r="N109" s="40" t="s">
        <v>200</v>
      </c>
      <c r="O109" s="43">
        <f>IFERROR(O95+O108,"")</f>
        <v>0</v>
      </c>
    </row>
    <row r="110" spans="1:15" ht="15" customHeight="1" x14ac:dyDescent="0.3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3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5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 x14ac:dyDescent="0.3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3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3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5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 x14ac:dyDescent="0.35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 x14ac:dyDescent="0.3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3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3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3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3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45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 x14ac:dyDescent="0.3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3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45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 x14ac:dyDescent="0.35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 x14ac:dyDescent="0.3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3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5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 x14ac:dyDescent="0.3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5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 x14ac:dyDescent="0.35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 x14ac:dyDescent="0.3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5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 x14ac:dyDescent="0.3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5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 x14ac:dyDescent="0.35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 x14ac:dyDescent="0.3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3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5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 x14ac:dyDescent="0.3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3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5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 x14ac:dyDescent="0.35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 x14ac:dyDescent="0.3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3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5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 x14ac:dyDescent="0.3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3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5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 x14ac:dyDescent="0.35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 x14ac:dyDescent="0.3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3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5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 x14ac:dyDescent="0.3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5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 x14ac:dyDescent="0.35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 x14ac:dyDescent="0.3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5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 x14ac:dyDescent="0.3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5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 x14ac:dyDescent="0.35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 x14ac:dyDescent="0.3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5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 x14ac:dyDescent="0.3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5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 x14ac:dyDescent="0.35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 x14ac:dyDescent="0.3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3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3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5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 x14ac:dyDescent="0.3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5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 x14ac:dyDescent="0.35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 x14ac:dyDescent="0.3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5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 x14ac:dyDescent="0.3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5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 x14ac:dyDescent="0.35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 x14ac:dyDescent="0.3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5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 x14ac:dyDescent="0.3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5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 x14ac:dyDescent="0.35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 x14ac:dyDescent="0.3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5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 x14ac:dyDescent="0.3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5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 x14ac:dyDescent="0.35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 x14ac:dyDescent="0.3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3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3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3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5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 x14ac:dyDescent="0.3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3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5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 x14ac:dyDescent="0.35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 x14ac:dyDescent="0.3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5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 x14ac:dyDescent="0.3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5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 x14ac:dyDescent="0.35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 x14ac:dyDescent="0.3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5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 x14ac:dyDescent="0.3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5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 x14ac:dyDescent="0.35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 x14ac:dyDescent="0.3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5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 x14ac:dyDescent="0.3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5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 x14ac:dyDescent="0.35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 x14ac:dyDescent="0.3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5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 x14ac:dyDescent="0.3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5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 x14ac:dyDescent="0.35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 x14ac:dyDescent="0.3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5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 x14ac:dyDescent="0.3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5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 x14ac:dyDescent="0.35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 x14ac:dyDescent="0.3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5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 x14ac:dyDescent="0.3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5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 x14ac:dyDescent="0.35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 x14ac:dyDescent="0.3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5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 x14ac:dyDescent="0.3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5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 x14ac:dyDescent="0.35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 x14ac:dyDescent="0.3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3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3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3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5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 x14ac:dyDescent="0.3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5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 x14ac:dyDescent="0.35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 x14ac:dyDescent="0.3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5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 x14ac:dyDescent="0.3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5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 x14ac:dyDescent="0.35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 x14ac:dyDescent="0.3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5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 x14ac:dyDescent="0.3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5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 x14ac:dyDescent="0.35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 x14ac:dyDescent="0.3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5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 x14ac:dyDescent="0.3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5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 x14ac:dyDescent="0.35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 x14ac:dyDescent="0.3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5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 x14ac:dyDescent="0.3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5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 x14ac:dyDescent="0.35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85" zoomScaleNormal="85" workbookViewId="0">
      <pane ySplit="1" topLeftCell="A40" activePane="bottomLeft" state="frozen"/>
      <selection pane="bottomLeft" activeCell="L57" sqref="L57"/>
    </sheetView>
  </sheetViews>
  <sheetFormatPr defaultColWidth="8.54296875" defaultRowHeight="14.5" x14ac:dyDescent="0.35"/>
  <cols>
    <col min="1" max="1" width="13" style="75" customWidth="1"/>
    <col min="2" max="2" width="9" style="20" customWidth="1"/>
    <col min="3" max="3" width="14" style="20" customWidth="1"/>
    <col min="4" max="5" width="16.1796875" style="20" customWidth="1"/>
    <col min="6" max="6" width="13" style="20" customWidth="1"/>
    <col min="7" max="7" width="14" style="20" customWidth="1"/>
    <col min="8" max="8" width="29.453125" style="20" customWidth="1"/>
    <col min="9" max="9" width="25" style="20" customWidth="1"/>
    <col min="10" max="10" width="48.54296875" style="20" customWidth="1"/>
    <col min="11" max="11" width="15.453125" style="20" customWidth="1"/>
    <col min="12" max="12" width="12" style="21" customWidth="1"/>
    <col min="13" max="13" width="15.54296875" style="20" customWidth="1"/>
    <col min="14" max="14" width="75.1796875" style="20" customWidth="1"/>
    <col min="15" max="15" width="20" customWidth="1"/>
  </cols>
  <sheetData>
    <row r="1" spans="1:15" ht="37.5" customHeight="1" x14ac:dyDescent="0.35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 x14ac:dyDescent="0.35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3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3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3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3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3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3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3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3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3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3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3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35">
      <c r="A14" s="82" t="s">
        <v>196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 x14ac:dyDescent="0.3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35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35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35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35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35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35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35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35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35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35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35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35">
      <c r="A27" s="82" t="s">
        <v>198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 x14ac:dyDescent="0.35">
      <c r="A28" s="85" t="s">
        <v>199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43">
        <f>O14+O27</f>
        <v>1020460</v>
      </c>
    </row>
    <row r="29" spans="1:15" ht="15" customHeight="1" x14ac:dyDescent="0.3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205</v>
      </c>
      <c r="O29" s="31"/>
    </row>
    <row r="30" spans="1:15" ht="15" customHeight="1" x14ac:dyDescent="0.3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 x14ac:dyDescent="0.3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 x14ac:dyDescent="0.3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 x14ac:dyDescent="0.3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3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3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3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3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35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35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3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35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80">
        <v>351740</v>
      </c>
    </row>
    <row r="42" spans="1:15" ht="15" customHeight="1" x14ac:dyDescent="0.35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 x14ac:dyDescent="0.35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 x14ac:dyDescent="0.35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206</v>
      </c>
      <c r="O44" s="31"/>
    </row>
    <row r="45" spans="1:15" ht="15" customHeight="1" x14ac:dyDescent="0.35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 x14ac:dyDescent="0.35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 x14ac:dyDescent="0.35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 x14ac:dyDescent="0.35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 x14ac:dyDescent="0.35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 x14ac:dyDescent="0.35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 x14ac:dyDescent="0.35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 x14ac:dyDescent="0.35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 x14ac:dyDescent="0.35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 x14ac:dyDescent="0.35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80">
        <v>276360</v>
      </c>
    </row>
    <row r="55" spans="1:15" ht="18" customHeight="1" x14ac:dyDescent="0.35">
      <c r="A55" s="85" t="s">
        <v>199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43">
        <f>IFERROR(O41+O54,"")</f>
        <v>628100</v>
      </c>
    </row>
    <row r="56" spans="1:15" ht="15" customHeight="1" x14ac:dyDescent="0.35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 x14ac:dyDescent="0.35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26"/>
      <c r="K57" s="29"/>
      <c r="L57" s="29"/>
      <c r="M57" s="30"/>
      <c r="N57" s="46" t="s">
        <v>207</v>
      </c>
      <c r="O57" s="31"/>
    </row>
    <row r="58" spans="1:15" ht="15" customHeight="1" x14ac:dyDescent="0.35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33"/>
      <c r="J58" s="26"/>
      <c r="K58" s="29"/>
      <c r="L58" s="29"/>
      <c r="M58" s="35"/>
      <c r="N58" s="46" t="s">
        <v>208</v>
      </c>
      <c r="O58" s="31"/>
    </row>
    <row r="59" spans="1:15" ht="15" customHeight="1" x14ac:dyDescent="0.35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35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35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35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35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35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35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35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35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5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197</v>
      </c>
      <c r="O68" s="54">
        <v>0</v>
      </c>
    </row>
    <row r="69" spans="1:15" ht="15" customHeight="1" x14ac:dyDescent="0.35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 x14ac:dyDescent="0.35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 x14ac:dyDescent="0.35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35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35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35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35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35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35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35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35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35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5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 x14ac:dyDescent="0.35">
      <c r="A82" s="85" t="s">
        <v>199</v>
      </c>
      <c r="B82" s="86"/>
      <c r="C82" s="86"/>
      <c r="D82" s="86"/>
      <c r="E82" s="8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200</v>
      </c>
      <c r="O82" s="43">
        <f>IFERROR(O68+O81,"")</f>
        <v>787860</v>
      </c>
    </row>
    <row r="83" spans="1:15" ht="15" customHeight="1" x14ac:dyDescent="0.35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 x14ac:dyDescent="0.35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 x14ac:dyDescent="0.35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 x14ac:dyDescent="0.35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35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35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35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35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35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35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35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35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5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54"/>
    </row>
    <row r="96" spans="1:15" ht="15" customHeight="1" x14ac:dyDescent="0.3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 x14ac:dyDescent="0.3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 x14ac:dyDescent="0.3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 x14ac:dyDescent="0.3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3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3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3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3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3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3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3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3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5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 x14ac:dyDescent="0.35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 x14ac:dyDescent="0.3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 x14ac:dyDescent="0.3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 x14ac:dyDescent="0.3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3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3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3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3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3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3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3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3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3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5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 x14ac:dyDescent="0.3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 x14ac:dyDescent="0.3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 x14ac:dyDescent="0.3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 x14ac:dyDescent="0.3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 x14ac:dyDescent="0.3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 x14ac:dyDescent="0.3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 x14ac:dyDescent="0.3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 x14ac:dyDescent="0.3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 x14ac:dyDescent="0.3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3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3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3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5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 x14ac:dyDescent="0.35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 x14ac:dyDescent="0.3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 x14ac:dyDescent="0.3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 x14ac:dyDescent="0.3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 x14ac:dyDescent="0.3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 x14ac:dyDescent="0.3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3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3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3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3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3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3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3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5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 x14ac:dyDescent="0.3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 x14ac:dyDescent="0.3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 x14ac:dyDescent="0.3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 x14ac:dyDescent="0.3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3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3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3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3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3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3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3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3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5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 x14ac:dyDescent="0.35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 x14ac:dyDescent="0.3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 x14ac:dyDescent="0.3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3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3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3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3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3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3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3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3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3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3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35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 x14ac:dyDescent="0.3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 x14ac:dyDescent="0.3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3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3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3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3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3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3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3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3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3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3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35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 x14ac:dyDescent="0.35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 x14ac:dyDescent="0.3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 x14ac:dyDescent="0.3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3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3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3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3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3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3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3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3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3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3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35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 x14ac:dyDescent="0.3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5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 x14ac:dyDescent="0.35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 x14ac:dyDescent="0.3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3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5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 x14ac:dyDescent="0.3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3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5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 x14ac:dyDescent="0.35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 x14ac:dyDescent="0.3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3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5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 x14ac:dyDescent="0.3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3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5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 x14ac:dyDescent="0.35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 x14ac:dyDescent="0.3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3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5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 x14ac:dyDescent="0.3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5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 x14ac:dyDescent="0.35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 x14ac:dyDescent="0.3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5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 x14ac:dyDescent="0.3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5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 x14ac:dyDescent="0.35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 x14ac:dyDescent="0.3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5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 x14ac:dyDescent="0.3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5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 x14ac:dyDescent="0.35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 x14ac:dyDescent="0.3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5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 x14ac:dyDescent="0.3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5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 x14ac:dyDescent="0.35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 x14ac:dyDescent="0.3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5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 x14ac:dyDescent="0.3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5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 x14ac:dyDescent="0.35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 x14ac:dyDescent="0.3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5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 x14ac:dyDescent="0.3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5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 x14ac:dyDescent="0.35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 x14ac:dyDescent="0.3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5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 x14ac:dyDescent="0.3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5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 x14ac:dyDescent="0.35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 x14ac:dyDescent="0.3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3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3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3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5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 x14ac:dyDescent="0.3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 x14ac:dyDescent="0.3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5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 x14ac:dyDescent="0.35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 x14ac:dyDescent="0.3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5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 x14ac:dyDescent="0.3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5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 x14ac:dyDescent="0.35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 x14ac:dyDescent="0.3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5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 x14ac:dyDescent="0.3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5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 x14ac:dyDescent="0.35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 x14ac:dyDescent="0.3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5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 x14ac:dyDescent="0.3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5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 x14ac:dyDescent="0.35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 x14ac:dyDescent="0.3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5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 x14ac:dyDescent="0.3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5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 x14ac:dyDescent="0.35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 x14ac:dyDescent="0.3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5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 x14ac:dyDescent="0.3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5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 x14ac:dyDescent="0.35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O608+O621</f>
        <v>0</v>
      </c>
    </row>
    <row r="623" spans="1:15" ht="15" customHeight="1" x14ac:dyDescent="0.3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5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45"/>
    </row>
    <row r="636" spans="1:15" ht="15" customHeight="1" x14ac:dyDescent="0.3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5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 x14ac:dyDescent="0.35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O635+O648</f>
        <v>0</v>
      </c>
    </row>
    <row r="650" spans="1:15" ht="15" customHeight="1" x14ac:dyDescent="0.3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5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 x14ac:dyDescent="0.3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5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 x14ac:dyDescent="0.35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 x14ac:dyDescent="0.3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3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3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3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5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 x14ac:dyDescent="0.3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5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 x14ac:dyDescent="0.35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 x14ac:dyDescent="0.3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5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 x14ac:dyDescent="0.3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5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 x14ac:dyDescent="0.35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 x14ac:dyDescent="0.3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5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 x14ac:dyDescent="0.3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5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 x14ac:dyDescent="0.35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 x14ac:dyDescent="0.3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5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 x14ac:dyDescent="0.3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5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 x14ac:dyDescent="0.35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 x14ac:dyDescent="0.3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5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 x14ac:dyDescent="0.3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5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 x14ac:dyDescent="0.35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6" activePane="bottomLeft" state="frozen"/>
      <selection pane="bottomLeft" activeCell="K84" sqref="K84"/>
    </sheetView>
  </sheetViews>
  <sheetFormatPr defaultColWidth="8.54296875" defaultRowHeight="14.5" x14ac:dyDescent="0.3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4296875" style="20" customWidth="1"/>
    <col min="9" max="9" width="30.453125" style="20" customWidth="1"/>
    <col min="10" max="10" width="46.453125" style="20" customWidth="1"/>
    <col min="11" max="11" width="12" style="20" customWidth="1"/>
    <col min="12" max="12" width="16.453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 x14ac:dyDescent="0.35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 x14ac:dyDescent="0.35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3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3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209</v>
      </c>
      <c r="O4" s="31"/>
    </row>
    <row r="5" spans="1:15" ht="15" customHeight="1" x14ac:dyDescent="0.3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3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210</v>
      </c>
      <c r="O6" s="31"/>
    </row>
    <row r="7" spans="1:15" ht="15" customHeight="1" x14ac:dyDescent="0.3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3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3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3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3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3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3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35">
      <c r="A14" s="82" t="s">
        <v>196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 x14ac:dyDescent="0.3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 x14ac:dyDescent="0.35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35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35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35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35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35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35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35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35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35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35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35">
      <c r="A27" s="82" t="s">
        <v>198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 x14ac:dyDescent="0.35">
      <c r="A28" s="85" t="s">
        <v>199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 x14ac:dyDescent="0.3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211</v>
      </c>
      <c r="O29" s="31"/>
    </row>
    <row r="30" spans="1:15" ht="15" customHeight="1" x14ac:dyDescent="0.3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 x14ac:dyDescent="0.3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5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5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5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5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 x14ac:dyDescent="0.35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 x14ac:dyDescent="0.35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 x14ac:dyDescent="0.35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5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5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5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5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5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5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5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5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5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5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 x14ac:dyDescent="0.35">
      <c r="A55" s="85" t="s">
        <v>199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 x14ac:dyDescent="0.35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 x14ac:dyDescent="0.35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 x14ac:dyDescent="0.35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 x14ac:dyDescent="0.35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212</v>
      </c>
      <c r="O59" s="31"/>
    </row>
    <row r="60" spans="1:15" ht="15" customHeight="1" x14ac:dyDescent="0.35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5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5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5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5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5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5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5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5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 x14ac:dyDescent="0.35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213</v>
      </c>
      <c r="O69" s="31"/>
    </row>
    <row r="70" spans="1:15" ht="15" customHeight="1" x14ac:dyDescent="0.35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 x14ac:dyDescent="0.35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5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5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5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5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5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5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5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5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5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5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 x14ac:dyDescent="0.35">
      <c r="A82" s="85" t="s">
        <v>199</v>
      </c>
      <c r="B82" s="86"/>
      <c r="C82" s="86"/>
      <c r="D82" s="86"/>
      <c r="E82" s="8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 x14ac:dyDescent="0.35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>
        <v>0.29166666666666669</v>
      </c>
      <c r="L83" s="29"/>
      <c r="M83" s="35">
        <f t="shared" ref="M83:M94" ca="1" si="19">IFERROR(IF(K83="","",IF(L83="",MOD(NOW()-K83,1),IF(L83&gt;=K83,L83-K83,L83+1-K83))),"")</f>
        <v>2.912326389196096E-2</v>
      </c>
      <c r="N83" s="27"/>
      <c r="O83" s="31"/>
    </row>
    <row r="84" spans="1:15" ht="15" customHeight="1" x14ac:dyDescent="0.35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35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5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5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5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5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5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5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5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5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5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5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2.912326389196096E-2</v>
      </c>
      <c r="N95" s="36" t="s">
        <v>197</v>
      </c>
      <c r="O95" s="39"/>
    </row>
    <row r="96" spans="1:15" ht="15" customHeight="1" x14ac:dyDescent="0.3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3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5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 x14ac:dyDescent="0.35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2.912326389196096E-2</v>
      </c>
      <c r="N109" s="40" t="s">
        <v>200</v>
      </c>
      <c r="O109" s="43">
        <f>IFERROR(O95+O108,"")</f>
        <v>0</v>
      </c>
    </row>
    <row r="110" spans="1:15" ht="15" customHeight="1" x14ac:dyDescent="0.3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3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5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 x14ac:dyDescent="0.3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3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3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5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 x14ac:dyDescent="0.35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 x14ac:dyDescent="0.3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3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3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3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3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 x14ac:dyDescent="0.3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3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 x14ac:dyDescent="0.35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 x14ac:dyDescent="0.3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3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5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 x14ac:dyDescent="0.3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5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 x14ac:dyDescent="0.35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 x14ac:dyDescent="0.3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5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 x14ac:dyDescent="0.3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 x14ac:dyDescent="0.3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 x14ac:dyDescent="0.3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 x14ac:dyDescent="0.3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3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3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3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3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3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3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3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3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35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 x14ac:dyDescent="0.35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 x14ac:dyDescent="0.3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 x14ac:dyDescent="0.3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 x14ac:dyDescent="0.3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 x14ac:dyDescent="0.3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 x14ac:dyDescent="0.3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3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3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3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3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3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3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3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35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 x14ac:dyDescent="0.3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 x14ac:dyDescent="0.3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 x14ac:dyDescent="0.3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 x14ac:dyDescent="0.3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 x14ac:dyDescent="0.3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3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3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3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3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3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3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3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35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 x14ac:dyDescent="0.35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 x14ac:dyDescent="0.3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 x14ac:dyDescent="0.3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 x14ac:dyDescent="0.3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 x14ac:dyDescent="0.3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 x14ac:dyDescent="0.3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3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3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3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3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3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3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3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35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 x14ac:dyDescent="0.3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3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 x14ac:dyDescent="0.3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 x14ac:dyDescent="0.3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 x14ac:dyDescent="0.3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 x14ac:dyDescent="0.3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3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3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3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35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 x14ac:dyDescent="0.35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 x14ac:dyDescent="0.3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 x14ac:dyDescent="0.3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 x14ac:dyDescent="0.3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 x14ac:dyDescent="0.3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 x14ac:dyDescent="0.3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 x14ac:dyDescent="0.3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 x14ac:dyDescent="0.3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 x14ac:dyDescent="0.3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3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3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3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3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35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 x14ac:dyDescent="0.3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 x14ac:dyDescent="0.3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 x14ac:dyDescent="0.3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 x14ac:dyDescent="0.3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 x14ac:dyDescent="0.3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 x14ac:dyDescent="0.3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 x14ac:dyDescent="0.3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 x14ac:dyDescent="0.3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3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3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3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3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35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 x14ac:dyDescent="0.35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 x14ac:dyDescent="0.3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 x14ac:dyDescent="0.3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 x14ac:dyDescent="0.3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 x14ac:dyDescent="0.3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 x14ac:dyDescent="0.3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 x14ac:dyDescent="0.3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3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3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3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3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3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3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35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 x14ac:dyDescent="0.3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 x14ac:dyDescent="0.3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 x14ac:dyDescent="0.3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 x14ac:dyDescent="0.3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 x14ac:dyDescent="0.3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3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3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3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3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3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3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3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35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 x14ac:dyDescent="0.35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 x14ac:dyDescent="0.3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3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3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3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3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3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3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3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3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3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3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3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35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 x14ac:dyDescent="0.3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3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3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3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3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3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3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3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3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3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3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3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35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 x14ac:dyDescent="0.35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 x14ac:dyDescent="0.3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3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3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3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3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3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3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3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3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35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 x14ac:dyDescent="0.3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3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3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3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3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3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3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3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3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3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3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3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35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 x14ac:dyDescent="0.35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 x14ac:dyDescent="0.3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3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3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3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3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3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3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3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3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3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3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3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35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 x14ac:dyDescent="0.3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3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3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3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3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3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3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3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3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3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3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3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35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 x14ac:dyDescent="0.35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 x14ac:dyDescent="0.3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3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3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3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3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3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3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3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3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3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3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3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 x14ac:dyDescent="0.35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 x14ac:dyDescent="0.3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 x14ac:dyDescent="0.3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 x14ac:dyDescent="0.3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 x14ac:dyDescent="0.3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3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3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3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3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3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3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3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3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35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 x14ac:dyDescent="0.35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 x14ac:dyDescent="0.3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3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3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3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3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3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3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3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3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3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3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35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 x14ac:dyDescent="0.3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3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3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3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3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3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3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3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3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3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3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3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35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 x14ac:dyDescent="0.35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 x14ac:dyDescent="0.3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3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3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3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3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3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3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3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3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3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3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3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35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 x14ac:dyDescent="0.3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3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3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3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3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3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3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3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3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3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3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3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35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 x14ac:dyDescent="0.35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 x14ac:dyDescent="0.3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3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3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3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3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3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3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3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3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3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3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3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35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 x14ac:dyDescent="0.3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3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3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3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3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3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3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3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3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3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3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3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35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 x14ac:dyDescent="0.35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 x14ac:dyDescent="0.3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3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3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3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3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3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3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3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3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3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3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3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35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 x14ac:dyDescent="0.3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3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3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3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3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3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3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3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3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3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3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3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35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 x14ac:dyDescent="0.35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 x14ac:dyDescent="0.3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3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3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3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3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3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3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3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3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3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3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3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35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 x14ac:dyDescent="0.3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3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3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3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3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3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3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3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3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3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3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3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35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 x14ac:dyDescent="0.35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 x14ac:dyDescent="0.3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3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3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3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3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3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3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3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3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3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3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3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35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 x14ac:dyDescent="0.3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3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3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3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3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3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3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3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3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3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3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3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35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 x14ac:dyDescent="0.35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 x14ac:dyDescent="0.3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3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3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3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3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3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3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3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3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3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3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3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35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 x14ac:dyDescent="0.3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3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3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3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3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3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3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3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3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3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3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3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35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 x14ac:dyDescent="0.35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 x14ac:dyDescent="0.3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3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3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3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3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3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3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3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3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3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3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3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35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 x14ac:dyDescent="0.3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3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3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3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3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3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3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3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3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3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3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3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35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 x14ac:dyDescent="0.35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 x14ac:dyDescent="0.3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3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3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3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3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3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3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3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3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3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3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3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35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 x14ac:dyDescent="0.3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3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3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3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3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3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3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3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3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3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3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3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35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 x14ac:dyDescent="0.35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 x14ac:dyDescent="0.3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3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3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3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3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3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3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3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3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3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3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3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35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 x14ac:dyDescent="0.3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3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3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3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3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3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3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3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3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3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3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3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35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 x14ac:dyDescent="0.35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 x14ac:dyDescent="0.3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3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3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3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3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3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3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3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3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3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3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3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35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 x14ac:dyDescent="0.3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3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3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3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3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3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3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3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3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3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3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3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35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 x14ac:dyDescent="0.35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 x14ac:dyDescent="0.3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3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3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3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3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3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3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3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3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3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3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3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35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 x14ac:dyDescent="0.3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3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3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3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3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3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3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3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3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3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3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3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35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 x14ac:dyDescent="0.35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 x14ac:dyDescent="0.3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3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3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3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3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3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3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3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3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3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3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3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35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 x14ac:dyDescent="0.3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3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3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3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3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3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3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3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3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3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3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3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35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 x14ac:dyDescent="0.35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 x14ac:dyDescent="0.3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3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3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3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3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3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3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3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3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3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3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3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35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 x14ac:dyDescent="0.3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3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3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3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3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3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3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3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3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3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3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3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35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 x14ac:dyDescent="0.35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8" activePane="bottomLeft" state="frozen"/>
      <selection pane="bottomLeft" activeCell="K84" sqref="K84"/>
    </sheetView>
  </sheetViews>
  <sheetFormatPr defaultColWidth="8.54296875" defaultRowHeight="14.5" x14ac:dyDescent="0.3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796875" style="57" customWidth="1"/>
    <col min="10" max="10" width="52.1796875" style="57" customWidth="1"/>
    <col min="11" max="11" width="18.453125" style="57" customWidth="1"/>
    <col min="12" max="12" width="14" style="58" customWidth="1"/>
    <col min="13" max="13" width="14" style="57" customWidth="1"/>
    <col min="14" max="14" width="42.1796875" style="57" customWidth="1"/>
    <col min="15" max="15" width="14" customWidth="1"/>
  </cols>
  <sheetData>
    <row r="1" spans="1:15" ht="37.5" customHeight="1" x14ac:dyDescent="0.35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 x14ac:dyDescent="0.35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214</v>
      </c>
      <c r="O2" s="60"/>
    </row>
    <row r="3" spans="1:15" ht="15" customHeight="1" x14ac:dyDescent="0.3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213</v>
      </c>
      <c r="O3" s="60"/>
    </row>
    <row r="4" spans="1:15" ht="15" customHeight="1" x14ac:dyDescent="0.3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3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3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3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3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3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3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3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3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3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35">
      <c r="A14" s="82" t="s">
        <v>196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 x14ac:dyDescent="0.3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35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215</v>
      </c>
      <c r="O16" s="60"/>
    </row>
    <row r="17" spans="1:15" ht="15" customHeight="1" x14ac:dyDescent="0.35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35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35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35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35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35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35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35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35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35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35">
      <c r="A27" s="82" t="s">
        <v>198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 x14ac:dyDescent="0.35">
      <c r="A28" s="85" t="s">
        <v>199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 x14ac:dyDescent="0.3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216</v>
      </c>
      <c r="O29" s="60"/>
    </row>
    <row r="30" spans="1:15" ht="15" customHeight="1" x14ac:dyDescent="0.3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 x14ac:dyDescent="0.3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 x14ac:dyDescent="0.3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 x14ac:dyDescent="0.3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 x14ac:dyDescent="0.3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217</v>
      </c>
      <c r="O34" s="60"/>
    </row>
    <row r="35" spans="1:15" ht="15" customHeight="1" x14ac:dyDescent="0.3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 x14ac:dyDescent="0.3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 x14ac:dyDescent="0.3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35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35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3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35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 x14ac:dyDescent="0.35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 x14ac:dyDescent="0.35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 x14ac:dyDescent="0.35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35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 x14ac:dyDescent="0.35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35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 x14ac:dyDescent="0.35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35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35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35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35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35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35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 x14ac:dyDescent="0.35">
      <c r="A55" s="85" t="s">
        <v>199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 x14ac:dyDescent="0.35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 x14ac:dyDescent="0.35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 x14ac:dyDescent="0.35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218</v>
      </c>
      <c r="L58" s="29">
        <v>0.54097222222222219</v>
      </c>
      <c r="M58" s="30" t="str">
        <f t="shared" ca="1" si="13"/>
        <v/>
      </c>
      <c r="N58" s="27" t="s">
        <v>219</v>
      </c>
      <c r="O58" s="60"/>
    </row>
    <row r="59" spans="1:15" ht="15" customHeight="1" x14ac:dyDescent="0.35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 x14ac:dyDescent="0.35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35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35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35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35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35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35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35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35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 x14ac:dyDescent="0.35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 x14ac:dyDescent="0.35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209</v>
      </c>
      <c r="O70" s="60"/>
    </row>
    <row r="71" spans="1:15" ht="15" customHeight="1" x14ac:dyDescent="0.35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 x14ac:dyDescent="0.35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220</v>
      </c>
      <c r="O72" s="60"/>
    </row>
    <row r="73" spans="1:15" ht="15" customHeight="1" x14ac:dyDescent="0.35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221</v>
      </c>
      <c r="O73" s="60"/>
    </row>
    <row r="74" spans="1:15" ht="15" customHeight="1" x14ac:dyDescent="0.35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222</v>
      </c>
      <c r="O74" s="60"/>
    </row>
    <row r="75" spans="1:15" ht="15" customHeight="1" x14ac:dyDescent="0.35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223</v>
      </c>
      <c r="O75" s="60"/>
    </row>
    <row r="76" spans="1:15" ht="15" customHeight="1" x14ac:dyDescent="0.35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 x14ac:dyDescent="0.35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 x14ac:dyDescent="0.35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35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35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35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 x14ac:dyDescent="0.35">
      <c r="A82" s="85" t="s">
        <v>199</v>
      </c>
      <c r="B82" s="86"/>
      <c r="C82" s="86"/>
      <c r="D82" s="86"/>
      <c r="E82" s="8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 x14ac:dyDescent="0.35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>
        <v>0.29166666666666669</v>
      </c>
      <c r="L83" s="29"/>
      <c r="M83" s="30">
        <f t="shared" ref="M83:M94" ca="1" si="19">IFERROR(IF(K83="","",IF(L83="",MOD(NOW()-K83,1),IF(L83&gt;=K83,L83-K83,L83+1-K83))),"")</f>
        <v>2.912326389196096E-2</v>
      </c>
      <c r="N83" s="27"/>
      <c r="O83" s="60"/>
    </row>
    <row r="84" spans="1:15" ht="15" customHeight="1" x14ac:dyDescent="0.35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 x14ac:dyDescent="0.35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35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35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35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35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35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35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35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35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35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35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2.912326389196096E-2</v>
      </c>
      <c r="N95" s="36" t="s">
        <v>197</v>
      </c>
      <c r="O95" s="39"/>
    </row>
    <row r="96" spans="1:15" ht="15" customHeight="1" x14ac:dyDescent="0.3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 x14ac:dyDescent="0.3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 x14ac:dyDescent="0.3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 x14ac:dyDescent="0.3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3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3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3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3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3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3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3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3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35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 x14ac:dyDescent="0.35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2.912326389196096E-2</v>
      </c>
      <c r="N109" s="40" t="s">
        <v>200</v>
      </c>
      <c r="O109" s="48">
        <f>IFERROR(O95+O108,"")</f>
        <v>0</v>
      </c>
    </row>
    <row r="110" spans="1:15" ht="15" customHeight="1" x14ac:dyDescent="0.3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 x14ac:dyDescent="0.3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 x14ac:dyDescent="0.3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3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3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3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3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3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3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3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3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3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35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 x14ac:dyDescent="0.3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 x14ac:dyDescent="0.3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 x14ac:dyDescent="0.3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 x14ac:dyDescent="0.3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 x14ac:dyDescent="0.3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 x14ac:dyDescent="0.3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 x14ac:dyDescent="0.3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 x14ac:dyDescent="0.3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 x14ac:dyDescent="0.3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 x14ac:dyDescent="0.3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 x14ac:dyDescent="0.3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 x14ac:dyDescent="0.3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 x14ac:dyDescent="0.35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 x14ac:dyDescent="0.35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 x14ac:dyDescent="0.3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3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3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3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3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 x14ac:dyDescent="0.3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3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 x14ac:dyDescent="0.35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 x14ac:dyDescent="0.3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3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5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 x14ac:dyDescent="0.3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5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 x14ac:dyDescent="0.35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 x14ac:dyDescent="0.3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5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 x14ac:dyDescent="0.3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 x14ac:dyDescent="0.3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 x14ac:dyDescent="0.3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 x14ac:dyDescent="0.3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 x14ac:dyDescent="0.3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 x14ac:dyDescent="0.3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 x14ac:dyDescent="0.3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3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3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3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3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3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35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 x14ac:dyDescent="0.35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 x14ac:dyDescent="0.3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 x14ac:dyDescent="0.3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 x14ac:dyDescent="0.3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 x14ac:dyDescent="0.3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 x14ac:dyDescent="0.3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 x14ac:dyDescent="0.3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 x14ac:dyDescent="0.3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 x14ac:dyDescent="0.3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 x14ac:dyDescent="0.3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3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3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3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35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 x14ac:dyDescent="0.3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 x14ac:dyDescent="0.3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 x14ac:dyDescent="0.3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 x14ac:dyDescent="0.3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 x14ac:dyDescent="0.3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 x14ac:dyDescent="0.3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 x14ac:dyDescent="0.3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3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3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3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3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3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35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 x14ac:dyDescent="0.35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 x14ac:dyDescent="0.3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 x14ac:dyDescent="0.3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 x14ac:dyDescent="0.3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 x14ac:dyDescent="0.3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 x14ac:dyDescent="0.3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3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3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3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3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3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3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3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35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 x14ac:dyDescent="0.3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 x14ac:dyDescent="0.3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 x14ac:dyDescent="0.3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3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3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3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3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3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3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3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3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3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35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 x14ac:dyDescent="0.35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 x14ac:dyDescent="0.3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 x14ac:dyDescent="0.3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 x14ac:dyDescent="0.3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 x14ac:dyDescent="0.3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3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3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3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3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3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3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3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3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35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 x14ac:dyDescent="0.3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 x14ac:dyDescent="0.3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 x14ac:dyDescent="0.3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 x14ac:dyDescent="0.3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 x14ac:dyDescent="0.3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 x14ac:dyDescent="0.3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 x14ac:dyDescent="0.3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 x14ac:dyDescent="0.3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3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3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3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3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35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 x14ac:dyDescent="0.35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 x14ac:dyDescent="0.3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 x14ac:dyDescent="0.3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 x14ac:dyDescent="0.3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 x14ac:dyDescent="0.3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 x14ac:dyDescent="0.3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3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3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3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3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3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3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3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35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 x14ac:dyDescent="0.3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 x14ac:dyDescent="0.3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 x14ac:dyDescent="0.3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 x14ac:dyDescent="0.3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3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3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3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3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3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3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3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3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35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 x14ac:dyDescent="0.35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 x14ac:dyDescent="0.3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 x14ac:dyDescent="0.3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 x14ac:dyDescent="0.3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 x14ac:dyDescent="0.3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 x14ac:dyDescent="0.3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 x14ac:dyDescent="0.3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 x14ac:dyDescent="0.3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 x14ac:dyDescent="0.3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 x14ac:dyDescent="0.3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 x14ac:dyDescent="0.3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 x14ac:dyDescent="0.3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 x14ac:dyDescent="0.3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 x14ac:dyDescent="0.35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 x14ac:dyDescent="0.3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3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3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3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3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3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3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3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3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3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3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3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35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 x14ac:dyDescent="0.35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 x14ac:dyDescent="0.3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3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3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3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3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3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3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3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3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3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3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3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35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 x14ac:dyDescent="0.3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3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3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3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3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3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3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3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3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3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3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3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35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 x14ac:dyDescent="0.35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 x14ac:dyDescent="0.3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3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3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3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3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3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3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3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3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3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3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3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35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 x14ac:dyDescent="0.3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3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3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3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3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3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3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3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3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3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3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3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35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 x14ac:dyDescent="0.35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 x14ac:dyDescent="0.3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3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3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3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3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3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3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3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3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3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3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3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35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 x14ac:dyDescent="0.3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3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3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3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3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3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3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3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3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3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3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3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35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 x14ac:dyDescent="0.35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 x14ac:dyDescent="0.3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3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3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3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3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3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3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3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3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3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3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3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35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 x14ac:dyDescent="0.3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3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3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3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3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3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3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3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3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3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3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3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35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 x14ac:dyDescent="0.35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 x14ac:dyDescent="0.3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3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3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3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3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3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3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3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3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3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3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3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35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 x14ac:dyDescent="0.3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3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3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3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3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3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3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3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3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3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3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3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35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 x14ac:dyDescent="0.35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 x14ac:dyDescent="0.3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35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35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35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35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35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35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35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35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35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35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35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35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 x14ac:dyDescent="0.3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3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3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3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3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3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3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3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3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3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3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3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35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 x14ac:dyDescent="0.35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 x14ac:dyDescent="0.3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3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3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3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3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3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3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3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3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3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3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3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35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 x14ac:dyDescent="0.3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3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3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3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3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3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3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3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3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3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3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3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35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 x14ac:dyDescent="0.35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 x14ac:dyDescent="0.3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3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3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3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3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3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3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3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3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3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3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3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35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 x14ac:dyDescent="0.3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 x14ac:dyDescent="0.3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 x14ac:dyDescent="0.3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 x14ac:dyDescent="0.3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 x14ac:dyDescent="0.3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 x14ac:dyDescent="0.3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 x14ac:dyDescent="0.3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 x14ac:dyDescent="0.3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 x14ac:dyDescent="0.3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 x14ac:dyDescent="0.3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 x14ac:dyDescent="0.3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 x14ac:dyDescent="0.3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 x14ac:dyDescent="0.35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 x14ac:dyDescent="0.35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 x14ac:dyDescent="0.3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3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3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3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3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3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3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3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3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3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3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3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35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 x14ac:dyDescent="0.3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3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3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3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3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3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3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3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3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3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3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3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35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 x14ac:dyDescent="0.35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 x14ac:dyDescent="0.3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3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3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3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3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3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3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3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3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3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3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3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35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 x14ac:dyDescent="0.3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3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3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3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3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3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3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3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3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3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3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3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35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 x14ac:dyDescent="0.35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 x14ac:dyDescent="0.3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3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3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3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3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3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3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3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3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3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3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3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35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 x14ac:dyDescent="0.3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3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3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3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3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3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3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3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3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3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3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3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35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 x14ac:dyDescent="0.35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 x14ac:dyDescent="0.3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3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3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3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3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3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3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3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3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3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3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3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35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 x14ac:dyDescent="0.3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3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3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3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3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3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3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3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3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3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3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3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35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 x14ac:dyDescent="0.35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 x14ac:dyDescent="0.3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3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3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3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3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3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3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3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3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3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3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3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35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 x14ac:dyDescent="0.3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3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3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3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3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3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3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3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3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3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3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3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35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 x14ac:dyDescent="0.35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 x14ac:dyDescent="0.3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3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3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3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3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3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3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3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3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3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3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3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35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 x14ac:dyDescent="0.3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3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3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3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3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3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3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3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3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3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3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3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35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 x14ac:dyDescent="0.35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 x14ac:dyDescent="0.3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3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3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3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3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3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3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3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3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3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3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3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35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 x14ac:dyDescent="0.3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3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3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3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3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3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3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3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3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3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3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3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35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 x14ac:dyDescent="0.35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 x14ac:dyDescent="0.3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3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3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3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3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3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3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3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3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3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3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3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35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 x14ac:dyDescent="0.3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3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3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3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3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3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3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3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3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3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3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3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35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 x14ac:dyDescent="0.35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 x14ac:dyDescent="0.3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3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3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3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3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3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3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3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3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3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3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3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35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 x14ac:dyDescent="0.3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3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3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3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3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3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3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3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3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3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3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3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35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 x14ac:dyDescent="0.35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2026-07-04T11:41:59Z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