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286" documentId="8_{C51EB6CB-002B-4D6B-B68F-DDEBDB4460C0}" xr6:coauthVersionLast="47" xr6:coauthVersionMax="47" xr10:uidLastSave="{F68E2B99-BF2E-4B03-BC08-20BA88BEF67A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<sst xmlns="http://schemas.openxmlformats.org/spreadsheetml/2006/main" count="4461" uniqueCount="305">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</sst>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27280880</v>
      </c>
      <c r="D35" s="13">
        <f>IFERROR(SUM(D4:D34),"")</f>
        <v>8323860</v>
      </c>
      <c r="E35" s="13">
        <f>IFERROR(SUM(E4:E34),"")</f>
        <v>3877580</v>
      </c>
      <c r="F35" s="13">
        <f>IFERROR(SUM(F4:F34),"")</f>
        <v>10848750</v>
      </c>
      <c r="G35" s="13">
        <f>IFERROR(SUM(G4:G34),"")</f>
        <v>23050190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08" activePane="bottomLeft" state="frozen"/>
      <selection pane="bottomLeft" activeCell="E222" sqref="E22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135</v>
      </c>
      <c r="G230" s="36">
        <f>SUM(G218:G229)</f>
        <v>675</v>
      </c>
      <c r="H230" s="37"/>
      <c r="I230" s="37"/>
      <c r="J230" s="37"/>
      <c r="K230" s="37"/>
      <c r="L230" s="37"/>
      <c r="M230" s="38">
        <f ca="1">IFERROR(SUM(M218:M229),"")</f>
        <v>1.0416666666666685E-2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135</v>
      </c>
      <c r="G244" s="40">
        <f>G230+G243</f>
        <v>675</v>
      </c>
      <c r="H244" s="41"/>
      <c r="I244" s="41"/>
      <c r="J244" s="41"/>
      <c r="K244" s="41"/>
      <c r="L244" s="41"/>
      <c r="M244" s="42">
        <f ca="1">IFERROR(M230+M243,"")</f>
        <v>1.0416666666666685E-2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0" activePane="bottomLeft" state="frozen"/>
      <selection pane="bottomLeft" activeCell="F222" sqref="F22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0.3443184027710231</v>
      </c>
      <c r="N53" s="46" t="s">
        <v>259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0.483207291659912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0.56792951388213431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260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135</v>
      </c>
      <c r="J220" s="26" t="s">
        <v>61</v>
      </c>
      <c r="K220" s="29">
        <v>0.4375</v>
      </c>
      <c r="L220" s="29"/>
      <c r="M220" s="30">
        <f t="shared" ca="1" si="49"/>
        <v>2.8346180552034639E-2</v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50</v>
      </c>
      <c r="G230" s="36">
        <f>SUM(G218:G229)</f>
        <v>210.00000000000003</v>
      </c>
      <c r="H230" s="37"/>
      <c r="I230" s="37"/>
      <c r="J230" s="37"/>
      <c r="K230" s="37"/>
      <c r="L230" s="37"/>
      <c r="M230" s="38">
        <f ca="1">IFERROR(SUM(M218:M229),"")</f>
        <v>9.7790624996479059E-2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50</v>
      </c>
      <c r="G244" s="40">
        <f>G230+G243</f>
        <v>210.00000000000003</v>
      </c>
      <c r="H244" s="41"/>
      <c r="I244" s="41"/>
      <c r="J244" s="41"/>
      <c r="K244" s="41"/>
      <c r="L244" s="41"/>
      <c r="M244" s="42">
        <f ca="1">IFERROR(M230+M243,"")</f>
        <v>9.7790624996479059E-2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95" zoomScale="50" zoomScaleNormal="50" workbookViewId="0">
      <selection activeCell="F222" sqref="F22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/>
      <c r="I218" s="26"/>
      <c r="J218" s="26"/>
      <c r="K218" s="29">
        <v>0.4375</v>
      </c>
      <c r="L218" s="29"/>
      <c r="M218" s="30">
        <f t="shared" ref="M218:M229" ca="1" si="49">IFERROR(IF(K218="","",IF(L218="",MOD(NOW()-K218,1),IF(L218&gt;=K218,L218-K218,L218+1-K218))),"")</f>
        <v>2.8346180552034639E-2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29</v>
      </c>
      <c r="G230" s="36">
        <f>SUM(G218:G229)</f>
        <v>121.80000000000001</v>
      </c>
      <c r="H230" s="37"/>
      <c r="I230" s="37"/>
      <c r="J230" s="37"/>
      <c r="K230" s="37"/>
      <c r="L230" s="37"/>
      <c r="M230" s="38">
        <f ca="1">IFERROR(SUM(M218:M229),"")</f>
        <v>2.8346180552034639E-2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29</v>
      </c>
      <c r="G244" s="40">
        <f>G230+G243</f>
        <v>121.80000000000001</v>
      </c>
      <c r="H244" s="41"/>
      <c r="I244" s="41"/>
      <c r="J244" s="41"/>
      <c r="K244" s="41"/>
      <c r="L244" s="41"/>
      <c r="M244" s="42">
        <f ca="1">IFERROR(M230+M243,"")</f>
        <v>2.8346180552034639E-2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00" activePane="bottomLeft" state="frozen"/>
      <selection pane="bottomLeft" activeCell="F222" sqref="F22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58</v>
      </c>
      <c r="G230" s="36">
        <f>SUM(G218:G229)</f>
        <v>243.60000000000002</v>
      </c>
      <c r="H230" s="37"/>
      <c r="I230" s="37"/>
      <c r="J230" s="37"/>
      <c r="K230" s="61"/>
      <c r="L230" s="61"/>
      <c r="M230" s="38">
        <f ca="1">IFERROR(SUM(M218:M229),"")</f>
        <v>1.8749999999999989E-2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58</v>
      </c>
      <c r="G244" s="40">
        <f>G230+G243</f>
        <v>243.60000000000002</v>
      </c>
      <c r="H244" s="41"/>
      <c r="I244" s="41"/>
      <c r="J244" s="41"/>
      <c r="K244" s="63"/>
      <c r="L244" s="63"/>
      <c r="M244" s="42">
        <f ca="1">IFERROR(M230+M243,"")</f>
        <v>1.8749999999999989E-2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2026-08-09T15:11:11Z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