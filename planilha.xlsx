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29" documentId="8_{AF585B22-221D-4780-BB9C-493D365A6A02}" xr6:coauthVersionLast="47" xr6:coauthVersionMax="47" xr10:uidLastSave="{696657E6-9E02-4AA8-9B14-C966F3FF596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<sst xmlns="http://schemas.openxmlformats.org/spreadsheetml/2006/main" count="6026" uniqueCount="314">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</sst>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8" activePane="bottomLeft" state="frozen"/>
      <selection pane="bottomLeft" activeCell="E372" sqref="E3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J366" sqref="J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 t="s">
        <v>20</v>
      </c>
      <c r="I366" s="26"/>
      <c r="J366" s="26" t="s">
        <v>127</v>
      </c>
      <c r="K366" s="29">
        <v>0.80486111111111114</v>
      </c>
      <c r="L366" s="29"/>
      <c r="M366" s="30">
        <f t="shared" ref="M366:M377" ca="1" si="82">IFERROR(IF(K366="","",IF(L366="",MOD(NOW()-K366,1),IF(L366&gt;=K366,L366-K366,L366+1-K366))),"")</f>
        <v>0.99813726852153195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0.99813726852153195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158</v>
      </c>
      <c r="G379" s="40">
        <f>G365+G378</f>
        <v>663.6</v>
      </c>
      <c r="H379" s="41"/>
      <c r="I379" s="41"/>
      <c r="J379" s="41"/>
      <c r="K379" s="41"/>
      <c r="L379" s="41"/>
      <c r="M379" s="42">
        <f ca="1">IFERROR(M365+M378,"")</f>
        <v>1.107859490743754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D366" sqref="D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D366" sqref="D366:D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0.55369282407627907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0.75299837963183469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1.1203594907429457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2026-07-14T23:16:38Z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