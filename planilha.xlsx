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408" documentId="8_{AF585B22-221D-4780-BB9C-493D365A6A02}" xr6:coauthVersionLast="47" xr6:coauthVersionMax="47" xr10:uidLastSave="{85D03EDF-329D-417A-9C61-78C5624BCB64}"/>
  <bookViews>
    <workbookView xWindow="-110" yWindow="-110" windowWidth="25820" windowHeight="15500" tabRatio="500" firstSheet="2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<sst xmlns="http://schemas.openxmlformats.org/spreadsheetml/2006/main" count="10718" uniqueCount="402">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</sst>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L32" sqref="L32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79529218</v>
      </c>
      <c r="D35" s="13">
        <f>IFERROR(SUM(D4:D34),"")</f>
        <v>32089210</v>
      </c>
      <c r="E35" s="13">
        <f>IFERROR(SUM(E4:E34),"")</f>
        <v>18769260</v>
      </c>
      <c r="F35" s="13">
        <f>IFERROR(SUM(F4:F34),"")</f>
        <v>33356480</v>
      </c>
      <c r="G35" s="13">
        <f>IFERROR(SUM(G4:G34),"")</f>
        <v>84214950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 t="s">
        <v>218</v>
      </c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688" activePane="bottomLeft" state="frozen"/>
      <selection pane="bottomLeft" activeCell="L705" sqref="L7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163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230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233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230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131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263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230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230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230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230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230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230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230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230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230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230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230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233</v>
      </c>
      <c r="O675" s="39">
        <v>471180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236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230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264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230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265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230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230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230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230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230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230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230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230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230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230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233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230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153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266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131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230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230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230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230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230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230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230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230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230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233</v>
      </c>
      <c r="O702" s="39">
        <v>1620480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236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230</v>
      </c>
      <c r="F704" s="27"/>
      <c r="G704" s="28" t="str">
        <f t="shared" ref="G704:G715" si="156">IF(F704="","",IF(E704="PC 17",F704*4.2,IF(E704="PC 19",F704*5,"")))</f>
        <v/>
      </c>
      <c r="H704" s="26" t="s">
        <v>20</v>
      </c>
      <c r="I704" s="26" t="s">
        <v>23</v>
      </c>
      <c r="J704" s="26" t="s">
        <v>131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230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230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230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230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230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230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230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230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230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230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230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2.3611111111111083E-2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2.3611111111111083E-2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84" activePane="bottomLeft" state="frozen"/>
      <selection pane="bottomLeft" activeCell="F704" sqref="F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267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268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269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270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273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274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275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276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277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279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283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284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285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286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281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288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289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290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291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292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293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294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296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297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7.7773032404365949E-2</v>
      </c>
      <c r="N377" s="46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0.23541192129325483</v>
      </c>
      <c r="N378" s="36" t="s">
        <v>233</v>
      </c>
      <c r="O378" s="77">
        <v>511980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0.345134143515477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281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298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299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5.6245254629175179E-2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0.22707858796250854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0.37221747685139739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302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303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304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305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306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307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308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309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310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311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312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313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314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315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317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318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233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156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121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25</v>
      </c>
      <c r="G666" s="28">
        <f t="shared" si="147"/>
        <v>105</v>
      </c>
      <c r="H666" s="26" t="s">
        <v>20</v>
      </c>
      <c r="I666" s="26" t="s">
        <v>120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233</v>
      </c>
      <c r="O675" s="77">
        <v>681950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236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135</v>
      </c>
      <c r="J677" s="33" t="s">
        <v>206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</v>
      </c>
      <c r="G678" s="28">
        <f t="shared" si="150"/>
        <v>8.4</v>
      </c>
      <c r="H678" s="26" t="s">
        <v>19</v>
      </c>
      <c r="I678" s="26" t="s">
        <v>156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319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135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12" t="s">
        <v>257</v>
      </c>
      <c r="F680" s="113"/>
      <c r="G680" s="114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156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320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11</v>
      </c>
      <c r="G683" s="34">
        <f t="shared" si="150"/>
        <v>46.2</v>
      </c>
      <c r="H683" s="33" t="s">
        <v>20</v>
      </c>
      <c r="I683" s="33" t="s">
        <v>156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10</v>
      </c>
      <c r="G684" s="28">
        <f t="shared" si="150"/>
        <v>42</v>
      </c>
      <c r="H684" s="26" t="s">
        <v>19</v>
      </c>
      <c r="I684" s="26" t="s">
        <v>156</v>
      </c>
      <c r="J684" s="26" t="s">
        <v>27</v>
      </c>
      <c r="K684" s="29">
        <v>0.73958333333333337</v>
      </c>
      <c r="L684" s="29"/>
      <c r="M684" s="30">
        <f t="shared" ca="1" si="151"/>
        <v>0.57777303240436595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232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10.696523032404366</v>
      </c>
      <c r="N689" s="36" t="s">
        <v>233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153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321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322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233</v>
      </c>
      <c r="O702" s="77">
        <v>813880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10.781245254626588</v>
      </c>
      <c r="N703" s="40" t="s">
        <v>236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82" zoomScale="50" zoomScaleNormal="50" workbookViewId="0">
      <selection activeCell="F704" sqref="F70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323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324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325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303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326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327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280</v>
      </c>
      <c r="K141" s="29">
        <v>0.71597222222222223</v>
      </c>
      <c r="L141" s="29" t="s">
        <v>328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329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282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330</v>
      </c>
      <c r="N166" s="27" t="s">
        <v>331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332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333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334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335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336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337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338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303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327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232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232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300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341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342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343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344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345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346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347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348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319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350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319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233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257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120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257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351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257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257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257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233</v>
      </c>
      <c r="O675" s="39">
        <v>323580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236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257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233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233</v>
      </c>
      <c r="O702" s="39">
        <v>349730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236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83" activePane="bottomLeft" state="frozen"/>
      <selection pane="bottomLeft" activeCell="E715" sqref="E71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352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303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232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353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234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0" t="s">
        <v>235</v>
      </c>
      <c r="B28" s="101"/>
      <c r="C28" s="101"/>
      <c r="D28" s="101"/>
      <c r="E28" s="102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354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355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232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234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0" t="s">
        <v>235</v>
      </c>
      <c r="B55" s="101"/>
      <c r="C55" s="101"/>
      <c r="D55" s="101"/>
      <c r="E55" s="102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356</v>
      </c>
      <c r="L58" s="29">
        <v>0.54097222222222219</v>
      </c>
      <c r="M58" s="30" t="str">
        <f t="shared" ca="1" si="13"/>
        <v/>
      </c>
      <c r="N58" s="27" t="s">
        <v>357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232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358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359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360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361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234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0" t="s">
        <v>235</v>
      </c>
      <c r="B82" s="101"/>
      <c r="C82" s="101"/>
      <c r="D82" s="101"/>
      <c r="E82" s="102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362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232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234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0" t="s">
        <v>235</v>
      </c>
      <c r="B109" s="101"/>
      <c r="C109" s="101"/>
      <c r="D109" s="101"/>
      <c r="E109" s="102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363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232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364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365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6.8050810186832678E-2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278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234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0.2673563657423883</v>
      </c>
      <c r="N135" s="36" t="s">
        <v>233</v>
      </c>
      <c r="O135" s="39">
        <v>729290</v>
      </c>
    </row>
    <row r="136" spans="1:18" ht="18" customHeight="1">
      <c r="A136" s="100" t="s">
        <v>235</v>
      </c>
      <c r="B136" s="101"/>
      <c r="C136" s="101"/>
      <c r="D136" s="101"/>
      <c r="E136" s="102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0.63471747685349933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366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280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232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327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367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234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0" t="s">
        <v>235</v>
      </c>
      <c r="B163" s="101"/>
      <c r="C163" s="101"/>
      <c r="D163" s="101"/>
      <c r="E163" s="102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368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232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234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0" t="s">
        <v>235</v>
      </c>
      <c r="B190" s="101"/>
      <c r="C190" s="101"/>
      <c r="D190" s="101"/>
      <c r="E190" s="102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369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370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232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371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234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0" t="s">
        <v>235</v>
      </c>
      <c r="B217" s="101"/>
      <c r="C217" s="101"/>
      <c r="D217" s="101"/>
      <c r="E217" s="102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372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373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374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232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375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234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0" t="s">
        <v>235</v>
      </c>
      <c r="B244" s="101"/>
      <c r="C244" s="101"/>
      <c r="D244" s="101"/>
      <c r="E244" s="102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376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232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234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0" t="s">
        <v>235</v>
      </c>
      <c r="B271" s="101"/>
      <c r="C271" s="101"/>
      <c r="D271" s="101"/>
      <c r="E271" s="102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232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234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0" t="s">
        <v>235</v>
      </c>
      <c r="B298" s="101"/>
      <c r="C298" s="101"/>
      <c r="D298" s="101"/>
      <c r="E298" s="102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377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232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275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234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0" t="s">
        <v>235</v>
      </c>
      <c r="B325" s="101"/>
      <c r="C325" s="101"/>
      <c r="D325" s="101"/>
      <c r="E325" s="102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303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232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379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234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0" t="s">
        <v>235</v>
      </c>
      <c r="B352" s="101"/>
      <c r="C352" s="101"/>
      <c r="D352" s="101"/>
      <c r="E352" s="102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327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234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0" t="s">
        <v>235</v>
      </c>
      <c r="B379" s="101"/>
      <c r="C379" s="101"/>
      <c r="D379" s="101"/>
      <c r="E379" s="102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381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368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232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382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383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234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0" t="s">
        <v>235</v>
      </c>
      <c r="B406" s="101"/>
      <c r="C406" s="101"/>
      <c r="D406" s="101"/>
      <c r="E406" s="102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232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384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234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0" t="s">
        <v>235</v>
      </c>
      <c r="B433" s="101"/>
      <c r="C433" s="101"/>
      <c r="D433" s="101"/>
      <c r="E433" s="102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232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314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234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0" t="s">
        <v>235</v>
      </c>
      <c r="B460" s="101"/>
      <c r="C460" s="101"/>
      <c r="D460" s="101"/>
      <c r="E460" s="102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385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386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361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232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234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0" t="s">
        <v>235</v>
      </c>
      <c r="B487" s="101"/>
      <c r="C487" s="101"/>
      <c r="D487" s="101"/>
      <c r="E487" s="102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361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232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387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234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0" t="s">
        <v>235</v>
      </c>
      <c r="B514" s="101"/>
      <c r="C514" s="101"/>
      <c r="D514" s="101"/>
      <c r="E514" s="102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388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389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232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234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0" t="s">
        <v>235</v>
      </c>
      <c r="B541" s="101"/>
      <c r="C541" s="101"/>
      <c r="D541" s="101"/>
      <c r="E541" s="102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390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391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392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232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393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234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0" t="s">
        <v>235</v>
      </c>
      <c r="B568" s="101"/>
      <c r="C568" s="101"/>
      <c r="D568" s="101"/>
      <c r="E568" s="102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394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232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234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0" t="s">
        <v>235</v>
      </c>
      <c r="B595" s="101"/>
      <c r="C595" s="101"/>
      <c r="D595" s="101"/>
      <c r="E595" s="102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395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232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234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0" t="s">
        <v>235</v>
      </c>
      <c r="B622" s="101"/>
      <c r="C622" s="101"/>
      <c r="D622" s="101"/>
      <c r="E622" s="102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396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232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397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234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0" t="s">
        <v>235</v>
      </c>
      <c r="B649" s="101"/>
      <c r="C649" s="101"/>
      <c r="D649" s="101"/>
      <c r="E649" s="102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398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218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159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399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257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257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257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257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257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257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257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234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233</v>
      </c>
      <c r="O675" s="39">
        <v>486620</v>
      </c>
    </row>
    <row r="676" spans="1:15" ht="18" customHeight="1">
      <c r="A676" s="100" t="s">
        <v>235</v>
      </c>
      <c r="B676" s="101"/>
      <c r="C676" s="101"/>
      <c r="D676" s="101"/>
      <c r="E676" s="102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236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257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257</v>
      </c>
      <c r="F678" s="27">
        <v>20</v>
      </c>
      <c r="G678" s="28">
        <f t="shared" si="150"/>
        <v>84</v>
      </c>
      <c r="H678" s="26" t="s">
        <v>18</v>
      </c>
      <c r="I678" s="26" t="s">
        <v>159</v>
      </c>
      <c r="J678" s="26" t="s">
        <v>121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257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257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257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159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257</v>
      </c>
      <c r="F682" s="27">
        <v>17</v>
      </c>
      <c r="G682" s="28"/>
      <c r="H682" s="26" t="s">
        <v>18</v>
      </c>
      <c r="I682" s="26" t="s">
        <v>52</v>
      </c>
      <c r="J682" s="26" t="s">
        <v>121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257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257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257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257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257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257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232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233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257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230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400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230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401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257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257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257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257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257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257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257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257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257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234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233</v>
      </c>
      <c r="O702" s="39">
        <v>988790</v>
      </c>
    </row>
    <row r="703" spans="1:15" ht="18" customHeight="1">
      <c r="A703" s="100" t="s">
        <v>235</v>
      </c>
      <c r="B703" s="101"/>
      <c r="C703" s="101"/>
      <c r="D703" s="101"/>
      <c r="E703" s="102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236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257</v>
      </c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>
        <v>0.29166666666666669</v>
      </c>
      <c r="L704" s="29"/>
      <c r="M704" s="30">
        <f t="shared" ref="M704:M715" ca="1" si="157">IFERROR(IF(K704="","",IF(L704="",MOD(NOW()-K704,1),IF(L704&gt;=K704,L704-K704,L704+1-K704))),"")</f>
        <v>2.5689699075883254E-2</v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257</v>
      </c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257</v>
      </c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257</v>
      </c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257</v>
      </c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257</v>
      </c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257</v>
      </c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257</v>
      </c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257</v>
      </c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257</v>
      </c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257</v>
      </c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257</v>
      </c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232</v>
      </c>
      <c r="B716" s="104"/>
      <c r="C716" s="104"/>
      <c r="D716" s="104"/>
      <c r="E716" s="105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2.5689699075883254E-2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234</v>
      </c>
      <c r="B729" s="104"/>
      <c r="C729" s="104"/>
      <c r="D729" s="104"/>
      <c r="E729" s="105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0" t="s">
        <v>235</v>
      </c>
      <c r="B730" s="101"/>
      <c r="C730" s="101"/>
      <c r="D730" s="101"/>
      <c r="E730" s="102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2.5689699075883254E-2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232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234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0" t="s">
        <v>235</v>
      </c>
      <c r="B757" s="101"/>
      <c r="C757" s="101"/>
      <c r="D757" s="101"/>
      <c r="E757" s="102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232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234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0" t="s">
        <v>235</v>
      </c>
      <c r="B784" s="101"/>
      <c r="C784" s="101"/>
      <c r="D784" s="101"/>
      <c r="E784" s="102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232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234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0" t="s">
        <v>235</v>
      </c>
      <c r="B811" s="101"/>
      <c r="C811" s="101"/>
      <c r="D811" s="101"/>
      <c r="E811" s="10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2026-07-27T11:39:03Z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