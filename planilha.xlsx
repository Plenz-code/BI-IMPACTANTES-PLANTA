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572" documentId="13_ncr:1_{0A10D8D4-8450-4366-8075-B53B08E6B7EA}" xr6:coauthVersionLast="47" xr6:coauthVersionMax="47" xr10:uidLastSave="{9121871F-D7C3-4605-A240-45822BF24846}"/>
  <bookViews>
    <workbookView xWindow="-28920" yWindow="-6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1" i="6"/>
  <c r="J341" i="6" s="1"/>
  <c r="H342" i="6"/>
  <c r="J342" i="6" s="1"/>
  <c r="H343" i="6"/>
  <c r="J343" i="6" s="1"/>
  <c r="H344" i="6"/>
  <c r="J344" i="6" s="1"/>
  <c r="H345" i="6"/>
  <c r="J345" i="6" s="1"/>
  <c r="H346" i="6"/>
  <c r="J346" i="6" s="1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1" i="5"/>
  <c r="J341" i="5" s="1"/>
  <c r="H342" i="5"/>
  <c r="J342" i="5" s="1"/>
  <c r="H343" i="5"/>
  <c r="J343" i="5" s="1"/>
  <c r="H344" i="5"/>
  <c r="J344" i="5" s="1"/>
  <c r="H345" i="5"/>
  <c r="J345" i="5" s="1"/>
  <c r="H346" i="5"/>
  <c r="J346" i="5" s="1"/>
  <c r="H347" i="5"/>
  <c r="J347" i="5" s="1"/>
  <c r="H348" i="5"/>
  <c r="J348" i="5" s="1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1" i="4"/>
  <c r="J341" i="4" s="1"/>
  <c r="H342" i="4"/>
  <c r="J342" i="4" s="1"/>
  <c r="H343" i="4"/>
  <c r="J343" i="4" s="1"/>
  <c r="H344" i="4"/>
  <c r="J344" i="4" s="1"/>
  <c r="H345" i="4"/>
  <c r="J345" i="4" s="1"/>
  <c r="H346" i="4"/>
  <c r="J346" i="4" s="1"/>
  <c r="H347" i="4"/>
  <c r="J347" i="4" s="1"/>
  <c r="H348" i="4"/>
  <c r="J348" i="4" s="1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39" i="6" l="1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<sst xmlns="http://schemas.openxmlformats.org/spreadsheetml/2006/main" count="6089" uniqueCount="340">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</sst>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:G34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J339" sqref="J33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/>
      <c r="M339" s="35">
        <f t="shared" ref="M339:M350" ca="1" si="71">IFERROR(IF(K339="","",IF(L339="",MOD(NOW()-K339,1),IF(L339&gt;=K339,L339-K339,L339+1-K339))),"")</f>
        <v>2.7972222218522802E-2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30</v>
      </c>
      <c r="G351" s="36">
        <f>SUM(G339:G350)</f>
        <v>150</v>
      </c>
      <c r="H351" s="37"/>
      <c r="I351" s="37"/>
      <c r="J351" s="37"/>
      <c r="K351" s="37"/>
      <c r="L351" s="37"/>
      <c r="M351" s="38">
        <f ca="1">IFERROR(SUM(M339:M350),"")</f>
        <v>2.7972222218522802E-2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262</v>
      </c>
      <c r="G352" s="40">
        <f>G338+G351</f>
        <v>1310</v>
      </c>
      <c r="H352" s="41"/>
      <c r="I352" s="41"/>
      <c r="J352" s="41"/>
      <c r="K352" s="41"/>
      <c r="L352" s="41"/>
      <c r="M352" s="42">
        <f ca="1">IFERROR(M338+M351,"")</f>
        <v>0.10505555555185619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23" activePane="bottomLeft" state="frozen"/>
      <selection pane="bottomLeft" activeCell="G341" sqref="G34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0.75297222221706761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0.89186111110595645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0.97658333332817882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21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88.2</v>
      </c>
      <c r="L351" s="37"/>
      <c r="M351" s="37"/>
      <c r="N351" s="37"/>
      <c r="O351" s="37"/>
      <c r="P351" s="37"/>
      <c r="Q351" s="38">
        <f ca="1">IFERROR(SUM(Q339:Q350),"")</f>
        <v>2.6388888888888906E-2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58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261.2</v>
      </c>
      <c r="L352" s="41"/>
      <c r="M352" s="41"/>
      <c r="N352" s="41"/>
      <c r="O352" s="41"/>
      <c r="P352" s="41"/>
      <c r="Q352" s="42">
        <f ca="1">IFERROR(Q338+Q351,"")</f>
        <v>0.36874999999999991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G341" sqref="G34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11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46.2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72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343.2</v>
      </c>
      <c r="L352" s="41"/>
      <c r="M352" s="41"/>
      <c r="N352" s="41"/>
      <c r="O352" s="41"/>
      <c r="P352" s="41"/>
      <c r="Q352" s="42">
        <f ca="1">IFERROR(Q338+Q351,"")</f>
        <v>0.23402777777777772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22" activePane="bottomLeft" state="frozen"/>
      <selection pane="bottomLeft" activeCell="G341" sqref="G34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46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193.2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263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1161.4000000000001</v>
      </c>
      <c r="L352" s="41"/>
      <c r="M352" s="41"/>
      <c r="N352" s="41"/>
      <c r="O352" s="63"/>
      <c r="P352" s="63"/>
      <c r="Q352" s="42">
        <f ca="1">IFERROR(Q338+Q351,"")</f>
        <v>4.0972222222222132E-2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2026-08-14T00:59:38Z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