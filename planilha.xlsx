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077" documentId="8_{C51EB6CB-002B-4D6B-B68F-DDEBDB4460C0}" xr6:coauthVersionLast="47" xr6:coauthVersionMax="47" xr10:uidLastSave="{90F44A06-ECB3-423D-B5BD-CE3AC99F737A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<sst xmlns="http://schemas.openxmlformats.org/spreadsheetml/2006/main" count="2652" uniqueCount="267">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</sst>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2050</v>
      </c>
      <c r="D7" s="11">
        <f>IFERROR('Linha 1'!O109,"")</f>
        <v>449600</v>
      </c>
      <c r="E7" s="11">
        <f>IFERROR('Linha 2'!O109,"")</f>
        <v>204160</v>
      </c>
      <c r="F7" s="11">
        <f>IFERROR('Linha 3'!O109,"")</f>
        <v>786700</v>
      </c>
      <c r="G7" s="12">
        <f t="shared" si="0"/>
        <v>1440460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7781455</v>
      </c>
      <c r="D35" s="13">
        <f>IFERROR(SUM(D4:D34),"")</f>
        <v>3343680</v>
      </c>
      <c r="E35" s="13">
        <f>IFERROR(SUM(E4:E34),"")</f>
        <v>1813040</v>
      </c>
      <c r="F35" s="13">
        <f>IFERROR(SUM(F4:F34),"")</f>
        <v>4048370</v>
      </c>
      <c r="G35" s="13">
        <f>IFERROR(SUM(G4:G34),"")</f>
        <v>9205090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9" activePane="bottomLeft" state="frozen"/>
      <selection pane="bottomLeft" activeCell="F103" sqref="F10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>
        <v>2050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228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228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228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228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228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228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228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228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228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228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228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228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266</v>
      </c>
      <c r="G108" s="36">
        <f>SUM(G96:G107)</f>
        <v>1330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575</v>
      </c>
      <c r="G109" s="40">
        <f>G95+G108</f>
        <v>2875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2050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92" activePane="bottomLeft" state="frozen"/>
      <selection pane="bottomLeft" activeCell="I98" sqref="I9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3.5630787024274468E-3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0.14245196759131634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0.22717418981353865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138</v>
      </c>
      <c r="J96" s="26" t="s">
        <v>115</v>
      </c>
      <c r="K96" s="29">
        <v>0.79166666666666663</v>
      </c>
      <c r="L96" s="29" t="s">
        <v>251</v>
      </c>
      <c r="M96" s="30" t="str">
        <f t="shared" ref="M96:M107" ca="1" si="22">IFERROR(IF(K96="","",IF(L96="",MOD(NOW()-K96,1),IF(L96&gt;=K96,L96-K96,L96+1-K96))),"")</f>
        <v/>
      </c>
      <c r="N96" s="46" t="s">
        <v>252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231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0</v>
      </c>
      <c r="G98" s="34">
        <f t="shared" si="21"/>
        <v>0</v>
      </c>
      <c r="H98" s="26"/>
      <c r="I98" s="26" t="s">
        <v>31</v>
      </c>
      <c r="J98" s="26"/>
      <c r="K98" s="29">
        <v>0.12430555555555556</v>
      </c>
      <c r="L98" s="29"/>
      <c r="M98" s="30">
        <f t="shared" ca="1" si="22"/>
        <v>7.8530093014705926E-4</v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25</v>
      </c>
      <c r="G100" s="34">
        <f t="shared" si="21"/>
        <v>105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3</v>
      </c>
      <c r="G101" s="28">
        <f t="shared" si="21"/>
        <v>12.600000000000001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42</v>
      </c>
      <c r="G108" s="36">
        <f>SUM(G96:G107)</f>
        <v>176.39999999999998</v>
      </c>
      <c r="H108" s="37"/>
      <c r="I108" s="37"/>
      <c r="J108" s="37"/>
      <c r="K108" s="37"/>
      <c r="L108" s="37"/>
      <c r="M108" s="38">
        <f ca="1">IFERROR(SUM(M96:M107),"")</f>
        <v>3.2729745374591501E-2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138</v>
      </c>
      <c r="G109" s="40">
        <f>G95+G108</f>
        <v>579.59999999999991</v>
      </c>
      <c r="H109" s="41"/>
      <c r="I109" s="41"/>
      <c r="J109" s="41"/>
      <c r="K109" s="41"/>
      <c r="L109" s="41"/>
      <c r="M109" s="42">
        <f ca="1">IFERROR(M95+M108,"")</f>
        <v>0.24939641204125823</v>
      </c>
      <c r="N109" s="40" t="s">
        <v>234</v>
      </c>
      <c r="O109" s="82">
        <f>IFERROR(O95+O108,"")</f>
        <v>449600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" zoomScale="50" zoomScaleNormal="50" workbookViewId="0">
      <selection activeCell="F103" sqref="F1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135</v>
      </c>
      <c r="J96" s="26" t="s">
        <v>115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0</v>
      </c>
      <c r="G97" s="28">
        <f t="shared" si="21"/>
        <v>0</v>
      </c>
      <c r="H97" s="33" t="s">
        <v>18</v>
      </c>
      <c r="I97" s="33" t="s">
        <v>135</v>
      </c>
      <c r="J97" s="33" t="s">
        <v>115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259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5</v>
      </c>
      <c r="G98" s="34">
        <f t="shared" si="21"/>
        <v>21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7</v>
      </c>
      <c r="G99" s="28">
        <f t="shared" si="21"/>
        <v>29.400000000000002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49</v>
      </c>
      <c r="G108" s="36">
        <f>SUM(G96:G107)</f>
        <v>205.8</v>
      </c>
      <c r="H108" s="37"/>
      <c r="I108" s="37"/>
      <c r="J108" s="37"/>
      <c r="K108" s="37"/>
      <c r="L108" s="37"/>
      <c r="M108" s="38">
        <f ca="1">IFERROR(SUM(M96:M107),"")</f>
        <v>4.2361111111111072E-2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97</v>
      </c>
      <c r="G109" s="40">
        <f>G95+G108</f>
        <v>407.4</v>
      </c>
      <c r="H109" s="41"/>
      <c r="I109" s="41"/>
      <c r="J109" s="41"/>
      <c r="K109" s="41"/>
      <c r="L109" s="41"/>
      <c r="M109" s="42">
        <f ca="1">IFERROR(M95+M108,"")</f>
        <v>0.19861111111111107</v>
      </c>
      <c r="N109" s="40" t="s">
        <v>234</v>
      </c>
      <c r="O109" s="43">
        <f>IFERROR(O95+O108,"")</f>
        <v>204160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94" activePane="bottomLeft" state="frozen"/>
      <selection pane="bottomLeft" activeCell="J97" sqref="J9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260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261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262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263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264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265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266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159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127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253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239</v>
      </c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239</v>
      </c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239</v>
      </c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239</v>
      </c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239</v>
      </c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115</v>
      </c>
      <c r="G108" s="36">
        <f>SUM(G96:G107)</f>
        <v>483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298</v>
      </c>
      <c r="G109" s="40">
        <f>G95+G108</f>
        <v>1251.5999999999999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234</v>
      </c>
      <c r="O109" s="48">
        <f>IFERROR(O95+O108,"")</f>
        <v>786700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2026-08-05T07:00:17Z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