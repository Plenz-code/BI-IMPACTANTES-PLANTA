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32" documentId="8_{AF585B22-221D-4780-BB9C-493D365A6A02}" xr6:coauthVersionLast="47" xr6:coauthVersionMax="47" xr10:uidLastSave="{8D84EABE-3BEF-49EC-AFE4-560F653B3BA8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<sst xmlns="http://schemas.openxmlformats.org/spreadsheetml/2006/main" count="5143" uniqueCount="298">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</sst>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306" sqref="F30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106.5</v>
      </c>
      <c r="G311" s="36">
        <f>SUM(G299:G310)</f>
        <v>532.5</v>
      </c>
      <c r="H311" s="37"/>
      <c r="I311" s="37"/>
      <c r="J311" s="37"/>
      <c r="K311" s="37"/>
      <c r="L311" s="37"/>
      <c r="M311" s="38">
        <f ca="1">IFERROR(SUM(M299:M310),"")</f>
        <v>7.9861111111111216E-2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106.5</v>
      </c>
      <c r="G325" s="40">
        <f>G311+G324</f>
        <v>532.5</v>
      </c>
      <c r="H325" s="41"/>
      <c r="I325" s="41"/>
      <c r="J325" s="41"/>
      <c r="K325" s="41"/>
      <c r="L325" s="41"/>
      <c r="M325" s="42">
        <f ca="1">IFERROR(M311+M324,"")</f>
        <v>7.9861111111111216E-2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72" activePane="bottomLeft" state="frozen"/>
      <selection pane="bottomLeft" activeCell="I303" sqref="I3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231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18</v>
      </c>
      <c r="G302" s="28">
        <f t="shared" si="66"/>
        <v>75.600000000000009</v>
      </c>
      <c r="H302" s="26" t="s">
        <v>17</v>
      </c>
      <c r="I302" s="26" t="s">
        <v>80</v>
      </c>
      <c r="J302" s="26" t="s">
        <v>49</v>
      </c>
      <c r="K302" s="29">
        <v>0.61250000000000004</v>
      </c>
      <c r="L302" s="29"/>
      <c r="M302" s="30">
        <f t="shared" ca="1" si="67"/>
        <v>1.0410879622213542E-3</v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10</v>
      </c>
      <c r="G303" s="34">
        <f t="shared" si="66"/>
        <v>42</v>
      </c>
      <c r="H303" s="33" t="s">
        <v>17</v>
      </c>
      <c r="I303" s="33" t="s">
        <v>86</v>
      </c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8</v>
      </c>
      <c r="G304" s="28">
        <f t="shared" si="66"/>
        <v>33.6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52</v>
      </c>
      <c r="G311" s="36">
        <f>SUM(G299:G310)</f>
        <v>218.4</v>
      </c>
      <c r="H311" s="37"/>
      <c r="I311" s="37"/>
      <c r="J311" s="37"/>
      <c r="K311" s="37"/>
      <c r="L311" s="37"/>
      <c r="M311" s="38">
        <f ca="1">IFERROR(SUM(M299:M310),"")</f>
        <v>6.2152199073332415E-2</v>
      </c>
      <c r="N311" s="36" t="s">
        <v>218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52</v>
      </c>
      <c r="G325" s="40">
        <f>G311+G324</f>
        <v>218.4</v>
      </c>
      <c r="H325" s="41"/>
      <c r="I325" s="41"/>
      <c r="J325" s="41"/>
      <c r="K325" s="41"/>
      <c r="L325" s="41"/>
      <c r="M325" s="42">
        <f ca="1">IFERROR(M311+M324,"")</f>
        <v>6.2152199073332415E-2</v>
      </c>
      <c r="N325" s="40" t="s">
        <v>221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69" zoomScale="50" zoomScaleNormal="50" workbookViewId="0">
      <selection activeCell="K302" sqref="K30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265</v>
      </c>
      <c r="N166" s="27" t="s">
        <v>266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11</v>
      </c>
      <c r="G302" s="28">
        <f t="shared" si="66"/>
        <v>46.2</v>
      </c>
      <c r="H302" s="26" t="s">
        <v>17</v>
      </c>
      <c r="I302" s="26" t="s">
        <v>92</v>
      </c>
      <c r="J302" s="26" t="s">
        <v>49</v>
      </c>
      <c r="K302" s="29">
        <v>0.61250000000000004</v>
      </c>
      <c r="L302" s="29"/>
      <c r="M302" s="30">
        <f t="shared" ca="1" si="67"/>
        <v>1.0410879622213542E-3</v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3</v>
      </c>
      <c r="G303" s="34">
        <f t="shared" si="66"/>
        <v>12.600000000000001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36</v>
      </c>
      <c r="G311" s="36">
        <f>SUM(G299:G310)</f>
        <v>151.20000000000002</v>
      </c>
      <c r="H311" s="37"/>
      <c r="I311" s="37"/>
      <c r="J311" s="37"/>
      <c r="K311" s="37"/>
      <c r="L311" s="37"/>
      <c r="M311" s="38">
        <f ca="1">IFERROR(SUM(M299:M310),"")</f>
        <v>4.0624421295554658E-2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36</v>
      </c>
      <c r="G325" s="40">
        <f>G311+G324</f>
        <v>151.20000000000002</v>
      </c>
      <c r="H325" s="41"/>
      <c r="I325" s="41"/>
      <c r="J325" s="41"/>
      <c r="K325" s="41"/>
      <c r="L325" s="41"/>
      <c r="M325" s="42">
        <f ca="1">IFERROR(M311+M324,"")</f>
        <v>4.0624421295554658E-2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H302" sqref="H30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276</v>
      </c>
      <c r="L58" s="29">
        <v>0.54097222222222219</v>
      </c>
      <c r="M58" s="30" t="str">
        <f t="shared" ca="1" si="13"/>
        <v/>
      </c>
      <c r="N58" s="27" t="s">
        <v>277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0.36423564815049758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0.56354120370605321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0.93090231481716423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231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231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231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231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231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/>
      <c r="M301" s="35">
        <f t="shared" ca="1" si="67"/>
        <v>1.2846759258536622E-2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0</v>
      </c>
      <c r="G302" s="28">
        <f t="shared" si="66"/>
        <v>0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10</v>
      </c>
      <c r="G311" s="36">
        <f>SUM(G299:G310)</f>
        <v>42</v>
      </c>
      <c r="H311" s="37"/>
      <c r="I311" s="37"/>
      <c r="J311" s="37"/>
      <c r="K311" s="61"/>
      <c r="L311" s="61"/>
      <c r="M311" s="38">
        <f ca="1">IFERROR(SUM(M299:M310),"")</f>
        <v>0.25173564814742555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10</v>
      </c>
      <c r="G325" s="40">
        <f>G311+G324</f>
        <v>42</v>
      </c>
      <c r="H325" s="41"/>
      <c r="I325" s="41"/>
      <c r="J325" s="41"/>
      <c r="K325" s="63"/>
      <c r="L325" s="63"/>
      <c r="M325" s="42">
        <f ca="1">IFERROR(M311+M324,"")</f>
        <v>0.25173564814742555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2026-07-12T18:43:32Z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