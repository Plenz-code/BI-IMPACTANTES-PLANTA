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42" documentId="8_{AF585B22-221D-4780-BB9C-493D365A6A02}" xr6:coauthVersionLast="47" xr6:coauthVersionMax="47" xr10:uidLastSave="{0A23BB8A-C4F5-4832-A7A5-D7298FF97B09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<sst xmlns="http://schemas.openxmlformats.org/spreadsheetml/2006/main" count="9313" uniqueCount="380">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</sst>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J596" sqref="J5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/>
      <c r="M596" s="30">
        <f t="shared" ref="M596:M607" ca="1" si="133">IFERROR(IF(K596="","",IF(L596="",MOD(NOW()-K596,1),IF(L596&gt;=K596,L596-K596,L596+1-K596))),"")</f>
        <v>1.3903935185226146E-2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219</v>
      </c>
      <c r="G608" s="36">
        <f>SUM(G596:G607)</f>
        <v>1095</v>
      </c>
      <c r="H608" s="37"/>
      <c r="I608" s="37"/>
      <c r="J608" s="37"/>
      <c r="K608" s="37"/>
      <c r="L608" s="37"/>
      <c r="M608" s="38">
        <f ca="1">IFERROR(SUM(M596:M607),"")</f>
        <v>1.3903935185226146E-2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219</v>
      </c>
      <c r="G622" s="40">
        <f>G608+G621</f>
        <v>1095</v>
      </c>
      <c r="H622" s="41"/>
      <c r="I622" s="41"/>
      <c r="J622" s="41"/>
      <c r="K622" s="41"/>
      <c r="L622" s="41"/>
      <c r="M622" s="42">
        <f ca="1">IFERROR(M608+M621,"")</f>
        <v>1.3903935185226146E-2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N599" sqref="N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0.33057060185092269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0.48820949073981157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0.59793171296203373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0.30904282407573191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0.47987615740906531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0.62501504629795424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/>
      <c r="M598" s="30">
        <f t="shared" ca="1" si="133"/>
        <v>2.5015046296175569E-2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340.20000000000005</v>
      </c>
      <c r="H608" s="37"/>
      <c r="I608" s="37"/>
      <c r="J608" s="37"/>
      <c r="K608" s="37"/>
      <c r="L608" s="37"/>
      <c r="M608" s="38">
        <f ca="1">IFERROR(SUM(M596:M607),"")</f>
        <v>5.5570601851731127E-2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340.20000000000005</v>
      </c>
      <c r="H622" s="41"/>
      <c r="I622" s="41"/>
      <c r="J622" s="41"/>
      <c r="K622" s="41"/>
      <c r="L622" s="41"/>
      <c r="M622" s="42">
        <f ca="1">IFERROR(M608+M621,"")</f>
        <v>5.5570601851731127E-2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2" sqref="F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59</v>
      </c>
      <c r="G608" s="36">
        <f>SUM(G596:G607)</f>
        <v>247.8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59</v>
      </c>
      <c r="G622" s="40">
        <f>G608+G621</f>
        <v>247.8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2" sqref="F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340</v>
      </c>
      <c r="L58" s="29">
        <v>0.54097222222222219</v>
      </c>
      <c r="M58" s="30" t="str">
        <f t="shared" ca="1" si="13"/>
        <v/>
      </c>
      <c r="N58" s="27" t="s">
        <v>341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0.32084837963338941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0.52015393518894504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0.88751504630005607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2026-07-23T17:41:35Z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