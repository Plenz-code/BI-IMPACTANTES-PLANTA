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1" documentId="13_ncr:1_{A6DBCFB4-28D9-4249-9038-216934055CA6}" xr6:coauthVersionLast="47" xr6:coauthVersionMax="47" xr10:uidLastSave="{DE20E7E4-63BC-423E-B251-B7CD76B26265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6" l="1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<sst xmlns="http://schemas.openxmlformats.org/spreadsheetml/2006/main" count="8585" uniqueCount="397">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</sst>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J501" sqref="J50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/>
      <c r="M501" s="71">
        <f t="shared" ref="M501:M512" ca="1" si="108">IFERROR(IF(K501="","",IF(L501="",MOD(NOW()-K501,1),IF(L501&gt;=K501,L501-K501,L501+1-K501))),"")</f>
        <v>9.8657407215796411E-4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237</v>
      </c>
      <c r="G513" s="2">
        <f>SUM(G501:G512)</f>
        <v>1185</v>
      </c>
      <c r="H513" s="72"/>
      <c r="I513" s="72"/>
      <c r="J513" s="72"/>
      <c r="K513" s="72"/>
      <c r="L513" s="72"/>
      <c r="M513" s="73">
        <f ca="1">IFERROR(SUM(M501:M512),"")</f>
        <v>9.8657407215796411E-4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519</v>
      </c>
      <c r="G514" s="1">
        <f>G500+G513</f>
        <v>2595</v>
      </c>
      <c r="H514" s="76"/>
      <c r="I514" s="76"/>
      <c r="J514" s="76"/>
      <c r="K514" s="76"/>
      <c r="L514" s="76"/>
      <c r="M514" s="77">
        <f ca="1">IFERROR(M500+M513,"")</f>
        <v>0.11279212962771362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7" sqref="G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0.9739032407378545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1.1127921296267422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1.197514351848965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71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298.20000000000005</v>
      </c>
      <c r="L513" s="72"/>
      <c r="M513" s="72"/>
      <c r="N513" s="72"/>
      <c r="O513" s="72"/>
      <c r="P513" s="72"/>
      <c r="Q513" s="73">
        <f ca="1">IFERROR(SUM(Q501:Q512),"")</f>
        <v>6.2499999999999875E-2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213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903.40000000000009</v>
      </c>
      <c r="L514" s="76"/>
      <c r="M514" s="76"/>
      <c r="N514" s="76"/>
      <c r="O514" s="76"/>
      <c r="P514" s="76"/>
      <c r="Q514" s="77">
        <f ca="1">IFERROR(Q500+Q513,"")</f>
        <v>0.15416666666666651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07" sqref="G50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/>
      <c r="Q504" s="66">
        <f t="shared" ca="1" si="125"/>
        <v>4.6819907409371808E-2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197.4</v>
      </c>
      <c r="L513" s="72"/>
      <c r="M513" s="72"/>
      <c r="N513" s="72"/>
      <c r="O513" s="72"/>
      <c r="P513" s="72"/>
      <c r="Q513" s="73">
        <f ca="1">IFERROR(SUM(Q501:Q512),"")</f>
        <v>0.10306990740937171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119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503.79999999999995</v>
      </c>
      <c r="L514" s="76"/>
      <c r="M514" s="76"/>
      <c r="N514" s="76"/>
      <c r="O514" s="76"/>
      <c r="P514" s="76"/>
      <c r="Q514" s="77">
        <f ca="1">IFERROR(Q500+Q513,"")</f>
        <v>0.19890324074270516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K507" sqref="K50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65" t="s">
        <v>396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97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5.5555555555555691E-2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299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0.14027777777777722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2026-08-20T06:17:42Z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