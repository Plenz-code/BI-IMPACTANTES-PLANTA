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444" documentId="8_{AF585B22-221D-4780-BB9C-493D365A6A02}" xr6:coauthVersionLast="47" xr6:coauthVersionMax="47" xr10:uidLastSave="{96476E81-C3DA-4617-9A05-C62EAF507BB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<sst xmlns="http://schemas.openxmlformats.org/spreadsheetml/2006/main" count="9101" uniqueCount="376">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</sst>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E582" sqref="E5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186</v>
      </c>
      <c r="G595" s="40">
        <f>G581+G594</f>
        <v>930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K582" sqref="K5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0.5807674768511788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0.73840636574006768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0.84812858796228985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0.55923969907598803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0.73007303240932142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0.87521192129821035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>
        <v>0.81944444444444442</v>
      </c>
      <c r="L582" s="29"/>
      <c r="M582" s="30">
        <f t="shared" ref="M582:M593" ca="1" si="130">IFERROR(IF(K582="","",IF(L582="",MOD(NOW()-K582,1),IF(L582&gt;=K582,L582-K582,L582+1-K582))),"")</f>
        <v>9.0636574168456718E-4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9.0636574168456718E-4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230</v>
      </c>
      <c r="G595" s="40">
        <f>G581+G594</f>
        <v>966.00000000000011</v>
      </c>
      <c r="H595" s="41"/>
      <c r="I595" s="41"/>
      <c r="J595" s="41"/>
      <c r="K595" s="41"/>
      <c r="L595" s="41"/>
      <c r="M595" s="42">
        <f ca="1">IFERROR(M581+M594,"")</f>
        <v>2.3823032408351263E-2</v>
      </c>
      <c r="N595" s="40" t="s">
        <v>234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49" zoomScale="50" zoomScaleNormal="50" workbookViewId="0">
      <selection activeCell="J582" sqref="J5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 t="s">
        <v>20</v>
      </c>
      <c r="I582" s="26"/>
      <c r="J582" s="26" t="s">
        <v>74</v>
      </c>
      <c r="K582" s="29">
        <v>0.81944444444444442</v>
      </c>
      <c r="L582" s="29"/>
      <c r="M582" s="30">
        <f t="shared" ref="M582:M593" ca="1" si="130">IFERROR(IF(K582="","",IF(L582="",MOD(NOW()-K582,1),IF(L582&gt;=K582,L582-K582,L582+1-K582))),"")</f>
        <v>9.0636574168456718E-4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9.0636574168456718E-4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53</v>
      </c>
      <c r="G595" s="40">
        <f>G581+G594</f>
        <v>222.60000000000002</v>
      </c>
      <c r="H595" s="41"/>
      <c r="I595" s="41"/>
      <c r="J595" s="41"/>
      <c r="K595" s="41"/>
      <c r="L595" s="41"/>
      <c r="M595" s="42">
        <f ca="1">IFERROR(M581+M594,"")</f>
        <v>4.3961921297240136E-2</v>
      </c>
      <c r="N595" s="40" t="s">
        <v>234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J582" sqref="J5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0.57104525463364553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0.77035081018920115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1.1377119213003122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231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/>
      <c r="M582" s="30">
        <f t="shared" ref="M582:M593" ca="1" si="130">IFERROR(IF(K582="","",IF(L582="",MOD(NOW()-K582,1),IF(L582&gt;=K582,L582-K582,L582+1-K582))),"")</f>
        <v>2.8684143522696104E-2</v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7" t="s">
        <v>255</v>
      </c>
      <c r="F587" s="27"/>
      <c r="G587" s="34" t="str">
        <f>IF(F587="","",IF(E588="PC 17",F587*4.2,IF(E588="PC 19",F587*5,"")))</f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>IF(F588="","",IF(#REF!="PC 17",F588*4.2,IF(#REF!="PC 19",F588*5,"")))</f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2.8684143522696104E-2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0.5286841435226961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2026-07-22T23:41:29Z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