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35" documentId="13_ncr:1_{0A10D8D4-8450-4366-8075-B53B08E6B7EA}" xr6:coauthVersionLast="47" xr6:coauthVersionMax="47" xr10:uidLastSave="{44B122E6-4D2A-4EE6-891B-6D24809A179F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2" i="6"/>
  <c r="J422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2" i="5"/>
  <c r="J422" i="5" s="1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2" i="4"/>
  <c r="J422" i="4" s="1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0" i="6" l="1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<sst xmlns="http://schemas.openxmlformats.org/spreadsheetml/2006/main" count="7302" uniqueCount="357">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</sst>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2" sqref="F42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55</v>
      </c>
      <c r="G432" s="36">
        <f>SUM(G420:G431)</f>
        <v>275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265</v>
      </c>
      <c r="G433" s="40">
        <f>G419+G432</f>
        <v>1325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G422" sqref="G422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0.76698900462361053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0.90587789351249937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0.99060011573472173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/>
      <c r="Q420" s="30">
        <f t="shared" ref="Q420:Q431" ca="1" si="104">IFERROR(IF(O420="","",IF(P420="",MOD(NOW()-O420,1),IF(P420&gt;=O420,P420-O420,P420+1-O420))),"")</f>
        <v>1.5600115737470333E-2</v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37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155.4</v>
      </c>
      <c r="L432" s="37"/>
      <c r="M432" s="37"/>
      <c r="N432" s="37"/>
      <c r="O432" s="37"/>
      <c r="P432" s="37"/>
      <c r="Q432" s="38">
        <f ca="1">IFERROR(SUM(Q420:Q431),"")</f>
        <v>1.5600115737470333E-2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184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772.80000000000007</v>
      </c>
      <c r="L433" s="41"/>
      <c r="M433" s="41"/>
      <c r="N433" s="41"/>
      <c r="O433" s="41"/>
      <c r="P433" s="41"/>
      <c r="Q433" s="42">
        <f ca="1">IFERROR(Q419+Q432,"")</f>
        <v>0.10657233795969256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8" activePane="bottomLeft" state="frozen"/>
      <selection pane="bottomLeft" activeCell="R421" sqref="R42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/>
      <c r="Q420" s="30">
        <f t="shared" ref="Q420:Q431" ca="1" si="102">IFERROR(IF(O420="","",IF(P420="",MOD(NOW()-O420,1),IF(P420&gt;=O420,P420-O420,P420+1-O420))),"")</f>
        <v>1.9766782403166872E-2</v>
      </c>
      <c r="R420" s="86" t="s">
        <v>324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9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37.800000000000004</v>
      </c>
      <c r="L432" s="37"/>
      <c r="M432" s="37"/>
      <c r="N432" s="37"/>
      <c r="O432" s="37"/>
      <c r="P432" s="37"/>
      <c r="Q432" s="38">
        <f ca="1">IFERROR(SUM(Q420:Q431),"")</f>
        <v>1.9766782403166872E-2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130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546</v>
      </c>
      <c r="L433" s="41"/>
      <c r="M433" s="41"/>
      <c r="N433" s="41"/>
      <c r="O433" s="41"/>
      <c r="P433" s="41"/>
      <c r="Q433" s="42">
        <f ca="1">IFERROR(Q419+Q432,"")</f>
        <v>9.2683449069833612E-2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22" sqref="G422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113.4</v>
      </c>
      <c r="L432" s="37"/>
      <c r="M432" s="37"/>
      <c r="N432" s="37"/>
      <c r="O432" s="61"/>
      <c r="P432" s="61"/>
      <c r="Q432" s="38">
        <f ca="1">IFERROR(SUM(Q420:Q431),"")</f>
        <v>2.3611111111111249E-2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169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709.80000000000007</v>
      </c>
      <c r="L433" s="41"/>
      <c r="M433" s="41"/>
      <c r="N433" s="41"/>
      <c r="O433" s="63"/>
      <c r="P433" s="63"/>
      <c r="Q433" s="42">
        <f ca="1">IFERROR(Q419+Q432,"")</f>
        <v>0.13888888888888906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2026-08-17T01:19:58Z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