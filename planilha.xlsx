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34" documentId="8_{AF585B22-221D-4780-BB9C-493D365A6A02}" xr6:coauthVersionLast="47" xr6:coauthVersionMax="47" xr10:uidLastSave="{093767AA-04B4-4826-912C-F71C1F3D43B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<sst xmlns="http://schemas.openxmlformats.org/spreadsheetml/2006/main" count="12353" uniqueCount="439">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</sst>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5" sqref="F8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34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5" sqref="F8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0.18480567129154224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0.34244456018043112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0.45216678240265329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0.16327789351635147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0.33411122684968486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0.47925011573857373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59</v>
      </c>
      <c r="G824" s="109">
        <f>SUM(G812:G823)</f>
        <v>247.8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59</v>
      </c>
      <c r="G838" s="111">
        <f>G824+G837</f>
        <v>247.8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5" sqref="F8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32</v>
      </c>
      <c r="G824" s="109">
        <f>SUM(G812:G823)</f>
        <v>134.4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32</v>
      </c>
      <c r="G838" s="111">
        <f>G824+G837</f>
        <v>134.4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J813" sqref="J8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0.17508344907400897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0.37438900462956459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0.74175011574067562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/>
      <c r="M813" s="79">
        <f ca="1">IFERROR(IF(K813="","",IF(L813="",MOD(NOW()-K813,1),IF(L813&gt;=K813,L813-K813,L813+1-K813))),"")</f>
        <v>7.7789351780666038E-4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16</v>
      </c>
      <c r="G824" s="109">
        <f>SUM(G812:G823)</f>
        <v>67.2</v>
      </c>
      <c r="H824" s="37"/>
      <c r="I824" s="37"/>
      <c r="J824" s="37"/>
      <c r="K824" s="37"/>
      <c r="L824" s="37"/>
      <c r="M824" s="110">
        <f ca="1">IFERROR(SUM(M812:M823),"")</f>
        <v>6.6055671295584428E-2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16</v>
      </c>
      <c r="G838" s="111">
        <f>G824+G837</f>
        <v>67.2</v>
      </c>
      <c r="H838" s="41"/>
      <c r="I838" s="41"/>
      <c r="J838" s="41"/>
      <c r="K838" s="41"/>
      <c r="L838" s="41"/>
      <c r="M838" s="112">
        <f ca="1">IFERROR(M824+M837,"")</f>
        <v>6.6055671295584428E-2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2026-07-31T14:12:53Z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