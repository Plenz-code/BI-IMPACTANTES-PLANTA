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70" documentId="8_{1D11E9C4-FEA4-4128-910F-91CB6BBF9255}" xr6:coauthVersionLast="47" xr6:coauthVersionMax="47" xr10:uidLastSave="{B1FA741B-8487-41A3-BB04-26ED6B25CF4D}"/>
  <bookViews>
    <workbookView xWindow="-110" yWindow="-110" windowWidth="25820" windowHeight="15500" tabRatio="500" firstSheet="3" activeTab="4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<sst xmlns="http://schemas.openxmlformats.org/spreadsheetml/2006/main" count="8278" uniqueCount="369">
  <si>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</si>
  <si>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</si>
  <si>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</si>
  <si>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</si>
  <si>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</si>
  <si>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</si>
  <si>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</si>
  <si>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</si>
  <si>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</si>
  <si>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</si>
  <si>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</si>
  <si>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</si>
  <si>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</si>
  <si>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</si>
  <si>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</si>
  <si>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</si>
  <si>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</si>
  <si>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</si>
  <si>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</si>
  <si>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</si>
  <si>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</si>
  <si>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</si>
  <si>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</si>
  <si>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</si>
  <si>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</si>
  <si>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</si>
  <si>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</si>
  <si>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</si>
  <si>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</si>
  <si>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</si>
  <si>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</si>
  <si>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</si>
  <si>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</si>
  <si>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</si>
  <si>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</si>
  <si>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</si>
  <si>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</si>
  <si>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</si>
  <si>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</si>
  <si>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</si>
  <si>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</si>
  <si>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</si>
  <si>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</si>
  <si>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</si>
  <si>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</si>
  <si>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</si>
  <si>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</si>
  <si>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</si>
  <si>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</si>
  <si>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</si>
  <si>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</si>
  <si>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</si>
  <si>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</si>
  <si>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</si>
  <si>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</si>
  <si>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</si>
  <si>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</si>
  <si>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</si>
  <si>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</si>
  <si>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</si>
  <si>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</si>
  <si>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</si>
  <si>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</si>
  <si>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</si>
  <si>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</si>
  <si>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</si>
  <si>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</si>
  <si>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</si>
  <si>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</si>
  <si>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</si>
  <si>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</si>
  <si>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</si>
  <si>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</si>
  <si>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</si>
  <si>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</si>
  <si>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</si>
  <si>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</si>
  <si>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</si>
  <si>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</si>
  <si>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</si>
  <si>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</si>
  <si>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</si>
  <si>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</si>
  <si>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</si>
  <si>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</si>
  <si>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</si>
  <si>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</si>
  <si>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</si>
  <si>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</si>
  <si>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</si>
  <si>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</si>
  <si>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</si>
  <si>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</si>
  <si>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</si>
  <si>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</si>
  <si>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</si>
  <si>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</si>
  <si>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</si>
  <si>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</si>
  <si>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</si>
  <si>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</si>
  <si>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</si>
  <si>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</si>
  <si>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</si>
  <si>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</si>
  <si>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</si>
  <si>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</si>
  <si>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</si>
  <si>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</si>
  <si>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</si>
  <si>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</si>
  <si>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</si>
  <si>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</si>
  <si>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</si>
  <si>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</si>
  <si>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</si>
  <si>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</si>
  <si>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</si>
  <si>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</si>
  <si>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</si>
  <si>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</si>
  <si>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</si>
  <si>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</si>
  <si>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</si>
  <si>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</si>
  <si>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</si>
  <si>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</si>
  <si>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</si>
  <si>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</si>
  <si>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</si>
  <si>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</si>
  <si>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</si>
  <si>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</si>
  <si>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</si>
  <si>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</si>
  <si>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</si>
  <si>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</si>
  <si>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</si>
  <si>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</si>
  <si>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</si>
  <si>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</si>
  <si>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</si>
  <si>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</si>
  <si>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</si>
  <si>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</si>
  <si>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</si>
  <si>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</si>
  <si>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</si>
  <si>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</si>
  <si>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</si>
  <si>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</si>
  <si>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</si>
  <si>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</si>
  <si>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</si>
  <si>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</si>
  <si>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</si>
  <si>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</si>
  <si>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</si>
  <si>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</si>
  <si>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</si>
  <si>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</si>
  <si>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</si>
  <si>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</si>
  <si>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</si>
  <si>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</si>
  <si>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</si>
  <si>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</si>
  <si>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</si>
  <si>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</si>
  <si>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</si>
  <si>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</si>
  <si>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</si>
  <si>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</si>
  <si>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</si>
  <si>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</si>
  <si>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</si>
  <si>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</si>
  <si>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</si>
  <si>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</si>
  <si>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</si>
  <si>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</si>
  <si>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</si>
  <si>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</si>
  <si>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</si>
  <si>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</si>
  <si>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</si>
  <si>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</si>
  <si>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</si>
  <si>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</si>
  <si>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</si>
  <si>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</si>
  <si>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</si>
  <si>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</si>
  <si>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</si>
  <si>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</si>
  <si>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</si>
  <si>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</si>
  <si>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</si>
  <si>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</si>
  <si>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</si>
  <si>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</si>
  <si>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</si>
  <si>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</si>
  <si>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</si>
  <si>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</si>
  <si>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</si>
  <si>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</si>
  <si>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</si>
  <si>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</si>
  <si>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</si>
  <si>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</si>
  <si>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</si>
  <si>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</si>
  <si>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</si>
  <si>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</si>
  <si>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</si>
  <si>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</si>
  <si>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</si>
  <si>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</si>
  <si>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</si>
  <si>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</si>
  <si>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</si>
  <si>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</si>
  <si>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</si>
  <si>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</si>
  <si>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</si>
  <si>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</si>
  <si>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</si>
  <si>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douglas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</si>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</sst>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2856080</v>
      </c>
      <c r="D31" s="53">
        <f>IFERROR('Linha 1'!N757,"")</f>
        <v>807120</v>
      </c>
      <c r="E31" s="53">
        <f>IFERROR('Linha 2'!N757,"")</f>
        <v>446080</v>
      </c>
      <c r="F31" s="53">
        <f>IFERROR('Linha 3'!N757,"")</f>
        <v>1473290</v>
      </c>
      <c r="G31" s="54">
        <f t="shared" si="0"/>
        <v>2726490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48801910</v>
      </c>
      <c r="D34" s="55">
        <f t="shared" si="1"/>
        <v>24197620</v>
      </c>
      <c r="E34" s="55">
        <f t="shared" si="1"/>
        <v>9657450</v>
      </c>
      <c r="F34" s="55">
        <f t="shared" si="1"/>
        <v>27814745</v>
      </c>
      <c r="G34" s="55">
        <f t="shared" si="1"/>
        <v>61669815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6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6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6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6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6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6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6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6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6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6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6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6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6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6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6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6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6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6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176</v>
      </c>
      <c r="L48" s="3"/>
      <c r="M48" s="3"/>
    </row>
    <row r="49" spans="1:13" ht="18" customHeight="1">
      <c r="H49" s="106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8" sqref="E75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189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191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189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191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189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191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189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191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189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191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189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191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189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191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189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191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189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191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189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191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189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191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189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191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189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191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189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191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189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191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189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191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191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189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191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189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191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189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191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189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191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189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191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189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191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189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191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189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191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189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191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189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191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189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0</v>
      </c>
      <c r="F751" s="17">
        <f t="shared" si="168"/>
        <v>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>
        <v>16</v>
      </c>
      <c r="F752" s="12">
        <f t="shared" si="168"/>
        <v>80</v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>
        <v>44</v>
      </c>
      <c r="F753" s="17">
        <f t="shared" si="168"/>
        <v>220</v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>
        <v>17</v>
      </c>
      <c r="F754" s="12">
        <f t="shared" si="168"/>
        <v>85</v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>
        <v>5</v>
      </c>
      <c r="F755" s="17">
        <f t="shared" si="168"/>
        <v>25</v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306</v>
      </c>
      <c r="F756" s="19">
        <f>SUM(F744:F755)</f>
        <v>1530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1646670</v>
      </c>
    </row>
    <row r="757" spans="1:14" ht="18" customHeight="1">
      <c r="A757" s="22" t="s">
        <v>192</v>
      </c>
      <c r="B757" s="22"/>
      <c r="C757" s="22"/>
      <c r="D757" s="22"/>
      <c r="E757" s="22">
        <f>E743+E756</f>
        <v>534</v>
      </c>
      <c r="F757" s="22">
        <f>F743+F756</f>
        <v>2670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2856080</v>
      </c>
    </row>
    <row r="758" spans="1:14" ht="15" customHeight="1">
      <c r="A758" s="58">
        <v>46202</v>
      </c>
      <c r="B758" s="9">
        <v>0.33333333333333331</v>
      </c>
      <c r="C758" s="7" t="s">
        <v>228</v>
      </c>
      <c r="D758" s="10" t="s">
        <v>30</v>
      </c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 t="s">
        <v>29</v>
      </c>
      <c r="D759" s="10" t="s">
        <v>30</v>
      </c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 t="s">
        <v>29</v>
      </c>
      <c r="D760" s="10" t="s">
        <v>30</v>
      </c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 t="s">
        <v>29</v>
      </c>
      <c r="D761" s="10" t="s">
        <v>30</v>
      </c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 t="s">
        <v>29</v>
      </c>
      <c r="D762" s="10" t="s">
        <v>30</v>
      </c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 t="s">
        <v>29</v>
      </c>
      <c r="D763" s="10" t="s">
        <v>30</v>
      </c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 t="s">
        <v>29</v>
      </c>
      <c r="D764" s="10" t="s">
        <v>30</v>
      </c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 t="s">
        <v>29</v>
      </c>
      <c r="D765" s="10" t="s">
        <v>30</v>
      </c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 t="s">
        <v>29</v>
      </c>
      <c r="D766" s="10" t="s">
        <v>30</v>
      </c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 t="s">
        <v>29</v>
      </c>
      <c r="D767" s="10" t="s">
        <v>30</v>
      </c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 t="s">
        <v>29</v>
      </c>
      <c r="D768" s="10" t="s">
        <v>30</v>
      </c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 t="s">
        <v>29</v>
      </c>
      <c r="D769" s="10" t="s">
        <v>30</v>
      </c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191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189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191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C447:C756 D756 C771:C900 C759:C769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C770 C757 D757:D900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31" zoomScale="85" zoomScaleNormal="85" workbookViewId="0">
      <selection activeCell="E758" sqref="E758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229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230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231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232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233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234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234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234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234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235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233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236</v>
      </c>
      <c r="I139" s="16" t="s">
        <v>237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234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238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238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238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238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238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238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238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238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238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239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240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242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244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245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246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246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247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248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249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251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252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253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254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255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258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259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260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261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262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263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264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265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266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267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270</v>
      </c>
      <c r="J465" s="13">
        <v>0.70833333333333337</v>
      </c>
      <c r="K465" s="13" t="s">
        <v>271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273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274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275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276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278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279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280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280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281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282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283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284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285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286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287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288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289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290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291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292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293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294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295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296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297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298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189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299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300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151</v>
      </c>
      <c r="I745" s="16" t="s">
        <v>27</v>
      </c>
      <c r="J745" s="13">
        <v>0.22222222222222221</v>
      </c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6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6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6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>
        <v>3</v>
      </c>
      <c r="F752" s="12">
        <f t="shared" si="166"/>
        <v>12</v>
      </c>
      <c r="G752" s="10"/>
      <c r="H752" s="16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>
        <v>5</v>
      </c>
      <c r="F753" s="17">
        <f t="shared" si="166"/>
        <v>20</v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>
        <v>3</v>
      </c>
      <c r="F754" s="12">
        <f t="shared" si="166"/>
        <v>12</v>
      </c>
      <c r="G754" s="10"/>
      <c r="H754" s="16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>
        <v>1</v>
      </c>
      <c r="F755" s="17">
        <f t="shared" si="166"/>
        <v>4</v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57</v>
      </c>
      <c r="F756" s="19">
        <f>SUM(F744:F755)</f>
        <v>228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379890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170</v>
      </c>
      <c r="F757" s="22">
        <f>F743+F756</f>
        <v>680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807120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10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10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10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10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10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10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10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10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10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10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10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E4D8C6DE-5EAA-4CC4-B2D9-75E053B04982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tabSelected="1" zoomScale="80" zoomScaleNormal="80" workbookViewId="0">
      <pane ySplit="1" topLeftCell="A736" activePane="bottomLeft" state="frozen"/>
      <selection pane="bottomLeft" activeCell="D758" sqref="D758:D76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302</v>
      </c>
      <c r="I80" s="10" t="s">
        <v>232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303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303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243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304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305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250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255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258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307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308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268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309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270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272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272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310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278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266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311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312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250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313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314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315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316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299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317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300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>
        <v>3</v>
      </c>
      <c r="F752" s="12">
        <f t="shared" si="165"/>
        <v>12</v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>
        <v>3</v>
      </c>
      <c r="F753" s="17">
        <f t="shared" si="165"/>
        <v>12</v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>
        <v>6</v>
      </c>
      <c r="F754" s="12">
        <f t="shared" si="165"/>
        <v>24</v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>
        <v>0</v>
      </c>
      <c r="F755" s="17">
        <f t="shared" si="165"/>
        <v>0</v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41</v>
      </c>
      <c r="F756" s="19">
        <f>SUM(F744:F755)</f>
        <v>164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>
        <v>265090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446080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10" t="s">
        <v>46</v>
      </c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0" t="s">
        <v>29</v>
      </c>
      <c r="D759" s="10" t="s">
        <v>46</v>
      </c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 t="s">
        <v>29</v>
      </c>
      <c r="D760" s="10" t="s">
        <v>46</v>
      </c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0" t="s">
        <v>29</v>
      </c>
      <c r="D761" s="10" t="s">
        <v>46</v>
      </c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 t="s">
        <v>29</v>
      </c>
      <c r="D762" s="10" t="s">
        <v>46</v>
      </c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0" t="s">
        <v>29</v>
      </c>
      <c r="D763" s="10" t="s">
        <v>46</v>
      </c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 t="s">
        <v>29</v>
      </c>
      <c r="D764" s="10" t="s">
        <v>46</v>
      </c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0" t="s">
        <v>29</v>
      </c>
      <c r="D765" s="10" t="s">
        <v>46</v>
      </c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 t="s">
        <v>29</v>
      </c>
      <c r="D766" s="10" t="s">
        <v>46</v>
      </c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0" t="s">
        <v>29</v>
      </c>
      <c r="D767" s="10" t="s">
        <v>46</v>
      </c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 t="s">
        <v>29</v>
      </c>
      <c r="D768" s="10" t="s">
        <v>46</v>
      </c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0" t="s">
        <v>29</v>
      </c>
      <c r="D769" s="10" t="s">
        <v>46</v>
      </c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8" sqref="E75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319</v>
      </c>
      <c r="I2" s="10" t="s">
        <v>320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319</v>
      </c>
      <c r="I3" s="16" t="s">
        <v>320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319</v>
      </c>
      <c r="I4" s="10" t="s">
        <v>320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319</v>
      </c>
      <c r="I5" s="16" t="s">
        <v>320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319</v>
      </c>
      <c r="I6" s="10" t="s">
        <v>320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319</v>
      </c>
      <c r="I7" s="16" t="s">
        <v>320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319</v>
      </c>
      <c r="I8" s="10" t="s">
        <v>320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319</v>
      </c>
      <c r="I9" s="16" t="s">
        <v>320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319</v>
      </c>
      <c r="I10" s="10" t="s">
        <v>320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319</v>
      </c>
      <c r="I11" s="16" t="s">
        <v>320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319</v>
      </c>
      <c r="I12" s="10" t="s">
        <v>320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319</v>
      </c>
      <c r="I13" s="16" t="s">
        <v>320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321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322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323</v>
      </c>
      <c r="I33" s="16" t="s">
        <v>324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325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232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325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326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327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235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328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250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329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330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331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332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333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332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334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305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335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335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335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336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337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255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338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339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307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340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341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342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332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332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272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272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343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344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345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346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347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348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349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250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350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351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352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353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354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355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276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250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356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357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344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358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359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360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361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362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363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364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365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366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367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368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299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317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300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>
        <v>9</v>
      </c>
      <c r="F752" s="12">
        <f t="shared" si="166"/>
        <v>36</v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>
        <v>19</v>
      </c>
      <c r="F753" s="17">
        <f t="shared" si="166"/>
        <v>76</v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>
        <v>18</v>
      </c>
      <c r="F754" s="12">
        <f t="shared" si="166"/>
        <v>72</v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>
        <v>14</v>
      </c>
      <c r="F755" s="17">
        <f t="shared" si="166"/>
        <v>56</v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167</v>
      </c>
      <c r="F756" s="19">
        <f>SUM(F744:F755)</f>
        <v>668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>
        <v>1001690</v>
      </c>
    </row>
    <row r="757" spans="1:14" ht="18" customHeight="1">
      <c r="A757" s="98" t="s">
        <v>192</v>
      </c>
      <c r="B757" s="98"/>
      <c r="C757" s="98"/>
      <c r="D757" s="98"/>
      <c r="E757" s="22">
        <f>E743+E756</f>
        <v>291</v>
      </c>
      <c r="F757" s="22">
        <f>F743+F756</f>
        <v>1164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1473290</v>
      </c>
    </row>
    <row r="758" spans="1:14" ht="15" customHeight="1">
      <c r="A758" s="58">
        <v>46202</v>
      </c>
      <c r="B758" s="9">
        <v>0.33333333333333298</v>
      </c>
      <c r="C758" s="10" t="s">
        <v>29</v>
      </c>
      <c r="D758" s="62" t="s">
        <v>30</v>
      </c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0" t="s">
        <v>29</v>
      </c>
      <c r="D759" s="62" t="s">
        <v>30</v>
      </c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 t="s">
        <v>29</v>
      </c>
      <c r="D760" s="62" t="s">
        <v>30</v>
      </c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0" t="s">
        <v>29</v>
      </c>
      <c r="D761" s="62" t="s">
        <v>30</v>
      </c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 t="s">
        <v>29</v>
      </c>
      <c r="D762" s="62" t="s">
        <v>30</v>
      </c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0" t="s">
        <v>29</v>
      </c>
      <c r="D763" s="62" t="s">
        <v>30</v>
      </c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 t="s">
        <v>29</v>
      </c>
      <c r="D764" s="62" t="s">
        <v>30</v>
      </c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0" t="s">
        <v>29</v>
      </c>
      <c r="D765" s="62" t="s">
        <v>30</v>
      </c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 t="s">
        <v>29</v>
      </c>
      <c r="D766" s="62" t="s">
        <v>30</v>
      </c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0" t="s">
        <v>29</v>
      </c>
      <c r="D767" s="62" t="s">
        <v>30</v>
      </c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 t="s">
        <v>29</v>
      </c>
      <c r="D768" s="62" t="s">
        <v>30</v>
      </c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0" t="s">
        <v>29</v>
      </c>
      <c r="D769" s="62" t="s">
        <v>30</v>
      </c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189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191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10" t="s">
        <v>192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2026-06-29T11:07:10Z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