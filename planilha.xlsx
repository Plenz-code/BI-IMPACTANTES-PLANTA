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299" documentId="8_{AF585B22-221D-4780-BB9C-493D365A6A02}" xr6:coauthVersionLast="47" xr6:coauthVersionMax="47" xr10:uidLastSave="{7771CDE5-9139-438F-BEB0-E1FD2882C8E5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86" i="6" l="1"/>
  <c r="G686" i="5"/>
  <c r="E689" i="4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<sst xmlns="http://schemas.openxmlformats.org/spreadsheetml/2006/main" count="10566" uniqueCount="402">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</sst>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1352990</v>
      </c>
      <c r="D29" s="11">
        <f>IFERROR('Linha 1'!O703,"")</f>
        <v>516320</v>
      </c>
      <c r="E29" s="11">
        <f>IFERROR('Linha 2'!O703,"")</f>
        <v>585300</v>
      </c>
      <c r="F29" s="11">
        <f>IFERROR('Linha 3'!O703,"")</f>
        <v>838060</v>
      </c>
      <c r="G29" s="12">
        <f t="shared" si="0"/>
        <v>1939680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77908738</v>
      </c>
      <c r="D35" s="13">
        <f>IFERROR(SUM(D4:D34),"")</f>
        <v>31275330</v>
      </c>
      <c r="E35" s="13">
        <f>IFERROR(SUM(E4:E34),"")</f>
        <v>18419530</v>
      </c>
      <c r="F35" s="13">
        <f>IFERROR(SUM(F4:F34),"")</f>
        <v>32367690</v>
      </c>
      <c r="G35" s="13">
        <f>IFERROR(SUM(G4:G34),"")</f>
        <v>82062550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677" activePane="bottomLeft" state="frozen"/>
      <selection pane="bottomLeft" activeCell="F700" sqref="F70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95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233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230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153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266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0</v>
      </c>
      <c r="G691" s="34">
        <f t="shared" si="153"/>
        <v>0</v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230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230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230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230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230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230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230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230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230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221</v>
      </c>
      <c r="G702" s="36">
        <f>SUM(G690:G701)</f>
        <v>1105</v>
      </c>
      <c r="H702" s="37"/>
      <c r="I702" s="37"/>
      <c r="J702" s="37"/>
      <c r="K702" s="37"/>
      <c r="L702" s="37"/>
      <c r="M702" s="38">
        <f ca="1">IFERROR(SUM(M690:M701),"")</f>
        <v>0.10416666666666674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519</v>
      </c>
      <c r="G703" s="40">
        <f>G689+G702</f>
        <v>2595</v>
      </c>
      <c r="H703" s="41"/>
      <c r="I703" s="41"/>
      <c r="J703" s="41"/>
      <c r="K703" s="41"/>
      <c r="L703" s="41"/>
      <c r="M703" s="42">
        <f ca="1">IFERROR(M689+M702,"")</f>
        <v>0.29652777777777778</v>
      </c>
      <c r="N703" s="40" t="s">
        <v>236</v>
      </c>
      <c r="O703" s="48">
        <f>IFERROR(O689+O702,"")</f>
        <v>1352990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73" activePane="bottomLeft" state="frozen"/>
      <selection pane="bottomLeft" activeCell="F700" sqref="F70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0.97700775462726597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1.1346466435161549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1.2443688657383771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0.9554799768520752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1.1263133101854086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1.2714521990742975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156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11</v>
      </c>
      <c r="G683" s="34">
        <f t="shared" si="150"/>
        <v>46.2</v>
      </c>
      <c r="H683" s="33" t="s">
        <v>20</v>
      </c>
      <c r="I683" s="33" t="s">
        <v>156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10</v>
      </c>
      <c r="G684" s="28">
        <f t="shared" si="150"/>
        <v>42</v>
      </c>
      <c r="H684" s="26" t="s">
        <v>19</v>
      </c>
      <c r="I684" s="26" t="s">
        <v>156</v>
      </c>
      <c r="J684" s="26" t="s">
        <v>27</v>
      </c>
      <c r="K684" s="29">
        <v>0.73958333333333337</v>
      </c>
      <c r="L684" s="29"/>
      <c r="M684" s="30">
        <f t="shared" ca="1" si="151"/>
        <v>0.47700775462726597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10.595757754627266</v>
      </c>
      <c r="N689" s="36" t="s">
        <v>233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153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130</v>
      </c>
      <c r="G702" s="36">
        <f>SUM(G690:G701)</f>
        <v>561.19999999999993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259</v>
      </c>
      <c r="G703" s="40">
        <f>G689+G702</f>
        <v>1103</v>
      </c>
      <c r="H703" s="41"/>
      <c r="I703" s="41"/>
      <c r="J703" s="41"/>
      <c r="K703" s="41"/>
      <c r="L703" s="41"/>
      <c r="M703" s="42">
        <f ca="1">IFERROR(M689+M702,"")</f>
        <v>10.680479976849488</v>
      </c>
      <c r="N703" s="40" t="s">
        <v>236</v>
      </c>
      <c r="O703" s="83">
        <f>IFERROR(O689+O702,"")</f>
        <v>516320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75" zoomScale="50" zoomScaleNormal="50" workbookViewId="0">
      <selection activeCell="F700" sqref="F70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323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325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326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280</v>
      </c>
      <c r="K141" s="29">
        <v>0.71597222222222223</v>
      </c>
      <c r="L141" s="29" t="s">
        <v>328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330</v>
      </c>
      <c r="N166" s="27" t="s">
        <v>331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332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333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334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338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342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343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344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345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346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347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348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350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351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64</v>
      </c>
      <c r="G702" s="36">
        <f>SUM(G690:G701)</f>
        <v>272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194</v>
      </c>
      <c r="G703" s="40">
        <f>G689+G702</f>
        <v>818.00000000000011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236</v>
      </c>
      <c r="O703" s="48">
        <f>IFERROR(O689+O702,"")</f>
        <v>585300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68" activePane="bottomLeft" state="frozen"/>
      <selection pane="bottomLeft" activeCell="F700" sqref="F70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352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353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354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355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356</v>
      </c>
      <c r="L58" s="29">
        <v>0.54097222222222219</v>
      </c>
      <c r="M58" s="30" t="str">
        <f t="shared" ca="1" si="13"/>
        <v/>
      </c>
      <c r="N58" s="27" t="s">
        <v>357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358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359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360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361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362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363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364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365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0.9672855324097327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1.1665910879652883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1.5339521990763993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366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368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369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370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371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372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373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375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376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377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379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381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368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382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383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384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361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361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389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390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391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392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393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394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395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396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397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398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399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159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17</v>
      </c>
      <c r="G682" s="28"/>
      <c r="H682" s="26" t="s">
        <v>18</v>
      </c>
      <c r="I682" s="26" t="s">
        <v>52</v>
      </c>
      <c r="J682" s="26" t="s">
        <v>121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233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400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401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165</v>
      </c>
      <c r="G702" s="36">
        <f>SUM(G690:G701)</f>
        <v>712.99999999999989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364</v>
      </c>
      <c r="G703" s="40">
        <f>G689+G702</f>
        <v>1477.3999999999999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236</v>
      </c>
      <c r="O703" s="48">
        <f>IFERROR(O689+O702,"")</f>
        <v>838060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2026-07-27T09:12:24Z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