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88" documentId="8_{C51EB6CB-002B-4D6B-B68F-DDEBDB4460C0}" xr6:coauthVersionLast="47" xr6:coauthVersionMax="47" xr10:uidLastSave="{30243BD5-4037-49F8-9510-71F18EDAC26D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<sst xmlns="http://schemas.openxmlformats.org/spreadsheetml/2006/main" count="2297" uniqueCount="266">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</sst>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56" activePane="bottomLeft" state="frozen"/>
      <selection pane="bottomLeft" activeCell="D78" sqref="D78:D8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138</v>
      </c>
      <c r="G81" s="36">
        <f>SUM(G69:G80)</f>
        <v>690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513</v>
      </c>
      <c r="G82" s="40">
        <f>G68+G81</f>
        <v>2565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N75" sqref="N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3.0737615736143198E-2</v>
      </c>
      <c r="N53" s="46" t="s">
        <v>253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0.16962650462503209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0.2543487268472544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 t="s">
        <v>244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102</v>
      </c>
      <c r="G81" s="36">
        <f>SUM(G69:G80)</f>
        <v>428.4</v>
      </c>
      <c r="H81" s="37"/>
      <c r="I81" s="37"/>
      <c r="J81" s="37"/>
      <c r="K81" s="37"/>
      <c r="L81" s="37"/>
      <c r="M81" s="38">
        <f ca="1">IFERROR(SUM(M69:M80),"")</f>
        <v>4.0277777777777996E-2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238</v>
      </c>
      <c r="G82" s="40">
        <f>G68+G81</f>
        <v>999.6</v>
      </c>
      <c r="H82" s="41"/>
      <c r="I82" s="41"/>
      <c r="J82" s="41"/>
      <c r="K82" s="41"/>
      <c r="L82" s="41"/>
      <c r="M82" s="42">
        <f ca="1">IFERROR(M68+M81,"")</f>
        <v>0.15625000000000019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1" zoomScale="50" zoomScaleNormal="50" workbookViewId="0">
      <selection activeCell="F76" sqref="F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0</v>
      </c>
      <c r="G74" s="28">
        <f t="shared" si="15"/>
        <v>0</v>
      </c>
      <c r="H74" s="26"/>
      <c r="I74" s="26" t="s">
        <v>47</v>
      </c>
      <c r="J74" s="26"/>
      <c r="K74" s="29">
        <v>0.97430555555555554</v>
      </c>
      <c r="L74" s="29"/>
      <c r="M74" s="30">
        <f t="shared" ca="1" si="16"/>
        <v>0.17795983795804204</v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31</v>
      </c>
      <c r="G81" s="36">
        <f>SUM(G69:G80)</f>
        <v>130.20000000000002</v>
      </c>
      <c r="H81" s="37"/>
      <c r="I81" s="37"/>
      <c r="J81" s="37"/>
      <c r="K81" s="37"/>
      <c r="L81" s="37"/>
      <c r="M81" s="38">
        <f ca="1">IFERROR(SUM(M69:M80),"")</f>
        <v>0.21198761573581981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81</v>
      </c>
      <c r="G82" s="40">
        <f>G68+G81</f>
        <v>340.20000000000005</v>
      </c>
      <c r="H82" s="41"/>
      <c r="I82" s="41"/>
      <c r="J82" s="41"/>
      <c r="K82" s="41"/>
      <c r="L82" s="41"/>
      <c r="M82" s="42">
        <f ca="1">IFERROR(M68+M81,"")</f>
        <v>0.29532094906915324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2" activePane="bottomLeft" state="frozen"/>
      <selection pane="bottomLeft" activeCell="F77" sqref="F7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14</v>
      </c>
      <c r="G74" s="28">
        <f t="shared" si="15"/>
        <v>58.800000000000004</v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93</v>
      </c>
      <c r="G81" s="36">
        <f>SUM(G69:G80)</f>
        <v>390.6</v>
      </c>
      <c r="H81" s="37"/>
      <c r="I81" s="37"/>
      <c r="J81" s="37"/>
      <c r="K81" s="61"/>
      <c r="L81" s="61"/>
      <c r="M81" s="38">
        <f ca="1">IFERROR(SUM(M69:M80),"")</f>
        <v>8.3333333333333398E-2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208</v>
      </c>
      <c r="G82" s="40">
        <f>G68+G81</f>
        <v>873.59999999999991</v>
      </c>
      <c r="H82" s="41"/>
      <c r="I82" s="41"/>
      <c r="J82" s="41"/>
      <c r="K82" s="63"/>
      <c r="L82" s="63"/>
      <c r="M82" s="42">
        <f ca="1">IFERROR(M68+M81,"")</f>
        <v>0.22847222222222238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2026-08-04T07:39:32Z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