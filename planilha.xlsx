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619" documentId="8_{AF585B22-221D-4780-BB9C-493D365A6A02}" xr6:coauthVersionLast="47" xr6:coauthVersionMax="47" xr10:uidLastSave="{E5252E25-0428-48E7-B4C0-1445219F05EB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405" i="3" l="1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<sst xmlns="http://schemas.openxmlformats.org/spreadsheetml/2006/main" count="6722" uniqueCount="329">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</sst>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91" activePane="bottomLeft" state="frozen"/>
      <selection pane="bottomLeft" activeCell="F411" sqref="F41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123</v>
      </c>
      <c r="G419" s="36">
        <f>SUM(G407:G418)</f>
        <v>615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123</v>
      </c>
      <c r="G433" s="40">
        <f>G419+G432</f>
        <v>615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05" activePane="bottomLeft" state="frozen"/>
      <selection pane="bottomLeft" activeCell="F410" sqref="F4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0.21910578703682404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0.37674467592571292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0.48646689814793509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243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42</v>
      </c>
      <c r="G419" s="36">
        <f>SUM(G407:G418)</f>
        <v>176.4</v>
      </c>
      <c r="H419" s="37"/>
      <c r="I419" s="37"/>
      <c r="J419" s="37"/>
      <c r="K419" s="37"/>
      <c r="L419" s="37"/>
      <c r="M419" s="38">
        <f ca="1">IFERROR(SUM(M407:M418),"")</f>
        <v>3.333333333333327E-2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42</v>
      </c>
      <c r="G433" s="40">
        <f>G419+G432</f>
        <v>176.4</v>
      </c>
      <c r="H433" s="41"/>
      <c r="I433" s="41"/>
      <c r="J433" s="41"/>
      <c r="K433" s="41"/>
      <c r="L433" s="41"/>
      <c r="M433" s="42">
        <f ca="1">IFERROR(M419+M432,"")</f>
        <v>3.333333333333327E-2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7" zoomScale="50" zoomScaleNormal="50" workbookViewId="0">
      <selection activeCell="B410" sqref="B4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257</v>
      </c>
      <c r="K141" s="29">
        <v>0.71597222222222223</v>
      </c>
      <c r="L141" s="29" t="s">
        <v>284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286</v>
      </c>
      <c r="N166" s="27" t="s">
        <v>287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243</v>
      </c>
      <c r="F407" s="27">
        <v>5</v>
      </c>
      <c r="G407" s="34">
        <f t="shared" ref="G407:G418" si="90">IF(F407="","",IF(E407="PC 17",F407*4.2,IF(E407="PC 19",F407*5,"")))</f>
        <v>21</v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243</v>
      </c>
      <c r="F408" s="27">
        <v>5</v>
      </c>
      <c r="G408" s="28">
        <f t="shared" si="90"/>
        <v>21</v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243</v>
      </c>
      <c r="F409" s="27">
        <v>3</v>
      </c>
      <c r="G409" s="34">
        <f t="shared" si="90"/>
        <v>12.600000000000001</v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243</v>
      </c>
      <c r="F410" s="27">
        <v>6</v>
      </c>
      <c r="G410" s="28">
        <f t="shared" si="90"/>
        <v>25.200000000000003</v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19</v>
      </c>
      <c r="G419" s="36">
        <f>SUM(G407:G418)</f>
        <v>79.800000000000011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19</v>
      </c>
      <c r="G433" s="40">
        <f>G419+G432</f>
        <v>79.800000000000011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F410" sqref="F41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301</v>
      </c>
      <c r="L58" s="29">
        <v>0.54097222222222219</v>
      </c>
      <c r="M58" s="30" t="str">
        <f t="shared" ca="1" si="13"/>
        <v/>
      </c>
      <c r="N58" s="27" t="s">
        <v>302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0.20938356481929077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0.40868912037484639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0.77605023148595742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327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328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243</v>
      </c>
      <c r="F409" s="27">
        <v>11</v>
      </c>
      <c r="G409" s="34">
        <f t="shared" si="90"/>
        <v>46.2</v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243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16</v>
      </c>
      <c r="G419" s="36">
        <f>SUM(G407:G418)</f>
        <v>67.2</v>
      </c>
      <c r="H419" s="37"/>
      <c r="I419" s="37"/>
      <c r="J419" s="37"/>
      <c r="K419" s="61"/>
      <c r="L419" s="61"/>
      <c r="M419" s="38">
        <f ca="1">IFERROR(SUM(M407:M418),"")</f>
        <v>8.0555555555555547E-2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16</v>
      </c>
      <c r="G433" s="40">
        <f>G419+G432</f>
        <v>67.2</v>
      </c>
      <c r="H433" s="41"/>
      <c r="I433" s="41"/>
      <c r="J433" s="41"/>
      <c r="K433" s="63"/>
      <c r="L433" s="63"/>
      <c r="M433" s="42">
        <f ca="1">IFERROR(M419+M432,"")</f>
        <v>8.0555555555555547E-2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2026-07-16T15:02:22Z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