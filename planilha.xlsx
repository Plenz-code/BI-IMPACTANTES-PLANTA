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41" documentId="13_ncr:1_{A6DBCFB4-28D9-4249-9038-216934055CA6}" xr6:coauthVersionLast="47" xr6:coauthVersionMax="47" xr10:uidLastSave="{CA6DCE6E-F78C-40B5-B5B8-D0B53D966DBF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608" i="6" l="1"/>
  <c r="S608" i="5"/>
  <c r="S608" i="4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E4" i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F35" i="1" l="1"/>
  <c r="E35" i="1"/>
  <c r="G26" i="1"/>
  <c r="J584" i="6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G35" i="1" l="1"/>
  <c r="Q568" i="5"/>
  <c r="M514" i="3"/>
  <c r="M433" i="3"/>
  <c r="Q622" i="6"/>
  <c r="Q217" i="6"/>
  <c r="Q190" i="4"/>
  <c r="M190" i="3"/>
  <c r="M568" i="3"/>
  <c r="M838" i="3"/>
  <c r="Q649" i="6"/>
  <c r="Q595" i="6"/>
  <c r="Q649" i="4"/>
  <c r="Q703" i="4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<sst xmlns="http://schemas.openxmlformats.org/spreadsheetml/2006/main" count="10083" uniqueCount="428">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</sst>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12" activePane="bottomLeft" state="frozen"/>
      <selection activeCell="B1" sqref="B1"/>
      <selection pane="bottomLeft" activeCell="R17" sqref="R17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3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568270</v>
      </c>
      <c r="E26" s="19">
        <f>IFERROR('Linha 2'!S622,"")</f>
        <v>310610</v>
      </c>
      <c r="F26" s="19">
        <f>IFERROR('Linha 3'!S622,"")</f>
        <v>634790</v>
      </c>
      <c r="G26" s="20">
        <f t="shared" si="0"/>
        <v>1513670</v>
      </c>
      <c r="H26" s="21">
        <f>IFERROR('Linha 1'!T622+'Linha 2'!T622+'Linha 3'!T622,0)</f>
        <v>317.87069999999994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25954420</v>
      </c>
      <c r="E35" s="30">
        <f t="shared" si="2"/>
        <v>14894050</v>
      </c>
      <c r="F35" s="30">
        <f t="shared" si="2"/>
        <v>35049120</v>
      </c>
      <c r="G35" s="30">
        <f t="shared" si="2"/>
        <v>75897590</v>
      </c>
      <c r="H35" s="31">
        <f t="shared" si="2"/>
        <v>7523.928332691512</v>
      </c>
      <c r="I35" s="31">
        <f t="shared" si="2"/>
        <v>4967.05</v>
      </c>
      <c r="J35" s="32">
        <f>I35/H35</f>
        <v>0.66016710691117819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3">
      <c r="M2" s="16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 x14ac:dyDescent="0.3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 x14ac:dyDescent="0.3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 x14ac:dyDescent="0.3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 x14ac:dyDescent="0.3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 x14ac:dyDescent="0.3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 x14ac:dyDescent="0.3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 x14ac:dyDescent="0.3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 x14ac:dyDescent="0.3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 x14ac:dyDescent="0.3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 x14ac:dyDescent="0.3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 x14ac:dyDescent="0.3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 x14ac:dyDescent="0.3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 x14ac:dyDescent="0.3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 x14ac:dyDescent="0.3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 x14ac:dyDescent="0.3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 x14ac:dyDescent="0.3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 x14ac:dyDescent="0.3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 x14ac:dyDescent="0.3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 x14ac:dyDescent="0.3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 x14ac:dyDescent="0.3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 x14ac:dyDescent="0.3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 x14ac:dyDescent="0.3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 x14ac:dyDescent="0.3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 x14ac:dyDescent="0.3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 x14ac:dyDescent="0.3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 x14ac:dyDescent="0.3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 x14ac:dyDescent="0.3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 x14ac:dyDescent="0.3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 x14ac:dyDescent="0.3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 x14ac:dyDescent="0.3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 x14ac:dyDescent="0.3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 x14ac:dyDescent="0.3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 x14ac:dyDescent="0.3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 x14ac:dyDescent="0.3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 x14ac:dyDescent="0.3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 x14ac:dyDescent="0.3">
      <c r="M60" s="164"/>
      <c r="N60" s="37"/>
      <c r="O60" s="37"/>
      <c r="P60" s="53" t="s">
        <v>114</v>
      </c>
      <c r="Q60" s="37"/>
      <c r="R60" s="37"/>
    </row>
    <row r="61" spans="1:18" ht="15" customHeight="1" x14ac:dyDescent="0.3">
      <c r="M61" s="164"/>
      <c r="N61" s="40"/>
      <c r="O61" s="40"/>
      <c r="P61" s="40" t="s">
        <v>225</v>
      </c>
      <c r="Q61" s="40"/>
      <c r="R61" s="40"/>
    </row>
    <row r="62" spans="1:18" ht="15" customHeight="1" x14ac:dyDescent="0.3">
      <c r="M62" s="164"/>
      <c r="N62" s="37"/>
      <c r="O62" s="37"/>
      <c r="P62" s="37" t="s">
        <v>226</v>
      </c>
      <c r="Q62" s="37"/>
      <c r="R62" s="37"/>
    </row>
    <row r="63" spans="1:18" ht="15" customHeight="1" x14ac:dyDescent="0.3">
      <c r="M63" s="164"/>
      <c r="N63" s="40"/>
      <c r="O63" s="40"/>
      <c r="P63" s="40" t="s">
        <v>227</v>
      </c>
      <c r="Q63" s="40"/>
      <c r="R63" s="40"/>
    </row>
    <row r="64" spans="1:18" ht="15" customHeight="1" x14ac:dyDescent="0.3">
      <c r="M64" s="164"/>
      <c r="N64" s="37"/>
      <c r="O64" s="37"/>
      <c r="P64" s="37" t="s">
        <v>228</v>
      </c>
      <c r="Q64" s="37"/>
      <c r="R64" s="37"/>
    </row>
    <row r="65" spans="13:18" ht="15" customHeight="1" x14ac:dyDescent="0.3">
      <c r="M65" s="164"/>
      <c r="N65" s="40"/>
      <c r="O65" s="40"/>
      <c r="P65" s="40" t="s">
        <v>229</v>
      </c>
      <c r="Q65" s="40"/>
      <c r="R65" s="40"/>
    </row>
    <row r="66" spans="13:18" ht="15" customHeight="1" x14ac:dyDescent="0.3">
      <c r="M66" s="164"/>
      <c r="N66" s="37"/>
      <c r="O66" s="37"/>
      <c r="P66" s="37" t="s">
        <v>230</v>
      </c>
      <c r="Q66" s="37"/>
      <c r="R66" s="37"/>
    </row>
    <row r="67" spans="13:18" ht="15" customHeight="1" x14ac:dyDescent="0.3">
      <c r="M67" s="164"/>
      <c r="N67" s="40"/>
      <c r="O67" s="40"/>
      <c r="P67" s="40" t="s">
        <v>231</v>
      </c>
      <c r="Q67" s="40"/>
      <c r="R67" s="40"/>
    </row>
    <row r="68" spans="13:18" ht="15" customHeight="1" x14ac:dyDescent="0.3">
      <c r="M68" s="164"/>
      <c r="N68" s="37"/>
      <c r="O68" s="37"/>
      <c r="P68" s="37" t="s">
        <v>232</v>
      </c>
      <c r="Q68" s="37"/>
      <c r="R68" s="37"/>
    </row>
    <row r="69" spans="13:18" ht="15" customHeight="1" x14ac:dyDescent="0.3">
      <c r="M69" s="164"/>
      <c r="N69" s="40"/>
      <c r="O69" s="40"/>
      <c r="P69" s="40" t="s">
        <v>233</v>
      </c>
      <c r="Q69" s="40"/>
      <c r="R69" s="40"/>
    </row>
    <row r="70" spans="13:18" ht="15" customHeight="1" x14ac:dyDescent="0.3">
      <c r="M70" s="164"/>
      <c r="N70" s="37"/>
      <c r="O70" s="37"/>
      <c r="P70" s="37" t="s">
        <v>234</v>
      </c>
      <c r="Q70" s="37"/>
      <c r="R70" s="37"/>
    </row>
    <row r="71" spans="13:18" ht="15" customHeight="1" x14ac:dyDescent="0.3">
      <c r="M71" s="164"/>
      <c r="N71" s="40"/>
      <c r="O71" s="40"/>
      <c r="P71" s="40" t="s">
        <v>235</v>
      </c>
      <c r="Q71" s="40"/>
      <c r="R71" s="40"/>
    </row>
    <row r="72" spans="13:18" ht="15" customHeight="1" x14ac:dyDescent="0.3">
      <c r="M72" s="164"/>
      <c r="N72" s="37"/>
      <c r="O72" s="37"/>
      <c r="P72" s="37" t="s">
        <v>236</v>
      </c>
      <c r="Q72" s="37"/>
      <c r="R72" s="37"/>
    </row>
    <row r="73" spans="13:18" ht="15" customHeight="1" x14ac:dyDescent="0.3">
      <c r="M73" s="164"/>
      <c r="N73" s="40"/>
      <c r="O73" s="40"/>
      <c r="P73" s="40" t="s">
        <v>237</v>
      </c>
      <c r="Q73" s="40"/>
      <c r="R73" s="40"/>
    </row>
    <row r="74" spans="13:18" ht="15" customHeight="1" x14ac:dyDescent="0.3">
      <c r="M74" s="164"/>
      <c r="N74" s="37"/>
      <c r="O74" s="37"/>
      <c r="P74" s="37" t="s">
        <v>238</v>
      </c>
      <c r="Q74" s="37"/>
      <c r="R74" s="37"/>
    </row>
    <row r="75" spans="13:18" ht="15" customHeight="1" x14ac:dyDescent="0.3">
      <c r="M75" s="164"/>
      <c r="N75" s="40"/>
      <c r="O75" s="40"/>
      <c r="P75" s="40" t="s">
        <v>239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 x14ac:dyDescent="0.3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3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3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3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3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3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3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3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3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K598" sqref="K598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 x14ac:dyDescent="0.3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 x14ac:dyDescent="0.3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 x14ac:dyDescent="0.3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 x14ac:dyDescent="0.3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 x14ac:dyDescent="0.3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 x14ac:dyDescent="0.3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 x14ac:dyDescent="0.3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 x14ac:dyDescent="0.3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 x14ac:dyDescent="0.3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 x14ac:dyDescent="0.3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 x14ac:dyDescent="0.3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 x14ac:dyDescent="0.3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 x14ac:dyDescent="0.3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 x14ac:dyDescent="0.3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 x14ac:dyDescent="0.3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 x14ac:dyDescent="0.3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 x14ac:dyDescent="0.3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 x14ac:dyDescent="0.3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 x14ac:dyDescent="0.3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 x14ac:dyDescent="0.3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 x14ac:dyDescent="0.3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 x14ac:dyDescent="0.3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 x14ac:dyDescent="0.3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/>
      <c r="M597" s="71">
        <f t="shared" ca="1" si="129"/>
        <v>0.33494618055556202</v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0.49605729166667312</v>
      </c>
      <c r="N608" s="2" t="s">
        <v>263</v>
      </c>
      <c r="O608" s="74"/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 x14ac:dyDescent="0.3">
      <c r="A622" s="168" t="s">
        <v>251</v>
      </c>
      <c r="B622" s="168"/>
      <c r="C622" s="168"/>
      <c r="D622" s="168"/>
      <c r="E622" s="168"/>
      <c r="F622" s="1">
        <f>F608+F621</f>
        <v>43</v>
      </c>
      <c r="G622" s="1">
        <f>G608+G621</f>
        <v>215</v>
      </c>
      <c r="H622" s="76"/>
      <c r="I622" s="76"/>
      <c r="J622" s="76"/>
      <c r="K622" s="76"/>
      <c r="L622" s="76"/>
      <c r="M622" s="77">
        <f ca="1">IFERROR(M608+M621,"")</f>
        <v>0.49605729166667312</v>
      </c>
      <c r="N622" s="1" t="s">
        <v>266</v>
      </c>
      <c r="O622" s="82">
        <f>IFERROR(O608+O621,"")</f>
        <v>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 x14ac:dyDescent="0.3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 x14ac:dyDescent="0.3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 x14ac:dyDescent="0.3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 x14ac:dyDescent="0.3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 x14ac:dyDescent="0.3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 x14ac:dyDescent="0.3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 x14ac:dyDescent="0.3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 x14ac:dyDescent="0.3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opLeftCell="G1" zoomScale="80" zoomScaleNormal="80" workbookViewId="0">
      <pane ySplit="1" topLeftCell="A585" activePane="bottomLeft" state="frozen"/>
      <selection pane="bottomLeft" activeCell="S609" sqref="S609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0.71689062499353895</v>
      </c>
      <c r="R53" s="80" t="s">
        <v>315</v>
      </c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0.85577951388242668</v>
      </c>
      <c r="R54" s="2" t="s">
        <v>263</v>
      </c>
      <c r="S54" s="113">
        <v>352430</v>
      </c>
      <c r="T54" s="114"/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0.94050173610464949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263.83964285714285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55.406324999999995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152.21517857142857</v>
      </c>
      <c r="I597" s="90">
        <f>IFERROR(IF($D597="","",VLOOKUP($D597,Cadastro!$C$4:$G$7,5,FALSE())),"")</f>
        <v>0.6</v>
      </c>
      <c r="J597" s="91">
        <f t="shared" si="154"/>
        <v>31.965187499999999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/>
      <c r="Q597" s="71">
        <f t="shared" ca="1" si="156"/>
        <v>0.3314739583292976</v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50.738392857142856</v>
      </c>
      <c r="I598" s="90">
        <f>IFERROR(IF($D598="","",VLOOKUP($D598,Cadastro!$C$4:$G$7,5,FALSE())),"")</f>
        <v>0.6</v>
      </c>
      <c r="J598" s="91">
        <f t="shared" si="154"/>
        <v>10.6550625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71.033749999999998</v>
      </c>
      <c r="I599" s="90">
        <f>IFERROR(IF($D599="","",VLOOKUP($D599,Cadastro!$C$4:$G$7,5,FALSE())),"")</f>
        <v>0.6</v>
      </c>
      <c r="J599" s="91">
        <f t="shared" si="154"/>
        <v>14.917087499999999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30.443035714285713</v>
      </c>
      <c r="I600" s="90">
        <f>IFERROR(IF($D600="","",VLOOKUP($D600,Cadastro!$C$4:$G$7,5,FALSE())),"")</f>
        <v>0.6</v>
      </c>
      <c r="J600" s="91">
        <f t="shared" si="154"/>
        <v>6.3930374999999993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568.27</v>
      </c>
      <c r="I608" s="97"/>
      <c r="J608" s="98">
        <f>IFERROR(SUM(J596:J607),"")</f>
        <v>119.33669999999999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0.34675173610707538</v>
      </c>
      <c r="R608" s="2" t="s">
        <v>263</v>
      </c>
      <c r="S608" s="74">
        <f>981900-413630</f>
        <v>568270</v>
      </c>
      <c r="T608" s="99">
        <f>IFERROR(J608,"")</f>
        <v>119.33669999999999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56</v>
      </c>
      <c r="H622" s="108">
        <f>IFERROR(H608+H621,"")</f>
        <v>568.27</v>
      </c>
      <c r="I622" s="110"/>
      <c r="J622" s="111">
        <f>IFERROR(J608+J621,"")</f>
        <v>119.33669999999999</v>
      </c>
      <c r="K622" s="1">
        <f>K608+K621</f>
        <v>235.2</v>
      </c>
      <c r="L622" s="76"/>
      <c r="M622" s="76"/>
      <c r="N622" s="76"/>
      <c r="O622" s="76"/>
      <c r="P622" s="76"/>
      <c r="Q622" s="77">
        <f ca="1">IFERROR(Q608+Q621,"")</f>
        <v>0.34675173610707538</v>
      </c>
      <c r="R622" s="1" t="s">
        <v>266</v>
      </c>
      <c r="S622" s="82">
        <f>S608+S621</f>
        <v>568270</v>
      </c>
      <c r="T622" s="118">
        <f>IFERROR(J622,"")</f>
        <v>119.33669999999999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K1" zoomScale="80" zoomScaleNormal="80" workbookViewId="0">
      <pane ySplit="1" topLeftCell="A586" activePane="bottomLeft" state="frozen"/>
      <selection pane="bottomLeft" activeCell="S609" sqref="S609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99.395200000000003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20.872992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37.273199999999996</v>
      </c>
      <c r="I597" s="90">
        <f>IFERROR(IF($D597="","",VLOOKUP($D597,Cadastro!$C$4:$G$7,5,FALSE())),"")</f>
        <v>0.6</v>
      </c>
      <c r="J597" s="91">
        <f t="shared" si="151"/>
        <v>7.8273719999999987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37.273199999999996</v>
      </c>
      <c r="I598" s="90">
        <f>IFERROR(IF($D598="","",VLOOKUP($D598,Cadastro!$C$4:$G$7,5,FALSE())),"")</f>
        <v>0.6</v>
      </c>
      <c r="J598" s="91">
        <f t="shared" si="151"/>
        <v>7.8273719999999987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86.970799999999997</v>
      </c>
      <c r="I599" s="90">
        <f>IFERROR(IF($D599="","",VLOOKUP($D599,Cadastro!$C$4:$G$7,5,FALSE())),"")</f>
        <v>0.6</v>
      </c>
      <c r="J599" s="91">
        <f t="shared" si="151"/>
        <v>18.263867999999995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49.697600000000001</v>
      </c>
      <c r="I600" s="90">
        <f>IFERROR(IF($D600="","",VLOOKUP($D600,Cadastro!$C$4:$G$7,5,FALSE())),"")</f>
        <v>0.6</v>
      </c>
      <c r="J600" s="91">
        <f t="shared" si="151"/>
        <v>10.436496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310.61</v>
      </c>
      <c r="I608" s="97"/>
      <c r="J608" s="98">
        <f>IFERROR(SUM(J596:J607),"")</f>
        <v>65.228099999999998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263</v>
      </c>
      <c r="S608" s="74">
        <f>736040-425430</f>
        <v>310610</v>
      </c>
      <c r="T608" s="99">
        <f>IFERROR(J608,"")</f>
        <v>65.228099999999998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310.61</v>
      </c>
      <c r="I622" s="110"/>
      <c r="J622" s="111">
        <f>IFERROR(J608+J621,"")</f>
        <v>65.228099999999998</v>
      </c>
      <c r="K622" s="1">
        <f>K608+K621</f>
        <v>105</v>
      </c>
      <c r="L622" s="76"/>
      <c r="M622" s="76"/>
      <c r="N622" s="76"/>
      <c r="O622" s="76"/>
      <c r="P622" s="76"/>
      <c r="Q622" s="77">
        <f ca="1">IFERROR(Q608+Q621,"")</f>
        <v>9.3749999999999944E-2</v>
      </c>
      <c r="R622" s="1" t="s">
        <v>266</v>
      </c>
      <c r="S622" s="82">
        <f>IFERROR(S608+S621,"")</f>
        <v>310610</v>
      </c>
      <c r="T622" s="118">
        <f>IFERROR(J622,"")</f>
        <v>65.228099999999998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L1" zoomScale="81" zoomScaleNormal="81" workbookViewId="0">
      <pane ySplit="1" topLeftCell="A590" activePane="bottomLeft" state="frozen"/>
      <selection pane="bottomLeft" activeCell="S609" sqref="S609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211.59666666666666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44.435299999999991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52.899166666666666</v>
      </c>
      <c r="I597" s="90">
        <f>IFERROR(IF($D597="","",VLOOKUP($D597,Cadastro!$C$4:$G$7,5,FALSE())),"")</f>
        <v>0.6</v>
      </c>
      <c r="J597" s="91">
        <f t="shared" si="154"/>
        <v>11.108824999999998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84.638666666666666</v>
      </c>
      <c r="I598" s="90">
        <f>IFERROR(IF($D598="","",VLOOKUP($D598,Cadastro!$C$4:$G$7,5,FALSE())),"")</f>
        <v>0.6</v>
      </c>
      <c r="J598" s="91">
        <f t="shared" si="154"/>
        <v>17.774119999999996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243.33616666666666</v>
      </c>
      <c r="I599" s="90">
        <f>IFERROR(IF($D599="","",VLOOKUP($D599,Cadastro!$C$4:$G$7,5,FALSE())),"")</f>
        <v>0.6</v>
      </c>
      <c r="J599" s="91">
        <f t="shared" si="154"/>
        <v>51.100594999999991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42.319333333333333</v>
      </c>
      <c r="I600" s="90">
        <f>IFERROR(IF($D600="","",VLOOKUP($D600,Cadastro!$C$4:$G$7,5,FALSE())),"")</f>
        <v>0.6</v>
      </c>
      <c r="J600" s="91">
        <f t="shared" si="154"/>
        <v>8.8870599999999982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634.79</v>
      </c>
      <c r="I608" s="97"/>
      <c r="J608" s="98">
        <f>IFERROR(SUM(J596:J607),"")</f>
        <v>133.30589999999998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>
        <f>1545300-910510</f>
        <v>634790</v>
      </c>
      <c r="T608" s="99">
        <f>IFERROR(J608,"")</f>
        <v>133.30589999999998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60</v>
      </c>
      <c r="H622" s="108">
        <f>IFERROR(H608+H621,"")</f>
        <v>634.79</v>
      </c>
      <c r="I622" s="110"/>
      <c r="J622" s="111">
        <f>IFERROR(J608+J621,"")</f>
        <v>133.30589999999998</v>
      </c>
      <c r="K622" s="1">
        <f>K608+K621</f>
        <v>252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634790</v>
      </c>
      <c r="T622" s="118">
        <f>IFERROR(J622,"")</f>
        <v>133.30589999999998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2026-08-24T00:07:30Z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