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72" documentId="8_{AF585B22-221D-4780-BB9C-493D365A6A02}" xr6:coauthVersionLast="47" xr6:coauthVersionMax="47" xr10:uidLastSave="{5F2CEA20-CAA9-4846-913C-645A0705DCA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<sst xmlns="http://schemas.openxmlformats.org/spreadsheetml/2006/main" count="2024" uniqueCount="219">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</sst>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F74" sqref="F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108</v>
      </c>
      <c r="G81" s="36">
        <f>SUM(G69:G80)</f>
        <v>540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477</v>
      </c>
      <c r="G82" s="40">
        <f>G68+G81</f>
        <v>2385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356.99999999999994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85</v>
      </c>
      <c r="G82" s="40">
        <f>G68+G81</f>
        <v>356.99999999999994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4" sqref="F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54</v>
      </c>
      <c r="G81" s="36">
        <f>SUM(G69:G80)</f>
        <v>226.8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C74" sqref="C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/>
      <c r="I74" s="26"/>
      <c r="J74" s="33"/>
      <c r="K74" s="29">
        <v>4.4444444444444446E-2</v>
      </c>
      <c r="L74" s="29"/>
      <c r="M74" s="30">
        <f t="shared" ca="1" si="16"/>
        <v>4.5513888908317313E-3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107</v>
      </c>
      <c r="G81" s="36">
        <f>SUM(G69:G80)</f>
        <v>449.4</v>
      </c>
      <c r="H81" s="37"/>
      <c r="I81" s="37"/>
      <c r="J81" s="37"/>
      <c r="K81" s="61"/>
      <c r="L81" s="61"/>
      <c r="M81" s="38">
        <f ca="1">IFERROR(SUM(M69:M80),"")</f>
        <v>9.8995833335275951E-2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302</v>
      </c>
      <c r="G82" s="40">
        <f>G68+G81</f>
        <v>1268.4000000000001</v>
      </c>
      <c r="H82" s="41"/>
      <c r="I82" s="41"/>
      <c r="J82" s="41"/>
      <c r="K82" s="63"/>
      <c r="L82" s="63"/>
      <c r="M82" s="42">
        <f ca="1">IFERROR(M68+M81,"")</f>
        <v>0.15871805555749818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2026-07-04T05:10:40Z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