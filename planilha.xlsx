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31" documentId="8_{C51EB6CB-002B-4D6B-B68F-DDEBDB4460C0}" xr6:coauthVersionLast="47" xr6:coauthVersionMax="47" xr10:uidLastSave="{6EA5E92F-5675-4912-9D5F-4147425F64F7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<sst xmlns="http://schemas.openxmlformats.org/spreadsheetml/2006/main" count="2303" uniqueCount="266">
  <si>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</si>
  <si>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</si>
  <si>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</si>
  <si>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</si>
  <si>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</si>
  <si>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</si>
  <si>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</si>
  <si>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</si>
  <si>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</si>
  <si>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</si>
  <si>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</si>
  <si>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</si>
  <si>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</si>
  <si>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</si>
  <si>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</si>
  <si>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</si>
  <si>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</si>
  <si>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</si>
  <si>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</si>
  <si>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</si>
  <si>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</si>
  <si>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</si>
  <si>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</si>
  <si>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</si>
  <si>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</si>
  <si>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</si>
  <si>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</si>
  <si>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</si>
  <si>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</si>
  <si>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</si>
  <si>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</si>
  <si>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</si>
  <si>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</si>
  <si>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</si>
  <si>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</si>
  <si>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</si>
  <si>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</si>
  <si>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</si>
  <si>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</si>
  <si>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</si>
  <si>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</si>
  <si>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</si>
  <si>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</si>
  <si>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</si>
  <si>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</si>
  <si>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</si>
  <si>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</si>
  <si>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</si>
  <si>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</si>
  <si>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</si>
  <si>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</si>
  <si>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</si>
  <si>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</si>
  <si>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</si>
  <si>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</si>
  <si>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</si>
  <si>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</si>
  <si>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</si>
  <si>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</si>
  <si>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</si>
  <si>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</si>
  <si>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</si>
  <si>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</si>
  <si>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</si>
  <si>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</si>
  <si>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</si>
  <si>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</si>
  <si>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</si>
  <si>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</si>
  <si>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</si>
  <si>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</si>
  <si>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</si>
  <si>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</si>
  <si>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</si>
  <si>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</si>
  <si>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</si>
  <si>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</si>
  <si>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</si>
  <si>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</si>
  <si>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</si>
  <si>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</si>
  <si>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</si>
  <si>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</si>
  <si>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</si>
  <si>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</si>
  <si>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</si>
  <si>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</si>
  <si>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</si>
  <si>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</si>
  <si>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</si>
  <si>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</si>
  <si>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</si>
  <si>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</si>
  <si>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</si>
  <si>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</si>
  <si>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</si>
  <si>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</si>
  <si>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</si>
  <si>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</si>
  <si>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</si>
  <si>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</si>
  <si>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</si>
  <si>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</si>
  <si>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</si>
  <si>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</si>
  <si>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</si>
  <si>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</si>
  <si>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</si>
  <si>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</si>
  <si>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</si>
  <si>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</si>
  <si>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</si>
  <si>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</si>
  <si>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</si>
  <si>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</si>
  <si>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</si>
  <si>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</si>
  <si>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</si>
  <si>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</si>
  <si>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</si>
  <si>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</si>
  <si>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</si>
  <si>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</si>
  <si>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</si>
  <si>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</si>
  <si>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</si>
  <si>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</si>
  <si>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</si>
  <si>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</si>
  <si>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</si>
  <si>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</si>
  <si>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</si>
  <si>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</si>
  <si>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</si>
  <si>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</si>
  <si>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</si>
  <si>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</si>
  <si>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</si>
  <si>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</si>
  <si>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</si>
  <si>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</si>
  <si>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</si>
  <si>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</si>
  <si>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</si>
  <si>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</si>
  <si>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</si>
  <si>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</si>
  <si>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</si>
  <si>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</si>
  <si>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</si>
  <si>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</si>
  <si>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</si>
  <si>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</si>
  <si>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</si>
  <si>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</si>
  <si>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</si>
  <si>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</si>
  <si>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</si>
  <si>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</si>
  <si>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</si>
  <si>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</si>
  <si>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</si>
  <si>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</si>
  <si>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</si>
  <si>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</si>
  <si>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</si>
  <si>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</si>
  <si>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</si>
  <si>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</si>
  <si>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</si>
  <si>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</si>
  <si>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</si>
  <si>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</si>
  <si>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</si>
  <si>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</si>
  <si>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</si>
  <si>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</si>
  <si>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</si>
  <si>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</si>
  <si>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</si>
  <si>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</si>
  <si>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</si>
  <si>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</si>
  <si>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</si>
  <si>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</si>
  <si>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</si>
  <si>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</si>
  <si>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</si>
  <si>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</si>
  <si>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</si>
  <si>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</si>
  <si>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</si>
  <si>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</si>
  <si>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</si>
  <si>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</si>
  <si>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</si>
  <si>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</si>
  <si>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</si>
  <si>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</si>
  <si>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</si>
  <si>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</si>
  <si>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</si>
  <si>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</si>
  <si>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</si>
  <si>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</si>
  <si>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</si>
  <si>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</si>
  <si>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</si>
  <si>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</si>
  <si>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</si>
  <si>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</si>
  <si>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</si>
  <si>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</si>
  <si>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</si>
  <si>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</si>
  <si>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</si>
  <si>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</si>
  <si>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</si>
  <si>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</si>
  <si>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</si>
  <si>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</si>
  <si>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</si>
  <si>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</si>
  <si>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</si>
  <si>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</si>
  <si>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</si>
  <si>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</si>
  <si>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</si>
  <si>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</si>
  <si>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</si>
  <si>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</si>
  <si>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</si>
  <si>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</si>
  <si>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</si>
  <si>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</si>
  <si>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</si>
  <si>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</si>
  <si>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</si>
  <si>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</si>
  <si>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</si>
  <si>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</si>
  <si>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</si>
  <si>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</si>
  <si>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caiu faca,quebrou pino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</si>
  <si>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</si>
  <si>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</si>
  <si>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</si>
  <si>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</si>
  <si>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</si>
  <si>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</si>
  <si>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</si>
  <si>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</si>
  <si>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</si>
  <si>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</si>
  <si>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</si>
  <si>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solda no queixo</t>
  </si>
  <si>
    <t>sem material no estoque</t>
  </si>
  <si>
    <t>bomba 01 parada pra  manutencao eletrica</t>
  </si>
  <si>
    <t>troca de martelo,adicinado 4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</si>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</sst>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565230</v>
      </c>
      <c r="E6" s="8">
        <f>IFERROR('Linha 2'!O82,"")</f>
        <v>221380</v>
      </c>
      <c r="F6" s="8">
        <f>IFERROR('Linha 3'!O82,"")</f>
        <v>477090</v>
      </c>
      <c r="G6" s="9">
        <f t="shared" si="0"/>
        <v>1263700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2259870</v>
      </c>
      <c r="E35" s="13">
        <f>IFERROR(SUM(E4:E34),"")</f>
        <v>1422960</v>
      </c>
      <c r="F35" s="13">
        <f>IFERROR(SUM(F4:F34),"")</f>
        <v>2649260</v>
      </c>
      <c r="G35" s="13">
        <f>IFERROR(SUM(G4:G34),"")</f>
        <v>6332090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F81" sqref="F8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52" activePane="bottomLeft" state="frozen"/>
      <selection pane="bottomLeft" activeCell="F81" sqref="F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0.16228460647835163</v>
      </c>
      <c r="N53" s="46" t="s">
        <v>253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0.30117349536724053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0.38589571758946284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>
        <v>5</v>
      </c>
      <c r="G79" s="34">
        <f t="shared" si="15"/>
        <v>21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137</v>
      </c>
      <c r="G81" s="36">
        <f>SUM(G69:G80)</f>
        <v>575.4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273</v>
      </c>
      <c r="G82" s="40">
        <f>G68+G81</f>
        <v>1146.5999999999999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565230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54" zoomScale="50" zoomScaleNormal="50" workbookViewId="0">
      <selection activeCell="F81" sqref="F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37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87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221380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52" activePane="bottomLeft" state="frozen"/>
      <selection pane="bottomLeft" activeCell="F81" sqref="F8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>
        <v>3</v>
      </c>
      <c r="G79" s="34">
        <f t="shared" si="15"/>
        <v>12.600000000000001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2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124</v>
      </c>
      <c r="G81" s="36">
        <f>SUM(G69:G80)</f>
        <v>512.4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239</v>
      </c>
      <c r="G82" s="40">
        <f>G68+G81</f>
        <v>995.39999999999986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477090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2026-08-04T10:48:48Z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