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4" documentId="8_{AF585B22-221D-4780-BB9C-493D365A6A02}" xr6:coauthVersionLast="47" xr6:coauthVersionMax="47" xr10:uidLastSave="{2FF95915-FFDA-4F13-B9C8-1BC87DEDC67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<sst xmlns="http://schemas.openxmlformats.org/spreadsheetml/2006/main" count="12459" uniqueCount="443">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</sst>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7" activePane="bottomLeft" state="frozen"/>
      <selection pane="bottomLeft" activeCell="I825" sqref="I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1" t="str">
        <f>IF(F825="","",IF(E825="PC 17",F825*4.2,IF(E825="PC 19",F825*5,"")))</f>
        <v/>
      </c>
      <c r="H825" s="81" t="s">
        <v>20</v>
      </c>
      <c r="I825" s="81" t="s">
        <v>23</v>
      </c>
      <c r="J825" s="81"/>
      <c r="K825" s="98">
        <v>0.79166666666666663</v>
      </c>
      <c r="L825" s="98"/>
      <c r="M825" s="79">
        <f ca="1">IFERROR(IF(K825="","",IF(L825="",MOD(NOW()-K825,1),IF(L825&gt;=K825,L825-K825,L825+1-K825))),"")</f>
        <v>3.0600694444729015E-3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3.0600694444729015E-3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0.16278229166669511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H828" sqref="H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0.5551434027729556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0.71278229166184448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0.82250451388406665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0.53361562499776483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0.70444895833109822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0.84958784721998715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8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0.54542118055542232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0.74472673611097795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1.112087847222089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2026-07-31T23:04:27Z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