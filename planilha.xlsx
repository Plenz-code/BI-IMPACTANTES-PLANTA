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78" documentId="8_{AF585B22-221D-4780-BB9C-493D365A6A02}" xr6:coauthVersionLast="47" xr6:coauthVersionMax="47" xr10:uidLastSave="{05784A48-FDF6-4D8D-B833-9B86B918115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<sst xmlns="http://schemas.openxmlformats.org/spreadsheetml/2006/main" count="9837" uniqueCount="385">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</sst>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2" sqref="F6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 t="shared" si="141"/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171</v>
      </c>
      <c r="G648" s="36">
        <f>SUM(G636:G647)</f>
        <v>855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504</v>
      </c>
      <c r="G649" s="40">
        <f>G635+G648</f>
        <v>2520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0.81952106481185183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0.97715995370074071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1.086882175922963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0.79799328703666106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0.96882662036999445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1.1139655092588834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/>
      <c r="M638" s="30">
        <f t="shared" ca="1" si="142"/>
        <v>3.8271064811851829E-2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98</v>
      </c>
      <c r="G648" s="36">
        <f>SUM(G636:G647)</f>
        <v>411.6</v>
      </c>
      <c r="H648" s="37"/>
      <c r="I648" s="37"/>
      <c r="J648" s="37"/>
      <c r="K648" s="37"/>
      <c r="L648" s="37"/>
      <c r="M648" s="38">
        <f ca="1">IFERROR(SUM(M636:M647),"")</f>
        <v>6.1882175922962968E-2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191</v>
      </c>
      <c r="G649" s="40">
        <f>G635+G648</f>
        <v>802.2</v>
      </c>
      <c r="H649" s="41"/>
      <c r="I649" s="41"/>
      <c r="J649" s="41"/>
      <c r="K649" s="41"/>
      <c r="L649" s="41"/>
      <c r="M649" s="42">
        <f ca="1">IFERROR(M635+M648,"")</f>
        <v>1.0375766203674073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/>
      <c r="M636" s="30">
        <f t="shared" ref="M636:M647" ca="1" si="142">IFERROR(IF(K636="","",IF(L636="",MOD(NOW()-K636,1),IF(L636&gt;=K636,L636-K636,L636+1-K636))),"")</f>
        <v>3.8271064811851829E-2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55</v>
      </c>
      <c r="G648" s="36">
        <f>SUM(G636:G647)</f>
        <v>231</v>
      </c>
      <c r="H648" s="37"/>
      <c r="I648" s="37"/>
      <c r="J648" s="37"/>
      <c r="K648" s="37"/>
      <c r="L648" s="37"/>
      <c r="M648" s="38">
        <f ca="1">IFERROR(SUM(M636:M647),"")</f>
        <v>3.8271064811851829E-2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201</v>
      </c>
      <c r="G649" s="40">
        <f>G635+G648</f>
        <v>844.19999999999993</v>
      </c>
      <c r="H649" s="41"/>
      <c r="I649" s="41"/>
      <c r="J649" s="41"/>
      <c r="K649" s="41"/>
      <c r="L649" s="41"/>
      <c r="M649" s="42">
        <f ca="1">IFERROR(M635+M648,"")</f>
        <v>4.3826620367407365E-2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L638" sqref="L6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0.80979884259431856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1.0091043981498742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1.3764655092609852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12</v>
      </c>
      <c r="G648" s="36">
        <f>SUM(G636:G647)</f>
        <v>50.400000000000006</v>
      </c>
      <c r="H648" s="37"/>
      <c r="I648" s="37"/>
      <c r="J648" s="37"/>
      <c r="K648" s="61"/>
      <c r="L648" s="61"/>
      <c r="M648" s="38">
        <f ca="1">IFERROR(SUM(M636:M647),"")</f>
        <v>0.23541666666666672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98</v>
      </c>
      <c r="G649" s="40">
        <f>G635+G648</f>
        <v>411.6</v>
      </c>
      <c r="H649" s="41"/>
      <c r="I649" s="41"/>
      <c r="J649" s="41"/>
      <c r="K649" s="63"/>
      <c r="L649" s="63"/>
      <c r="M649" s="42">
        <f ca="1">IFERROR(M635+M648,"")</f>
        <v>0.4118055555555557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2026-07-25T05:25:24Z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