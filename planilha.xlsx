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302" documentId="8_{AF585B22-221D-4780-BB9C-493D365A6A02}" xr6:coauthVersionLast="47" xr6:coauthVersionMax="47" xr10:uidLastSave="{522E9220-7507-4EBA-80D8-F1550FF4762C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<sst xmlns="http://schemas.openxmlformats.org/spreadsheetml/2006/main" count="8171" uniqueCount="357">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</sst>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7" sqref="G2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59982441</v>
      </c>
      <c r="D35" s="13">
        <f>IFERROR(SUM(D4:D34),"")</f>
        <v>22393340</v>
      </c>
      <c r="E35" s="13">
        <f>IFERROR(SUM(E4:E34),"")</f>
        <v>13410270</v>
      </c>
      <c r="F35" s="13">
        <f>IFERROR(SUM(F4:F34),"")</f>
        <v>26874360</v>
      </c>
      <c r="G35" s="13">
        <f>IFERROR(SUM(G4:G34),"")</f>
        <v>62677970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22" sqref="F52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8.5416666666666696E-2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8.5416666666666696E-2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12" activePane="bottomLeft" state="frozen"/>
      <selection pane="bottomLeft" activeCell="J517" sqref="J5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0.15790277777705342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0.3155416666659423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0.42526388888816447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0.13637500000186265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0.30720833333519604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0.45234722222408491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/>
      <c r="G517" s="34" t="str">
        <f t="shared" si="114"/>
        <v/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/>
      <c r="M517" s="35">
        <f t="shared" ca="1" si="115"/>
        <v>1.6527777770534158E-3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42</v>
      </c>
      <c r="G527" s="36">
        <f>SUM(G515:G526)</f>
        <v>176.40000000000003</v>
      </c>
      <c r="H527" s="37"/>
      <c r="I527" s="37"/>
      <c r="J527" s="37"/>
      <c r="K527" s="37"/>
      <c r="L527" s="37"/>
      <c r="M527" s="38">
        <f ca="1">IFERROR(SUM(M515:M526),"")</f>
        <v>1.5541666665942311E-2</v>
      </c>
      <c r="N527" s="36" t="s">
        <v>231</v>
      </c>
      <c r="O527" s="77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42</v>
      </c>
      <c r="G541" s="40">
        <f>G527+G540</f>
        <v>176.40000000000003</v>
      </c>
      <c r="H541" s="41"/>
      <c r="I541" s="41"/>
      <c r="J541" s="41"/>
      <c r="K541" s="41"/>
      <c r="L541" s="41"/>
      <c r="M541" s="42">
        <f ca="1">IFERROR(M527+M540,"")</f>
        <v>1.5541666665942311E-2</v>
      </c>
      <c r="N541" s="40" t="s">
        <v>234</v>
      </c>
      <c r="O541" s="83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 E513:E514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01" zoomScale="50" zoomScaleNormal="50" workbookViewId="0">
      <selection activeCell="G524" sqref="G5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307</v>
      </c>
      <c r="N166" s="27" t="s">
        <v>308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16</v>
      </c>
      <c r="G527" s="36">
        <f>SUM(G515:G526)</f>
        <v>67.2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16</v>
      </c>
      <c r="G541" s="40">
        <f>G527+G540</f>
        <v>67.2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93" activePane="bottomLeft" state="frozen"/>
      <selection pane="bottomLeft" activeCell="J515" sqref="J51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324</v>
      </c>
      <c r="L58" s="29">
        <v>0.54097222222222219</v>
      </c>
      <c r="M58" s="30" t="str">
        <f t="shared" ca="1" si="13"/>
        <v/>
      </c>
      <c r="N58" s="27" t="s">
        <v>325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0.14818078703683568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0.34748634259239131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0.71484745370350233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/>
      <c r="M515" s="35">
        <f t="shared" ref="M515:M526" ca="1" si="115">IFERROR(IF(K515="","",IF(L515="",MOD(NOW()-K515,1),IF(L515&gt;=K515,L515-K515,L515+1-K515))),"")</f>
        <v>0.10581967592588626</v>
      </c>
      <c r="N515" s="27"/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0.10581967592588626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0.10581967592588626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2026-07-20T13:32:51Z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