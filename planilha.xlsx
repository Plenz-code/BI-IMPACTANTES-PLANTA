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268" documentId="13_ncr:1_{9DFDFEE8-78F7-4C04-B87C-99924EE6CC37}" xr6:coauthVersionLast="47" xr6:coauthVersionMax="47" xr10:uidLastSave="{DCB2016D-DCF6-4F64-BEE8-A9A2FDDF6368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<sst xmlns="http://schemas.openxmlformats.org/spreadsheetml/2006/main" count="6576" uniqueCount="2306">
  <si>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</si>
  <si>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</si>
  <si>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</si>
  <si>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</si>
  <si>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</si>
  <si>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</si>
  <si>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</si>
  <si>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</si>
  <si>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</si>
  <si>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</si>
  <si>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</si>
  <si>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</si>
  <si>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</si>
  <si>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</si>
  <si>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</si>
  <si>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</si>
  <si>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</si>
  <si>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</si>
  <si>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</si>
  <si>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</si>
  <si>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</si>
  <si>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</si>
  <si>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</si>
  <si>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</si>
  <si>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</si>
  <si>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</si>
  <si>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</si>
  <si>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</si>
  <si>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</si>
  <si>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</si>
  <si>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</si>
  <si>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</si>
  <si>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</si>
  <si>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</si>
  <si>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</si>
  <si>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</si>
  <si>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</si>
  <si>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</si>
  <si>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</si>
  <si>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</si>
  <si>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</si>
  <si>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</si>
  <si>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</si>
  <si>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</si>
  <si>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</si>
  <si>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</si>
  <si>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</si>
  <si>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</si>
  <si>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</si>
  <si>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</si>
  <si>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</si>
  <si>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</si>
  <si>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</si>
  <si>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</si>
  <si>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</si>
  <si>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</si>
  <si>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</si>
  <si>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</si>
  <si>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</si>
  <si>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</si>
  <si>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</si>
  <si>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</si>
  <si>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</si>
  <si>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</si>
  <si>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</si>
  <si>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</si>
  <si>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</si>
  <si>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</si>
  <si>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</si>
  <si>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</si>
  <si>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</si>
  <si>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</si>
  <si>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</si>
  <si>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</si>
  <si>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</si>
  <si>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</si>
  <si>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</si>
  <si>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</si>
  <si>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</si>
  <si>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</si>
  <si>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</si>
  <si>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</si>
  <si>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</si>
  <si>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</si>
  <si>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</si>
  <si>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</si>
  <si>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</si>
  <si>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</si>
  <si>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</si>
  <si>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</si>
  <si>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</si>
  <si>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</si>
  <si>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</si>
  <si>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</si>
  <si>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</si>
  <si>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</si>
  <si>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</si>
  <si>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</si>
  <si>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</si>
  <si>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</si>
  <si>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</si>
  <si>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</si>
  <si>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</si>
  <si>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</si>
  <si>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</si>
  <si>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</si>
  <si>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</si>
  <si>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</si>
  <si>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</si>
  <si>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</si>
  <si>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</si>
  <si>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</si>
  <si>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</si>
  <si>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</si>
  <si>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</si>
  <si>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</si>
  <si>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</si>
  <si>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</si>
  <si>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</si>
  <si>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</si>
  <si>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</si>
  <si>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</si>
  <si>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</si>
  <si>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</si>
  <si>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</si>
  <si>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</si>
  <si>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</si>
  <si>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</si>
  <si>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</si>
  <si>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</si>
  <si>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</si>
  <si>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</si>
  <si>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</si>
  <si>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</si>
  <si>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</si>
  <si>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</si>
  <si>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</si>
  <si>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</si>
  <si>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</si>
  <si>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</si>
  <si>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</si>
  <si>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</si>
  <si>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</si>
  <si>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</si>
  <si>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</si>
  <si>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</si>
  <si>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</si>
  <si>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</si>
  <si>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</si>
  <si>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</si>
  <si>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</si>
  <si>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</si>
  <si>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</si>
  <si>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</si>
  <si>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</si>
  <si>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</si>
  <si>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</si>
  <si>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</si>
  <si>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</si>
  <si>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</si>
  <si>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</si>
  <si>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</si>
  <si>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</si>
  <si>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</si>
  <si>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</si>
  <si>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</si>
  <si>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</si>
  <si>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</si>
  <si>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</si>
  <si>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</si>
  <si>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</si>
  <si>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</si>
  <si>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</si>
  <si>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</si>
  <si>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</si>
  <si>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</si>
  <si>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</si>
  <si>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</si>
  <si>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</si>
  <si>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</si>
  <si>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</si>
  <si>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</si>
  <si>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</si>
  <si>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</si>
  <si>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</si>
  <si>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</si>
  <si>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</si>
  <si>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</si>
  <si>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</si>
  <si>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</si>
  <si>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</si>
  <si>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</si>
  <si>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</si>
  <si>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</si>
  <si>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</si>
  <si>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</si>
  <si>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</si>
  <si>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</si>
  <si>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</si>
  <si>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</si>
  <si>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</si>
  <si>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</si>
  <si>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</si>
  <si>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</si>
  <si>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</si>
  <si>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</si>
  <si>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</si>
  <si>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</si>
  <si>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</si>
  <si>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</si>
  <si>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</si>
  <si>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</si>
  <si>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</si>
  <si>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</si>
  <si>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</si>
  <si>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</si>
  <si>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</si>
  <si>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</si>
  <si>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</si>
  <si>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</si>
  <si>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</si>
  <si>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</si>
  <si>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</si>
  <si>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</si>
  <si>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</si>
  <si>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</si>
  <si>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</si>
  <si>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</si>
  <si>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</si>
  <si>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</si>
  <si>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</si>
  <si>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</si>
  <si>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</si>
  <si>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</si>
  <si>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</si>
  <si>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</si>
  <si>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</si>
  <si>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</si>
  <si>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</si>
  <si>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</si>
  <si>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</si>
  <si>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</si>
  <si>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</si>
  <si>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</si>
  <si>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</si>
  <si>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</si>
  <si>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</si>
  <si>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</si>
  <si>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</si>
  <si>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</si>
  <si>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</si>
  <si>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</si>
  <si>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</si>
  <si>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</si>
  <si>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</si>
  <si>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</si>
  <si>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</si>
  <si>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</si>
  <si>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</si>
  <si>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</si>
  <si>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</si>
  <si>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</si>
  <si>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</si>
  <si>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</si>
  <si>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</si>
  <si>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</si>
  <si>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</si>
  <si>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</si>
  <si>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</si>
  <si>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</si>
  <si>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</si>
  <si>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</si>
  <si>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</si>
  <si>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13;41</t>
  </si>
  <si>
    <t>troca de martelo 4 e 5</t>
  </si>
  <si>
    <t xml:space="preserve">solda nas grelhas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</si>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</sst>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" activePane="bottomLeft" state="frozen"/>
      <selection pane="bottomLeft" activeCell="F10" sqref="F1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/>
      <c r="G11" s="84" t="str">
        <f t="shared" si="0"/>
        <v/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/>
      <c r="G12" s="79" t="str">
        <f t="shared" si="0"/>
        <v/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/>
      <c r="G13" s="84" t="str">
        <f t="shared" si="0"/>
        <v/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266</v>
      </c>
      <c r="B14" s="176"/>
      <c r="C14" s="176"/>
      <c r="D14" s="176"/>
      <c r="E14" s="176"/>
      <c r="F14" s="2">
        <f>SUM(F2:F13)</f>
        <v>225</v>
      </c>
      <c r="G14" s="2">
        <f>SUM(G2:G13)</f>
        <v>1125</v>
      </c>
      <c r="H14" s="87"/>
      <c r="I14" s="87"/>
      <c r="J14" s="87"/>
      <c r="K14" s="87"/>
      <c r="L14" s="87"/>
      <c r="M14" s="88">
        <f ca="1">IFERROR(SUM(M2:M13),"")</f>
        <v>1.2500000000000011E-2</v>
      </c>
      <c r="N14" s="2" t="s">
        <v>267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268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267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225</v>
      </c>
      <c r="G28" s="1">
        <f>G14+G27</f>
        <v>1125</v>
      </c>
      <c r="H28" s="91"/>
      <c r="I28" s="91"/>
      <c r="J28" s="91"/>
      <c r="K28" s="91"/>
      <c r="L28" s="91"/>
      <c r="M28" s="92">
        <f ca="1">IFERROR(M14+M27,"")</f>
        <v>1.2500000000000011E-2</v>
      </c>
      <c r="N28" s="1" t="s">
        <v>269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266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267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268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267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269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266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267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268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267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269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266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267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268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267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269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266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267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268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267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269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266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267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268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267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269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266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267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268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267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269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266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268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267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269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266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268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267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269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266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268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267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269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266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268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267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269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266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268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267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269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266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268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267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269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266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268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267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269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266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268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267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269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266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268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267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269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266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268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267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269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266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268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267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269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266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268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267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269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266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268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267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269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266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268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267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269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266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268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267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269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266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268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267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269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266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268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267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269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266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268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267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269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266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268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267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269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266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268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267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269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266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268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267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269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266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268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267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266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268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267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266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268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267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10" sqref="G1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/>
      <c r="M3" s="85"/>
      <c r="N3" s="85"/>
      <c r="O3" s="80"/>
      <c r="P3" s="80"/>
      <c r="Q3" s="81" t="str">
        <f t="shared" ca="1" si="2"/>
        <v/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42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79" t="str">
        <f t="shared" si="1"/>
        <v/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33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138.6</v>
      </c>
      <c r="L14" s="87"/>
      <c r="M14" s="87"/>
      <c r="N14" s="87"/>
      <c r="O14" s="87"/>
      <c r="P14" s="87"/>
      <c r="Q14" s="88">
        <f ca="1">IFERROR(SUM(Q2:Q13),"")</f>
        <v>0.21388888888888885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33</v>
      </c>
      <c r="H28" s="127">
        <f>IFERROR(H14+H27,"")</f>
        <v>0</v>
      </c>
      <c r="I28" s="129"/>
      <c r="J28" s="130">
        <f>IFERROR(J14+J27,"")</f>
        <v>0</v>
      </c>
      <c r="K28" s="1">
        <f>K14+K27</f>
        <v>138.6</v>
      </c>
      <c r="L28" s="91"/>
      <c r="M28" s="91"/>
      <c r="N28" s="91"/>
      <c r="O28" s="91"/>
      <c r="P28" s="91"/>
      <c r="Q28" s="92">
        <f ca="1">IFERROR(Q14+Q27,"")</f>
        <v>0.21388888888888885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268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268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N10" sqref="N1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/>
      <c r="Q6" s="81">
        <f t="shared" ca="1" si="2"/>
        <v>8.9768865742371418E-2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7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7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29.400000000000002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16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67.2</v>
      </c>
      <c r="L14" s="87"/>
      <c r="M14" s="87"/>
      <c r="N14" s="87"/>
      <c r="O14" s="87"/>
      <c r="P14" s="87"/>
      <c r="Q14" s="88">
        <f ca="1">IFERROR(SUM(Q2:Q13),"")</f>
        <v>0.31685219907570478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16</v>
      </c>
      <c r="H28" s="127">
        <f>IFERROR(H14+H27,"")</f>
        <v>0</v>
      </c>
      <c r="I28" s="129"/>
      <c r="J28" s="130">
        <f>IFERROR(J14+J27,"")</f>
        <v>0</v>
      </c>
      <c r="K28" s="1">
        <f>K14+K27</f>
        <v>67.2</v>
      </c>
      <c r="L28" s="91"/>
      <c r="M28" s="91"/>
      <c r="N28" s="91"/>
      <c r="O28" s="91"/>
      <c r="P28" s="91"/>
      <c r="Q28" s="92">
        <f ca="1">IFERROR(Q14+Q27,"")</f>
        <v>0.31685219907570478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O7" sqref="O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26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109.2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75.600000000000009</v>
      </c>
      <c r="L6" s="76" t="s">
        <v>29</v>
      </c>
      <c r="M6" s="76" t="s">
        <v>141</v>
      </c>
      <c r="N6" s="76"/>
      <c r="O6" s="80">
        <v>0.66527777777777775</v>
      </c>
      <c r="P6" s="80"/>
      <c r="Q6" s="81">
        <f t="shared" ca="1" si="2"/>
        <v>1.3379976851865649E-2</v>
      </c>
      <c r="R6" s="78"/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21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>
        <v>36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84">
        <f t="shared" si="1"/>
        <v>151.20000000000002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>
        <v>22</v>
      </c>
      <c r="H10" s="107">
        <f>IFERROR(IF($G10="","",$G10*$S$14/$G$14/Cadastro!$E$33),"")</f>
        <v>0</v>
      </c>
      <c r="I10" s="109">
        <f>IFERROR(IF($D10="","",VLOOKUP($D10,Cadastro!$C$4:$G$20,5,FALSE())),"")</f>
        <v>0.6</v>
      </c>
      <c r="J10" s="110">
        <f t="shared" si="0"/>
        <v>0</v>
      </c>
      <c r="K10" s="79">
        <f t="shared" si="1"/>
        <v>92.4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132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554.4</v>
      </c>
      <c r="L14" s="87"/>
      <c r="M14" s="87"/>
      <c r="N14" s="87"/>
      <c r="O14" s="154"/>
      <c r="P14" s="154"/>
      <c r="Q14" s="88">
        <f ca="1">IFERROR(SUM(Q2:Q13),"")</f>
        <v>0.10435219907408783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132</v>
      </c>
      <c r="H28" s="127">
        <f>IFERROR(H14+H27,"")</f>
        <v>0</v>
      </c>
      <c r="I28" s="129"/>
      <c r="J28" s="130">
        <f>IFERROR(J14+J27,"")</f>
        <v>0</v>
      </c>
      <c r="K28" s="1">
        <f>K14+K27</f>
        <v>554.4</v>
      </c>
      <c r="L28" s="91"/>
      <c r="M28" s="91"/>
      <c r="N28" s="91"/>
      <c r="O28" s="155"/>
      <c r="P28" s="155"/>
      <c r="Q28" s="92">
        <f ca="1">IFERROR(Q14+Q27,"")</f>
        <v>0.10435219907408783</v>
      </c>
      <c r="R28" s="1" t="s">
        <v>269</v>
      </c>
      <c r="S28" s="97">
        <f>IFERROR(S14+S27,"")</f>
        <v>0</v>
      </c>
      <c r="T28" s="136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269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269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269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269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266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269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276</v>
      </c>
      <c r="C1" s="159" t="s">
        <v>277</v>
      </c>
      <c r="D1" s="159" t="s">
        <v>278</v>
      </c>
      <c r="E1" s="159" t="s">
        <v>279</v>
      </c>
      <c r="F1" s="159" t="s">
        <v>280</v>
      </c>
      <c r="G1" s="159" t="s">
        <v>281</v>
      </c>
      <c r="H1" s="159" t="s">
        <v>282</v>
      </c>
      <c r="I1" s="159" t="s">
        <v>283</v>
      </c>
      <c r="J1" s="159" t="s">
        <v>284</v>
      </c>
      <c r="K1" s="159" t="s">
        <v>285</v>
      </c>
      <c r="L1" s="159" t="s">
        <v>286</v>
      </c>
      <c r="M1" s="159" t="s">
        <v>287</v>
      </c>
      <c r="N1" s="159" t="s">
        <v>288</v>
      </c>
      <c r="O1" s="159" t="s">
        <v>289</v>
      </c>
      <c r="P1" s="159" t="s">
        <v>290</v>
      </c>
      <c r="Q1" s="159" t="s">
        <v>291</v>
      </c>
      <c r="R1" s="159" t="s">
        <v>292</v>
      </c>
      <c r="S1" s="159" t="s">
        <v>293</v>
      </c>
    </row>
    <row r="2" spans="1:19">
      <c r="A2" s="151" t="s">
        <v>294</v>
      </c>
      <c r="B2" s="151" t="s">
        <v>295</v>
      </c>
      <c r="C2" s="164" t="s">
        <v>296</v>
      </c>
      <c r="D2" s="164" t="s">
        <v>297</v>
      </c>
      <c r="E2" s="165">
        <v>1.5509259259259259E-3</v>
      </c>
      <c r="F2" s="151" t="s">
        <v>298</v>
      </c>
      <c r="H2" s="151" t="s">
        <v>299</v>
      </c>
      <c r="I2" s="164" t="s">
        <v>300</v>
      </c>
      <c r="J2" s="164" t="s">
        <v>301</v>
      </c>
      <c r="K2" s="165">
        <v>5.9027777777777778E-4</v>
      </c>
      <c r="L2" s="151" t="s">
        <v>302</v>
      </c>
      <c r="N2" s="151" t="s">
        <v>303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294</v>
      </c>
      <c r="B3" s="151" t="s">
        <v>295</v>
      </c>
      <c r="C3" s="164" t="s">
        <v>304</v>
      </c>
      <c r="D3" s="164" t="s">
        <v>305</v>
      </c>
      <c r="E3" s="165">
        <v>1.3078703703703703E-3</v>
      </c>
      <c r="F3" s="151" t="s">
        <v>298</v>
      </c>
      <c r="H3" s="151" t="s">
        <v>299</v>
      </c>
      <c r="I3" s="164" t="s">
        <v>306</v>
      </c>
      <c r="J3" s="164" t="s">
        <v>307</v>
      </c>
      <c r="K3" s="165">
        <v>5.0925925925925921E-4</v>
      </c>
      <c r="L3" s="151" t="s">
        <v>302</v>
      </c>
      <c r="N3" s="151" t="s">
        <v>303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294</v>
      </c>
      <c r="B4" s="151" t="s">
        <v>295</v>
      </c>
      <c r="C4" s="164" t="s">
        <v>308</v>
      </c>
      <c r="D4" s="164" t="s">
        <v>309</v>
      </c>
      <c r="E4" s="165">
        <v>2.5231481481481481E-3</v>
      </c>
      <c r="F4" s="151" t="s">
        <v>298</v>
      </c>
      <c r="H4" s="151" t="s">
        <v>299</v>
      </c>
      <c r="I4" s="164" t="s">
        <v>310</v>
      </c>
      <c r="J4" s="164" t="s">
        <v>311</v>
      </c>
      <c r="K4" s="165">
        <v>4.5138888888888887E-4</v>
      </c>
      <c r="L4" s="151" t="s">
        <v>302</v>
      </c>
      <c r="N4" s="151" t="s">
        <v>303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294</v>
      </c>
      <c r="B5" s="151" t="s">
        <v>295</v>
      </c>
      <c r="C5" s="164" t="s">
        <v>312</v>
      </c>
      <c r="D5" s="164" t="s">
        <v>313</v>
      </c>
      <c r="E5" s="165">
        <v>1.8171296296296297E-3</v>
      </c>
      <c r="F5" s="151" t="s">
        <v>298</v>
      </c>
      <c r="H5" s="151" t="s">
        <v>299</v>
      </c>
      <c r="I5" s="164" t="s">
        <v>314</v>
      </c>
      <c r="J5" s="164" t="s">
        <v>315</v>
      </c>
      <c r="K5" s="165">
        <v>4.9768518518518521E-4</v>
      </c>
      <c r="L5" s="151" t="s">
        <v>302</v>
      </c>
      <c r="N5" s="151" t="s">
        <v>303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294</v>
      </c>
      <c r="B6" s="151" t="s">
        <v>295</v>
      </c>
      <c r="C6" s="164" t="s">
        <v>316</v>
      </c>
      <c r="D6" s="164" t="s">
        <v>317</v>
      </c>
      <c r="E6" s="165">
        <v>2.7199074074074074E-3</v>
      </c>
      <c r="F6" s="151" t="s">
        <v>298</v>
      </c>
      <c r="H6" s="151" t="s">
        <v>299</v>
      </c>
      <c r="I6" s="164" t="s">
        <v>318</v>
      </c>
      <c r="J6" s="164" t="s">
        <v>319</v>
      </c>
      <c r="K6" s="165">
        <v>4.9768518518518521E-4</v>
      </c>
      <c r="L6" s="151" t="s">
        <v>302</v>
      </c>
      <c r="N6" s="151" t="s">
        <v>303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294</v>
      </c>
      <c r="B7" s="151" t="s">
        <v>295</v>
      </c>
      <c r="C7" s="164" t="s">
        <v>320</v>
      </c>
      <c r="D7" s="164" t="s">
        <v>321</v>
      </c>
      <c r="E7" s="165">
        <v>1.6435185185185185E-3</v>
      </c>
      <c r="F7" s="151" t="s">
        <v>298</v>
      </c>
      <c r="H7" s="151" t="s">
        <v>299</v>
      </c>
      <c r="I7" s="164" t="s">
        <v>322</v>
      </c>
      <c r="J7" s="164" t="s">
        <v>323</v>
      </c>
      <c r="K7" s="165">
        <v>4.861111111111111E-4</v>
      </c>
      <c r="L7" s="151" t="s">
        <v>302</v>
      </c>
      <c r="N7" s="151" t="s">
        <v>303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294</v>
      </c>
      <c r="B8" s="151" t="s">
        <v>295</v>
      </c>
      <c r="C8" s="164" t="s">
        <v>324</v>
      </c>
      <c r="D8" s="164" t="s">
        <v>325</v>
      </c>
      <c r="E8" s="165">
        <v>2.3611111111111111E-3</v>
      </c>
      <c r="F8" s="151" t="s">
        <v>298</v>
      </c>
      <c r="H8" s="151" t="s">
        <v>299</v>
      </c>
      <c r="I8" s="164" t="s">
        <v>326</v>
      </c>
      <c r="J8" s="164" t="s">
        <v>327</v>
      </c>
      <c r="K8" s="165">
        <v>4.0509259259259258E-4</v>
      </c>
      <c r="L8" s="151" t="s">
        <v>302</v>
      </c>
      <c r="N8" s="151" t="s">
        <v>303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294</v>
      </c>
      <c r="B9" s="151" t="s">
        <v>295</v>
      </c>
      <c r="C9" s="164" t="s">
        <v>328</v>
      </c>
      <c r="D9" s="164" t="s">
        <v>329</v>
      </c>
      <c r="E9" s="165">
        <v>3.4375E-3</v>
      </c>
      <c r="F9" s="151" t="s">
        <v>298</v>
      </c>
      <c r="H9" s="151" t="s">
        <v>299</v>
      </c>
      <c r="I9" s="164" t="s">
        <v>330</v>
      </c>
      <c r="J9" s="164" t="s">
        <v>331</v>
      </c>
      <c r="K9" s="165">
        <v>5.7870370370370367E-4</v>
      </c>
      <c r="L9" s="151" t="s">
        <v>302</v>
      </c>
      <c r="N9" s="151" t="s">
        <v>303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294</v>
      </c>
      <c r="B10" s="151" t="s">
        <v>295</v>
      </c>
      <c r="C10" s="164" t="s">
        <v>332</v>
      </c>
      <c r="D10" s="164" t="s">
        <v>333</v>
      </c>
      <c r="E10" s="165">
        <v>2.9166666666666668E-3</v>
      </c>
      <c r="F10" s="151" t="s">
        <v>298</v>
      </c>
      <c r="H10" s="151" t="s">
        <v>299</v>
      </c>
      <c r="I10" s="164" t="s">
        <v>334</v>
      </c>
      <c r="J10" s="164" t="s">
        <v>335</v>
      </c>
      <c r="K10" s="165">
        <v>6.9444444444444447E-4</v>
      </c>
      <c r="L10" s="151" t="s">
        <v>302</v>
      </c>
      <c r="N10" s="151" t="s">
        <v>303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294</v>
      </c>
      <c r="B11" s="151" t="s">
        <v>295</v>
      </c>
      <c r="C11" s="164" t="s">
        <v>336</v>
      </c>
      <c r="D11" s="164" t="s">
        <v>337</v>
      </c>
      <c r="E11" s="165">
        <v>1.3194444444444445E-3</v>
      </c>
      <c r="F11" s="151" t="s">
        <v>298</v>
      </c>
      <c r="H11" s="151" t="s">
        <v>299</v>
      </c>
      <c r="I11" s="164" t="s">
        <v>338</v>
      </c>
      <c r="J11" s="164" t="s">
        <v>339</v>
      </c>
      <c r="K11" s="165">
        <v>3.9351851851851852E-4</v>
      </c>
      <c r="L11" s="151" t="s">
        <v>302</v>
      </c>
      <c r="N11" s="151" t="s">
        <v>303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294</v>
      </c>
      <c r="B12" s="151" t="s">
        <v>295</v>
      </c>
      <c r="C12" s="164" t="s">
        <v>340</v>
      </c>
      <c r="D12" s="164" t="s">
        <v>341</v>
      </c>
      <c r="E12" s="165">
        <v>2.1180555555555558E-3</v>
      </c>
      <c r="F12" s="151" t="s">
        <v>298</v>
      </c>
      <c r="H12" s="151" t="s">
        <v>299</v>
      </c>
      <c r="I12" s="164" t="s">
        <v>342</v>
      </c>
      <c r="J12" s="164" t="s">
        <v>343</v>
      </c>
      <c r="K12" s="165">
        <v>4.9768518518518521E-4</v>
      </c>
      <c r="L12" s="151" t="s">
        <v>302</v>
      </c>
      <c r="N12" s="151" t="s">
        <v>303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294</v>
      </c>
      <c r="B13" s="151" t="s">
        <v>295</v>
      </c>
      <c r="C13" s="164" t="s">
        <v>344</v>
      </c>
      <c r="D13" s="164" t="s">
        <v>345</v>
      </c>
      <c r="E13" s="165">
        <v>2.3379629629629631E-3</v>
      </c>
      <c r="F13" s="151" t="s">
        <v>298</v>
      </c>
      <c r="H13" s="151" t="s">
        <v>299</v>
      </c>
      <c r="I13" s="164" t="s">
        <v>346</v>
      </c>
      <c r="J13" s="164" t="s">
        <v>347</v>
      </c>
      <c r="K13" s="165">
        <v>4.1666666666666669E-4</v>
      </c>
      <c r="L13" s="151" t="s">
        <v>302</v>
      </c>
      <c r="N13" s="151" t="s">
        <v>303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294</v>
      </c>
      <c r="B14" s="151" t="s">
        <v>295</v>
      </c>
      <c r="C14" s="164" t="s">
        <v>348</v>
      </c>
      <c r="D14" s="164" t="s">
        <v>349</v>
      </c>
      <c r="E14" s="165">
        <v>3.8194444444444443E-3</v>
      </c>
      <c r="F14" s="151" t="s">
        <v>298</v>
      </c>
      <c r="H14" s="151" t="s">
        <v>299</v>
      </c>
      <c r="I14" s="164" t="s">
        <v>350</v>
      </c>
      <c r="J14" s="164" t="s">
        <v>351</v>
      </c>
      <c r="K14" s="165">
        <v>4.3981481481481481E-4</v>
      </c>
      <c r="L14" s="151" t="s">
        <v>302</v>
      </c>
      <c r="N14" s="151" t="s">
        <v>303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294</v>
      </c>
      <c r="B15" s="151" t="s">
        <v>295</v>
      </c>
      <c r="C15" s="164" t="s">
        <v>352</v>
      </c>
      <c r="D15" s="164" t="s">
        <v>353</v>
      </c>
      <c r="E15" s="165">
        <v>2.5810185185185185E-3</v>
      </c>
      <c r="F15" s="151" t="s">
        <v>298</v>
      </c>
      <c r="H15" s="151" t="s">
        <v>299</v>
      </c>
      <c r="I15" s="164" t="s">
        <v>354</v>
      </c>
      <c r="J15" s="164" t="s">
        <v>355</v>
      </c>
      <c r="K15" s="165">
        <v>5.5555555555555556E-4</v>
      </c>
      <c r="L15" s="151" t="s">
        <v>302</v>
      </c>
      <c r="N15" s="151" t="s">
        <v>303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294</v>
      </c>
      <c r="B16" s="151" t="s">
        <v>295</v>
      </c>
      <c r="C16" s="164" t="s">
        <v>356</v>
      </c>
      <c r="D16" s="164" t="s">
        <v>357</v>
      </c>
      <c r="E16" s="165">
        <v>1.7592592592592592E-3</v>
      </c>
      <c r="F16" s="151" t="s">
        <v>298</v>
      </c>
      <c r="H16" s="151" t="s">
        <v>299</v>
      </c>
      <c r="I16" s="164" t="s">
        <v>358</v>
      </c>
      <c r="J16" s="164" t="s">
        <v>359</v>
      </c>
      <c r="K16" s="165">
        <v>4.861111111111111E-4</v>
      </c>
      <c r="L16" s="151" t="s">
        <v>302</v>
      </c>
      <c r="N16" s="151" t="s">
        <v>303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294</v>
      </c>
      <c r="B17" s="151" t="s">
        <v>295</v>
      </c>
      <c r="C17" s="164" t="s">
        <v>360</v>
      </c>
      <c r="D17" s="164" t="s">
        <v>361</v>
      </c>
      <c r="E17" s="165">
        <v>2.3726851851851851E-3</v>
      </c>
      <c r="F17" s="151" t="s">
        <v>298</v>
      </c>
      <c r="H17" s="151" t="s">
        <v>299</v>
      </c>
      <c r="I17" s="164" t="s">
        <v>362</v>
      </c>
      <c r="J17" s="164" t="s">
        <v>363</v>
      </c>
      <c r="K17" s="165">
        <v>5.3240740740740744E-4</v>
      </c>
      <c r="L17" s="151" t="s">
        <v>302</v>
      </c>
      <c r="N17" s="151" t="s">
        <v>303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294</v>
      </c>
      <c r="B18" s="151" t="s">
        <v>295</v>
      </c>
      <c r="C18" s="164" t="s">
        <v>364</v>
      </c>
      <c r="D18" s="164" t="s">
        <v>365</v>
      </c>
      <c r="E18" s="165">
        <v>1.8402777777777777E-3</v>
      </c>
      <c r="F18" s="151" t="s">
        <v>298</v>
      </c>
      <c r="H18" s="151" t="s">
        <v>299</v>
      </c>
      <c r="I18" s="164" t="s">
        <v>366</v>
      </c>
      <c r="J18" s="164" t="s">
        <v>367</v>
      </c>
      <c r="K18" s="165">
        <v>4.7453703703703704E-4</v>
      </c>
      <c r="L18" s="151" t="s">
        <v>302</v>
      </c>
      <c r="N18" s="151" t="s">
        <v>303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294</v>
      </c>
      <c r="B19" s="151" t="s">
        <v>295</v>
      </c>
      <c r="C19" s="164" t="s">
        <v>368</v>
      </c>
      <c r="D19" s="164" t="s">
        <v>369</v>
      </c>
      <c r="E19" s="165">
        <v>1.9560185185185184E-3</v>
      </c>
      <c r="F19" s="151" t="s">
        <v>298</v>
      </c>
      <c r="H19" s="151" t="s">
        <v>299</v>
      </c>
      <c r="I19" s="164" t="s">
        <v>370</v>
      </c>
      <c r="J19" s="164" t="s">
        <v>371</v>
      </c>
      <c r="K19" s="165">
        <v>5.6712962962962967E-4</v>
      </c>
      <c r="L19" s="151" t="s">
        <v>302</v>
      </c>
      <c r="N19" s="151" t="s">
        <v>303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294</v>
      </c>
      <c r="B20" s="151" t="s">
        <v>295</v>
      </c>
      <c r="C20" s="164" t="s">
        <v>372</v>
      </c>
      <c r="D20" s="164" t="s">
        <v>373</v>
      </c>
      <c r="E20" s="165">
        <v>2.3379629629629631E-3</v>
      </c>
      <c r="F20" s="151" t="s">
        <v>298</v>
      </c>
      <c r="H20" s="151" t="s">
        <v>299</v>
      </c>
      <c r="I20" s="164" t="s">
        <v>374</v>
      </c>
      <c r="J20" s="164" t="s">
        <v>375</v>
      </c>
      <c r="K20" s="165">
        <v>4.7453703703703704E-4</v>
      </c>
      <c r="L20" s="151" t="s">
        <v>302</v>
      </c>
      <c r="N20" s="151" t="s">
        <v>303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294</v>
      </c>
      <c r="B21" s="151" t="s">
        <v>295</v>
      </c>
      <c r="C21" s="164" t="s">
        <v>376</v>
      </c>
      <c r="D21" s="164" t="s">
        <v>377</v>
      </c>
      <c r="E21" s="165">
        <v>1.712962962962963E-3</v>
      </c>
      <c r="F21" s="151" t="s">
        <v>298</v>
      </c>
      <c r="H21" s="151" t="s">
        <v>299</v>
      </c>
      <c r="I21" s="164" t="s">
        <v>378</v>
      </c>
      <c r="J21" s="164" t="s">
        <v>379</v>
      </c>
      <c r="K21" s="165">
        <v>1.0532407407407407E-3</v>
      </c>
      <c r="L21" s="151" t="s">
        <v>302</v>
      </c>
      <c r="N21" s="151" t="s">
        <v>303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294</v>
      </c>
      <c r="B22" s="151" t="s">
        <v>295</v>
      </c>
      <c r="C22" s="164" t="s">
        <v>380</v>
      </c>
      <c r="D22" s="164" t="s">
        <v>381</v>
      </c>
      <c r="E22" s="165">
        <v>2.2337962962962962E-3</v>
      </c>
      <c r="F22" s="151" t="s">
        <v>298</v>
      </c>
      <c r="H22" s="151" t="s">
        <v>299</v>
      </c>
      <c r="I22" s="164" t="s">
        <v>382</v>
      </c>
      <c r="J22" s="164" t="s">
        <v>383</v>
      </c>
      <c r="K22" s="165">
        <v>4.861111111111111E-4</v>
      </c>
      <c r="L22" s="151" t="s">
        <v>302</v>
      </c>
      <c r="N22" s="151" t="s">
        <v>303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294</v>
      </c>
      <c r="B23" s="151" t="s">
        <v>295</v>
      </c>
      <c r="C23" s="164" t="s">
        <v>384</v>
      </c>
      <c r="D23" s="164" t="s">
        <v>385</v>
      </c>
      <c r="E23" s="165">
        <v>1.5046296296296296E-3</v>
      </c>
      <c r="F23" s="151" t="s">
        <v>298</v>
      </c>
      <c r="H23" s="151" t="s">
        <v>299</v>
      </c>
      <c r="I23" s="164" t="s">
        <v>386</v>
      </c>
      <c r="J23" s="164" t="s">
        <v>387</v>
      </c>
      <c r="K23" s="165">
        <v>4.9768518518518521E-4</v>
      </c>
      <c r="L23" s="151" t="s">
        <v>302</v>
      </c>
      <c r="N23" s="151" t="s">
        <v>303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388</v>
      </c>
      <c r="B24" s="151" t="s">
        <v>389</v>
      </c>
      <c r="C24" s="164" t="s">
        <v>390</v>
      </c>
      <c r="D24" s="164" t="s">
        <v>391</v>
      </c>
      <c r="E24" s="165">
        <v>3.9004629629629628E-3</v>
      </c>
      <c r="F24" s="151" t="s">
        <v>298</v>
      </c>
      <c r="H24" s="151" t="s">
        <v>31</v>
      </c>
      <c r="I24" s="164" t="s">
        <v>392</v>
      </c>
      <c r="J24" s="164" t="s">
        <v>393</v>
      </c>
      <c r="K24" s="165">
        <v>5.9027777777777778E-4</v>
      </c>
      <c r="L24" s="151" t="s">
        <v>394</v>
      </c>
      <c r="N24" s="151" t="s">
        <v>395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388</v>
      </c>
      <c r="B25" s="151" t="s">
        <v>389</v>
      </c>
      <c r="C25" s="164" t="s">
        <v>396</v>
      </c>
      <c r="D25" s="164" t="s">
        <v>397</v>
      </c>
      <c r="E25" s="165">
        <v>4.9537037037037041E-3</v>
      </c>
      <c r="F25" s="151" t="s">
        <v>298</v>
      </c>
      <c r="H25" s="151" t="s">
        <v>31</v>
      </c>
      <c r="I25" s="164" t="s">
        <v>398</v>
      </c>
      <c r="J25" s="164" t="s">
        <v>399</v>
      </c>
      <c r="K25" s="165">
        <v>5.6712962962962967E-4</v>
      </c>
      <c r="L25" s="151" t="s">
        <v>394</v>
      </c>
      <c r="N25" s="151" t="s">
        <v>395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388</v>
      </c>
      <c r="B26" s="151" t="s">
        <v>389</v>
      </c>
      <c r="C26" s="164" t="s">
        <v>400</v>
      </c>
      <c r="D26" s="164" t="s">
        <v>401</v>
      </c>
      <c r="E26" s="165">
        <v>1.3541666666666667E-3</v>
      </c>
      <c r="F26" s="151" t="s">
        <v>298</v>
      </c>
      <c r="H26" s="151" t="s">
        <v>299</v>
      </c>
      <c r="I26" s="164" t="s">
        <v>402</v>
      </c>
      <c r="J26" s="164" t="s">
        <v>403</v>
      </c>
      <c r="K26" s="165">
        <v>7.0601851851851847E-4</v>
      </c>
      <c r="L26" s="151" t="s">
        <v>302</v>
      </c>
      <c r="N26" s="151" t="s">
        <v>303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388</v>
      </c>
      <c r="B27" s="151" t="s">
        <v>389</v>
      </c>
      <c r="C27" s="164" t="s">
        <v>404</v>
      </c>
      <c r="D27" s="164" t="s">
        <v>405</v>
      </c>
      <c r="E27" s="165">
        <v>1.1689814814814816E-3</v>
      </c>
      <c r="F27" s="151" t="s">
        <v>298</v>
      </c>
      <c r="H27" s="151" t="s">
        <v>299</v>
      </c>
      <c r="I27" s="164" t="s">
        <v>406</v>
      </c>
      <c r="J27" s="164" t="s">
        <v>407</v>
      </c>
      <c r="K27" s="165">
        <v>6.2500000000000001E-4</v>
      </c>
      <c r="L27" s="151" t="s">
        <v>302</v>
      </c>
      <c r="N27" s="151" t="s">
        <v>303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388</v>
      </c>
      <c r="B28" s="151" t="s">
        <v>389</v>
      </c>
      <c r="C28" s="164" t="s">
        <v>408</v>
      </c>
      <c r="D28" s="164" t="s">
        <v>409</v>
      </c>
      <c r="E28" s="165">
        <v>1.261574074074074E-3</v>
      </c>
      <c r="F28" s="151" t="s">
        <v>298</v>
      </c>
      <c r="H28" s="151" t="s">
        <v>299</v>
      </c>
      <c r="J28" s="164" t="s">
        <v>410</v>
      </c>
      <c r="K28" s="165">
        <v>0</v>
      </c>
      <c r="L28" s="166" t="s">
        <v>302</v>
      </c>
      <c r="M28" s="151" t="s">
        <v>411</v>
      </c>
      <c r="N28" s="151" t="s">
        <v>303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388</v>
      </c>
      <c r="B29" s="151" t="s">
        <v>389</v>
      </c>
      <c r="C29" s="164" t="s">
        <v>412</v>
      </c>
      <c r="D29" s="164" t="s">
        <v>413</v>
      </c>
      <c r="E29" s="165">
        <v>1.5277777777777779E-3</v>
      </c>
      <c r="F29" s="151" t="s">
        <v>298</v>
      </c>
      <c r="H29" s="151" t="s">
        <v>299</v>
      </c>
      <c r="I29" s="164" t="s">
        <v>414</v>
      </c>
      <c r="J29" s="164" t="s">
        <v>415</v>
      </c>
      <c r="K29" s="165">
        <v>5.5555555555555556E-4</v>
      </c>
      <c r="L29" s="151" t="s">
        <v>302</v>
      </c>
      <c r="N29" s="151" t="s">
        <v>303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388</v>
      </c>
      <c r="B30" s="151" t="s">
        <v>389</v>
      </c>
      <c r="C30" s="164" t="s">
        <v>416</v>
      </c>
      <c r="D30" s="164" t="s">
        <v>417</v>
      </c>
      <c r="E30" s="165">
        <v>1.724537037037037E-3</v>
      </c>
      <c r="F30" s="151" t="s">
        <v>298</v>
      </c>
      <c r="H30" s="151" t="s">
        <v>299</v>
      </c>
      <c r="I30" s="164" t="s">
        <v>418</v>
      </c>
      <c r="J30" s="164" t="s">
        <v>419</v>
      </c>
      <c r="K30" s="165">
        <v>5.7870370370370367E-4</v>
      </c>
      <c r="L30" s="151" t="s">
        <v>302</v>
      </c>
      <c r="N30" s="151" t="s">
        <v>303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388</v>
      </c>
      <c r="B31" s="151" t="s">
        <v>389</v>
      </c>
      <c r="C31" s="164" t="s">
        <v>420</v>
      </c>
      <c r="D31" s="164" t="s">
        <v>421</v>
      </c>
      <c r="E31" s="165">
        <v>9.0509259259259258E-3</v>
      </c>
      <c r="F31" s="151" t="s">
        <v>298</v>
      </c>
      <c r="H31" s="151" t="s">
        <v>31</v>
      </c>
      <c r="I31" s="164" t="s">
        <v>422</v>
      </c>
      <c r="J31" s="164" t="s">
        <v>423</v>
      </c>
      <c r="K31" s="165">
        <v>6.9444444444444447E-4</v>
      </c>
      <c r="L31" s="151" t="s">
        <v>394</v>
      </c>
      <c r="N31" s="151" t="s">
        <v>395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388</v>
      </c>
      <c r="B32" s="151" t="s">
        <v>389</v>
      </c>
      <c r="C32" s="164" t="s">
        <v>424</v>
      </c>
      <c r="D32" s="164" t="s">
        <v>425</v>
      </c>
      <c r="E32" s="165">
        <v>1.2847222222222223E-3</v>
      </c>
      <c r="F32" s="151" t="s">
        <v>298</v>
      </c>
      <c r="H32" s="151" t="s">
        <v>299</v>
      </c>
      <c r="I32" s="164" t="s">
        <v>426</v>
      </c>
      <c r="J32" s="164" t="s">
        <v>427</v>
      </c>
      <c r="K32" s="165">
        <v>6.5972222222222224E-4</v>
      </c>
      <c r="L32" s="151" t="s">
        <v>302</v>
      </c>
      <c r="N32" s="151" t="s">
        <v>303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388</v>
      </c>
      <c r="B33" s="151" t="s">
        <v>389</v>
      </c>
      <c r="C33" s="164" t="s">
        <v>428</v>
      </c>
      <c r="D33" s="164" t="s">
        <v>429</v>
      </c>
      <c r="E33" s="165">
        <v>1.6087962962962963E-3</v>
      </c>
      <c r="F33" s="151" t="s">
        <v>298</v>
      </c>
      <c r="H33" s="151" t="s">
        <v>299</v>
      </c>
      <c r="I33" s="164" t="s">
        <v>430</v>
      </c>
      <c r="J33" s="164" t="s">
        <v>431</v>
      </c>
      <c r="K33" s="165">
        <v>6.2500000000000001E-4</v>
      </c>
      <c r="L33" s="151" t="s">
        <v>302</v>
      </c>
      <c r="N33" s="151" t="s">
        <v>303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388</v>
      </c>
      <c r="B34" s="151" t="s">
        <v>389</v>
      </c>
      <c r="C34" s="164" t="s">
        <v>432</v>
      </c>
      <c r="D34" s="164" t="s">
        <v>433</v>
      </c>
      <c r="E34" s="165">
        <v>5.2546296296296299E-3</v>
      </c>
      <c r="F34" s="151" t="s">
        <v>298</v>
      </c>
      <c r="H34" s="151" t="s">
        <v>31</v>
      </c>
      <c r="I34" s="164" t="s">
        <v>434</v>
      </c>
      <c r="J34" s="164" t="s">
        <v>435</v>
      </c>
      <c r="K34" s="165">
        <v>5.9027777777777778E-4</v>
      </c>
      <c r="L34" s="151" t="s">
        <v>394</v>
      </c>
      <c r="N34" s="151" t="s">
        <v>395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388</v>
      </c>
      <c r="B35" s="151" t="s">
        <v>389</v>
      </c>
      <c r="C35" s="164" t="s">
        <v>436</v>
      </c>
      <c r="D35" s="164" t="s">
        <v>437</v>
      </c>
      <c r="E35" s="165">
        <v>1.4699074074074074E-3</v>
      </c>
      <c r="F35" s="151" t="s">
        <v>298</v>
      </c>
      <c r="H35" s="151" t="s">
        <v>299</v>
      </c>
      <c r="I35" s="164" t="s">
        <v>438</v>
      </c>
      <c r="J35" s="164" t="s">
        <v>439</v>
      </c>
      <c r="K35" s="165">
        <v>6.3657407407407413E-4</v>
      </c>
      <c r="L35" s="151" t="s">
        <v>302</v>
      </c>
      <c r="N35" s="151" t="s">
        <v>303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388</v>
      </c>
      <c r="B36" s="151" t="s">
        <v>389</v>
      </c>
      <c r="C36" s="164" t="s">
        <v>440</v>
      </c>
      <c r="D36" s="164" t="s">
        <v>441</v>
      </c>
      <c r="E36" s="165">
        <v>1.0416666666666667E-3</v>
      </c>
      <c r="F36" s="151" t="s">
        <v>298</v>
      </c>
      <c r="H36" s="166" t="s">
        <v>299</v>
      </c>
      <c r="I36" s="164" t="s">
        <v>442</v>
      </c>
      <c r="J36" s="164" t="s">
        <v>443</v>
      </c>
      <c r="K36" s="165">
        <v>5.9027777777777778E-4</v>
      </c>
      <c r="L36" s="151" t="s">
        <v>302</v>
      </c>
      <c r="N36" s="151" t="s">
        <v>303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444</v>
      </c>
      <c r="B37" s="151" t="s">
        <v>445</v>
      </c>
      <c r="C37" s="164" t="s">
        <v>446</v>
      </c>
      <c r="D37" s="164" t="s">
        <v>447</v>
      </c>
      <c r="E37" s="165">
        <v>2.0949074074074073E-3</v>
      </c>
      <c r="F37" s="151" t="s">
        <v>448</v>
      </c>
      <c r="G37" s="151" t="s">
        <v>411</v>
      </c>
      <c r="H37" s="151" t="s">
        <v>449</v>
      </c>
      <c r="I37" s="164" t="s">
        <v>450</v>
      </c>
      <c r="J37" s="164" t="s">
        <v>451</v>
      </c>
      <c r="K37" s="165">
        <v>4.6296296296296298E-4</v>
      </c>
      <c r="L37" s="151" t="s">
        <v>448</v>
      </c>
      <c r="M37" s="151" t="s">
        <v>411</v>
      </c>
      <c r="N37" s="151" t="s">
        <v>452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444</v>
      </c>
      <c r="B38" s="151" t="s">
        <v>445</v>
      </c>
      <c r="C38" s="164" t="s">
        <v>453</v>
      </c>
      <c r="D38" s="164" t="s">
        <v>454</v>
      </c>
      <c r="E38" s="165">
        <v>1.9791666666666668E-3</v>
      </c>
      <c r="F38" s="151" t="s">
        <v>448</v>
      </c>
      <c r="G38" s="151" t="s">
        <v>411</v>
      </c>
      <c r="H38" s="151" t="s">
        <v>449</v>
      </c>
      <c r="I38" s="164" t="s">
        <v>455</v>
      </c>
      <c r="J38" s="164" t="s">
        <v>456</v>
      </c>
      <c r="K38" s="165">
        <v>1.0879629629629629E-3</v>
      </c>
      <c r="L38" s="151" t="s">
        <v>448</v>
      </c>
      <c r="M38" s="151" t="s">
        <v>411</v>
      </c>
      <c r="N38" s="151" t="s">
        <v>452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444</v>
      </c>
      <c r="B39" s="151" t="s">
        <v>445</v>
      </c>
      <c r="C39" s="164" t="s">
        <v>457</v>
      </c>
      <c r="D39" s="164" t="s">
        <v>458</v>
      </c>
      <c r="E39" s="165">
        <v>1.4583333333333334E-3</v>
      </c>
      <c r="F39" s="151" t="s">
        <v>448</v>
      </c>
      <c r="G39" s="151" t="s">
        <v>411</v>
      </c>
      <c r="H39" s="151" t="s">
        <v>449</v>
      </c>
      <c r="I39" s="164" t="s">
        <v>459</v>
      </c>
      <c r="J39" s="164" t="s">
        <v>460</v>
      </c>
      <c r="K39" s="165">
        <v>3.9351851851851852E-4</v>
      </c>
      <c r="L39" s="151" t="s">
        <v>448</v>
      </c>
      <c r="M39" s="151" t="s">
        <v>411</v>
      </c>
      <c r="N39" s="151" t="s">
        <v>452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444</v>
      </c>
      <c r="B40" s="151" t="s">
        <v>445</v>
      </c>
      <c r="C40" s="164" t="s">
        <v>461</v>
      </c>
      <c r="D40" s="164" t="s">
        <v>462</v>
      </c>
      <c r="E40" s="165">
        <v>2.0601851851851853E-3</v>
      </c>
      <c r="F40" s="151" t="s">
        <v>448</v>
      </c>
      <c r="G40" s="151" t="s">
        <v>411</v>
      </c>
      <c r="H40" s="151" t="s">
        <v>449</v>
      </c>
      <c r="I40" s="164" t="s">
        <v>463</v>
      </c>
      <c r="J40" s="164" t="s">
        <v>464</v>
      </c>
      <c r="K40" s="165">
        <v>4.7453703703703704E-4</v>
      </c>
      <c r="L40" s="151" t="s">
        <v>448</v>
      </c>
      <c r="M40" s="151" t="s">
        <v>411</v>
      </c>
      <c r="N40" s="151" t="s">
        <v>452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444</v>
      </c>
      <c r="B41" s="151" t="s">
        <v>445</v>
      </c>
      <c r="C41" s="164" t="s">
        <v>465</v>
      </c>
      <c r="D41" s="164" t="s">
        <v>466</v>
      </c>
      <c r="E41" s="165">
        <v>1.7476851851851852E-3</v>
      </c>
      <c r="F41" s="151" t="s">
        <v>448</v>
      </c>
      <c r="G41" s="151" t="s">
        <v>411</v>
      </c>
      <c r="H41" s="151" t="s">
        <v>449</v>
      </c>
      <c r="I41" s="164" t="s">
        <v>467</v>
      </c>
      <c r="J41" s="164" t="s">
        <v>468</v>
      </c>
      <c r="K41" s="165">
        <v>4.2824074074074075E-4</v>
      </c>
      <c r="L41" s="151" t="s">
        <v>448</v>
      </c>
      <c r="M41" s="151" t="s">
        <v>411</v>
      </c>
      <c r="N41" s="151" t="s">
        <v>452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444</v>
      </c>
      <c r="B42" s="151" t="s">
        <v>445</v>
      </c>
      <c r="C42" s="164" t="s">
        <v>469</v>
      </c>
      <c r="D42" s="164" t="s">
        <v>470</v>
      </c>
      <c r="E42" s="165">
        <v>1.8287037037037037E-3</v>
      </c>
      <c r="F42" s="151" t="s">
        <v>448</v>
      </c>
      <c r="G42" s="151" t="s">
        <v>411</v>
      </c>
      <c r="H42" s="151" t="s">
        <v>449</v>
      </c>
      <c r="J42" s="164" t="s">
        <v>471</v>
      </c>
      <c r="K42" s="165">
        <v>0</v>
      </c>
      <c r="L42" s="151" t="s">
        <v>448</v>
      </c>
      <c r="M42" s="151" t="s">
        <v>411</v>
      </c>
      <c r="N42" s="151" t="s">
        <v>452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444</v>
      </c>
      <c r="B43" s="151" t="s">
        <v>445</v>
      </c>
      <c r="C43" s="164" t="s">
        <v>472</v>
      </c>
      <c r="D43" s="164" t="s">
        <v>473</v>
      </c>
      <c r="E43" s="165">
        <v>2.2685185185185187E-3</v>
      </c>
      <c r="F43" s="151" t="s">
        <v>448</v>
      </c>
      <c r="G43" s="151" t="s">
        <v>411</v>
      </c>
      <c r="H43" s="151" t="s">
        <v>449</v>
      </c>
      <c r="I43" s="164" t="s">
        <v>474</v>
      </c>
      <c r="J43" s="164" t="s">
        <v>475</v>
      </c>
      <c r="K43" s="165">
        <v>4.5138888888888887E-4</v>
      </c>
      <c r="L43" s="151" t="s">
        <v>448</v>
      </c>
      <c r="M43" s="151" t="s">
        <v>411</v>
      </c>
      <c r="N43" s="151" t="s">
        <v>452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444</v>
      </c>
      <c r="B44" s="151" t="s">
        <v>445</v>
      </c>
      <c r="C44" s="164" t="s">
        <v>476</v>
      </c>
      <c r="D44" s="164" t="s">
        <v>477</v>
      </c>
      <c r="E44" s="165">
        <v>2.4305555555555556E-3</v>
      </c>
      <c r="F44" s="151" t="s">
        <v>448</v>
      </c>
      <c r="G44" s="151" t="s">
        <v>411</v>
      </c>
      <c r="H44" s="151" t="s">
        <v>449</v>
      </c>
      <c r="I44" s="164" t="s">
        <v>478</v>
      </c>
      <c r="J44" s="164" t="s">
        <v>479</v>
      </c>
      <c r="K44" s="165">
        <v>3.9351851851851852E-4</v>
      </c>
      <c r="L44" s="151" t="s">
        <v>448</v>
      </c>
      <c r="M44" s="151" t="s">
        <v>411</v>
      </c>
      <c r="N44" s="151" t="s">
        <v>452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444</v>
      </c>
      <c r="B45" s="151" t="s">
        <v>445</v>
      </c>
      <c r="C45" s="164" t="s">
        <v>480</v>
      </c>
      <c r="D45" s="164" t="s">
        <v>481</v>
      </c>
      <c r="E45" s="165">
        <v>2.0486111111111113E-3</v>
      </c>
      <c r="F45" s="151" t="s">
        <v>448</v>
      </c>
      <c r="G45" s="151" t="s">
        <v>411</v>
      </c>
      <c r="H45" s="151" t="s">
        <v>449</v>
      </c>
      <c r="I45" s="164" t="s">
        <v>482</v>
      </c>
      <c r="J45" s="164" t="s">
        <v>483</v>
      </c>
      <c r="K45" s="165">
        <v>4.6296296296296298E-4</v>
      </c>
      <c r="L45" s="151" t="s">
        <v>448</v>
      </c>
      <c r="M45" s="151" t="s">
        <v>411</v>
      </c>
      <c r="N45" s="151" t="s">
        <v>452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444</v>
      </c>
      <c r="B46" s="151" t="s">
        <v>445</v>
      </c>
      <c r="C46" s="164" t="s">
        <v>484</v>
      </c>
      <c r="D46" s="164" t="s">
        <v>485</v>
      </c>
      <c r="E46" s="165">
        <v>2.2106481481481482E-3</v>
      </c>
      <c r="F46" s="151" t="s">
        <v>448</v>
      </c>
      <c r="G46" s="151" t="s">
        <v>411</v>
      </c>
      <c r="H46" s="151" t="s">
        <v>449</v>
      </c>
      <c r="I46" s="164" t="s">
        <v>486</v>
      </c>
      <c r="J46" s="164" t="s">
        <v>487</v>
      </c>
      <c r="K46" s="165">
        <v>4.3981481481481481E-4</v>
      </c>
      <c r="L46" s="151" t="s">
        <v>448</v>
      </c>
      <c r="M46" s="151" t="s">
        <v>411</v>
      </c>
      <c r="N46" s="151" t="s">
        <v>452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444</v>
      </c>
      <c r="B47" s="151" t="s">
        <v>445</v>
      </c>
      <c r="C47" s="164" t="s">
        <v>488</v>
      </c>
      <c r="D47" s="164" t="s">
        <v>489</v>
      </c>
      <c r="E47" s="165">
        <v>2.2222222222222222E-3</v>
      </c>
      <c r="F47" s="151" t="s">
        <v>448</v>
      </c>
      <c r="G47" s="151" t="s">
        <v>411</v>
      </c>
      <c r="H47" s="151" t="s">
        <v>449</v>
      </c>
      <c r="I47" s="164" t="s">
        <v>490</v>
      </c>
      <c r="J47" s="164" t="s">
        <v>491</v>
      </c>
      <c r="K47" s="165">
        <v>4.0509259259259258E-4</v>
      </c>
      <c r="L47" s="151" t="s">
        <v>448</v>
      </c>
      <c r="M47" s="151" t="s">
        <v>411</v>
      </c>
      <c r="N47" s="151" t="s">
        <v>452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444</v>
      </c>
      <c r="B48" s="151" t="s">
        <v>445</v>
      </c>
      <c r="C48" s="164" t="s">
        <v>492</v>
      </c>
      <c r="D48" s="164" t="s">
        <v>493</v>
      </c>
      <c r="E48" s="165">
        <v>2.1527777777777778E-3</v>
      </c>
      <c r="F48" s="151" t="s">
        <v>448</v>
      </c>
      <c r="G48" s="151" t="s">
        <v>411</v>
      </c>
      <c r="H48" s="151" t="s">
        <v>449</v>
      </c>
      <c r="I48" s="164" t="s">
        <v>494</v>
      </c>
      <c r="J48" s="164" t="s">
        <v>495</v>
      </c>
      <c r="K48" s="165">
        <v>4.1666666666666669E-4</v>
      </c>
      <c r="L48" s="151" t="s">
        <v>448</v>
      </c>
      <c r="M48" s="151" t="s">
        <v>411</v>
      </c>
      <c r="N48" s="151" t="s">
        <v>452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444</v>
      </c>
      <c r="B49" s="151" t="s">
        <v>445</v>
      </c>
      <c r="C49" s="164" t="s">
        <v>496</v>
      </c>
      <c r="D49" s="164" t="s">
        <v>497</v>
      </c>
      <c r="E49" s="165">
        <v>2.5000000000000001E-3</v>
      </c>
      <c r="F49" s="151" t="s">
        <v>448</v>
      </c>
      <c r="G49" s="151" t="s">
        <v>411</v>
      </c>
      <c r="H49" s="151" t="s">
        <v>449</v>
      </c>
      <c r="I49" s="164" t="s">
        <v>498</v>
      </c>
      <c r="J49" s="164" t="s">
        <v>499</v>
      </c>
      <c r="K49" s="165">
        <v>4.3981481481481481E-4</v>
      </c>
      <c r="L49" s="151" t="s">
        <v>448</v>
      </c>
      <c r="M49" s="151" t="s">
        <v>411</v>
      </c>
      <c r="N49" s="151" t="s">
        <v>452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444</v>
      </c>
      <c r="B50" s="151" t="s">
        <v>445</v>
      </c>
      <c r="C50" s="164" t="s">
        <v>500</v>
      </c>
      <c r="D50" s="164" t="s">
        <v>501</v>
      </c>
      <c r="E50" s="165">
        <v>1.8981481481481482E-3</v>
      </c>
      <c r="F50" s="151" t="s">
        <v>448</v>
      </c>
      <c r="G50" s="151" t="s">
        <v>411</v>
      </c>
      <c r="H50" s="151" t="s">
        <v>449</v>
      </c>
      <c r="I50" s="164" t="s">
        <v>502</v>
      </c>
      <c r="J50" s="164" t="s">
        <v>503</v>
      </c>
      <c r="K50" s="165">
        <v>4.1666666666666669E-4</v>
      </c>
      <c r="L50" s="151" t="s">
        <v>448</v>
      </c>
      <c r="M50" s="151" t="s">
        <v>411</v>
      </c>
      <c r="N50" s="151" t="s">
        <v>452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444</v>
      </c>
      <c r="B51" s="151" t="s">
        <v>445</v>
      </c>
      <c r="C51" s="164" t="s">
        <v>504</v>
      </c>
      <c r="D51" s="164" t="s">
        <v>505</v>
      </c>
      <c r="E51" s="165">
        <v>2.1296296296296298E-3</v>
      </c>
      <c r="F51" s="151" t="s">
        <v>448</v>
      </c>
      <c r="G51" s="151" t="s">
        <v>411</v>
      </c>
      <c r="H51" s="151" t="s">
        <v>449</v>
      </c>
      <c r="I51" s="164" t="s">
        <v>506</v>
      </c>
      <c r="J51" s="164" t="s">
        <v>507</v>
      </c>
      <c r="K51" s="165">
        <v>4.0509259259259258E-4</v>
      </c>
      <c r="L51" s="151" t="s">
        <v>448</v>
      </c>
      <c r="M51" s="151" t="s">
        <v>411</v>
      </c>
      <c r="N51" s="151" t="s">
        <v>452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444</v>
      </c>
      <c r="B52" s="151" t="s">
        <v>445</v>
      </c>
      <c r="C52" s="164" t="s">
        <v>508</v>
      </c>
      <c r="D52" s="164" t="s">
        <v>509</v>
      </c>
      <c r="E52" s="165">
        <v>2.4189814814814816E-3</v>
      </c>
      <c r="F52" s="151" t="s">
        <v>448</v>
      </c>
      <c r="G52" s="151" t="s">
        <v>411</v>
      </c>
      <c r="H52" s="151" t="s">
        <v>449</v>
      </c>
      <c r="I52" s="164" t="s">
        <v>510</v>
      </c>
      <c r="J52" s="164" t="s">
        <v>511</v>
      </c>
      <c r="K52" s="165">
        <v>4.0509259259259258E-4</v>
      </c>
      <c r="L52" s="151" t="s">
        <v>448</v>
      </c>
      <c r="M52" s="151" t="s">
        <v>411</v>
      </c>
      <c r="N52" s="151" t="s">
        <v>452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444</v>
      </c>
      <c r="B53" s="151" t="s">
        <v>445</v>
      </c>
      <c r="C53" s="164" t="s">
        <v>512</v>
      </c>
      <c r="D53" s="164" t="s">
        <v>513</v>
      </c>
      <c r="E53" s="165">
        <v>1.8981481481481482E-3</v>
      </c>
      <c r="F53" s="151" t="s">
        <v>448</v>
      </c>
      <c r="G53" s="151" t="s">
        <v>411</v>
      </c>
      <c r="H53" s="151" t="s">
        <v>449</v>
      </c>
      <c r="I53" s="164" t="s">
        <v>514</v>
      </c>
      <c r="J53" s="164" t="s">
        <v>515</v>
      </c>
      <c r="K53" s="165">
        <v>4.2824074074074075E-4</v>
      </c>
      <c r="L53" s="151" t="s">
        <v>448</v>
      </c>
      <c r="M53" s="151" t="s">
        <v>411</v>
      </c>
      <c r="N53" s="151" t="s">
        <v>452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444</v>
      </c>
      <c r="B54" s="151" t="s">
        <v>445</v>
      </c>
      <c r="C54" s="164" t="s">
        <v>516</v>
      </c>
      <c r="D54" s="164" t="s">
        <v>517</v>
      </c>
      <c r="E54" s="165">
        <v>2.1412037037037038E-3</v>
      </c>
      <c r="F54" s="151" t="s">
        <v>448</v>
      </c>
      <c r="G54" s="151" t="s">
        <v>411</v>
      </c>
      <c r="H54" s="151" t="s">
        <v>449</v>
      </c>
      <c r="I54" s="164" t="s">
        <v>518</v>
      </c>
      <c r="J54" s="164" t="s">
        <v>519</v>
      </c>
      <c r="K54" s="165">
        <v>4.2824074074074075E-4</v>
      </c>
      <c r="L54" s="151" t="s">
        <v>448</v>
      </c>
      <c r="M54" s="151" t="s">
        <v>411</v>
      </c>
      <c r="N54" s="151" t="s">
        <v>452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444</v>
      </c>
      <c r="B55" s="151" t="s">
        <v>445</v>
      </c>
      <c r="C55" s="164" t="s">
        <v>520</v>
      </c>
      <c r="D55" s="164" t="s">
        <v>521</v>
      </c>
      <c r="E55" s="165">
        <v>2.1643518518518518E-3</v>
      </c>
      <c r="F55" s="151" t="s">
        <v>448</v>
      </c>
      <c r="G55" s="151" t="s">
        <v>411</v>
      </c>
      <c r="H55" s="151" t="s">
        <v>449</v>
      </c>
      <c r="I55" s="164" t="s">
        <v>522</v>
      </c>
      <c r="J55" s="164" t="s">
        <v>523</v>
      </c>
      <c r="K55" s="165">
        <v>4.1666666666666669E-4</v>
      </c>
      <c r="L55" s="151" t="s">
        <v>448</v>
      </c>
      <c r="M55" s="151" t="s">
        <v>411</v>
      </c>
      <c r="N55" s="151" t="s">
        <v>452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444</v>
      </c>
      <c r="B56" s="151" t="s">
        <v>445</v>
      </c>
      <c r="C56" s="164" t="s">
        <v>524</v>
      </c>
      <c r="D56" s="164" t="s">
        <v>525</v>
      </c>
      <c r="E56" s="165">
        <v>2.0023148148148148E-3</v>
      </c>
      <c r="F56" s="151" t="s">
        <v>448</v>
      </c>
      <c r="G56" s="151" t="s">
        <v>411</v>
      </c>
      <c r="H56" s="151" t="s">
        <v>449</v>
      </c>
      <c r="I56" s="164" t="s">
        <v>526</v>
      </c>
      <c r="J56" s="164" t="s">
        <v>527</v>
      </c>
      <c r="K56" s="165">
        <v>5.3240740740740744E-4</v>
      </c>
      <c r="L56" s="151" t="s">
        <v>448</v>
      </c>
      <c r="M56" s="151" t="s">
        <v>411</v>
      </c>
      <c r="N56" s="151" t="s">
        <v>452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444</v>
      </c>
      <c r="B57" s="151" t="s">
        <v>445</v>
      </c>
      <c r="C57" s="164" t="s">
        <v>528</v>
      </c>
      <c r="D57" s="164" t="s">
        <v>529</v>
      </c>
      <c r="E57" s="165">
        <v>1.9444444444444444E-3</v>
      </c>
      <c r="F57" s="151" t="s">
        <v>448</v>
      </c>
      <c r="G57" s="151" t="s">
        <v>411</v>
      </c>
      <c r="H57" s="151" t="s">
        <v>449</v>
      </c>
      <c r="I57" s="164" t="s">
        <v>530</v>
      </c>
      <c r="J57" s="164" t="s">
        <v>531</v>
      </c>
      <c r="K57" s="165">
        <v>4.7453703703703704E-4</v>
      </c>
      <c r="L57" s="151" t="s">
        <v>448</v>
      </c>
      <c r="M57" s="151" t="s">
        <v>411</v>
      </c>
      <c r="N57" s="151" t="s">
        <v>452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444</v>
      </c>
      <c r="B58" s="151" t="s">
        <v>445</v>
      </c>
      <c r="C58" s="164" t="s">
        <v>532</v>
      </c>
      <c r="D58" s="164" t="s">
        <v>533</v>
      </c>
      <c r="E58" s="165">
        <v>2.8587962962962963E-3</v>
      </c>
      <c r="F58" s="151" t="s">
        <v>448</v>
      </c>
      <c r="G58" s="151" t="s">
        <v>411</v>
      </c>
      <c r="H58" s="151" t="s">
        <v>449</v>
      </c>
      <c r="I58" s="164" t="s">
        <v>534</v>
      </c>
      <c r="J58" s="164" t="s">
        <v>535</v>
      </c>
      <c r="K58" s="165">
        <v>4.5138888888888887E-4</v>
      </c>
      <c r="L58" s="151" t="s">
        <v>448</v>
      </c>
      <c r="M58" s="151" t="s">
        <v>411</v>
      </c>
      <c r="N58" s="151" t="s">
        <v>452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444</v>
      </c>
      <c r="B59" s="151" t="s">
        <v>445</v>
      </c>
      <c r="C59" s="164" t="s">
        <v>536</v>
      </c>
      <c r="D59" s="164" t="s">
        <v>537</v>
      </c>
      <c r="E59" s="165">
        <v>2.3379629629629631E-3</v>
      </c>
      <c r="F59" s="151" t="s">
        <v>448</v>
      </c>
      <c r="G59" s="151" t="s">
        <v>411</v>
      </c>
      <c r="H59" s="151" t="s">
        <v>449</v>
      </c>
      <c r="I59" s="164" t="s">
        <v>538</v>
      </c>
      <c r="J59" s="164" t="s">
        <v>539</v>
      </c>
      <c r="K59" s="165">
        <v>4.2824074074074075E-4</v>
      </c>
      <c r="L59" s="151" t="s">
        <v>448</v>
      </c>
      <c r="M59" s="151" t="s">
        <v>411</v>
      </c>
      <c r="N59" s="151" t="s">
        <v>452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444</v>
      </c>
      <c r="B60" s="151" t="s">
        <v>445</v>
      </c>
      <c r="C60" s="164" t="s">
        <v>540</v>
      </c>
      <c r="D60" s="164" t="s">
        <v>541</v>
      </c>
      <c r="E60" s="165">
        <v>1.8287037037037037E-3</v>
      </c>
      <c r="F60" s="151" t="s">
        <v>448</v>
      </c>
      <c r="G60" s="151" t="s">
        <v>411</v>
      </c>
      <c r="H60" s="151" t="s">
        <v>449</v>
      </c>
      <c r="I60" s="164" t="s">
        <v>542</v>
      </c>
      <c r="J60" s="164" t="s">
        <v>543</v>
      </c>
      <c r="K60" s="165">
        <v>3.9351851851851852E-4</v>
      </c>
      <c r="L60" s="151" t="s">
        <v>448</v>
      </c>
      <c r="M60" s="151" t="s">
        <v>411</v>
      </c>
      <c r="N60" s="151" t="s">
        <v>452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444</v>
      </c>
      <c r="B61" s="151" t="s">
        <v>445</v>
      </c>
      <c r="C61" s="164" t="s">
        <v>544</v>
      </c>
      <c r="D61" s="164" t="s">
        <v>545</v>
      </c>
      <c r="E61" s="165">
        <v>2.3495370370370371E-3</v>
      </c>
      <c r="F61" s="151" t="s">
        <v>448</v>
      </c>
      <c r="G61" s="151" t="s">
        <v>411</v>
      </c>
      <c r="H61" s="151" t="s">
        <v>449</v>
      </c>
      <c r="I61" s="164" t="s">
        <v>546</v>
      </c>
      <c r="J61" s="164" t="s">
        <v>547</v>
      </c>
      <c r="K61" s="165">
        <v>4.5138888888888887E-4</v>
      </c>
      <c r="L61" s="151" t="s">
        <v>448</v>
      </c>
      <c r="M61" s="151" t="s">
        <v>411</v>
      </c>
      <c r="N61" s="151" t="s">
        <v>452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444</v>
      </c>
      <c r="B62" s="151" t="s">
        <v>445</v>
      </c>
      <c r="C62" s="164" t="s">
        <v>548</v>
      </c>
      <c r="D62" s="164" t="s">
        <v>549</v>
      </c>
      <c r="E62" s="165">
        <v>2.0949074074074073E-3</v>
      </c>
      <c r="F62" s="151" t="s">
        <v>448</v>
      </c>
      <c r="G62" s="151" t="s">
        <v>411</v>
      </c>
      <c r="H62" s="151" t="s">
        <v>449</v>
      </c>
      <c r="I62" s="164" t="s">
        <v>550</v>
      </c>
      <c r="J62" s="164" t="s">
        <v>551</v>
      </c>
      <c r="K62" s="165">
        <v>4.9768518518518521E-4</v>
      </c>
      <c r="L62" s="151" t="s">
        <v>448</v>
      </c>
      <c r="M62" s="151" t="s">
        <v>411</v>
      </c>
      <c r="N62" s="151" t="s">
        <v>452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444</v>
      </c>
      <c r="B63" s="151" t="s">
        <v>445</v>
      </c>
      <c r="C63" s="164" t="s">
        <v>552</v>
      </c>
      <c r="D63" s="164" t="s">
        <v>553</v>
      </c>
      <c r="E63" s="165">
        <v>1.1111111111111111E-3</v>
      </c>
      <c r="F63" s="151" t="s">
        <v>448</v>
      </c>
      <c r="G63" s="151" t="s">
        <v>411</v>
      </c>
      <c r="H63" s="151" t="s">
        <v>449</v>
      </c>
      <c r="I63" s="164" t="s">
        <v>554</v>
      </c>
      <c r="J63" s="164" t="s">
        <v>555</v>
      </c>
      <c r="K63" s="165">
        <v>4.0509259259259258E-4</v>
      </c>
      <c r="L63" s="151" t="s">
        <v>448</v>
      </c>
      <c r="M63" s="151" t="s">
        <v>411</v>
      </c>
      <c r="N63" s="151" t="s">
        <v>452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444</v>
      </c>
      <c r="B64" s="151" t="s">
        <v>445</v>
      </c>
      <c r="C64" s="164" t="s">
        <v>556</v>
      </c>
      <c r="D64" s="164" t="s">
        <v>557</v>
      </c>
      <c r="E64" s="165">
        <v>1.9097222222222222E-3</v>
      </c>
      <c r="F64" s="151" t="s">
        <v>448</v>
      </c>
      <c r="G64" s="151" t="s">
        <v>411</v>
      </c>
      <c r="H64" s="151" t="s">
        <v>449</v>
      </c>
      <c r="I64" s="164" t="s">
        <v>558</v>
      </c>
      <c r="J64" s="164" t="s">
        <v>559</v>
      </c>
      <c r="K64" s="165">
        <v>4.5138888888888887E-4</v>
      </c>
      <c r="L64" s="151" t="s">
        <v>448</v>
      </c>
      <c r="M64" s="151" t="s">
        <v>411</v>
      </c>
      <c r="N64" s="151" t="s">
        <v>452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444</v>
      </c>
      <c r="B65" s="151" t="s">
        <v>445</v>
      </c>
      <c r="C65" s="164" t="s">
        <v>560</v>
      </c>
      <c r="D65" s="164" t="s">
        <v>561</v>
      </c>
      <c r="E65" s="165">
        <v>1.5972222222222223E-3</v>
      </c>
      <c r="F65" s="151" t="s">
        <v>448</v>
      </c>
      <c r="G65" s="151" t="s">
        <v>411</v>
      </c>
      <c r="H65" s="151" t="s">
        <v>449</v>
      </c>
      <c r="I65" s="164" t="s">
        <v>562</v>
      </c>
      <c r="J65" s="164" t="s">
        <v>563</v>
      </c>
      <c r="K65" s="165">
        <v>3.4722222222222224E-4</v>
      </c>
      <c r="L65" s="151" t="s">
        <v>448</v>
      </c>
      <c r="M65" s="151" t="s">
        <v>411</v>
      </c>
      <c r="N65" s="151" t="s">
        <v>452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444</v>
      </c>
      <c r="B66" s="151" t="s">
        <v>445</v>
      </c>
      <c r="C66" s="164" t="s">
        <v>564</v>
      </c>
      <c r="D66" s="164" t="s">
        <v>565</v>
      </c>
      <c r="E66" s="165">
        <v>1.8055555555555555E-3</v>
      </c>
      <c r="F66" s="151" t="s">
        <v>448</v>
      </c>
      <c r="G66" s="151" t="s">
        <v>411</v>
      </c>
      <c r="H66" s="151" t="s">
        <v>449</v>
      </c>
      <c r="I66" s="164" t="s">
        <v>566</v>
      </c>
      <c r="J66" s="164" t="s">
        <v>567</v>
      </c>
      <c r="K66" s="165">
        <v>6.134259259259259E-4</v>
      </c>
      <c r="L66" s="151" t="s">
        <v>448</v>
      </c>
      <c r="M66" s="151" t="s">
        <v>411</v>
      </c>
      <c r="N66" s="151" t="s">
        <v>452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444</v>
      </c>
      <c r="B67" s="151" t="s">
        <v>445</v>
      </c>
      <c r="C67" s="164" t="s">
        <v>568</v>
      </c>
      <c r="D67" s="164" t="s">
        <v>569</v>
      </c>
      <c r="E67" s="165">
        <v>1.8287037037037037E-3</v>
      </c>
      <c r="F67" s="151" t="s">
        <v>448</v>
      </c>
      <c r="G67" s="151" t="s">
        <v>411</v>
      </c>
      <c r="H67" s="151" t="s">
        <v>449</v>
      </c>
      <c r="I67" s="164" t="s">
        <v>570</v>
      </c>
      <c r="J67" s="164" t="s">
        <v>571</v>
      </c>
      <c r="K67" s="165">
        <v>4.861111111111111E-4</v>
      </c>
      <c r="L67" s="151" t="s">
        <v>448</v>
      </c>
      <c r="M67" s="151" t="s">
        <v>411</v>
      </c>
      <c r="N67" s="151" t="s">
        <v>452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444</v>
      </c>
      <c r="B68" s="151" t="s">
        <v>445</v>
      </c>
      <c r="C68" s="164" t="s">
        <v>572</v>
      </c>
      <c r="D68" s="164" t="s">
        <v>573</v>
      </c>
      <c r="E68" s="165">
        <v>1.7824074074074075E-3</v>
      </c>
      <c r="F68" s="151" t="s">
        <v>448</v>
      </c>
      <c r="G68" s="151" t="s">
        <v>411</v>
      </c>
      <c r="H68" s="166" t="s">
        <v>449</v>
      </c>
      <c r="I68" s="164" t="s">
        <v>574</v>
      </c>
      <c r="J68" s="164" t="s">
        <v>575</v>
      </c>
      <c r="K68" s="165">
        <v>3.5879629629629629E-4</v>
      </c>
      <c r="L68" s="151" t="s">
        <v>448</v>
      </c>
      <c r="M68" s="151" t="s">
        <v>411</v>
      </c>
      <c r="N68" s="151" t="s">
        <v>452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444</v>
      </c>
      <c r="B69" s="151" t="s">
        <v>445</v>
      </c>
      <c r="C69" s="164" t="s">
        <v>576</v>
      </c>
      <c r="D69" s="164" t="s">
        <v>577</v>
      </c>
      <c r="E69" s="165">
        <v>7.1759259259259259E-4</v>
      </c>
      <c r="F69" s="151" t="s">
        <v>448</v>
      </c>
      <c r="G69" s="151" t="s">
        <v>411</v>
      </c>
      <c r="H69" s="151" t="s">
        <v>449</v>
      </c>
      <c r="I69" s="164" t="s">
        <v>578</v>
      </c>
      <c r="J69" s="164" t="s">
        <v>579</v>
      </c>
      <c r="K69" s="165">
        <v>4.5138888888888887E-4</v>
      </c>
      <c r="L69" s="151" t="s">
        <v>448</v>
      </c>
      <c r="M69" s="151" t="s">
        <v>411</v>
      </c>
      <c r="N69" s="151" t="s">
        <v>452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444</v>
      </c>
      <c r="B70" s="151" t="s">
        <v>445</v>
      </c>
      <c r="C70" s="164" t="s">
        <v>580</v>
      </c>
      <c r="D70" s="164" t="s">
        <v>581</v>
      </c>
      <c r="E70" s="165">
        <v>1.8287037037037037E-3</v>
      </c>
      <c r="F70" s="151" t="s">
        <v>448</v>
      </c>
      <c r="G70" s="151" t="s">
        <v>411</v>
      </c>
      <c r="H70" s="151" t="s">
        <v>449</v>
      </c>
      <c r="I70" s="164" t="s">
        <v>582</v>
      </c>
      <c r="J70" s="164" t="s">
        <v>583</v>
      </c>
      <c r="K70" s="165">
        <v>4.2824074074074075E-4</v>
      </c>
      <c r="L70" s="151" t="s">
        <v>448</v>
      </c>
      <c r="M70" s="151" t="s">
        <v>411</v>
      </c>
      <c r="N70" s="151" t="s">
        <v>452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444</v>
      </c>
      <c r="B71" s="151" t="s">
        <v>445</v>
      </c>
      <c r="C71" s="164" t="s">
        <v>584</v>
      </c>
      <c r="D71" s="164" t="s">
        <v>585</v>
      </c>
      <c r="E71" s="165">
        <v>1.9907407407407408E-3</v>
      </c>
      <c r="F71" s="151" t="s">
        <v>448</v>
      </c>
      <c r="G71" s="151" t="s">
        <v>411</v>
      </c>
      <c r="H71" s="151" t="s">
        <v>449</v>
      </c>
      <c r="I71" s="164" t="s">
        <v>586</v>
      </c>
      <c r="J71" s="164" t="s">
        <v>587</v>
      </c>
      <c r="K71" s="165">
        <v>4.7453703703703704E-4</v>
      </c>
      <c r="L71" s="151" t="s">
        <v>448</v>
      </c>
      <c r="M71" s="151" t="s">
        <v>411</v>
      </c>
      <c r="N71" s="151" t="s">
        <v>452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444</v>
      </c>
      <c r="B72" s="151" t="s">
        <v>445</v>
      </c>
      <c r="C72" s="164" t="s">
        <v>588</v>
      </c>
      <c r="D72" s="164" t="s">
        <v>589</v>
      </c>
      <c r="E72" s="165">
        <v>1.712962962962963E-3</v>
      </c>
      <c r="F72" s="151" t="s">
        <v>448</v>
      </c>
      <c r="G72" s="151" t="s">
        <v>411</v>
      </c>
      <c r="H72" s="151" t="s">
        <v>449</v>
      </c>
      <c r="I72" s="164" t="s">
        <v>590</v>
      </c>
      <c r="J72" s="164" t="s">
        <v>591</v>
      </c>
      <c r="K72" s="165">
        <v>3.9351851851851852E-4</v>
      </c>
      <c r="L72" s="151" t="s">
        <v>448</v>
      </c>
      <c r="M72" s="151" t="s">
        <v>411</v>
      </c>
      <c r="N72" s="151" t="s">
        <v>452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444</v>
      </c>
      <c r="B73" s="151" t="s">
        <v>445</v>
      </c>
      <c r="C73" s="164" t="s">
        <v>592</v>
      </c>
      <c r="D73" s="164" t="s">
        <v>593</v>
      </c>
      <c r="E73" s="165">
        <v>1.7013888888888888E-3</v>
      </c>
      <c r="F73" s="151" t="s">
        <v>448</v>
      </c>
      <c r="G73" s="151" t="s">
        <v>411</v>
      </c>
      <c r="H73" s="151" t="s">
        <v>449</v>
      </c>
      <c r="I73" s="164" t="s">
        <v>594</v>
      </c>
      <c r="J73" s="164" t="s">
        <v>595</v>
      </c>
      <c r="K73" s="165">
        <v>3.5879629629629629E-4</v>
      </c>
      <c r="L73" s="151" t="s">
        <v>448</v>
      </c>
      <c r="M73" s="151" t="s">
        <v>411</v>
      </c>
      <c r="N73" s="151" t="s">
        <v>452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444</v>
      </c>
      <c r="B74" s="151" t="s">
        <v>445</v>
      </c>
      <c r="C74" s="164" t="s">
        <v>596</v>
      </c>
      <c r="D74" s="164" t="s">
        <v>597</v>
      </c>
      <c r="E74" s="165">
        <v>1.5046296296296296E-3</v>
      </c>
      <c r="F74" s="151" t="s">
        <v>448</v>
      </c>
      <c r="G74" s="151" t="s">
        <v>411</v>
      </c>
      <c r="H74" s="151" t="s">
        <v>449</v>
      </c>
      <c r="I74" s="164" t="s">
        <v>598</v>
      </c>
      <c r="J74" s="164" t="s">
        <v>599</v>
      </c>
      <c r="K74" s="165">
        <v>3.9351851851851852E-4</v>
      </c>
      <c r="L74" s="151" t="s">
        <v>448</v>
      </c>
      <c r="M74" s="151" t="s">
        <v>411</v>
      </c>
      <c r="N74" s="151" t="s">
        <v>452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444</v>
      </c>
      <c r="B75" s="151" t="s">
        <v>445</v>
      </c>
      <c r="C75" s="164" t="s">
        <v>377</v>
      </c>
      <c r="D75" s="164" t="s">
        <v>600</v>
      </c>
      <c r="E75" s="165">
        <v>2.2800925925925927E-3</v>
      </c>
      <c r="F75" s="151" t="s">
        <v>448</v>
      </c>
      <c r="G75" s="151" t="s">
        <v>411</v>
      </c>
      <c r="H75" s="151" t="s">
        <v>449</v>
      </c>
      <c r="I75" s="164" t="s">
        <v>601</v>
      </c>
      <c r="J75" s="164" t="s">
        <v>602</v>
      </c>
      <c r="K75" s="165">
        <v>4.2824074074074075E-4</v>
      </c>
      <c r="L75" s="151" t="s">
        <v>448</v>
      </c>
      <c r="M75" s="151" t="s">
        <v>411</v>
      </c>
      <c r="N75" s="151" t="s">
        <v>452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444</v>
      </c>
      <c r="B76" s="151" t="s">
        <v>445</v>
      </c>
      <c r="C76" s="164" t="s">
        <v>603</v>
      </c>
      <c r="D76" s="164" t="s">
        <v>604</v>
      </c>
      <c r="E76" s="165">
        <v>1.4814814814814814E-3</v>
      </c>
      <c r="F76" s="151" t="s">
        <v>448</v>
      </c>
      <c r="G76" s="151" t="s">
        <v>411</v>
      </c>
      <c r="H76" s="151" t="s">
        <v>449</v>
      </c>
      <c r="I76" s="164" t="s">
        <v>605</v>
      </c>
      <c r="J76" s="164" t="s">
        <v>606</v>
      </c>
      <c r="K76" s="165">
        <v>4.3981481481481481E-4</v>
      </c>
      <c r="L76" s="151" t="s">
        <v>448</v>
      </c>
      <c r="M76" s="151" t="s">
        <v>411</v>
      </c>
      <c r="N76" s="151" t="s">
        <v>452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444</v>
      </c>
      <c r="B77" s="151" t="s">
        <v>445</v>
      </c>
      <c r="C77" s="164" t="s">
        <v>607</v>
      </c>
      <c r="D77" s="164" t="s">
        <v>608</v>
      </c>
      <c r="E77" s="165">
        <v>1.724537037037037E-3</v>
      </c>
      <c r="F77" s="151" t="s">
        <v>448</v>
      </c>
      <c r="G77" s="151" t="s">
        <v>411</v>
      </c>
      <c r="H77" s="151" t="s">
        <v>449</v>
      </c>
      <c r="I77" s="164" t="s">
        <v>609</v>
      </c>
      <c r="J77" s="164" t="s">
        <v>610</v>
      </c>
      <c r="K77" s="165">
        <v>4.1666666666666669E-4</v>
      </c>
      <c r="L77" s="151" t="s">
        <v>448</v>
      </c>
      <c r="M77" s="151" t="s">
        <v>411</v>
      </c>
      <c r="N77" s="151" t="s">
        <v>452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444</v>
      </c>
      <c r="B78" s="151" t="s">
        <v>445</v>
      </c>
      <c r="C78" s="164" t="s">
        <v>611</v>
      </c>
      <c r="D78" s="164" t="s">
        <v>612</v>
      </c>
      <c r="E78" s="165">
        <v>2.476851851851852E-3</v>
      </c>
      <c r="F78" s="151" t="s">
        <v>448</v>
      </c>
      <c r="G78" s="151" t="s">
        <v>411</v>
      </c>
      <c r="H78" s="151" t="s">
        <v>449</v>
      </c>
      <c r="I78" s="164" t="s">
        <v>613</v>
      </c>
      <c r="J78" s="164" t="s">
        <v>614</v>
      </c>
      <c r="K78" s="165">
        <v>4.3981481481481481E-4</v>
      </c>
      <c r="L78" s="151" t="s">
        <v>448</v>
      </c>
      <c r="M78" s="151" t="s">
        <v>411</v>
      </c>
      <c r="N78" s="151" t="s">
        <v>452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444</v>
      </c>
      <c r="B79" s="151" t="s">
        <v>445</v>
      </c>
      <c r="C79" s="164" t="s">
        <v>615</v>
      </c>
      <c r="D79" s="164" t="s">
        <v>616</v>
      </c>
      <c r="E79" s="165">
        <v>1.8287037037037037E-3</v>
      </c>
      <c r="F79" s="151" t="s">
        <v>448</v>
      </c>
      <c r="G79" s="151" t="s">
        <v>411</v>
      </c>
      <c r="H79" s="151" t="s">
        <v>449</v>
      </c>
      <c r="I79" s="164" t="s">
        <v>617</v>
      </c>
      <c r="J79" s="164" t="s">
        <v>618</v>
      </c>
      <c r="K79" s="165">
        <v>4.1666666666666669E-4</v>
      </c>
      <c r="L79" s="151" t="s">
        <v>448</v>
      </c>
      <c r="M79" s="151" t="s">
        <v>411</v>
      </c>
      <c r="N79" s="151" t="s">
        <v>452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444</v>
      </c>
      <c r="B80" s="151" t="s">
        <v>445</v>
      </c>
      <c r="C80" s="164" t="s">
        <v>619</v>
      </c>
      <c r="D80" s="164" t="s">
        <v>620</v>
      </c>
      <c r="E80" s="165">
        <v>2.2106481481481482E-3</v>
      </c>
      <c r="F80" s="151" t="s">
        <v>448</v>
      </c>
      <c r="G80" s="151" t="s">
        <v>411</v>
      </c>
      <c r="H80" s="151" t="s">
        <v>449</v>
      </c>
      <c r="I80" s="164" t="s">
        <v>621</v>
      </c>
      <c r="J80" s="164" t="s">
        <v>622</v>
      </c>
      <c r="K80" s="165">
        <v>4.0509259259259258E-4</v>
      </c>
      <c r="L80" s="151" t="s">
        <v>448</v>
      </c>
      <c r="M80" s="151" t="s">
        <v>411</v>
      </c>
      <c r="N80" s="151" t="s">
        <v>452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623</v>
      </c>
      <c r="B81" s="151" t="s">
        <v>624</v>
      </c>
      <c r="C81" s="164" t="s">
        <v>625</v>
      </c>
      <c r="D81" s="164" t="s">
        <v>626</v>
      </c>
      <c r="E81" s="165">
        <v>3.8194444444444443E-3</v>
      </c>
      <c r="F81" s="151" t="s">
        <v>298</v>
      </c>
      <c r="H81" s="151" t="s">
        <v>31</v>
      </c>
      <c r="I81" s="164" t="s">
        <v>627</v>
      </c>
      <c r="J81" s="164" t="s">
        <v>628</v>
      </c>
      <c r="K81" s="165">
        <v>3.0092592592592595E-4</v>
      </c>
      <c r="L81" s="151" t="s">
        <v>394</v>
      </c>
      <c r="N81" s="151" t="s">
        <v>395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623</v>
      </c>
      <c r="B82" s="151" t="s">
        <v>624</v>
      </c>
      <c r="C82" s="164" t="s">
        <v>629</v>
      </c>
      <c r="D82" s="164" t="s">
        <v>466</v>
      </c>
      <c r="E82" s="165">
        <v>5.4166666666666669E-3</v>
      </c>
      <c r="F82" s="151" t="s">
        <v>298</v>
      </c>
      <c r="H82" s="151" t="s">
        <v>31</v>
      </c>
      <c r="I82" s="164" t="s">
        <v>630</v>
      </c>
      <c r="J82" s="164" t="s">
        <v>631</v>
      </c>
      <c r="K82" s="165">
        <v>3.5879629629629629E-4</v>
      </c>
      <c r="L82" s="151" t="s">
        <v>394</v>
      </c>
      <c r="N82" s="151" t="s">
        <v>395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623</v>
      </c>
      <c r="B83" s="151" t="s">
        <v>624</v>
      </c>
      <c r="C83" s="164" t="s">
        <v>632</v>
      </c>
      <c r="D83" s="164" t="s">
        <v>633</v>
      </c>
      <c r="E83" s="165">
        <v>4.43287037037037E-3</v>
      </c>
      <c r="F83" s="151" t="s">
        <v>298</v>
      </c>
      <c r="H83" s="151" t="s">
        <v>31</v>
      </c>
      <c r="I83" s="164" t="s">
        <v>634</v>
      </c>
      <c r="J83" s="164" t="s">
        <v>635</v>
      </c>
      <c r="K83" s="165">
        <v>3.5879629629629629E-4</v>
      </c>
      <c r="L83" s="151" t="s">
        <v>394</v>
      </c>
      <c r="N83" s="151" t="s">
        <v>395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623</v>
      </c>
      <c r="B84" s="151" t="s">
        <v>624</v>
      </c>
      <c r="C84" s="164" t="s">
        <v>636</v>
      </c>
      <c r="D84" s="164" t="s">
        <v>637</v>
      </c>
      <c r="E84" s="165">
        <v>9.9537037037037042E-3</v>
      </c>
      <c r="F84" s="151" t="s">
        <v>298</v>
      </c>
      <c r="H84" s="151" t="s">
        <v>31</v>
      </c>
      <c r="I84" s="164" t="s">
        <v>638</v>
      </c>
      <c r="J84" s="164" t="s">
        <v>639</v>
      </c>
      <c r="K84" s="165">
        <v>3.9351851851851852E-4</v>
      </c>
      <c r="L84" s="151" t="s">
        <v>394</v>
      </c>
      <c r="N84" s="151" t="s">
        <v>395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623</v>
      </c>
      <c r="B85" s="151" t="s">
        <v>624</v>
      </c>
      <c r="C85" s="164" t="s">
        <v>640</v>
      </c>
      <c r="D85" s="164" t="s">
        <v>641</v>
      </c>
      <c r="E85" s="165">
        <v>3.0671296296296297E-3</v>
      </c>
      <c r="F85" s="151" t="s">
        <v>298</v>
      </c>
      <c r="H85" s="151" t="s">
        <v>31</v>
      </c>
      <c r="I85" s="164" t="s">
        <v>642</v>
      </c>
      <c r="J85" s="164" t="s">
        <v>643</v>
      </c>
      <c r="K85" s="165">
        <v>4.9768518518518521E-4</v>
      </c>
      <c r="L85" s="151" t="s">
        <v>394</v>
      </c>
      <c r="N85" s="151" t="s">
        <v>395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623</v>
      </c>
      <c r="B86" s="151" t="s">
        <v>624</v>
      </c>
      <c r="C86" s="164" t="s">
        <v>644</v>
      </c>
      <c r="D86" s="164" t="s">
        <v>645</v>
      </c>
      <c r="E86" s="165">
        <v>1.5046296296296296E-3</v>
      </c>
      <c r="F86" s="151" t="s">
        <v>298</v>
      </c>
      <c r="H86" s="151" t="s">
        <v>299</v>
      </c>
      <c r="I86" s="164" t="s">
        <v>646</v>
      </c>
      <c r="J86" s="164" t="s">
        <v>647</v>
      </c>
      <c r="K86" s="165">
        <v>4.1666666666666669E-4</v>
      </c>
      <c r="L86" s="151" t="s">
        <v>302</v>
      </c>
      <c r="N86" s="151" t="s">
        <v>303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623</v>
      </c>
      <c r="B87" s="151" t="s">
        <v>624</v>
      </c>
      <c r="C87" s="164" t="s">
        <v>648</v>
      </c>
      <c r="D87" s="164" t="s">
        <v>649</v>
      </c>
      <c r="E87" s="165">
        <v>4.1319444444444442E-3</v>
      </c>
      <c r="F87" s="151" t="s">
        <v>298</v>
      </c>
      <c r="H87" s="151" t="s">
        <v>31</v>
      </c>
      <c r="I87" s="164" t="s">
        <v>650</v>
      </c>
      <c r="J87" s="164" t="s">
        <v>651</v>
      </c>
      <c r="K87" s="165">
        <v>4.1666666666666669E-4</v>
      </c>
      <c r="L87" s="151" t="s">
        <v>394</v>
      </c>
      <c r="N87" s="151" t="s">
        <v>395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623</v>
      </c>
      <c r="B88" s="151" t="s">
        <v>624</v>
      </c>
      <c r="C88" s="164" t="s">
        <v>652</v>
      </c>
      <c r="D88" s="164" t="s">
        <v>653</v>
      </c>
      <c r="E88" s="165">
        <v>5.2314814814814811E-3</v>
      </c>
      <c r="F88" s="151" t="s">
        <v>298</v>
      </c>
      <c r="H88" s="151" t="s">
        <v>31</v>
      </c>
      <c r="I88" s="164" t="s">
        <v>654</v>
      </c>
      <c r="J88" s="164" t="s">
        <v>655</v>
      </c>
      <c r="K88" s="165">
        <v>4.0509259259259258E-4</v>
      </c>
      <c r="L88" s="151" t="s">
        <v>394</v>
      </c>
      <c r="N88" s="151" t="s">
        <v>395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623</v>
      </c>
      <c r="B89" s="151" t="s">
        <v>624</v>
      </c>
      <c r="C89" s="164" t="s">
        <v>656</v>
      </c>
      <c r="D89" s="164" t="s">
        <v>657</v>
      </c>
      <c r="E89" s="165">
        <v>4.6412037037037038E-3</v>
      </c>
      <c r="F89" s="151" t="s">
        <v>298</v>
      </c>
      <c r="H89" s="151" t="s">
        <v>31</v>
      </c>
      <c r="I89" s="164" t="s">
        <v>658</v>
      </c>
      <c r="J89" s="164" t="s">
        <v>659</v>
      </c>
      <c r="K89" s="165">
        <v>4.7453703703703704E-4</v>
      </c>
      <c r="L89" s="151" t="s">
        <v>394</v>
      </c>
      <c r="N89" s="151" t="s">
        <v>395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623</v>
      </c>
      <c r="B90" s="151" t="s">
        <v>624</v>
      </c>
      <c r="C90" s="164" t="s">
        <v>660</v>
      </c>
      <c r="D90" s="164" t="s">
        <v>661</v>
      </c>
      <c r="E90" s="165">
        <v>1.1111111111111111E-3</v>
      </c>
      <c r="F90" s="151" t="s">
        <v>298</v>
      </c>
      <c r="H90" s="151" t="s">
        <v>299</v>
      </c>
      <c r="I90" s="164" t="s">
        <v>662</v>
      </c>
      <c r="J90" s="164" t="s">
        <v>663</v>
      </c>
      <c r="K90" s="165">
        <v>5.4398148148148144E-4</v>
      </c>
      <c r="L90" s="151" t="s">
        <v>302</v>
      </c>
      <c r="N90" s="151" t="s">
        <v>303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623</v>
      </c>
      <c r="B91" s="151" t="s">
        <v>624</v>
      </c>
      <c r="C91" s="164" t="s">
        <v>664</v>
      </c>
      <c r="D91" s="164" t="s">
        <v>665</v>
      </c>
      <c r="E91" s="165">
        <v>3.2638888888888891E-3</v>
      </c>
      <c r="F91" s="151" t="s">
        <v>298</v>
      </c>
      <c r="H91" s="151" t="s">
        <v>31</v>
      </c>
      <c r="I91" s="164" t="s">
        <v>666</v>
      </c>
      <c r="J91" s="164" t="s">
        <v>667</v>
      </c>
      <c r="K91" s="165">
        <v>3.4722222222222224E-4</v>
      </c>
      <c r="L91" s="151" t="s">
        <v>394</v>
      </c>
      <c r="N91" s="151" t="s">
        <v>395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623</v>
      </c>
      <c r="B92" s="151" t="s">
        <v>624</v>
      </c>
      <c r="C92" s="164" t="s">
        <v>668</v>
      </c>
      <c r="D92" s="164" t="s">
        <v>669</v>
      </c>
      <c r="E92" s="165">
        <v>6.7129629629629625E-4</v>
      </c>
      <c r="F92" s="151" t="s">
        <v>298</v>
      </c>
      <c r="H92" s="151" t="s">
        <v>299</v>
      </c>
      <c r="I92" s="164" t="s">
        <v>670</v>
      </c>
      <c r="J92" s="164" t="s">
        <v>671</v>
      </c>
      <c r="K92" s="165">
        <v>4.5138888888888887E-4</v>
      </c>
      <c r="L92" s="151" t="s">
        <v>302</v>
      </c>
      <c r="N92" s="151" t="s">
        <v>303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623</v>
      </c>
      <c r="B93" s="151" t="s">
        <v>624</v>
      </c>
      <c r="C93" s="164" t="s">
        <v>672</v>
      </c>
      <c r="D93" s="164" t="s">
        <v>673</v>
      </c>
      <c r="E93" s="165">
        <v>1.712962962962963E-3</v>
      </c>
      <c r="F93" s="151" t="s">
        <v>298</v>
      </c>
      <c r="H93" s="151" t="s">
        <v>39</v>
      </c>
      <c r="I93" s="164" t="s">
        <v>674</v>
      </c>
      <c r="J93" s="164" t="s">
        <v>675</v>
      </c>
      <c r="K93" s="165">
        <v>4.7453703703703704E-4</v>
      </c>
      <c r="L93" s="151" t="s">
        <v>676</v>
      </c>
      <c r="N93" s="151" t="s">
        <v>395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623</v>
      </c>
      <c r="B94" s="151" t="s">
        <v>624</v>
      </c>
      <c r="C94" s="164" t="s">
        <v>677</v>
      </c>
      <c r="D94" s="164" t="s">
        <v>678</v>
      </c>
      <c r="E94" s="165">
        <v>2.1180555555555558E-3</v>
      </c>
      <c r="F94" s="151" t="s">
        <v>298</v>
      </c>
      <c r="H94" s="151" t="s">
        <v>299</v>
      </c>
      <c r="I94" s="164" t="s">
        <v>679</v>
      </c>
      <c r="J94" s="164" t="s">
        <v>680</v>
      </c>
      <c r="K94" s="165">
        <v>4.6296296296296298E-4</v>
      </c>
      <c r="L94" s="151" t="s">
        <v>302</v>
      </c>
      <c r="N94" s="151" t="s">
        <v>303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623</v>
      </c>
      <c r="B95" s="151" t="s">
        <v>624</v>
      </c>
      <c r="C95" s="164" t="s">
        <v>681</v>
      </c>
      <c r="D95" s="164" t="s">
        <v>682</v>
      </c>
      <c r="E95" s="165">
        <v>3.1134259259259257E-3</v>
      </c>
      <c r="F95" s="151" t="s">
        <v>298</v>
      </c>
      <c r="H95" s="151" t="s">
        <v>31</v>
      </c>
      <c r="I95" s="164" t="s">
        <v>683</v>
      </c>
      <c r="J95" s="164" t="s">
        <v>684</v>
      </c>
      <c r="K95" s="165">
        <v>3.8194444444444446E-4</v>
      </c>
      <c r="L95" s="151" t="s">
        <v>394</v>
      </c>
      <c r="N95" s="151" t="s">
        <v>395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685</v>
      </c>
      <c r="B96" s="151" t="s">
        <v>686</v>
      </c>
      <c r="C96" s="164" t="s">
        <v>687</v>
      </c>
      <c r="D96" s="164" t="s">
        <v>688</v>
      </c>
      <c r="E96" s="165">
        <v>2.7546296296296294E-3</v>
      </c>
      <c r="F96" s="151" t="s">
        <v>448</v>
      </c>
      <c r="G96" s="151" t="s">
        <v>689</v>
      </c>
      <c r="H96" s="151" t="s">
        <v>61</v>
      </c>
      <c r="I96" s="164" t="s">
        <v>690</v>
      </c>
      <c r="J96" s="164" t="s">
        <v>691</v>
      </c>
      <c r="K96" s="165">
        <v>6.3657407407407413E-4</v>
      </c>
      <c r="L96" s="151" t="s">
        <v>692</v>
      </c>
      <c r="N96" s="151" t="s">
        <v>693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685</v>
      </c>
      <c r="B97" s="151" t="s">
        <v>686</v>
      </c>
      <c r="C97" s="164" t="s">
        <v>694</v>
      </c>
      <c r="D97" s="164" t="s">
        <v>695</v>
      </c>
      <c r="E97" s="165">
        <v>2.3726851851851851E-3</v>
      </c>
      <c r="F97" s="151" t="s">
        <v>448</v>
      </c>
      <c r="G97" s="151" t="s">
        <v>689</v>
      </c>
      <c r="H97" s="151" t="s">
        <v>61</v>
      </c>
      <c r="I97" s="164" t="s">
        <v>696</v>
      </c>
      <c r="J97" s="164" t="s">
        <v>697</v>
      </c>
      <c r="K97" s="165">
        <v>5.4398148148148144E-4</v>
      </c>
      <c r="L97" s="151" t="s">
        <v>692</v>
      </c>
      <c r="N97" s="151" t="s">
        <v>693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685</v>
      </c>
      <c r="B98" s="151" t="s">
        <v>686</v>
      </c>
      <c r="C98" s="164" t="s">
        <v>471</v>
      </c>
      <c r="D98" s="164" t="s">
        <v>698</v>
      </c>
      <c r="E98" s="165">
        <v>1.4120370370370369E-3</v>
      </c>
      <c r="F98" s="151" t="s">
        <v>298</v>
      </c>
      <c r="H98" s="151" t="s">
        <v>299</v>
      </c>
      <c r="I98" s="164" t="s">
        <v>699</v>
      </c>
      <c r="J98" s="164" t="s">
        <v>700</v>
      </c>
      <c r="K98" s="165">
        <v>7.9861111111111116E-4</v>
      </c>
      <c r="L98" s="151" t="s">
        <v>302</v>
      </c>
      <c r="N98" s="151" t="s">
        <v>303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685</v>
      </c>
      <c r="B99" s="151" t="s">
        <v>686</v>
      </c>
      <c r="C99" s="164" t="s">
        <v>701</v>
      </c>
      <c r="D99" s="164" t="s">
        <v>702</v>
      </c>
      <c r="E99" s="165">
        <v>1.7013888888888888E-3</v>
      </c>
      <c r="F99" s="151" t="s">
        <v>298</v>
      </c>
      <c r="H99" s="151" t="s">
        <v>299</v>
      </c>
      <c r="I99" s="164" t="s">
        <v>703</v>
      </c>
      <c r="J99" s="164" t="s">
        <v>704</v>
      </c>
      <c r="K99" s="165">
        <v>8.4490740740740739E-4</v>
      </c>
      <c r="L99" s="151" t="s">
        <v>302</v>
      </c>
      <c r="N99" s="151" t="s">
        <v>303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685</v>
      </c>
      <c r="B100" s="151" t="s">
        <v>686</v>
      </c>
      <c r="C100" s="164" t="s">
        <v>705</v>
      </c>
      <c r="D100" s="164" t="s">
        <v>706</v>
      </c>
      <c r="E100" s="165">
        <v>1.2152777777777778E-3</v>
      </c>
      <c r="F100" s="151" t="s">
        <v>298</v>
      </c>
      <c r="H100" s="151" t="s">
        <v>299</v>
      </c>
      <c r="I100" s="164" t="s">
        <v>707</v>
      </c>
      <c r="J100" s="164" t="s">
        <v>708</v>
      </c>
      <c r="K100" s="165">
        <v>5.9027777777777778E-4</v>
      </c>
      <c r="L100" s="151" t="s">
        <v>302</v>
      </c>
      <c r="N100" s="151" t="s">
        <v>303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685</v>
      </c>
      <c r="B101" s="151" t="s">
        <v>686</v>
      </c>
      <c r="C101" s="164" t="s">
        <v>709</v>
      </c>
      <c r="D101" s="164" t="s">
        <v>710</v>
      </c>
      <c r="E101" s="165">
        <v>1.0879629629629629E-3</v>
      </c>
      <c r="F101" s="151" t="s">
        <v>298</v>
      </c>
      <c r="H101" s="151" t="s">
        <v>299</v>
      </c>
      <c r="I101" s="164" t="s">
        <v>711</v>
      </c>
      <c r="J101" s="164" t="s">
        <v>712</v>
      </c>
      <c r="K101" s="165">
        <v>6.9444444444444447E-4</v>
      </c>
      <c r="L101" s="151" t="s">
        <v>302</v>
      </c>
      <c r="N101" s="151" t="s">
        <v>303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685</v>
      </c>
      <c r="B102" s="151" t="s">
        <v>686</v>
      </c>
      <c r="C102" s="164" t="s">
        <v>713</v>
      </c>
      <c r="D102" s="164" t="s">
        <v>714</v>
      </c>
      <c r="E102" s="165">
        <v>1.261574074074074E-3</v>
      </c>
      <c r="F102" s="151" t="s">
        <v>298</v>
      </c>
      <c r="H102" s="151" t="s">
        <v>299</v>
      </c>
      <c r="I102" s="164" t="s">
        <v>715</v>
      </c>
      <c r="J102" s="164" t="s">
        <v>716</v>
      </c>
      <c r="K102" s="165">
        <v>7.6388888888888893E-4</v>
      </c>
      <c r="L102" s="151" t="s">
        <v>302</v>
      </c>
      <c r="N102" s="151" t="s">
        <v>303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685</v>
      </c>
      <c r="B103" s="151" t="s">
        <v>686</v>
      </c>
      <c r="C103" s="164" t="s">
        <v>717</v>
      </c>
      <c r="D103" s="164" t="s">
        <v>718</v>
      </c>
      <c r="E103" s="165">
        <v>1.3425925925925925E-3</v>
      </c>
      <c r="F103" s="151" t="s">
        <v>298</v>
      </c>
      <c r="H103" s="151" t="s">
        <v>299</v>
      </c>
      <c r="I103" s="164" t="s">
        <v>719</v>
      </c>
      <c r="J103" s="164" t="s">
        <v>720</v>
      </c>
      <c r="K103" s="165">
        <v>5.6712962962962967E-4</v>
      </c>
      <c r="L103" s="151" t="s">
        <v>302</v>
      </c>
      <c r="N103" s="151" t="s">
        <v>303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685</v>
      </c>
      <c r="B104" s="151" t="s">
        <v>686</v>
      </c>
      <c r="C104" s="164" t="s">
        <v>721</v>
      </c>
      <c r="D104" s="164" t="s">
        <v>722</v>
      </c>
      <c r="E104" s="165">
        <v>1.5277777777777779E-3</v>
      </c>
      <c r="F104" s="151" t="s">
        <v>298</v>
      </c>
      <c r="H104" s="151" t="s">
        <v>299</v>
      </c>
      <c r="I104" s="164" t="s">
        <v>723</v>
      </c>
      <c r="J104" s="164" t="s">
        <v>724</v>
      </c>
      <c r="K104" s="165">
        <v>6.4814814814814813E-4</v>
      </c>
      <c r="L104" s="151" t="s">
        <v>302</v>
      </c>
      <c r="N104" s="151" t="s">
        <v>303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685</v>
      </c>
      <c r="B105" s="151" t="s">
        <v>686</v>
      </c>
      <c r="C105" s="164" t="s">
        <v>725</v>
      </c>
      <c r="D105" s="164" t="s">
        <v>726</v>
      </c>
      <c r="E105" s="165">
        <v>1.6087962962962963E-3</v>
      </c>
      <c r="F105" s="151" t="s">
        <v>298</v>
      </c>
      <c r="H105" s="151" t="s">
        <v>299</v>
      </c>
      <c r="I105" s="164" t="s">
        <v>727</v>
      </c>
      <c r="J105" s="164" t="s">
        <v>728</v>
      </c>
      <c r="K105" s="165">
        <v>8.2175925925925927E-4</v>
      </c>
      <c r="L105" s="151" t="s">
        <v>302</v>
      </c>
      <c r="N105" s="151" t="s">
        <v>303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685</v>
      </c>
      <c r="B106" s="151" t="s">
        <v>686</v>
      </c>
      <c r="C106" s="164" t="s">
        <v>729</v>
      </c>
      <c r="D106" s="164" t="s">
        <v>730</v>
      </c>
      <c r="E106" s="165">
        <v>1.3310185185185185E-3</v>
      </c>
      <c r="F106" s="151" t="s">
        <v>298</v>
      </c>
      <c r="H106" s="151" t="s">
        <v>299</v>
      </c>
      <c r="I106" s="164" t="s">
        <v>731</v>
      </c>
      <c r="J106" s="164" t="s">
        <v>732</v>
      </c>
      <c r="K106" s="165">
        <v>7.6388888888888893E-4</v>
      </c>
      <c r="L106" s="151" t="s">
        <v>302</v>
      </c>
      <c r="N106" s="151" t="s">
        <v>303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685</v>
      </c>
      <c r="B107" s="151" t="s">
        <v>686</v>
      </c>
      <c r="C107" s="164" t="s">
        <v>733</v>
      </c>
      <c r="D107" s="164" t="s">
        <v>734</v>
      </c>
      <c r="E107" s="165">
        <v>1.5625000000000001E-3</v>
      </c>
      <c r="F107" s="151" t="s">
        <v>298</v>
      </c>
      <c r="H107" s="151" t="s">
        <v>299</v>
      </c>
      <c r="I107" s="164" t="s">
        <v>735</v>
      </c>
      <c r="J107" s="164" t="s">
        <v>736</v>
      </c>
      <c r="K107" s="165">
        <v>6.4814814814814813E-4</v>
      </c>
      <c r="L107" s="151" t="s">
        <v>302</v>
      </c>
      <c r="N107" s="151" t="s">
        <v>303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685</v>
      </c>
      <c r="B108" s="151" t="s">
        <v>686</v>
      </c>
      <c r="C108" s="164" t="s">
        <v>737</v>
      </c>
      <c r="D108" s="164" t="s">
        <v>738</v>
      </c>
      <c r="E108" s="165">
        <v>1.2962962962962963E-3</v>
      </c>
      <c r="F108" s="151" t="s">
        <v>298</v>
      </c>
      <c r="H108" s="151" t="s">
        <v>299</v>
      </c>
      <c r="I108" s="164" t="s">
        <v>739</v>
      </c>
      <c r="J108" s="164" t="s">
        <v>740</v>
      </c>
      <c r="K108" s="165">
        <v>1.1574074074074073E-5</v>
      </c>
      <c r="L108" s="151" t="s">
        <v>302</v>
      </c>
      <c r="N108" s="151" t="s">
        <v>303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685</v>
      </c>
      <c r="B109" s="151" t="s">
        <v>686</v>
      </c>
      <c r="C109" s="164" t="s">
        <v>741</v>
      </c>
      <c r="D109" s="164" t="s">
        <v>742</v>
      </c>
      <c r="E109" s="165">
        <v>1.724537037037037E-3</v>
      </c>
      <c r="F109" s="151" t="s">
        <v>298</v>
      </c>
      <c r="H109" s="151" t="s">
        <v>299</v>
      </c>
      <c r="I109" s="164" t="s">
        <v>743</v>
      </c>
      <c r="J109" s="164" t="s">
        <v>744</v>
      </c>
      <c r="K109" s="165">
        <v>6.7129629629629625E-4</v>
      </c>
      <c r="L109" s="151" t="s">
        <v>302</v>
      </c>
      <c r="N109" s="151" t="s">
        <v>303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685</v>
      </c>
      <c r="B110" s="151" t="s">
        <v>686</v>
      </c>
      <c r="C110" s="164" t="s">
        <v>745</v>
      </c>
      <c r="D110" s="164" t="s">
        <v>746</v>
      </c>
      <c r="E110" s="165">
        <v>1.2962962962962963E-3</v>
      </c>
      <c r="F110" s="151" t="s">
        <v>298</v>
      </c>
      <c r="H110" s="151" t="s">
        <v>299</v>
      </c>
      <c r="I110" s="164" t="s">
        <v>747</v>
      </c>
      <c r="J110" s="164" t="s">
        <v>748</v>
      </c>
      <c r="K110" s="165">
        <v>6.5972222222222224E-4</v>
      </c>
      <c r="L110" s="151" t="s">
        <v>302</v>
      </c>
      <c r="N110" s="151" t="s">
        <v>303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685</v>
      </c>
      <c r="B111" s="151" t="s">
        <v>686</v>
      </c>
      <c r="C111" s="164" t="s">
        <v>749</v>
      </c>
      <c r="D111" s="164" t="s">
        <v>750</v>
      </c>
      <c r="E111" s="165">
        <v>1.4351851851851852E-3</v>
      </c>
      <c r="F111" s="151" t="s">
        <v>298</v>
      </c>
      <c r="H111" s="151" t="s">
        <v>299</v>
      </c>
      <c r="I111" s="164" t="s">
        <v>751</v>
      </c>
      <c r="J111" s="164" t="s">
        <v>752</v>
      </c>
      <c r="K111" s="165">
        <v>6.4814814814814813E-4</v>
      </c>
      <c r="L111" s="151" t="s">
        <v>302</v>
      </c>
      <c r="N111" s="151" t="s">
        <v>303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685</v>
      </c>
      <c r="B112" s="151" t="s">
        <v>686</v>
      </c>
      <c r="C112" s="164" t="s">
        <v>753</v>
      </c>
      <c r="D112" s="164" t="s">
        <v>754</v>
      </c>
      <c r="E112" s="165">
        <v>2.0717592592592593E-3</v>
      </c>
      <c r="F112" s="151" t="s">
        <v>298</v>
      </c>
      <c r="H112" s="166" t="s">
        <v>299</v>
      </c>
      <c r="I112" s="164" t="s">
        <v>755</v>
      </c>
      <c r="J112" s="164" t="s">
        <v>756</v>
      </c>
      <c r="K112" s="165">
        <v>6.9444444444444447E-4</v>
      </c>
      <c r="L112" s="151" t="s">
        <v>302</v>
      </c>
      <c r="N112" s="151" t="s">
        <v>303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685</v>
      </c>
      <c r="B113" s="151" t="s">
        <v>686</v>
      </c>
      <c r="C113" s="164" t="s">
        <v>757</v>
      </c>
      <c r="D113" s="164" t="s">
        <v>758</v>
      </c>
      <c r="E113" s="165">
        <v>1.0763888888888889E-3</v>
      </c>
      <c r="F113" s="151" t="s">
        <v>298</v>
      </c>
      <c r="H113" s="151" t="s">
        <v>299</v>
      </c>
      <c r="I113" s="164" t="s">
        <v>759</v>
      </c>
      <c r="J113" s="164" t="s">
        <v>760</v>
      </c>
      <c r="K113" s="165">
        <v>7.7546296296296293E-4</v>
      </c>
      <c r="L113" s="151" t="s">
        <v>302</v>
      </c>
      <c r="N113" s="151" t="s">
        <v>303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685</v>
      </c>
      <c r="B114" s="151" t="s">
        <v>686</v>
      </c>
      <c r="C114" s="164" t="s">
        <v>761</v>
      </c>
      <c r="D114" s="164" t="s">
        <v>762</v>
      </c>
      <c r="E114" s="165">
        <v>9.7222222222222219E-4</v>
      </c>
      <c r="F114" s="151" t="s">
        <v>298</v>
      </c>
      <c r="H114" s="151" t="s">
        <v>299</v>
      </c>
      <c r="I114" s="164" t="s">
        <v>763</v>
      </c>
      <c r="J114" s="164" t="s">
        <v>764</v>
      </c>
      <c r="K114" s="165">
        <v>6.9444444444444447E-4</v>
      </c>
      <c r="L114" s="151" t="s">
        <v>302</v>
      </c>
      <c r="N114" s="151" t="s">
        <v>303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685</v>
      </c>
      <c r="B115" s="151" t="s">
        <v>686</v>
      </c>
      <c r="C115" s="164" t="s">
        <v>765</v>
      </c>
      <c r="D115" s="164" t="s">
        <v>766</v>
      </c>
      <c r="E115" s="165">
        <v>9.7222222222222219E-4</v>
      </c>
      <c r="F115" s="151" t="s">
        <v>298</v>
      </c>
      <c r="H115" s="151" t="s">
        <v>299</v>
      </c>
      <c r="I115" s="164" t="s">
        <v>767</v>
      </c>
      <c r="J115" s="164" t="s">
        <v>768</v>
      </c>
      <c r="K115" s="165">
        <v>5.6712962962962967E-4</v>
      </c>
      <c r="L115" s="151" t="s">
        <v>302</v>
      </c>
      <c r="N115" s="151" t="s">
        <v>303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685</v>
      </c>
      <c r="B116" s="151" t="s">
        <v>686</v>
      </c>
      <c r="C116" s="164" t="s">
        <v>769</v>
      </c>
      <c r="D116" s="164" t="s">
        <v>770</v>
      </c>
      <c r="E116" s="165">
        <v>1.3773148148148147E-3</v>
      </c>
      <c r="F116" s="151" t="s">
        <v>298</v>
      </c>
      <c r="H116" s="151" t="s">
        <v>299</v>
      </c>
      <c r="I116" s="164" t="s">
        <v>771</v>
      </c>
      <c r="J116" s="164" t="s">
        <v>772</v>
      </c>
      <c r="K116" s="165">
        <v>7.0601851851851847E-4</v>
      </c>
      <c r="L116" s="151" t="s">
        <v>302</v>
      </c>
      <c r="N116" s="151" t="s">
        <v>303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685</v>
      </c>
      <c r="B117" s="151" t="s">
        <v>686</v>
      </c>
      <c r="C117" s="164" t="s">
        <v>773</v>
      </c>
      <c r="D117" s="164" t="s">
        <v>774</v>
      </c>
      <c r="E117" s="165">
        <v>1.3888888888888889E-3</v>
      </c>
      <c r="F117" s="151" t="s">
        <v>298</v>
      </c>
      <c r="H117" s="151" t="s">
        <v>299</v>
      </c>
      <c r="I117" s="164" t="s">
        <v>775</v>
      </c>
      <c r="J117" s="164" t="s">
        <v>776</v>
      </c>
      <c r="K117" s="165">
        <v>6.134259259259259E-4</v>
      </c>
      <c r="L117" s="151" t="s">
        <v>302</v>
      </c>
      <c r="N117" s="151" t="s">
        <v>303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685</v>
      </c>
      <c r="B118" s="151" t="s">
        <v>686</v>
      </c>
      <c r="C118" s="164" t="s">
        <v>777</v>
      </c>
      <c r="D118" s="164" t="s">
        <v>778</v>
      </c>
      <c r="E118" s="165">
        <v>1.4814814814814814E-3</v>
      </c>
      <c r="F118" s="151" t="s">
        <v>298</v>
      </c>
      <c r="H118" s="151" t="s">
        <v>299</v>
      </c>
      <c r="I118" s="164" t="s">
        <v>779</v>
      </c>
      <c r="J118" s="164" t="s">
        <v>780</v>
      </c>
      <c r="K118" s="165">
        <v>7.1759259259259259E-4</v>
      </c>
      <c r="L118" s="151" t="s">
        <v>302</v>
      </c>
      <c r="N118" s="151" t="s">
        <v>303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685</v>
      </c>
      <c r="B119" s="151" t="s">
        <v>686</v>
      </c>
      <c r="C119" s="164" t="s">
        <v>781</v>
      </c>
      <c r="D119" s="164" t="s">
        <v>782</v>
      </c>
      <c r="E119" s="165">
        <v>3.1828703703703702E-3</v>
      </c>
      <c r="F119" s="151" t="s">
        <v>298</v>
      </c>
      <c r="H119" s="151" t="s">
        <v>31</v>
      </c>
      <c r="I119" s="164" t="s">
        <v>783</v>
      </c>
      <c r="J119" s="164" t="s">
        <v>784</v>
      </c>
      <c r="K119" s="165">
        <v>6.7129629629629625E-4</v>
      </c>
      <c r="L119" s="151" t="s">
        <v>394</v>
      </c>
      <c r="N119" s="151" t="s">
        <v>395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785</v>
      </c>
      <c r="B120" s="151" t="s">
        <v>786</v>
      </c>
      <c r="C120" s="164" t="s">
        <v>787</v>
      </c>
      <c r="D120" s="164" t="s">
        <v>788</v>
      </c>
      <c r="E120" s="165">
        <v>2.7777777777777779E-3</v>
      </c>
      <c r="F120" s="151" t="s">
        <v>448</v>
      </c>
      <c r="G120" s="151" t="s">
        <v>689</v>
      </c>
      <c r="H120" s="151" t="s">
        <v>61</v>
      </c>
      <c r="I120" s="164" t="s">
        <v>789</v>
      </c>
      <c r="J120" s="164" t="s">
        <v>790</v>
      </c>
      <c r="K120" s="165">
        <v>6.9444444444444447E-4</v>
      </c>
      <c r="L120" s="151" t="s">
        <v>692</v>
      </c>
      <c r="N120" s="151" t="s">
        <v>693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785</v>
      </c>
      <c r="B121" s="151" t="s">
        <v>786</v>
      </c>
      <c r="C121" s="164" t="s">
        <v>791</v>
      </c>
      <c r="D121" s="164" t="s">
        <v>792</v>
      </c>
      <c r="E121" s="165">
        <v>2.8472222222222223E-3</v>
      </c>
      <c r="F121" s="151" t="s">
        <v>448</v>
      </c>
      <c r="G121" s="151" t="s">
        <v>689</v>
      </c>
      <c r="H121" s="151" t="s">
        <v>61</v>
      </c>
      <c r="I121" s="164" t="s">
        <v>793</v>
      </c>
      <c r="J121" s="164" t="s">
        <v>794</v>
      </c>
      <c r="K121" s="165">
        <v>6.9444444444444447E-4</v>
      </c>
      <c r="L121" s="151" t="s">
        <v>692</v>
      </c>
      <c r="N121" s="151" t="s">
        <v>693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785</v>
      </c>
      <c r="B122" s="151" t="s">
        <v>786</v>
      </c>
      <c r="C122" s="164" t="s">
        <v>795</v>
      </c>
      <c r="D122" s="164" t="s">
        <v>796</v>
      </c>
      <c r="E122" s="165">
        <v>2.5347222222222221E-3</v>
      </c>
      <c r="F122" s="151" t="s">
        <v>448</v>
      </c>
      <c r="G122" s="151" t="s">
        <v>689</v>
      </c>
      <c r="H122" s="151" t="s">
        <v>61</v>
      </c>
      <c r="I122" s="164" t="s">
        <v>797</v>
      </c>
      <c r="J122" s="164" t="s">
        <v>798</v>
      </c>
      <c r="K122" s="165">
        <v>5.7870370370370367E-4</v>
      </c>
      <c r="L122" s="151" t="s">
        <v>692</v>
      </c>
      <c r="N122" s="151" t="s">
        <v>693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785</v>
      </c>
      <c r="B123" s="151" t="s">
        <v>786</v>
      </c>
      <c r="C123" s="164" t="s">
        <v>799</v>
      </c>
      <c r="D123" s="164" t="s">
        <v>800</v>
      </c>
      <c r="E123" s="165">
        <v>3.3912037037037036E-3</v>
      </c>
      <c r="F123" s="151" t="s">
        <v>448</v>
      </c>
      <c r="G123" s="151" t="s">
        <v>689</v>
      </c>
      <c r="H123" s="151" t="s">
        <v>61</v>
      </c>
      <c r="I123" s="164" t="s">
        <v>801</v>
      </c>
      <c r="J123" s="164" t="s">
        <v>802</v>
      </c>
      <c r="K123" s="165">
        <v>7.5231481481481482E-4</v>
      </c>
      <c r="L123" s="151" t="s">
        <v>692</v>
      </c>
      <c r="N123" s="151" t="s">
        <v>693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785</v>
      </c>
      <c r="B124" s="151" t="s">
        <v>786</v>
      </c>
      <c r="C124" s="164" t="s">
        <v>803</v>
      </c>
      <c r="D124" s="164" t="s">
        <v>804</v>
      </c>
      <c r="E124" s="165">
        <v>2.8819444444444444E-3</v>
      </c>
      <c r="F124" s="151" t="s">
        <v>298</v>
      </c>
      <c r="H124" s="151" t="s">
        <v>31</v>
      </c>
      <c r="I124" s="164" t="s">
        <v>805</v>
      </c>
      <c r="J124" s="164" t="s">
        <v>806</v>
      </c>
      <c r="K124" s="165">
        <v>1.1458333333333333E-3</v>
      </c>
      <c r="L124" s="151" t="s">
        <v>394</v>
      </c>
      <c r="N124" s="151" t="s">
        <v>395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785</v>
      </c>
      <c r="B125" s="151" t="s">
        <v>786</v>
      </c>
      <c r="C125" s="164" t="s">
        <v>807</v>
      </c>
      <c r="D125" s="164" t="s">
        <v>808</v>
      </c>
      <c r="E125" s="165">
        <v>4.0393518518518521E-3</v>
      </c>
      <c r="F125" s="151" t="s">
        <v>298</v>
      </c>
      <c r="H125" s="151" t="s">
        <v>31</v>
      </c>
      <c r="I125" s="164" t="s">
        <v>809</v>
      </c>
      <c r="J125" s="164" t="s">
        <v>810</v>
      </c>
      <c r="K125" s="165">
        <v>9.1435185185185185E-4</v>
      </c>
      <c r="L125" s="151" t="s">
        <v>394</v>
      </c>
      <c r="N125" s="151" t="s">
        <v>395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785</v>
      </c>
      <c r="B126" s="151" t="s">
        <v>786</v>
      </c>
      <c r="C126" s="164" t="s">
        <v>811</v>
      </c>
      <c r="D126" s="164" t="s">
        <v>812</v>
      </c>
      <c r="E126" s="165">
        <v>1.3657407407407407E-3</v>
      </c>
      <c r="F126" s="151" t="s">
        <v>813</v>
      </c>
      <c r="H126" s="151" t="s">
        <v>55</v>
      </c>
      <c r="I126" s="164" t="s">
        <v>814</v>
      </c>
      <c r="J126" s="164" t="s">
        <v>815</v>
      </c>
      <c r="K126" s="165">
        <v>6.2500000000000001E-4</v>
      </c>
      <c r="L126" s="151" t="s">
        <v>692</v>
      </c>
      <c r="N126" s="151" t="s">
        <v>693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785</v>
      </c>
      <c r="B127" s="151" t="s">
        <v>786</v>
      </c>
      <c r="C127" s="164" t="s">
        <v>816</v>
      </c>
      <c r="D127" s="164" t="s">
        <v>817</v>
      </c>
      <c r="E127" s="165">
        <v>1.7013888888888888E-3</v>
      </c>
      <c r="F127" s="151" t="s">
        <v>813</v>
      </c>
      <c r="H127" s="151" t="s">
        <v>55</v>
      </c>
      <c r="I127" s="164" t="s">
        <v>818</v>
      </c>
      <c r="J127" s="164" t="s">
        <v>819</v>
      </c>
      <c r="K127" s="165">
        <v>4.1666666666666669E-4</v>
      </c>
      <c r="L127" s="151" t="s">
        <v>692</v>
      </c>
      <c r="N127" s="151" t="s">
        <v>693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785</v>
      </c>
      <c r="B128" s="151" t="s">
        <v>786</v>
      </c>
      <c r="C128" s="164" t="s">
        <v>820</v>
      </c>
      <c r="D128" s="164" t="s">
        <v>821</v>
      </c>
      <c r="E128" s="165">
        <v>1.2152777777777778E-3</v>
      </c>
      <c r="F128" s="151" t="s">
        <v>813</v>
      </c>
      <c r="H128" s="151" t="s">
        <v>55</v>
      </c>
      <c r="I128" s="164" t="s">
        <v>822</v>
      </c>
      <c r="J128" s="164" t="s">
        <v>823</v>
      </c>
      <c r="K128" s="165">
        <v>4.9768518518518521E-4</v>
      </c>
      <c r="L128" s="151" t="s">
        <v>692</v>
      </c>
      <c r="N128" s="151" t="s">
        <v>693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785</v>
      </c>
      <c r="B129" s="151" t="s">
        <v>786</v>
      </c>
      <c r="C129" s="164" t="s">
        <v>824</v>
      </c>
      <c r="D129" s="164" t="s">
        <v>825</v>
      </c>
      <c r="E129" s="165">
        <v>1.4467592592592592E-3</v>
      </c>
      <c r="F129" s="151" t="s">
        <v>813</v>
      </c>
      <c r="H129" s="151" t="s">
        <v>55</v>
      </c>
      <c r="I129" s="164" t="s">
        <v>826</v>
      </c>
      <c r="J129" s="164" t="s">
        <v>827</v>
      </c>
      <c r="K129" s="165">
        <v>1.0416666666666667E-3</v>
      </c>
      <c r="L129" s="151" t="s">
        <v>692</v>
      </c>
      <c r="N129" s="151" t="s">
        <v>693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785</v>
      </c>
      <c r="B130" s="151" t="s">
        <v>786</v>
      </c>
      <c r="C130" s="164" t="s">
        <v>828</v>
      </c>
      <c r="D130" s="164" t="s">
        <v>829</v>
      </c>
      <c r="E130" s="165">
        <v>3.460648148148148E-3</v>
      </c>
      <c r="F130" s="151" t="s">
        <v>298</v>
      </c>
      <c r="H130" s="151" t="s">
        <v>31</v>
      </c>
      <c r="I130" s="164" t="s">
        <v>830</v>
      </c>
      <c r="J130" s="164" t="s">
        <v>831</v>
      </c>
      <c r="K130" s="165">
        <v>1.0879629629629629E-3</v>
      </c>
      <c r="L130" s="151" t="s">
        <v>394</v>
      </c>
      <c r="N130" s="151" t="s">
        <v>395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785</v>
      </c>
      <c r="B131" s="151" t="s">
        <v>786</v>
      </c>
      <c r="C131" s="164" t="s">
        <v>832</v>
      </c>
      <c r="D131" s="164" t="s">
        <v>833</v>
      </c>
      <c r="E131" s="165">
        <v>4.8263888888888887E-3</v>
      </c>
      <c r="F131" s="151" t="s">
        <v>298</v>
      </c>
      <c r="H131" s="166" t="s">
        <v>31</v>
      </c>
      <c r="I131" s="164" t="s">
        <v>834</v>
      </c>
      <c r="J131" s="164" t="s">
        <v>835</v>
      </c>
      <c r="K131" s="165">
        <v>6.134259259259259E-4</v>
      </c>
      <c r="L131" s="151" t="s">
        <v>394</v>
      </c>
      <c r="N131" s="151" t="s">
        <v>395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785</v>
      </c>
      <c r="B132" s="151" t="s">
        <v>786</v>
      </c>
      <c r="C132" s="164" t="s">
        <v>836</v>
      </c>
      <c r="D132" s="164" t="s">
        <v>837</v>
      </c>
      <c r="E132" s="165">
        <v>2.7893518518518519E-3</v>
      </c>
      <c r="F132" s="151" t="s">
        <v>298</v>
      </c>
      <c r="H132" s="151" t="s">
        <v>31</v>
      </c>
      <c r="I132" s="164" t="s">
        <v>838</v>
      </c>
      <c r="J132" s="164" t="s">
        <v>839</v>
      </c>
      <c r="K132" s="165">
        <v>9.7222222222222219E-4</v>
      </c>
      <c r="L132" s="151" t="s">
        <v>394</v>
      </c>
      <c r="N132" s="151" t="s">
        <v>395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785</v>
      </c>
      <c r="B133" s="151" t="s">
        <v>786</v>
      </c>
      <c r="C133" s="164" t="s">
        <v>840</v>
      </c>
      <c r="D133" s="164" t="s">
        <v>841</v>
      </c>
      <c r="E133" s="165">
        <v>4.3750000000000004E-3</v>
      </c>
      <c r="F133" s="151" t="s">
        <v>298</v>
      </c>
      <c r="H133" s="151" t="s">
        <v>31</v>
      </c>
      <c r="I133" s="164" t="s">
        <v>842</v>
      </c>
      <c r="J133" s="164" t="s">
        <v>843</v>
      </c>
      <c r="K133" s="165">
        <v>5.3240740740740744E-4</v>
      </c>
      <c r="L133" s="151" t="s">
        <v>394</v>
      </c>
      <c r="N133" s="151" t="s">
        <v>395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785</v>
      </c>
      <c r="B134" s="151" t="s">
        <v>786</v>
      </c>
      <c r="C134" s="164" t="s">
        <v>844</v>
      </c>
      <c r="D134" s="164" t="s">
        <v>845</v>
      </c>
      <c r="E134" s="165">
        <v>3.1365740740740742E-3</v>
      </c>
      <c r="F134" s="151" t="s">
        <v>298</v>
      </c>
      <c r="H134" s="151" t="s">
        <v>31</v>
      </c>
      <c r="I134" s="164" t="s">
        <v>846</v>
      </c>
      <c r="J134" s="164" t="s">
        <v>847</v>
      </c>
      <c r="K134" s="165">
        <v>6.5972222222222224E-4</v>
      </c>
      <c r="L134" s="151" t="s">
        <v>394</v>
      </c>
      <c r="N134" s="151" t="s">
        <v>395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785</v>
      </c>
      <c r="B135" s="151" t="s">
        <v>786</v>
      </c>
      <c r="C135" s="164" t="s">
        <v>848</v>
      </c>
      <c r="D135" s="164" t="s">
        <v>849</v>
      </c>
      <c r="E135" s="165">
        <v>4.0856481481481481E-3</v>
      </c>
      <c r="F135" s="151" t="s">
        <v>298</v>
      </c>
      <c r="H135" s="151" t="s">
        <v>31</v>
      </c>
      <c r="I135" s="164" t="s">
        <v>850</v>
      </c>
      <c r="J135" s="164" t="s">
        <v>851</v>
      </c>
      <c r="K135" s="165">
        <v>1.0995370370370371E-3</v>
      </c>
      <c r="L135" s="151" t="s">
        <v>394</v>
      </c>
      <c r="N135" s="151" t="s">
        <v>395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785</v>
      </c>
      <c r="B136" s="151" t="s">
        <v>786</v>
      </c>
      <c r="C136" s="164" t="s">
        <v>852</v>
      </c>
      <c r="D136" s="164" t="s">
        <v>853</v>
      </c>
      <c r="E136" s="165">
        <v>1.4236111111111112E-3</v>
      </c>
      <c r="F136" s="151" t="s">
        <v>298</v>
      </c>
      <c r="H136" s="151" t="s">
        <v>31</v>
      </c>
      <c r="I136" s="164" t="s">
        <v>854</v>
      </c>
      <c r="K136" s="165">
        <v>0</v>
      </c>
      <c r="L136" s="151" t="s">
        <v>394</v>
      </c>
      <c r="N136" s="151" t="s">
        <v>395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785</v>
      </c>
      <c r="B137" s="151" t="s">
        <v>786</v>
      </c>
      <c r="C137" s="164" t="s">
        <v>855</v>
      </c>
      <c r="D137" s="164" t="s">
        <v>856</v>
      </c>
      <c r="E137" s="165">
        <v>4.178240740740741E-3</v>
      </c>
      <c r="F137" s="151" t="s">
        <v>298</v>
      </c>
      <c r="H137" s="151" t="s">
        <v>31</v>
      </c>
      <c r="I137" s="164" t="s">
        <v>857</v>
      </c>
      <c r="J137" s="164" t="s">
        <v>858</v>
      </c>
      <c r="K137" s="165">
        <v>8.3333333333333339E-4</v>
      </c>
      <c r="L137" s="151" t="s">
        <v>394</v>
      </c>
      <c r="N137" s="151" t="s">
        <v>395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785</v>
      </c>
      <c r="B138" s="151" t="s">
        <v>786</v>
      </c>
      <c r="C138" s="164" t="s">
        <v>859</v>
      </c>
      <c r="D138" s="164" t="s">
        <v>860</v>
      </c>
      <c r="E138" s="165">
        <v>1.4004629629629629E-3</v>
      </c>
      <c r="F138" s="151" t="s">
        <v>298</v>
      </c>
      <c r="H138" s="151" t="s">
        <v>39</v>
      </c>
      <c r="I138" s="164" t="s">
        <v>861</v>
      </c>
      <c r="J138" s="164" t="s">
        <v>862</v>
      </c>
      <c r="K138" s="165">
        <v>7.407407407407407E-4</v>
      </c>
      <c r="L138" s="151" t="s">
        <v>676</v>
      </c>
      <c r="N138" s="151" t="s">
        <v>395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785</v>
      </c>
      <c r="B139" s="151" t="s">
        <v>786</v>
      </c>
      <c r="C139" s="164" t="s">
        <v>863</v>
      </c>
      <c r="D139" s="164" t="s">
        <v>864</v>
      </c>
      <c r="E139" s="165">
        <v>1.0416666666666667E-3</v>
      </c>
      <c r="F139" s="151" t="s">
        <v>298</v>
      </c>
      <c r="H139" s="151" t="s">
        <v>39</v>
      </c>
      <c r="I139" s="164" t="s">
        <v>865</v>
      </c>
      <c r="J139" s="164" t="s">
        <v>778</v>
      </c>
      <c r="K139" s="165">
        <v>6.3657407407407413E-4</v>
      </c>
      <c r="L139" s="151" t="s">
        <v>676</v>
      </c>
      <c r="N139" s="151" t="s">
        <v>395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785</v>
      </c>
      <c r="B140" s="151" t="s">
        <v>786</v>
      </c>
      <c r="C140" s="164" t="s">
        <v>866</v>
      </c>
      <c r="D140" s="164" t="s">
        <v>867</v>
      </c>
      <c r="E140" s="165">
        <v>4.0972222222222226E-3</v>
      </c>
      <c r="F140" s="151" t="s">
        <v>298</v>
      </c>
      <c r="H140" s="151" t="s">
        <v>31</v>
      </c>
      <c r="I140" s="164" t="s">
        <v>868</v>
      </c>
      <c r="K140" s="165">
        <v>0</v>
      </c>
      <c r="L140" s="151" t="s">
        <v>394</v>
      </c>
      <c r="N140" s="151" t="s">
        <v>395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785</v>
      </c>
      <c r="B141" s="151" t="s">
        <v>786</v>
      </c>
      <c r="C141" s="164" t="s">
        <v>869</v>
      </c>
      <c r="D141" s="164" t="s">
        <v>870</v>
      </c>
      <c r="E141" s="165">
        <v>2.1759259259259258E-3</v>
      </c>
      <c r="F141" s="151" t="s">
        <v>298</v>
      </c>
      <c r="H141" s="151" t="s">
        <v>31</v>
      </c>
      <c r="I141" s="164" t="s">
        <v>871</v>
      </c>
      <c r="J141" s="164" t="s">
        <v>872</v>
      </c>
      <c r="K141" s="165">
        <v>7.291666666666667E-4</v>
      </c>
      <c r="L141" s="151" t="s">
        <v>394</v>
      </c>
      <c r="N141" s="151" t="s">
        <v>395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873</v>
      </c>
      <c r="B142" s="151" t="s">
        <v>874</v>
      </c>
      <c r="C142" s="164" t="s">
        <v>875</v>
      </c>
      <c r="D142" s="164" t="s">
        <v>876</v>
      </c>
      <c r="E142" s="165">
        <v>2.3263888888888887E-3</v>
      </c>
      <c r="F142" s="151" t="s">
        <v>448</v>
      </c>
      <c r="G142" s="151" t="s">
        <v>877</v>
      </c>
      <c r="H142" s="151" t="s">
        <v>449</v>
      </c>
      <c r="I142" s="164" t="s">
        <v>878</v>
      </c>
      <c r="J142" s="164" t="s">
        <v>879</v>
      </c>
      <c r="K142" s="165">
        <v>4.0509259259259258E-4</v>
      </c>
      <c r="L142" s="151" t="s">
        <v>448</v>
      </c>
      <c r="M142" s="151" t="s">
        <v>877</v>
      </c>
      <c r="N142" s="151" t="s">
        <v>452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873</v>
      </c>
      <c r="B143" s="151" t="s">
        <v>874</v>
      </c>
      <c r="C143" s="164" t="s">
        <v>880</v>
      </c>
      <c r="D143" s="164" t="s">
        <v>881</v>
      </c>
      <c r="E143" s="165">
        <v>1.9907407407407408E-3</v>
      </c>
      <c r="F143" s="151" t="s">
        <v>448</v>
      </c>
      <c r="G143" s="151" t="s">
        <v>877</v>
      </c>
      <c r="H143" s="151" t="s">
        <v>449</v>
      </c>
      <c r="I143" s="164" t="s">
        <v>882</v>
      </c>
      <c r="J143" s="164" t="s">
        <v>883</v>
      </c>
      <c r="K143" s="165">
        <v>2.7777777777777778E-4</v>
      </c>
      <c r="L143" s="151" t="s">
        <v>448</v>
      </c>
      <c r="M143" s="151" t="s">
        <v>877</v>
      </c>
      <c r="N143" s="151" t="s">
        <v>452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873</v>
      </c>
      <c r="B144" s="151" t="s">
        <v>874</v>
      </c>
      <c r="C144" s="164" t="s">
        <v>884</v>
      </c>
      <c r="D144" s="164" t="s">
        <v>885</v>
      </c>
      <c r="E144" s="165">
        <v>2.2337962962962962E-3</v>
      </c>
      <c r="F144" s="151" t="s">
        <v>448</v>
      </c>
      <c r="G144" s="151" t="s">
        <v>877</v>
      </c>
      <c r="H144" s="166" t="s">
        <v>449</v>
      </c>
      <c r="I144" s="164" t="s">
        <v>886</v>
      </c>
      <c r="J144" s="164" t="s">
        <v>887</v>
      </c>
      <c r="K144" s="165">
        <v>3.0092592592592595E-4</v>
      </c>
      <c r="L144" s="151" t="s">
        <v>448</v>
      </c>
      <c r="M144" s="151" t="s">
        <v>877</v>
      </c>
      <c r="N144" s="151" t="s">
        <v>452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873</v>
      </c>
      <c r="B145" s="151" t="s">
        <v>874</v>
      </c>
      <c r="C145" s="164" t="s">
        <v>888</v>
      </c>
      <c r="D145" s="164" t="s">
        <v>889</v>
      </c>
      <c r="E145" s="165">
        <v>1.7939814814814815E-3</v>
      </c>
      <c r="F145" s="151" t="s">
        <v>448</v>
      </c>
      <c r="G145" s="151" t="s">
        <v>877</v>
      </c>
      <c r="H145" s="151" t="s">
        <v>449</v>
      </c>
      <c r="I145" s="164" t="s">
        <v>469</v>
      </c>
      <c r="J145" s="164" t="s">
        <v>890</v>
      </c>
      <c r="K145" s="165">
        <v>2.6620370370370372E-4</v>
      </c>
      <c r="L145" s="151" t="s">
        <v>448</v>
      </c>
      <c r="M145" s="151" t="s">
        <v>877</v>
      </c>
      <c r="N145" s="151" t="s">
        <v>452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873</v>
      </c>
      <c r="B146" s="151" t="s">
        <v>874</v>
      </c>
      <c r="C146" s="164" t="s">
        <v>891</v>
      </c>
      <c r="D146" s="164" t="s">
        <v>892</v>
      </c>
      <c r="E146" s="165">
        <v>2.6041666666666665E-3</v>
      </c>
      <c r="F146" s="151" t="s">
        <v>448</v>
      </c>
      <c r="G146" s="151" t="s">
        <v>877</v>
      </c>
      <c r="H146" s="151" t="s">
        <v>449</v>
      </c>
      <c r="I146" s="164" t="s">
        <v>893</v>
      </c>
      <c r="J146" s="164" t="s">
        <v>894</v>
      </c>
      <c r="K146" s="165">
        <v>3.0092592592592595E-4</v>
      </c>
      <c r="L146" s="151" t="s">
        <v>448</v>
      </c>
      <c r="M146" s="151" t="s">
        <v>877</v>
      </c>
      <c r="N146" s="151" t="s">
        <v>452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873</v>
      </c>
      <c r="B147" s="151" t="s">
        <v>874</v>
      </c>
      <c r="C147" s="164" t="s">
        <v>895</v>
      </c>
      <c r="D147" s="164" t="s">
        <v>896</v>
      </c>
      <c r="E147" s="165">
        <v>2.0486111111111113E-3</v>
      </c>
      <c r="F147" s="151" t="s">
        <v>448</v>
      </c>
      <c r="G147" s="151" t="s">
        <v>877</v>
      </c>
      <c r="H147" s="151" t="s">
        <v>449</v>
      </c>
      <c r="I147" s="164" t="s">
        <v>897</v>
      </c>
      <c r="J147" s="164" t="s">
        <v>898</v>
      </c>
      <c r="K147" s="165">
        <v>4.3981481481481481E-4</v>
      </c>
      <c r="L147" s="151" t="s">
        <v>448</v>
      </c>
      <c r="M147" s="151" t="s">
        <v>877</v>
      </c>
      <c r="N147" s="151" t="s">
        <v>452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873</v>
      </c>
      <c r="B148" s="151" t="s">
        <v>874</v>
      </c>
      <c r="C148" s="164" t="s">
        <v>899</v>
      </c>
      <c r="D148" s="164" t="s">
        <v>900</v>
      </c>
      <c r="E148" s="165">
        <v>2.2222222222222222E-3</v>
      </c>
      <c r="F148" s="151" t="s">
        <v>448</v>
      </c>
      <c r="G148" s="151" t="s">
        <v>877</v>
      </c>
      <c r="H148" s="151" t="s">
        <v>449</v>
      </c>
      <c r="I148" s="164" t="s">
        <v>901</v>
      </c>
      <c r="J148" s="164" t="s">
        <v>902</v>
      </c>
      <c r="K148" s="165">
        <v>3.0092592592592595E-4</v>
      </c>
      <c r="L148" s="151" t="s">
        <v>448</v>
      </c>
      <c r="M148" s="151" t="s">
        <v>877</v>
      </c>
      <c r="N148" s="151" t="s">
        <v>452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873</v>
      </c>
      <c r="B149" s="151" t="s">
        <v>874</v>
      </c>
      <c r="C149" s="164" t="s">
        <v>903</v>
      </c>
      <c r="D149" s="164" t="s">
        <v>904</v>
      </c>
      <c r="E149" s="165">
        <v>1.9444444444444444E-3</v>
      </c>
      <c r="F149" s="151" t="s">
        <v>448</v>
      </c>
      <c r="G149" s="151" t="s">
        <v>877</v>
      </c>
      <c r="H149" s="151" t="s">
        <v>449</v>
      </c>
      <c r="I149" s="164" t="s">
        <v>905</v>
      </c>
      <c r="J149" s="164" t="s">
        <v>906</v>
      </c>
      <c r="K149" s="165">
        <v>2.6620370370370372E-4</v>
      </c>
      <c r="L149" s="151" t="s">
        <v>448</v>
      </c>
      <c r="M149" s="151" t="s">
        <v>877</v>
      </c>
      <c r="N149" s="151" t="s">
        <v>452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873</v>
      </c>
      <c r="B150" s="151" t="s">
        <v>874</v>
      </c>
      <c r="C150" s="164" t="s">
        <v>907</v>
      </c>
      <c r="D150" s="164" t="s">
        <v>908</v>
      </c>
      <c r="E150" s="165">
        <v>2.0486111111111113E-3</v>
      </c>
      <c r="F150" s="151" t="s">
        <v>448</v>
      </c>
      <c r="G150" s="151" t="s">
        <v>877</v>
      </c>
      <c r="H150" s="151" t="s">
        <v>449</v>
      </c>
      <c r="I150" s="164" t="s">
        <v>909</v>
      </c>
      <c r="J150" s="164" t="s">
        <v>910</v>
      </c>
      <c r="K150" s="165">
        <v>2.8935185185185184E-4</v>
      </c>
      <c r="L150" s="151" t="s">
        <v>448</v>
      </c>
      <c r="M150" s="151" t="s">
        <v>877</v>
      </c>
      <c r="N150" s="151" t="s">
        <v>452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873</v>
      </c>
      <c r="B151" s="151" t="s">
        <v>874</v>
      </c>
      <c r="C151" s="164" t="s">
        <v>911</v>
      </c>
      <c r="D151" s="164" t="s">
        <v>912</v>
      </c>
      <c r="E151" s="165">
        <v>2.4189814814814816E-3</v>
      </c>
      <c r="F151" s="151" t="s">
        <v>448</v>
      </c>
      <c r="G151" s="151" t="s">
        <v>877</v>
      </c>
      <c r="H151" s="151" t="s">
        <v>449</v>
      </c>
      <c r="I151" s="164" t="s">
        <v>913</v>
      </c>
      <c r="J151" s="164" t="s">
        <v>914</v>
      </c>
      <c r="K151" s="165">
        <v>2.8935185185185184E-4</v>
      </c>
      <c r="L151" s="151" t="s">
        <v>448</v>
      </c>
      <c r="M151" s="151" t="s">
        <v>877</v>
      </c>
      <c r="N151" s="151" t="s">
        <v>452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873</v>
      </c>
      <c r="B152" s="151" t="s">
        <v>874</v>
      </c>
      <c r="C152" s="164" t="s">
        <v>915</v>
      </c>
      <c r="D152" s="164" t="s">
        <v>916</v>
      </c>
      <c r="E152" s="165">
        <v>1.7592592592592592E-3</v>
      </c>
      <c r="F152" s="151" t="s">
        <v>448</v>
      </c>
      <c r="G152" s="151" t="s">
        <v>877</v>
      </c>
      <c r="H152" s="151" t="s">
        <v>449</v>
      </c>
      <c r="I152" s="164" t="s">
        <v>917</v>
      </c>
      <c r="J152" s="164" t="s">
        <v>918</v>
      </c>
      <c r="K152" s="165">
        <v>4.0509259259259258E-4</v>
      </c>
      <c r="L152" s="151" t="s">
        <v>448</v>
      </c>
      <c r="M152" s="151" t="s">
        <v>877</v>
      </c>
      <c r="N152" s="151" t="s">
        <v>452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873</v>
      </c>
      <c r="B153" s="151" t="s">
        <v>874</v>
      </c>
      <c r="C153" s="164" t="s">
        <v>919</v>
      </c>
      <c r="D153" s="164" t="s">
        <v>920</v>
      </c>
      <c r="E153" s="165">
        <v>1.9907407407407408E-3</v>
      </c>
      <c r="F153" s="151" t="s">
        <v>448</v>
      </c>
      <c r="G153" s="151" t="s">
        <v>877</v>
      </c>
      <c r="H153" s="151" t="s">
        <v>449</v>
      </c>
      <c r="I153" s="164" t="s">
        <v>921</v>
      </c>
      <c r="J153" s="164" t="s">
        <v>922</v>
      </c>
      <c r="K153" s="165">
        <v>6.2500000000000001E-4</v>
      </c>
      <c r="L153" s="151" t="s">
        <v>448</v>
      </c>
      <c r="M153" s="151" t="s">
        <v>877</v>
      </c>
      <c r="N153" s="151" t="s">
        <v>452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873</v>
      </c>
      <c r="B154" s="151" t="s">
        <v>874</v>
      </c>
      <c r="C154" s="164" t="s">
        <v>923</v>
      </c>
      <c r="D154" s="164" t="s">
        <v>924</v>
      </c>
      <c r="E154" s="165">
        <v>2.1527777777777778E-3</v>
      </c>
      <c r="F154" s="151" t="s">
        <v>448</v>
      </c>
      <c r="G154" s="151" t="s">
        <v>877</v>
      </c>
      <c r="H154" s="151" t="s">
        <v>449</v>
      </c>
      <c r="I154" s="164" t="s">
        <v>925</v>
      </c>
      <c r="J154" s="164" t="s">
        <v>926</v>
      </c>
      <c r="K154" s="165">
        <v>5.0925925925925921E-4</v>
      </c>
      <c r="L154" s="151" t="s">
        <v>448</v>
      </c>
      <c r="M154" s="151" t="s">
        <v>877</v>
      </c>
      <c r="N154" s="151" t="s">
        <v>452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873</v>
      </c>
      <c r="B155" s="151" t="s">
        <v>874</v>
      </c>
      <c r="C155" s="164" t="s">
        <v>927</v>
      </c>
      <c r="D155" s="164" t="s">
        <v>928</v>
      </c>
      <c r="E155" s="165">
        <v>2.7083333333333334E-3</v>
      </c>
      <c r="F155" s="151" t="s">
        <v>448</v>
      </c>
      <c r="G155" s="151" t="s">
        <v>877</v>
      </c>
      <c r="H155" s="151" t="s">
        <v>449</v>
      </c>
      <c r="I155" s="164" t="s">
        <v>929</v>
      </c>
      <c r="J155" s="164" t="s">
        <v>930</v>
      </c>
      <c r="K155" s="165">
        <v>5.0925925925925921E-4</v>
      </c>
      <c r="L155" s="151" t="s">
        <v>448</v>
      </c>
      <c r="M155" s="151" t="s">
        <v>877</v>
      </c>
      <c r="N155" s="151" t="s">
        <v>452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873</v>
      </c>
      <c r="B156" s="151" t="s">
        <v>874</v>
      </c>
      <c r="C156" s="164" t="s">
        <v>931</v>
      </c>
      <c r="D156" s="164" t="s">
        <v>932</v>
      </c>
      <c r="E156" s="165">
        <v>2.0833333333333333E-3</v>
      </c>
      <c r="F156" s="151" t="s">
        <v>448</v>
      </c>
      <c r="G156" s="151" t="s">
        <v>877</v>
      </c>
      <c r="H156" s="151" t="s">
        <v>449</v>
      </c>
      <c r="I156" s="164" t="s">
        <v>933</v>
      </c>
      <c r="J156" s="164" t="s">
        <v>934</v>
      </c>
      <c r="K156" s="165">
        <v>3.3564814814814812E-4</v>
      </c>
      <c r="L156" s="151" t="s">
        <v>448</v>
      </c>
      <c r="M156" s="151" t="s">
        <v>877</v>
      </c>
      <c r="N156" s="151" t="s">
        <v>452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873</v>
      </c>
      <c r="B157" s="151" t="s">
        <v>874</v>
      </c>
      <c r="C157" s="164" t="s">
        <v>935</v>
      </c>
      <c r="D157" s="164" t="s">
        <v>936</v>
      </c>
      <c r="E157" s="165">
        <v>2.5810185185185185E-3</v>
      </c>
      <c r="F157" s="151" t="s">
        <v>448</v>
      </c>
      <c r="G157" s="151" t="s">
        <v>877</v>
      </c>
      <c r="H157" s="151" t="s">
        <v>449</v>
      </c>
      <c r="I157" s="164" t="s">
        <v>937</v>
      </c>
      <c r="J157" s="164" t="s">
        <v>938</v>
      </c>
      <c r="K157" s="165">
        <v>3.0092592592592595E-4</v>
      </c>
      <c r="L157" s="151" t="s">
        <v>448</v>
      </c>
      <c r="M157" s="151" t="s">
        <v>877</v>
      </c>
      <c r="N157" s="151" t="s">
        <v>452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873</v>
      </c>
      <c r="B158" s="151" t="s">
        <v>874</v>
      </c>
      <c r="C158" s="164" t="s">
        <v>939</v>
      </c>
      <c r="D158" s="164" t="s">
        <v>940</v>
      </c>
      <c r="E158" s="165">
        <v>2.4189814814814816E-3</v>
      </c>
      <c r="F158" s="151" t="s">
        <v>448</v>
      </c>
      <c r="G158" s="151" t="s">
        <v>877</v>
      </c>
      <c r="H158" s="151" t="s">
        <v>449</v>
      </c>
      <c r="I158" s="164" t="s">
        <v>941</v>
      </c>
      <c r="J158" s="164" t="s">
        <v>942</v>
      </c>
      <c r="K158" s="165">
        <v>2.5462962962962961E-4</v>
      </c>
      <c r="L158" s="151" t="s">
        <v>448</v>
      </c>
      <c r="M158" s="151" t="s">
        <v>877</v>
      </c>
      <c r="N158" s="151" t="s">
        <v>452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873</v>
      </c>
      <c r="B159" s="151" t="s">
        <v>874</v>
      </c>
      <c r="C159" s="164" t="s">
        <v>943</v>
      </c>
      <c r="D159" s="164" t="s">
        <v>944</v>
      </c>
      <c r="E159" s="165">
        <v>2.0138888888888888E-3</v>
      </c>
      <c r="F159" s="151" t="s">
        <v>448</v>
      </c>
      <c r="G159" s="151" t="s">
        <v>877</v>
      </c>
      <c r="H159" s="151" t="s">
        <v>449</v>
      </c>
      <c r="I159" s="164" t="s">
        <v>424</v>
      </c>
      <c r="J159" s="164" t="s">
        <v>945</v>
      </c>
      <c r="K159" s="165">
        <v>2.6620370370370372E-4</v>
      </c>
      <c r="L159" s="151" t="s">
        <v>448</v>
      </c>
      <c r="M159" s="151" t="s">
        <v>877</v>
      </c>
      <c r="N159" s="151" t="s">
        <v>452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873</v>
      </c>
      <c r="B160" s="151" t="s">
        <v>874</v>
      </c>
      <c r="C160" s="164" t="s">
        <v>946</v>
      </c>
      <c r="D160" s="164" t="s">
        <v>947</v>
      </c>
      <c r="E160" s="165">
        <v>2.3958333333333331E-3</v>
      </c>
      <c r="F160" s="151" t="s">
        <v>448</v>
      </c>
      <c r="G160" s="151" t="s">
        <v>877</v>
      </c>
      <c r="H160" s="151" t="s">
        <v>449</v>
      </c>
      <c r="I160" s="164" t="s">
        <v>948</v>
      </c>
      <c r="J160" s="164" t="s">
        <v>949</v>
      </c>
      <c r="K160" s="165">
        <v>4.2824074074074075E-4</v>
      </c>
      <c r="L160" s="151" t="s">
        <v>448</v>
      </c>
      <c r="M160" s="151" t="s">
        <v>877</v>
      </c>
      <c r="N160" s="151" t="s">
        <v>452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873</v>
      </c>
      <c r="B161" s="151" t="s">
        <v>874</v>
      </c>
      <c r="C161" s="164" t="s">
        <v>950</v>
      </c>
      <c r="D161" s="164" t="s">
        <v>951</v>
      </c>
      <c r="E161" s="165">
        <v>2.0254629629629629E-3</v>
      </c>
      <c r="F161" s="151" t="s">
        <v>448</v>
      </c>
      <c r="G161" s="151" t="s">
        <v>877</v>
      </c>
      <c r="H161" s="151" t="s">
        <v>449</v>
      </c>
      <c r="I161" s="164" t="s">
        <v>952</v>
      </c>
      <c r="J161" s="164" t="s">
        <v>953</v>
      </c>
      <c r="K161" s="165">
        <v>2.8935185185185184E-4</v>
      </c>
      <c r="L161" s="151" t="s">
        <v>448</v>
      </c>
      <c r="M161" s="151" t="s">
        <v>877</v>
      </c>
      <c r="N161" s="151" t="s">
        <v>452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873</v>
      </c>
      <c r="B162" s="151" t="s">
        <v>874</v>
      </c>
      <c r="C162" s="164" t="s">
        <v>954</v>
      </c>
      <c r="D162" s="164" t="s">
        <v>955</v>
      </c>
      <c r="E162" s="165">
        <v>2.1296296296296298E-3</v>
      </c>
      <c r="F162" s="151" t="s">
        <v>448</v>
      </c>
      <c r="G162" s="151" t="s">
        <v>877</v>
      </c>
      <c r="H162" s="151" t="s">
        <v>449</v>
      </c>
      <c r="I162" s="164" t="s">
        <v>956</v>
      </c>
      <c r="J162" s="164" t="s">
        <v>957</v>
      </c>
      <c r="K162" s="165">
        <v>3.0092592592592595E-4</v>
      </c>
      <c r="L162" s="151" t="s">
        <v>448</v>
      </c>
      <c r="M162" s="151" t="s">
        <v>877</v>
      </c>
      <c r="N162" s="151" t="s">
        <v>452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873</v>
      </c>
      <c r="B163" s="151" t="s">
        <v>874</v>
      </c>
      <c r="C163" s="164" t="s">
        <v>958</v>
      </c>
      <c r="D163" s="164" t="s">
        <v>959</v>
      </c>
      <c r="E163" s="165">
        <v>2.2222222222222222E-3</v>
      </c>
      <c r="F163" s="151" t="s">
        <v>448</v>
      </c>
      <c r="G163" s="151" t="s">
        <v>877</v>
      </c>
      <c r="H163" s="151" t="s">
        <v>449</v>
      </c>
      <c r="I163" s="164" t="s">
        <v>960</v>
      </c>
      <c r="J163" s="164" t="s">
        <v>961</v>
      </c>
      <c r="K163" s="165">
        <v>3.5879629629629629E-4</v>
      </c>
      <c r="L163" s="151" t="s">
        <v>448</v>
      </c>
      <c r="M163" s="151" t="s">
        <v>877</v>
      </c>
      <c r="N163" s="151" t="s">
        <v>452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873</v>
      </c>
      <c r="B164" s="151" t="s">
        <v>874</v>
      </c>
      <c r="C164" s="164" t="s">
        <v>962</v>
      </c>
      <c r="D164" s="164" t="s">
        <v>963</v>
      </c>
      <c r="E164" s="165">
        <v>2.0833333333333333E-3</v>
      </c>
      <c r="F164" s="151" t="s">
        <v>448</v>
      </c>
      <c r="G164" s="151" t="s">
        <v>877</v>
      </c>
      <c r="H164" s="151" t="s">
        <v>449</v>
      </c>
      <c r="I164" s="164" t="s">
        <v>964</v>
      </c>
      <c r="J164" s="164" t="s">
        <v>965</v>
      </c>
      <c r="K164" s="165">
        <v>4.2824074074074075E-4</v>
      </c>
      <c r="L164" s="151" t="s">
        <v>448</v>
      </c>
      <c r="M164" s="151" t="s">
        <v>877</v>
      </c>
      <c r="N164" s="151" t="s">
        <v>452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873</v>
      </c>
      <c r="B165" s="151" t="s">
        <v>874</v>
      </c>
      <c r="C165" s="164" t="s">
        <v>966</v>
      </c>
      <c r="D165" s="164" t="s">
        <v>967</v>
      </c>
      <c r="E165" s="165">
        <v>2.0949074074074073E-3</v>
      </c>
      <c r="F165" s="151" t="s">
        <v>448</v>
      </c>
      <c r="G165" s="151" t="s">
        <v>877</v>
      </c>
      <c r="H165" s="151" t="s">
        <v>449</v>
      </c>
      <c r="I165" s="164" t="s">
        <v>968</v>
      </c>
      <c r="J165" s="164" t="s">
        <v>969</v>
      </c>
      <c r="K165" s="165">
        <v>2.7777777777777778E-4</v>
      </c>
      <c r="L165" s="151" t="s">
        <v>448</v>
      </c>
      <c r="M165" s="151" t="s">
        <v>877</v>
      </c>
      <c r="N165" s="151" t="s">
        <v>452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873</v>
      </c>
      <c r="B166" s="151" t="s">
        <v>874</v>
      </c>
      <c r="C166" s="164" t="s">
        <v>970</v>
      </c>
      <c r="D166" s="164" t="s">
        <v>971</v>
      </c>
      <c r="E166" s="165">
        <v>2.1527777777777778E-3</v>
      </c>
      <c r="F166" s="151" t="s">
        <v>448</v>
      </c>
      <c r="G166" s="151" t="s">
        <v>877</v>
      </c>
      <c r="H166" s="151" t="s">
        <v>449</v>
      </c>
      <c r="I166" s="164" t="s">
        <v>972</v>
      </c>
      <c r="J166" s="164" t="s">
        <v>973</v>
      </c>
      <c r="K166" s="165">
        <v>3.4722222222222224E-4</v>
      </c>
      <c r="L166" s="151" t="s">
        <v>448</v>
      </c>
      <c r="M166" s="151" t="s">
        <v>877</v>
      </c>
      <c r="N166" s="151" t="s">
        <v>452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873</v>
      </c>
      <c r="B167" s="151" t="s">
        <v>874</v>
      </c>
      <c r="C167" s="164" t="s">
        <v>974</v>
      </c>
      <c r="D167" s="164" t="s">
        <v>975</v>
      </c>
      <c r="E167" s="165">
        <v>1.4004629629629629E-3</v>
      </c>
      <c r="F167" s="151" t="s">
        <v>448</v>
      </c>
      <c r="G167" s="151" t="s">
        <v>877</v>
      </c>
      <c r="H167" s="151" t="s">
        <v>449</v>
      </c>
      <c r="I167" s="164" t="s">
        <v>976</v>
      </c>
      <c r="J167" s="164" t="s">
        <v>977</v>
      </c>
      <c r="K167" s="165">
        <v>3.0092592592592595E-4</v>
      </c>
      <c r="L167" s="151" t="s">
        <v>448</v>
      </c>
      <c r="M167" s="151" t="s">
        <v>877</v>
      </c>
      <c r="N167" s="151" t="s">
        <v>452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873</v>
      </c>
      <c r="B168" s="151" t="s">
        <v>874</v>
      </c>
      <c r="C168" s="164" t="s">
        <v>978</v>
      </c>
      <c r="D168" s="164" t="s">
        <v>979</v>
      </c>
      <c r="E168" s="165">
        <v>1.8865740740740742E-3</v>
      </c>
      <c r="F168" s="151" t="s">
        <v>448</v>
      </c>
      <c r="G168" s="151" t="s">
        <v>877</v>
      </c>
      <c r="H168" s="151" t="s">
        <v>449</v>
      </c>
      <c r="I168" s="164" t="s">
        <v>980</v>
      </c>
      <c r="J168" s="164" t="s">
        <v>981</v>
      </c>
      <c r="K168" s="165">
        <v>3.2407407407407406E-4</v>
      </c>
      <c r="L168" s="151" t="s">
        <v>448</v>
      </c>
      <c r="M168" s="151" t="s">
        <v>877</v>
      </c>
      <c r="N168" s="151" t="s">
        <v>452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873</v>
      </c>
      <c r="B169" s="151" t="s">
        <v>874</v>
      </c>
      <c r="C169" s="164" t="s">
        <v>982</v>
      </c>
      <c r="D169" s="164" t="s">
        <v>983</v>
      </c>
      <c r="E169" s="165">
        <v>2.0949074074074073E-3</v>
      </c>
      <c r="F169" s="151" t="s">
        <v>448</v>
      </c>
      <c r="G169" s="151" t="s">
        <v>877</v>
      </c>
      <c r="H169" s="151" t="s">
        <v>449</v>
      </c>
      <c r="I169" s="164" t="s">
        <v>984</v>
      </c>
      <c r="J169" s="164" t="s">
        <v>985</v>
      </c>
      <c r="K169" s="165">
        <v>2.8935185185185184E-4</v>
      </c>
      <c r="L169" s="151" t="s">
        <v>448</v>
      </c>
      <c r="M169" s="151" t="s">
        <v>877</v>
      </c>
      <c r="N169" s="151" t="s">
        <v>452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873</v>
      </c>
      <c r="B170" s="151" t="s">
        <v>874</v>
      </c>
      <c r="C170" s="164" t="s">
        <v>986</v>
      </c>
      <c r="D170" s="164" t="s">
        <v>987</v>
      </c>
      <c r="E170" s="165">
        <v>2.0023148148148148E-3</v>
      </c>
      <c r="F170" s="151" t="s">
        <v>448</v>
      </c>
      <c r="G170" s="151" t="s">
        <v>877</v>
      </c>
      <c r="H170" s="151" t="s">
        <v>449</v>
      </c>
      <c r="I170" s="164" t="s">
        <v>988</v>
      </c>
      <c r="J170" s="164" t="s">
        <v>989</v>
      </c>
      <c r="K170" s="165">
        <v>2.8935185185185184E-4</v>
      </c>
      <c r="L170" s="151" t="s">
        <v>448</v>
      </c>
      <c r="M170" s="151" t="s">
        <v>877</v>
      </c>
      <c r="N170" s="151" t="s">
        <v>452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873</v>
      </c>
      <c r="B171" s="151" t="s">
        <v>874</v>
      </c>
      <c r="C171" s="164" t="s">
        <v>990</v>
      </c>
      <c r="D171" s="164" t="s">
        <v>991</v>
      </c>
      <c r="E171" s="165">
        <v>1.9907407407407408E-3</v>
      </c>
      <c r="F171" s="151" t="s">
        <v>448</v>
      </c>
      <c r="G171" s="151" t="s">
        <v>877</v>
      </c>
      <c r="H171" s="151" t="s">
        <v>449</v>
      </c>
      <c r="I171" s="164" t="s">
        <v>992</v>
      </c>
      <c r="J171" s="164" t="s">
        <v>993</v>
      </c>
      <c r="K171" s="165">
        <v>3.3564814814814812E-4</v>
      </c>
      <c r="L171" s="151" t="s">
        <v>448</v>
      </c>
      <c r="M171" s="151" t="s">
        <v>877</v>
      </c>
      <c r="N171" s="151" t="s">
        <v>452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873</v>
      </c>
      <c r="B172" s="151" t="s">
        <v>874</v>
      </c>
      <c r="C172" s="164" t="s">
        <v>994</v>
      </c>
      <c r="D172" s="164" t="s">
        <v>995</v>
      </c>
      <c r="E172" s="165">
        <v>2.1064814814814813E-3</v>
      </c>
      <c r="F172" s="151" t="s">
        <v>448</v>
      </c>
      <c r="G172" s="151" t="s">
        <v>877</v>
      </c>
      <c r="H172" s="151" t="s">
        <v>449</v>
      </c>
      <c r="I172" s="164" t="s">
        <v>996</v>
      </c>
      <c r="J172" s="164" t="s">
        <v>997</v>
      </c>
      <c r="K172" s="165">
        <v>2.8935185185185184E-4</v>
      </c>
      <c r="L172" s="151" t="s">
        <v>448</v>
      </c>
      <c r="M172" s="151" t="s">
        <v>877</v>
      </c>
      <c r="N172" s="151" t="s">
        <v>452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873</v>
      </c>
      <c r="B173" s="151" t="s">
        <v>874</v>
      </c>
      <c r="C173" s="164" t="s">
        <v>998</v>
      </c>
      <c r="D173" s="164" t="s">
        <v>999</v>
      </c>
      <c r="E173" s="165">
        <v>2.8009259259259259E-3</v>
      </c>
      <c r="F173" s="151" t="s">
        <v>448</v>
      </c>
      <c r="G173" s="151" t="s">
        <v>877</v>
      </c>
      <c r="H173" s="151" t="s">
        <v>449</v>
      </c>
      <c r="I173" s="164" t="s">
        <v>1000</v>
      </c>
      <c r="J173" s="164" t="s">
        <v>1001</v>
      </c>
      <c r="K173" s="165">
        <v>3.0092592592592595E-4</v>
      </c>
      <c r="L173" s="151" t="s">
        <v>448</v>
      </c>
      <c r="M173" s="151" t="s">
        <v>877</v>
      </c>
      <c r="N173" s="151" t="s">
        <v>452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873</v>
      </c>
      <c r="B174" s="151" t="s">
        <v>874</v>
      </c>
      <c r="C174" s="164" t="s">
        <v>1002</v>
      </c>
      <c r="D174" s="164" t="s">
        <v>1003</v>
      </c>
      <c r="E174" s="165">
        <v>2.5462962962962965E-3</v>
      </c>
      <c r="F174" s="151" t="s">
        <v>448</v>
      </c>
      <c r="G174" s="151" t="s">
        <v>877</v>
      </c>
      <c r="H174" s="151" t="s">
        <v>449</v>
      </c>
      <c r="I174" s="164" t="s">
        <v>1004</v>
      </c>
      <c r="J174" s="164" t="s">
        <v>1005</v>
      </c>
      <c r="K174" s="165">
        <v>5.3240740740740744E-4</v>
      </c>
      <c r="L174" s="151" t="s">
        <v>448</v>
      </c>
      <c r="M174" s="151" t="s">
        <v>877</v>
      </c>
      <c r="N174" s="151" t="s">
        <v>452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873</v>
      </c>
      <c r="B175" s="151" t="s">
        <v>874</v>
      </c>
      <c r="C175" s="164" t="s">
        <v>1006</v>
      </c>
      <c r="D175" s="164" t="s">
        <v>1007</v>
      </c>
      <c r="E175" s="165">
        <v>2.1180555555555558E-3</v>
      </c>
      <c r="F175" s="151" t="s">
        <v>448</v>
      </c>
      <c r="G175" s="151" t="s">
        <v>877</v>
      </c>
      <c r="H175" s="151" t="s">
        <v>449</v>
      </c>
      <c r="I175" s="164" t="s">
        <v>1008</v>
      </c>
      <c r="J175" s="164" t="s">
        <v>1009</v>
      </c>
      <c r="K175" s="165">
        <v>3.1250000000000001E-4</v>
      </c>
      <c r="L175" s="151" t="s">
        <v>448</v>
      </c>
      <c r="M175" s="151" t="s">
        <v>877</v>
      </c>
      <c r="N175" s="151" t="s">
        <v>452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873</v>
      </c>
      <c r="B176" s="151" t="s">
        <v>874</v>
      </c>
      <c r="C176" s="164" t="s">
        <v>1010</v>
      </c>
      <c r="D176" s="164" t="s">
        <v>1011</v>
      </c>
      <c r="E176" s="165">
        <v>1.9328703703703704E-3</v>
      </c>
      <c r="F176" s="151" t="s">
        <v>448</v>
      </c>
      <c r="G176" s="151" t="s">
        <v>877</v>
      </c>
      <c r="H176" s="151" t="s">
        <v>449</v>
      </c>
      <c r="I176" s="164" t="s">
        <v>1012</v>
      </c>
      <c r="J176" s="164" t="s">
        <v>1013</v>
      </c>
      <c r="K176" s="165">
        <v>2.7777777777777778E-4</v>
      </c>
      <c r="L176" s="151" t="s">
        <v>448</v>
      </c>
      <c r="M176" s="151" t="s">
        <v>877</v>
      </c>
      <c r="N176" s="151" t="s">
        <v>452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873</v>
      </c>
      <c r="B177" s="151" t="s">
        <v>874</v>
      </c>
      <c r="C177" s="164" t="s">
        <v>1014</v>
      </c>
      <c r="D177" s="164" t="s">
        <v>1015</v>
      </c>
      <c r="E177" s="165">
        <v>1.5972222222222223E-3</v>
      </c>
      <c r="F177" s="151" t="s">
        <v>448</v>
      </c>
      <c r="G177" s="151" t="s">
        <v>877</v>
      </c>
      <c r="H177" s="151" t="s">
        <v>449</v>
      </c>
      <c r="I177" s="164" t="s">
        <v>1016</v>
      </c>
      <c r="J177" s="164" t="s">
        <v>1017</v>
      </c>
      <c r="K177" s="165">
        <v>2.8935185185185184E-4</v>
      </c>
      <c r="L177" s="151" t="s">
        <v>448</v>
      </c>
      <c r="M177" s="151" t="s">
        <v>877</v>
      </c>
      <c r="N177" s="151" t="s">
        <v>452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873</v>
      </c>
      <c r="B178" s="151" t="s">
        <v>874</v>
      </c>
      <c r="C178" s="164" t="s">
        <v>1018</v>
      </c>
      <c r="D178" s="164" t="s">
        <v>1019</v>
      </c>
      <c r="E178" s="165">
        <v>2.3379629629629631E-3</v>
      </c>
      <c r="F178" s="151" t="s">
        <v>448</v>
      </c>
      <c r="G178" s="151" t="s">
        <v>877</v>
      </c>
      <c r="H178" s="151" t="s">
        <v>449</v>
      </c>
      <c r="I178" s="164" t="s">
        <v>1020</v>
      </c>
      <c r="J178" s="164" t="s">
        <v>1021</v>
      </c>
      <c r="K178" s="165">
        <v>3.2407407407407406E-4</v>
      </c>
      <c r="L178" s="151" t="s">
        <v>448</v>
      </c>
      <c r="M178" s="151" t="s">
        <v>877</v>
      </c>
      <c r="N178" s="151" t="s">
        <v>452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873</v>
      </c>
      <c r="B179" s="151" t="s">
        <v>874</v>
      </c>
      <c r="C179" s="164" t="s">
        <v>1022</v>
      </c>
      <c r="D179" s="164" t="s">
        <v>1023</v>
      </c>
      <c r="E179" s="165">
        <v>2.476851851851852E-3</v>
      </c>
      <c r="F179" s="151" t="s">
        <v>448</v>
      </c>
      <c r="G179" s="151" t="s">
        <v>877</v>
      </c>
      <c r="H179" s="151" t="s">
        <v>449</v>
      </c>
      <c r="I179" s="164" t="s">
        <v>1024</v>
      </c>
      <c r="J179" s="164" t="s">
        <v>1025</v>
      </c>
      <c r="K179" s="165">
        <v>2.8935185185185184E-4</v>
      </c>
      <c r="L179" s="151" t="s">
        <v>448</v>
      </c>
      <c r="M179" s="151" t="s">
        <v>877</v>
      </c>
      <c r="N179" s="151" t="s">
        <v>452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873</v>
      </c>
      <c r="B180" s="151" t="s">
        <v>874</v>
      </c>
      <c r="C180" s="164" t="s">
        <v>1026</v>
      </c>
      <c r="D180" s="164" t="s">
        <v>1027</v>
      </c>
      <c r="E180" s="165">
        <v>2.0717592592592593E-3</v>
      </c>
      <c r="F180" s="151" t="s">
        <v>448</v>
      </c>
      <c r="G180" s="151" t="s">
        <v>877</v>
      </c>
      <c r="H180" s="151" t="s">
        <v>449</v>
      </c>
      <c r="I180" s="164" t="s">
        <v>1028</v>
      </c>
      <c r="J180" s="164" t="s">
        <v>1029</v>
      </c>
      <c r="K180" s="165">
        <v>3.0092592592592595E-4</v>
      </c>
      <c r="L180" s="151" t="s">
        <v>448</v>
      </c>
      <c r="M180" s="151" t="s">
        <v>877</v>
      </c>
      <c r="N180" s="151" t="s">
        <v>452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873</v>
      </c>
      <c r="B181" s="151" t="s">
        <v>874</v>
      </c>
      <c r="C181" s="164" t="s">
        <v>1030</v>
      </c>
      <c r="D181" s="164" t="s">
        <v>1031</v>
      </c>
      <c r="E181" s="165">
        <v>1.6550925925925926E-3</v>
      </c>
      <c r="F181" s="151" t="s">
        <v>448</v>
      </c>
      <c r="G181" s="151" t="s">
        <v>877</v>
      </c>
      <c r="H181" s="151" t="s">
        <v>449</v>
      </c>
      <c r="I181" s="164" t="s">
        <v>1032</v>
      </c>
      <c r="J181" s="164" t="s">
        <v>763</v>
      </c>
      <c r="K181" s="165">
        <v>2.7777777777777778E-4</v>
      </c>
      <c r="L181" s="151" t="s">
        <v>448</v>
      </c>
      <c r="M181" s="151" t="s">
        <v>877</v>
      </c>
      <c r="N181" s="151" t="s">
        <v>452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873</v>
      </c>
      <c r="B182" s="151" t="s">
        <v>874</v>
      </c>
      <c r="C182" s="164" t="s">
        <v>1033</v>
      </c>
      <c r="D182" s="164" t="s">
        <v>1034</v>
      </c>
      <c r="E182" s="165">
        <v>2.0601851851851853E-3</v>
      </c>
      <c r="F182" s="151" t="s">
        <v>448</v>
      </c>
      <c r="G182" s="151" t="s">
        <v>877</v>
      </c>
      <c r="H182" s="151" t="s">
        <v>449</v>
      </c>
      <c r="I182" s="164" t="s">
        <v>1035</v>
      </c>
      <c r="J182" s="164" t="s">
        <v>1036</v>
      </c>
      <c r="K182" s="165">
        <v>2.8935185185185184E-4</v>
      </c>
      <c r="L182" s="151" t="s">
        <v>448</v>
      </c>
      <c r="M182" s="151" t="s">
        <v>877</v>
      </c>
      <c r="N182" s="151" t="s">
        <v>452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873</v>
      </c>
      <c r="B183" s="151" t="s">
        <v>874</v>
      </c>
      <c r="C183" s="164" t="s">
        <v>1037</v>
      </c>
      <c r="D183" s="164" t="s">
        <v>1038</v>
      </c>
      <c r="E183" s="165">
        <v>1.9560185185185184E-3</v>
      </c>
      <c r="F183" s="151" t="s">
        <v>448</v>
      </c>
      <c r="G183" s="151" t="s">
        <v>877</v>
      </c>
      <c r="H183" s="151" t="s">
        <v>449</v>
      </c>
      <c r="I183" s="164" t="s">
        <v>1039</v>
      </c>
      <c r="J183" s="164" t="s">
        <v>1040</v>
      </c>
      <c r="K183" s="165">
        <v>2.8935185185185184E-4</v>
      </c>
      <c r="L183" s="151" t="s">
        <v>448</v>
      </c>
      <c r="M183" s="151" t="s">
        <v>877</v>
      </c>
      <c r="N183" s="151" t="s">
        <v>452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873</v>
      </c>
      <c r="B184" s="151" t="s">
        <v>874</v>
      </c>
      <c r="C184" s="164" t="s">
        <v>1041</v>
      </c>
      <c r="D184" s="164" t="s">
        <v>1042</v>
      </c>
      <c r="E184" s="165">
        <v>1.5277777777777779E-3</v>
      </c>
      <c r="F184" s="151" t="s">
        <v>448</v>
      </c>
      <c r="G184" s="151" t="s">
        <v>877</v>
      </c>
      <c r="H184" s="151" t="s">
        <v>449</v>
      </c>
      <c r="I184" s="164" t="s">
        <v>1043</v>
      </c>
      <c r="J184" s="164" t="s">
        <v>1044</v>
      </c>
      <c r="K184" s="165">
        <v>2.8935185185185184E-4</v>
      </c>
      <c r="L184" s="151" t="s">
        <v>448</v>
      </c>
      <c r="M184" s="151" t="s">
        <v>877</v>
      </c>
      <c r="N184" s="151" t="s">
        <v>452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873</v>
      </c>
      <c r="B185" s="151" t="s">
        <v>874</v>
      </c>
      <c r="C185" s="164" t="s">
        <v>1045</v>
      </c>
      <c r="D185" s="164" t="s">
        <v>1046</v>
      </c>
      <c r="E185" s="165">
        <v>2.0254629629629629E-3</v>
      </c>
      <c r="F185" s="151" t="s">
        <v>448</v>
      </c>
      <c r="G185" s="151" t="s">
        <v>877</v>
      </c>
      <c r="H185" s="151" t="s">
        <v>449</v>
      </c>
      <c r="I185" s="164" t="s">
        <v>1047</v>
      </c>
      <c r="J185" s="164" t="s">
        <v>1048</v>
      </c>
      <c r="K185" s="165">
        <v>3.5879629629629629E-4</v>
      </c>
      <c r="L185" s="151" t="s">
        <v>448</v>
      </c>
      <c r="M185" s="151" t="s">
        <v>877</v>
      </c>
      <c r="N185" s="151" t="s">
        <v>452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873</v>
      </c>
      <c r="B186" s="151" t="s">
        <v>874</v>
      </c>
      <c r="C186" s="164" t="s">
        <v>1049</v>
      </c>
      <c r="D186" s="164" t="s">
        <v>1050</v>
      </c>
      <c r="E186" s="165">
        <v>2.9282407407407408E-3</v>
      </c>
      <c r="F186" s="151" t="s">
        <v>448</v>
      </c>
      <c r="G186" s="151" t="s">
        <v>877</v>
      </c>
      <c r="H186" s="151" t="s">
        <v>449</v>
      </c>
      <c r="I186" s="164" t="s">
        <v>1051</v>
      </c>
      <c r="J186" s="164" t="s">
        <v>1052</v>
      </c>
      <c r="K186" s="165">
        <v>2.9861111111111113E-3</v>
      </c>
      <c r="L186" s="151" t="s">
        <v>448</v>
      </c>
      <c r="M186" s="151" t="s">
        <v>877</v>
      </c>
      <c r="N186" s="151" t="s">
        <v>452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873</v>
      </c>
      <c r="B187" s="151" t="s">
        <v>874</v>
      </c>
      <c r="C187" s="164" t="s">
        <v>1053</v>
      </c>
      <c r="D187" s="164" t="s">
        <v>1054</v>
      </c>
      <c r="E187" s="165">
        <v>2.1643518518518518E-3</v>
      </c>
      <c r="F187" s="151" t="s">
        <v>448</v>
      </c>
      <c r="G187" s="151" t="s">
        <v>877</v>
      </c>
      <c r="H187" s="151" t="s">
        <v>449</v>
      </c>
      <c r="I187" s="164" t="s">
        <v>1055</v>
      </c>
      <c r="J187" s="164" t="s">
        <v>1056</v>
      </c>
      <c r="K187" s="165">
        <v>3.1250000000000001E-4</v>
      </c>
      <c r="L187" s="151" t="s">
        <v>448</v>
      </c>
      <c r="M187" s="151" t="s">
        <v>877</v>
      </c>
      <c r="N187" s="151" t="s">
        <v>452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873</v>
      </c>
      <c r="B188" s="151" t="s">
        <v>874</v>
      </c>
      <c r="C188" s="164" t="s">
        <v>1057</v>
      </c>
      <c r="D188" s="164" t="s">
        <v>1058</v>
      </c>
      <c r="E188" s="165">
        <v>1.9444444444444444E-3</v>
      </c>
      <c r="F188" s="151" t="s">
        <v>448</v>
      </c>
      <c r="G188" s="151" t="s">
        <v>877</v>
      </c>
      <c r="H188" s="151" t="s">
        <v>449</v>
      </c>
      <c r="I188" s="164" t="s">
        <v>1059</v>
      </c>
      <c r="J188" s="164" t="s">
        <v>1060</v>
      </c>
      <c r="K188" s="165">
        <v>2.4305555555555555E-4</v>
      </c>
      <c r="L188" s="151" t="s">
        <v>448</v>
      </c>
      <c r="M188" s="151" t="s">
        <v>877</v>
      </c>
      <c r="N188" s="151" t="s">
        <v>452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873</v>
      </c>
      <c r="B189" s="151" t="s">
        <v>874</v>
      </c>
      <c r="C189" s="164" t="s">
        <v>1061</v>
      </c>
      <c r="D189" s="164" t="s">
        <v>1062</v>
      </c>
      <c r="E189" s="165">
        <v>2.0486111111111113E-3</v>
      </c>
      <c r="F189" s="151" t="s">
        <v>448</v>
      </c>
      <c r="G189" s="151" t="s">
        <v>877</v>
      </c>
      <c r="H189" s="151" t="s">
        <v>449</v>
      </c>
      <c r="I189" s="164" t="s">
        <v>1063</v>
      </c>
      <c r="J189" s="164" t="s">
        <v>1064</v>
      </c>
      <c r="K189" s="165">
        <v>3.2407407407407406E-4</v>
      </c>
      <c r="L189" s="151" t="s">
        <v>448</v>
      </c>
      <c r="M189" s="151" t="s">
        <v>877</v>
      </c>
      <c r="N189" s="151" t="s">
        <v>452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873</v>
      </c>
      <c r="B190" s="151" t="s">
        <v>874</v>
      </c>
      <c r="C190" s="164" t="s">
        <v>1065</v>
      </c>
      <c r="D190" s="164" t="s">
        <v>1066</v>
      </c>
      <c r="E190" s="165">
        <v>2.3842592592592591E-3</v>
      </c>
      <c r="F190" s="151" t="s">
        <v>448</v>
      </c>
      <c r="G190" s="151" t="s">
        <v>877</v>
      </c>
      <c r="H190" s="151" t="s">
        <v>449</v>
      </c>
      <c r="I190" s="164" t="s">
        <v>1067</v>
      </c>
      <c r="J190" s="164" t="s">
        <v>1068</v>
      </c>
      <c r="K190" s="165">
        <v>1.9675925925925926E-4</v>
      </c>
      <c r="L190" s="151" t="s">
        <v>448</v>
      </c>
      <c r="M190" s="151" t="s">
        <v>877</v>
      </c>
      <c r="N190" s="151" t="s">
        <v>452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873</v>
      </c>
      <c r="B191" s="151" t="s">
        <v>874</v>
      </c>
      <c r="C191" s="164" t="s">
        <v>1069</v>
      </c>
      <c r="D191" s="164" t="s">
        <v>1070</v>
      </c>
      <c r="E191" s="165">
        <v>2.0486111111111113E-3</v>
      </c>
      <c r="F191" s="151" t="s">
        <v>448</v>
      </c>
      <c r="G191" s="151" t="s">
        <v>877</v>
      </c>
      <c r="H191" s="151" t="s">
        <v>449</v>
      </c>
      <c r="I191" s="164" t="s">
        <v>1071</v>
      </c>
      <c r="J191" s="164" t="s">
        <v>1072</v>
      </c>
      <c r="K191" s="165">
        <v>2.8935185185185184E-4</v>
      </c>
      <c r="L191" s="151" t="s">
        <v>448</v>
      </c>
      <c r="M191" s="151" t="s">
        <v>877</v>
      </c>
      <c r="N191" s="151" t="s">
        <v>452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873</v>
      </c>
      <c r="B192" s="151" t="s">
        <v>874</v>
      </c>
      <c r="C192" s="164" t="s">
        <v>1073</v>
      </c>
      <c r="D192" s="164" t="s">
        <v>1074</v>
      </c>
      <c r="E192" s="165">
        <v>1.6087962962962963E-3</v>
      </c>
      <c r="F192" s="151" t="s">
        <v>448</v>
      </c>
      <c r="G192" s="151" t="s">
        <v>877</v>
      </c>
      <c r="H192" s="151" t="s">
        <v>449</v>
      </c>
      <c r="I192" s="164" t="s">
        <v>619</v>
      </c>
      <c r="J192" s="164" t="s">
        <v>1075</v>
      </c>
      <c r="K192" s="165">
        <v>2.7777777777777778E-4</v>
      </c>
      <c r="L192" s="151" t="s">
        <v>448</v>
      </c>
      <c r="M192" s="151" t="s">
        <v>877</v>
      </c>
      <c r="N192" s="151" t="s">
        <v>452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873</v>
      </c>
      <c r="B193" s="151" t="s">
        <v>874</v>
      </c>
      <c r="C193" s="164" t="s">
        <v>1076</v>
      </c>
      <c r="D193" s="164" t="s">
        <v>1077</v>
      </c>
      <c r="E193" s="165">
        <v>1.7824074074074075E-3</v>
      </c>
      <c r="F193" s="151" t="s">
        <v>448</v>
      </c>
      <c r="G193" s="151" t="s">
        <v>877</v>
      </c>
      <c r="H193" s="151" t="s">
        <v>449</v>
      </c>
      <c r="I193" s="164" t="s">
        <v>1078</v>
      </c>
      <c r="J193" s="164" t="s">
        <v>1079</v>
      </c>
      <c r="K193" s="165">
        <v>2.6620370370370372E-4</v>
      </c>
      <c r="L193" s="151" t="s">
        <v>448</v>
      </c>
      <c r="M193" s="151" t="s">
        <v>877</v>
      </c>
      <c r="N193" s="151" t="s">
        <v>452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1080</v>
      </c>
      <c r="B194" s="151" t="s">
        <v>389</v>
      </c>
      <c r="C194" s="164" t="s">
        <v>1081</v>
      </c>
      <c r="D194" s="164" t="s">
        <v>1082</v>
      </c>
      <c r="E194" s="165">
        <v>4.1666666666666666E-3</v>
      </c>
      <c r="F194" s="151" t="s">
        <v>298</v>
      </c>
      <c r="H194" s="151" t="s">
        <v>31</v>
      </c>
      <c r="I194" s="164" t="s">
        <v>1083</v>
      </c>
      <c r="J194" s="164" t="s">
        <v>1084</v>
      </c>
      <c r="K194" s="165">
        <v>5.9027777777777778E-4</v>
      </c>
      <c r="L194" s="151" t="s">
        <v>394</v>
      </c>
      <c r="N194" s="151" t="s">
        <v>395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1080</v>
      </c>
      <c r="B195" s="151" t="s">
        <v>389</v>
      </c>
      <c r="C195" s="164" t="s">
        <v>1085</v>
      </c>
      <c r="D195" s="164" t="s">
        <v>1086</v>
      </c>
      <c r="E195" s="165">
        <v>1.3078703703703703E-3</v>
      </c>
      <c r="F195" s="151" t="s">
        <v>298</v>
      </c>
      <c r="H195" s="151" t="s">
        <v>299</v>
      </c>
      <c r="I195" s="164" t="s">
        <v>1087</v>
      </c>
      <c r="J195" s="164" t="s">
        <v>1088</v>
      </c>
      <c r="K195" s="165">
        <v>6.018518518518519E-4</v>
      </c>
      <c r="L195" s="151" t="s">
        <v>302</v>
      </c>
      <c r="N195" s="151" t="s">
        <v>303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1080</v>
      </c>
      <c r="B196" s="151" t="s">
        <v>389</v>
      </c>
      <c r="C196" s="164" t="s">
        <v>1089</v>
      </c>
      <c r="D196" s="164" t="s">
        <v>1090</v>
      </c>
      <c r="E196" s="165">
        <v>1.2268518518518518E-3</v>
      </c>
      <c r="F196" s="151" t="s">
        <v>298</v>
      </c>
      <c r="H196" s="151" t="s">
        <v>299</v>
      </c>
      <c r="I196" s="164" t="s">
        <v>1091</v>
      </c>
      <c r="J196" s="164" t="s">
        <v>1092</v>
      </c>
      <c r="K196" s="165">
        <v>6.018518518518519E-4</v>
      </c>
      <c r="L196" s="151" t="s">
        <v>302</v>
      </c>
      <c r="N196" s="151" t="s">
        <v>303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1080</v>
      </c>
      <c r="B197" s="151" t="s">
        <v>389</v>
      </c>
      <c r="C197" s="164" t="s">
        <v>1093</v>
      </c>
      <c r="D197" s="164" t="s">
        <v>1094</v>
      </c>
      <c r="E197" s="165">
        <v>1.261574074074074E-3</v>
      </c>
      <c r="F197" s="151" t="s">
        <v>298</v>
      </c>
      <c r="H197" s="151" t="s">
        <v>299</v>
      </c>
      <c r="I197" s="164" t="s">
        <v>1095</v>
      </c>
      <c r="J197" s="164" t="s">
        <v>1096</v>
      </c>
      <c r="K197" s="165">
        <v>6.3657407407407413E-4</v>
      </c>
      <c r="L197" s="151" t="s">
        <v>302</v>
      </c>
      <c r="N197" s="151" t="s">
        <v>303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1080</v>
      </c>
      <c r="B198" s="151" t="s">
        <v>389</v>
      </c>
      <c r="C198" s="164" t="s">
        <v>1097</v>
      </c>
      <c r="D198" s="164" t="s">
        <v>1098</v>
      </c>
      <c r="E198" s="165">
        <v>1.6319444444444445E-3</v>
      </c>
      <c r="F198" s="151" t="s">
        <v>298</v>
      </c>
      <c r="H198" s="151" t="s">
        <v>299</v>
      </c>
      <c r="I198" s="164" t="s">
        <v>1099</v>
      </c>
      <c r="J198" s="164" t="s">
        <v>1100</v>
      </c>
      <c r="K198" s="165">
        <v>6.2500000000000001E-4</v>
      </c>
      <c r="L198" s="151" t="s">
        <v>302</v>
      </c>
      <c r="N198" s="151" t="s">
        <v>303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1080</v>
      </c>
      <c r="B199" s="151" t="s">
        <v>389</v>
      </c>
      <c r="C199" s="164" t="s">
        <v>1101</v>
      </c>
      <c r="D199" s="164" t="s">
        <v>1102</v>
      </c>
      <c r="E199" s="165">
        <v>1.4930555555555556E-3</v>
      </c>
      <c r="F199" s="151" t="s">
        <v>298</v>
      </c>
      <c r="H199" s="151" t="s">
        <v>299</v>
      </c>
      <c r="I199" s="164" t="s">
        <v>1103</v>
      </c>
      <c r="J199" s="164" t="s">
        <v>1104</v>
      </c>
      <c r="K199" s="165">
        <v>6.4814814814814813E-4</v>
      </c>
      <c r="L199" s="151" t="s">
        <v>302</v>
      </c>
      <c r="N199" s="151" t="s">
        <v>303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1080</v>
      </c>
      <c r="B200" s="151" t="s">
        <v>389</v>
      </c>
      <c r="C200" s="164" t="s">
        <v>1105</v>
      </c>
      <c r="D200" s="164" t="s">
        <v>1106</v>
      </c>
      <c r="E200" s="165">
        <v>1.3888888888888889E-3</v>
      </c>
      <c r="F200" s="151" t="s">
        <v>298</v>
      </c>
      <c r="H200" s="151" t="s">
        <v>299</v>
      </c>
      <c r="I200" s="164" t="s">
        <v>1107</v>
      </c>
      <c r="J200" s="164" t="s">
        <v>1108</v>
      </c>
      <c r="K200" s="165">
        <v>6.134259259259259E-4</v>
      </c>
      <c r="L200" s="151" t="s">
        <v>302</v>
      </c>
      <c r="N200" s="151" t="s">
        <v>303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1109</v>
      </c>
      <c r="B201" s="151" t="s">
        <v>1110</v>
      </c>
      <c r="C201" s="164" t="s">
        <v>1111</v>
      </c>
      <c r="D201" s="164" t="s">
        <v>1112</v>
      </c>
      <c r="E201" s="165">
        <v>2.9050925925925928E-3</v>
      </c>
      <c r="F201" s="151" t="s">
        <v>298</v>
      </c>
      <c r="H201" s="151" t="s">
        <v>31</v>
      </c>
      <c r="I201" s="164" t="s">
        <v>1113</v>
      </c>
      <c r="J201" s="164" t="s">
        <v>1114</v>
      </c>
      <c r="K201" s="165">
        <v>2.8935185185185184E-4</v>
      </c>
      <c r="L201" s="151" t="s">
        <v>394</v>
      </c>
      <c r="N201" s="151" t="s">
        <v>395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1109</v>
      </c>
      <c r="B202" s="151" t="s">
        <v>1110</v>
      </c>
      <c r="C202" s="164" t="s">
        <v>460</v>
      </c>
      <c r="D202" s="164" t="s">
        <v>1115</v>
      </c>
      <c r="E202" s="165">
        <v>3.6342592592592594E-3</v>
      </c>
      <c r="F202" s="151" t="s">
        <v>298</v>
      </c>
      <c r="H202" s="151" t="s">
        <v>31</v>
      </c>
      <c r="I202" s="164" t="s">
        <v>1116</v>
      </c>
      <c r="J202" s="164" t="s">
        <v>466</v>
      </c>
      <c r="K202" s="165">
        <v>5.0925925925925921E-4</v>
      </c>
      <c r="L202" s="151" t="s">
        <v>394</v>
      </c>
      <c r="N202" s="151" t="s">
        <v>395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1109</v>
      </c>
      <c r="B203" s="151" t="s">
        <v>1110</v>
      </c>
      <c r="C203" s="164" t="s">
        <v>1117</v>
      </c>
      <c r="D203" s="164" t="s">
        <v>1118</v>
      </c>
      <c r="E203" s="165">
        <v>1.8518518518518519E-3</v>
      </c>
      <c r="F203" s="151" t="s">
        <v>298</v>
      </c>
      <c r="H203" s="151" t="s">
        <v>31</v>
      </c>
      <c r="I203" s="164" t="s">
        <v>1119</v>
      </c>
      <c r="J203" s="164" t="s">
        <v>1120</v>
      </c>
      <c r="K203" s="165">
        <v>4.3981481481481481E-4</v>
      </c>
      <c r="L203" s="151" t="s">
        <v>394</v>
      </c>
      <c r="N203" s="151" t="s">
        <v>395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1109</v>
      </c>
      <c r="B204" s="151" t="s">
        <v>1110</v>
      </c>
      <c r="C204" s="164" t="s">
        <v>1121</v>
      </c>
      <c r="D204" s="164" t="s">
        <v>1122</v>
      </c>
      <c r="E204" s="165">
        <v>4.1550925925925922E-3</v>
      </c>
      <c r="F204" s="151" t="s">
        <v>298</v>
      </c>
      <c r="H204" s="151" t="s">
        <v>31</v>
      </c>
      <c r="I204" s="164" t="s">
        <v>1123</v>
      </c>
      <c r="J204" s="164" t="s">
        <v>1124</v>
      </c>
      <c r="K204" s="165">
        <v>2.4305555555555555E-4</v>
      </c>
      <c r="L204" s="151" t="s">
        <v>394</v>
      </c>
      <c r="N204" s="151" t="s">
        <v>395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1109</v>
      </c>
      <c r="B205" s="151" t="s">
        <v>1110</v>
      </c>
      <c r="C205" s="164" t="s">
        <v>1125</v>
      </c>
      <c r="D205" s="164" t="s">
        <v>1126</v>
      </c>
      <c r="E205" s="165">
        <v>5.0694444444444441E-3</v>
      </c>
      <c r="F205" s="151" t="s">
        <v>298</v>
      </c>
      <c r="H205" s="151" t="s">
        <v>31</v>
      </c>
      <c r="I205" s="164" t="s">
        <v>1127</v>
      </c>
      <c r="J205" s="164" t="s">
        <v>1128</v>
      </c>
      <c r="K205" s="165">
        <v>5.4398148148148144E-4</v>
      </c>
      <c r="L205" s="151" t="s">
        <v>394</v>
      </c>
      <c r="N205" s="151" t="s">
        <v>395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1129</v>
      </c>
      <c r="B206" s="151" t="s">
        <v>1130</v>
      </c>
      <c r="C206" s="164" t="s">
        <v>1131</v>
      </c>
      <c r="D206" s="164" t="s">
        <v>1132</v>
      </c>
      <c r="E206" s="165">
        <v>2.9398148148148148E-3</v>
      </c>
      <c r="F206" s="151" t="s">
        <v>298</v>
      </c>
      <c r="H206" s="151" t="s">
        <v>31</v>
      </c>
      <c r="I206" s="164" t="s">
        <v>1133</v>
      </c>
      <c r="J206" s="164" t="s">
        <v>1134</v>
      </c>
      <c r="K206" s="165">
        <v>3.2407407407407406E-4</v>
      </c>
      <c r="L206" s="151" t="s">
        <v>394</v>
      </c>
      <c r="N206" s="151" t="s">
        <v>395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1129</v>
      </c>
      <c r="B207" s="151" t="s">
        <v>1130</v>
      </c>
      <c r="C207" s="164" t="s">
        <v>1135</v>
      </c>
      <c r="D207" s="164" t="s">
        <v>1136</v>
      </c>
      <c r="E207" s="165">
        <v>2.8935185185185184E-3</v>
      </c>
      <c r="F207" s="151" t="s">
        <v>298</v>
      </c>
      <c r="H207" s="151" t="s">
        <v>31</v>
      </c>
      <c r="I207" s="164" t="s">
        <v>1137</v>
      </c>
      <c r="J207" s="164" t="s">
        <v>1138</v>
      </c>
      <c r="K207" s="165">
        <v>3.0092592592592595E-4</v>
      </c>
      <c r="L207" s="151" t="s">
        <v>394</v>
      </c>
      <c r="N207" s="151" t="s">
        <v>395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1129</v>
      </c>
      <c r="B208" s="151" t="s">
        <v>1130</v>
      </c>
      <c r="C208" s="164" t="s">
        <v>1139</v>
      </c>
      <c r="D208" s="164" t="s">
        <v>1140</v>
      </c>
      <c r="E208" s="165">
        <v>5.4398148148148149E-3</v>
      </c>
      <c r="F208" s="151" t="s">
        <v>298</v>
      </c>
      <c r="H208" s="151" t="s">
        <v>31</v>
      </c>
      <c r="I208" s="164" t="s">
        <v>1141</v>
      </c>
      <c r="J208" s="164" t="s">
        <v>1142</v>
      </c>
      <c r="K208" s="165">
        <v>3.0092592592592595E-4</v>
      </c>
      <c r="L208" s="151" t="s">
        <v>394</v>
      </c>
      <c r="N208" s="151" t="s">
        <v>395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1129</v>
      </c>
      <c r="B209" s="151" t="s">
        <v>1130</v>
      </c>
      <c r="C209" s="164" t="s">
        <v>1143</v>
      </c>
      <c r="D209" s="164" t="s">
        <v>1144</v>
      </c>
      <c r="E209" s="165">
        <v>1.5856481481481481E-3</v>
      </c>
      <c r="F209" s="151" t="s">
        <v>298</v>
      </c>
      <c r="H209" s="151" t="s">
        <v>299</v>
      </c>
      <c r="I209" s="164" t="s">
        <v>1145</v>
      </c>
      <c r="J209" s="164" t="s">
        <v>1146</v>
      </c>
      <c r="K209" s="165">
        <v>3.1250000000000001E-4</v>
      </c>
      <c r="L209" s="151" t="s">
        <v>302</v>
      </c>
      <c r="N209" s="151" t="s">
        <v>303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1129</v>
      </c>
      <c r="B210" s="151" t="s">
        <v>1130</v>
      </c>
      <c r="C210" s="164" t="s">
        <v>1147</v>
      </c>
      <c r="D210" s="164" t="s">
        <v>1148</v>
      </c>
      <c r="E210" s="165">
        <v>2.1643518518518518E-3</v>
      </c>
      <c r="F210" s="151" t="s">
        <v>298</v>
      </c>
      <c r="H210" s="151" t="s">
        <v>299</v>
      </c>
      <c r="I210" s="164" t="s">
        <v>1149</v>
      </c>
      <c r="J210" s="164" t="s">
        <v>1150</v>
      </c>
      <c r="K210" s="165">
        <v>4.9768518518518521E-4</v>
      </c>
      <c r="L210" s="151" t="s">
        <v>302</v>
      </c>
      <c r="N210" s="151" t="s">
        <v>303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1129</v>
      </c>
      <c r="B211" s="151" t="s">
        <v>1130</v>
      </c>
      <c r="C211" s="164" t="s">
        <v>1151</v>
      </c>
      <c r="D211" s="164" t="s">
        <v>1152</v>
      </c>
      <c r="E211" s="165">
        <v>5.2199074074074075E-3</v>
      </c>
      <c r="F211" s="151" t="s">
        <v>298</v>
      </c>
      <c r="H211" s="151" t="s">
        <v>31</v>
      </c>
      <c r="I211" s="164" t="s">
        <v>1153</v>
      </c>
      <c r="J211" s="164" t="s">
        <v>1154</v>
      </c>
      <c r="K211" s="165">
        <v>5.0925925925925921E-4</v>
      </c>
      <c r="L211" s="151" t="s">
        <v>394</v>
      </c>
      <c r="N211" s="151" t="s">
        <v>395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1129</v>
      </c>
      <c r="B212" s="151" t="s">
        <v>1130</v>
      </c>
      <c r="C212" s="164" t="s">
        <v>1155</v>
      </c>
      <c r="D212" s="164" t="s">
        <v>1156</v>
      </c>
      <c r="E212" s="165">
        <v>4.5486111111111109E-3</v>
      </c>
      <c r="F212" s="151" t="s">
        <v>298</v>
      </c>
      <c r="H212" s="151" t="s">
        <v>31</v>
      </c>
      <c r="I212" s="164" t="s">
        <v>1157</v>
      </c>
      <c r="J212" s="164" t="s">
        <v>1158</v>
      </c>
      <c r="K212" s="165">
        <v>3.0092592592592595E-4</v>
      </c>
      <c r="L212" s="151" t="s">
        <v>394</v>
      </c>
      <c r="N212" s="151" t="s">
        <v>395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1129</v>
      </c>
      <c r="B213" s="151" t="s">
        <v>1130</v>
      </c>
      <c r="C213" s="164" t="s">
        <v>1159</v>
      </c>
      <c r="D213" s="164" t="s">
        <v>1160</v>
      </c>
      <c r="E213" s="165">
        <v>3.7152777777777778E-3</v>
      </c>
      <c r="F213" s="151" t="s">
        <v>298</v>
      </c>
      <c r="H213" s="151" t="s">
        <v>31</v>
      </c>
      <c r="I213" s="164" t="s">
        <v>1161</v>
      </c>
      <c r="J213" s="164" t="s">
        <v>1162</v>
      </c>
      <c r="K213" s="165">
        <v>5.0925925925925921E-4</v>
      </c>
      <c r="L213" s="151" t="s">
        <v>394</v>
      </c>
      <c r="N213" s="151" t="s">
        <v>395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1129</v>
      </c>
      <c r="B214" s="151" t="s">
        <v>1130</v>
      </c>
      <c r="C214" s="164" t="s">
        <v>1163</v>
      </c>
      <c r="D214" s="164" t="s">
        <v>1164</v>
      </c>
      <c r="E214" s="165">
        <v>2.9398148148148148E-3</v>
      </c>
      <c r="F214" s="151" t="s">
        <v>298</v>
      </c>
      <c r="H214" s="151" t="s">
        <v>31</v>
      </c>
      <c r="I214" s="164" t="s">
        <v>1165</v>
      </c>
      <c r="J214" s="164" t="s">
        <v>1166</v>
      </c>
      <c r="K214" s="165">
        <v>5.2083333333333333E-4</v>
      </c>
      <c r="L214" s="151" t="s">
        <v>394</v>
      </c>
      <c r="N214" s="151" t="s">
        <v>395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1129</v>
      </c>
      <c r="B215" s="151" t="s">
        <v>1130</v>
      </c>
      <c r="C215" s="164" t="s">
        <v>1167</v>
      </c>
      <c r="D215" s="164" t="s">
        <v>1168</v>
      </c>
      <c r="E215" s="165">
        <v>4.0625000000000001E-3</v>
      </c>
      <c r="F215" s="151" t="s">
        <v>298</v>
      </c>
      <c r="H215" s="151" t="s">
        <v>31</v>
      </c>
      <c r="I215" s="164" t="s">
        <v>1169</v>
      </c>
      <c r="J215" s="164" t="s">
        <v>1170</v>
      </c>
      <c r="K215" s="165">
        <v>6.5972222222222224E-4</v>
      </c>
      <c r="L215" s="151" t="s">
        <v>394</v>
      </c>
      <c r="N215" s="151" t="s">
        <v>395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1129</v>
      </c>
      <c r="B216" s="151" t="s">
        <v>1130</v>
      </c>
      <c r="C216" s="164" t="s">
        <v>1171</v>
      </c>
      <c r="D216" s="164" t="s">
        <v>1172</v>
      </c>
      <c r="E216" s="165">
        <v>5.2430555555555555E-3</v>
      </c>
      <c r="F216" s="151" t="s">
        <v>298</v>
      </c>
      <c r="H216" s="151" t="s">
        <v>31</v>
      </c>
      <c r="I216" s="164" t="s">
        <v>1173</v>
      </c>
      <c r="J216" s="164" t="s">
        <v>1174</v>
      </c>
      <c r="K216" s="165">
        <v>3.1250000000000001E-4</v>
      </c>
      <c r="L216" s="151" t="s">
        <v>394</v>
      </c>
      <c r="N216" s="151" t="s">
        <v>395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1129</v>
      </c>
      <c r="B217" s="151" t="s">
        <v>1130</v>
      </c>
      <c r="C217" s="164" t="s">
        <v>1175</v>
      </c>
      <c r="D217" s="164" t="s">
        <v>1176</v>
      </c>
      <c r="E217" s="165">
        <v>4.6180555555555558E-3</v>
      </c>
      <c r="F217" s="151" t="s">
        <v>298</v>
      </c>
      <c r="H217" s="151" t="s">
        <v>31</v>
      </c>
      <c r="I217" s="164" t="s">
        <v>1177</v>
      </c>
      <c r="J217" s="164" t="s">
        <v>1178</v>
      </c>
      <c r="K217" s="165">
        <v>3.0092592592592595E-4</v>
      </c>
      <c r="L217" s="151" t="s">
        <v>394</v>
      </c>
      <c r="N217" s="151" t="s">
        <v>395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1129</v>
      </c>
      <c r="B218" s="151" t="s">
        <v>1130</v>
      </c>
      <c r="C218" s="164" t="s">
        <v>1179</v>
      </c>
      <c r="D218" s="164" t="s">
        <v>1180</v>
      </c>
      <c r="E218" s="165">
        <v>6.5046296296296293E-3</v>
      </c>
      <c r="F218" s="151" t="s">
        <v>298</v>
      </c>
      <c r="H218" s="151" t="s">
        <v>31</v>
      </c>
      <c r="I218" s="164" t="s">
        <v>1181</v>
      </c>
      <c r="J218" s="164" t="s">
        <v>1182</v>
      </c>
      <c r="K218" s="165">
        <v>3.3564814814814812E-4</v>
      </c>
      <c r="L218" s="151" t="s">
        <v>394</v>
      </c>
      <c r="N218" s="151" t="s">
        <v>395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1129</v>
      </c>
      <c r="B219" s="151" t="s">
        <v>1130</v>
      </c>
      <c r="C219" s="164" t="s">
        <v>1183</v>
      </c>
      <c r="D219" s="164" t="s">
        <v>1184</v>
      </c>
      <c r="E219" s="165">
        <v>2.662037037037037E-3</v>
      </c>
      <c r="F219" s="151" t="s">
        <v>298</v>
      </c>
      <c r="H219" s="151" t="s">
        <v>39</v>
      </c>
      <c r="I219" s="164" t="s">
        <v>1185</v>
      </c>
      <c r="J219" s="164" t="s">
        <v>1186</v>
      </c>
      <c r="K219" s="165">
        <v>2.5462962962962961E-4</v>
      </c>
      <c r="L219" s="151" t="s">
        <v>676</v>
      </c>
      <c r="N219" s="151" t="s">
        <v>395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1129</v>
      </c>
      <c r="B220" s="151" t="s">
        <v>1130</v>
      </c>
      <c r="C220" s="164" t="s">
        <v>1187</v>
      </c>
      <c r="D220" s="164" t="s">
        <v>1188</v>
      </c>
      <c r="E220" s="165">
        <v>1.5972222222222223E-3</v>
      </c>
      <c r="F220" s="151" t="s">
        <v>298</v>
      </c>
      <c r="H220" s="151" t="s">
        <v>39</v>
      </c>
      <c r="I220" s="164" t="s">
        <v>1189</v>
      </c>
      <c r="J220" s="164" t="s">
        <v>1190</v>
      </c>
      <c r="K220" s="165">
        <v>2.7777777777777778E-4</v>
      </c>
      <c r="L220" s="151" t="s">
        <v>676</v>
      </c>
      <c r="N220" s="151" t="s">
        <v>395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1129</v>
      </c>
      <c r="B221" s="151" t="s">
        <v>1130</v>
      </c>
      <c r="C221" s="164" t="s">
        <v>1191</v>
      </c>
      <c r="D221" s="164" t="s">
        <v>1192</v>
      </c>
      <c r="E221" s="165">
        <v>1.6898148148148148E-3</v>
      </c>
      <c r="F221" s="151" t="s">
        <v>298</v>
      </c>
      <c r="H221" s="151" t="s">
        <v>39</v>
      </c>
      <c r="I221" s="164" t="s">
        <v>1193</v>
      </c>
      <c r="J221" s="164" t="s">
        <v>1194</v>
      </c>
      <c r="K221" s="165">
        <v>6.2500000000000001E-4</v>
      </c>
      <c r="L221" s="151" t="s">
        <v>1195</v>
      </c>
      <c r="N221" s="151" t="s">
        <v>395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1129</v>
      </c>
      <c r="B222" s="151" t="s">
        <v>1130</v>
      </c>
      <c r="C222" s="164" t="s">
        <v>1196</v>
      </c>
      <c r="D222" s="164" t="s">
        <v>1197</v>
      </c>
      <c r="E222" s="165">
        <v>3.0324074074074073E-3</v>
      </c>
      <c r="F222" s="151" t="s">
        <v>298</v>
      </c>
      <c r="H222" s="151" t="s">
        <v>31</v>
      </c>
      <c r="I222" s="164" t="s">
        <v>1198</v>
      </c>
      <c r="J222" s="164" t="s">
        <v>1199</v>
      </c>
      <c r="K222" s="165">
        <v>3.2407407407407406E-4</v>
      </c>
      <c r="L222" s="151" t="s">
        <v>394</v>
      </c>
      <c r="N222" s="151" t="s">
        <v>395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1129</v>
      </c>
      <c r="B223" s="151" t="s">
        <v>1130</v>
      </c>
      <c r="C223" s="164" t="s">
        <v>1200</v>
      </c>
      <c r="D223" s="164" t="s">
        <v>1201</v>
      </c>
      <c r="E223" s="165">
        <v>2.3958333333333331E-3</v>
      </c>
      <c r="F223" s="151" t="s">
        <v>298</v>
      </c>
      <c r="H223" s="151" t="s">
        <v>299</v>
      </c>
      <c r="I223" s="164" t="s">
        <v>1202</v>
      </c>
      <c r="J223" s="164" t="s">
        <v>1203</v>
      </c>
      <c r="K223" s="165">
        <v>9.837962962962962E-4</v>
      </c>
      <c r="L223" s="151" t="s">
        <v>302</v>
      </c>
      <c r="N223" s="151" t="s">
        <v>303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1204</v>
      </c>
      <c r="B224" s="151" t="s">
        <v>1205</v>
      </c>
      <c r="C224" s="164" t="s">
        <v>1206</v>
      </c>
      <c r="D224" s="164" t="s">
        <v>1207</v>
      </c>
      <c r="E224" s="165">
        <v>1.261574074074074E-3</v>
      </c>
      <c r="F224" s="151" t="s">
        <v>298</v>
      </c>
      <c r="H224" s="151" t="s">
        <v>299</v>
      </c>
      <c r="I224" s="164" t="s">
        <v>1208</v>
      </c>
      <c r="J224" s="164" t="s">
        <v>1209</v>
      </c>
      <c r="K224" s="165">
        <v>4.2824074074074075E-4</v>
      </c>
      <c r="L224" s="151" t="s">
        <v>302</v>
      </c>
      <c r="N224" s="151" t="s">
        <v>303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1204</v>
      </c>
      <c r="B225" s="151" t="s">
        <v>1205</v>
      </c>
      <c r="C225" s="164" t="s">
        <v>1210</v>
      </c>
      <c r="D225" s="164" t="s">
        <v>1211</v>
      </c>
      <c r="E225" s="165">
        <v>1.1342592592592593E-3</v>
      </c>
      <c r="F225" s="151" t="s">
        <v>298</v>
      </c>
      <c r="H225" s="151" t="s">
        <v>299</v>
      </c>
      <c r="I225" s="164" t="s">
        <v>1212</v>
      </c>
      <c r="J225" s="164" t="s">
        <v>1213</v>
      </c>
      <c r="K225" s="165">
        <v>4.2824074074074075E-4</v>
      </c>
      <c r="L225" s="151" t="s">
        <v>302</v>
      </c>
      <c r="N225" s="151" t="s">
        <v>303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1204</v>
      </c>
      <c r="B226" s="151" t="s">
        <v>1205</v>
      </c>
      <c r="C226" s="164" t="s">
        <v>1214</v>
      </c>
      <c r="D226" s="164" t="s">
        <v>1215</v>
      </c>
      <c r="E226" s="165">
        <v>2.0254629629629629E-3</v>
      </c>
      <c r="F226" s="151" t="s">
        <v>298</v>
      </c>
      <c r="H226" s="151" t="s">
        <v>31</v>
      </c>
      <c r="I226" s="164" t="s">
        <v>1216</v>
      </c>
      <c r="J226" s="164" t="s">
        <v>1217</v>
      </c>
      <c r="K226" s="165">
        <v>7.0601851851851847E-4</v>
      </c>
      <c r="L226" s="151" t="s">
        <v>394</v>
      </c>
      <c r="N226" s="151" t="s">
        <v>395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1204</v>
      </c>
      <c r="B227" s="151" t="s">
        <v>1205</v>
      </c>
      <c r="C227" s="164" t="s">
        <v>1218</v>
      </c>
      <c r="D227" s="164" t="s">
        <v>1219</v>
      </c>
      <c r="E227" s="165">
        <v>1.1921296296296296E-3</v>
      </c>
      <c r="F227" s="151" t="s">
        <v>298</v>
      </c>
      <c r="H227" s="151" t="s">
        <v>299</v>
      </c>
      <c r="I227" s="164" t="s">
        <v>1220</v>
      </c>
      <c r="J227" s="164" t="s">
        <v>1221</v>
      </c>
      <c r="K227" s="165">
        <v>3.8194444444444446E-4</v>
      </c>
      <c r="L227" s="151" t="s">
        <v>302</v>
      </c>
      <c r="N227" s="151" t="s">
        <v>303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1204</v>
      </c>
      <c r="B228" s="151" t="s">
        <v>1205</v>
      </c>
      <c r="C228" s="164" t="s">
        <v>1222</v>
      </c>
      <c r="D228" s="164" t="s">
        <v>1223</v>
      </c>
      <c r="E228" s="165">
        <v>9.4907407407407408E-4</v>
      </c>
      <c r="F228" s="151" t="s">
        <v>298</v>
      </c>
      <c r="H228" s="151" t="s">
        <v>299</v>
      </c>
      <c r="I228" s="164" t="s">
        <v>1224</v>
      </c>
      <c r="J228" s="164" t="s">
        <v>1225</v>
      </c>
      <c r="K228" s="165">
        <v>4.6296296296296298E-4</v>
      </c>
      <c r="L228" s="151" t="s">
        <v>302</v>
      </c>
      <c r="N228" s="151" t="s">
        <v>303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1204</v>
      </c>
      <c r="B229" s="151" t="s">
        <v>1205</v>
      </c>
      <c r="C229" s="164" t="s">
        <v>1226</v>
      </c>
      <c r="D229" s="164" t="s">
        <v>1227</v>
      </c>
      <c r="E229" s="165">
        <v>1.3773148148148147E-3</v>
      </c>
      <c r="F229" s="151" t="s">
        <v>298</v>
      </c>
      <c r="H229" s="151" t="s">
        <v>299</v>
      </c>
      <c r="I229" s="164" t="s">
        <v>1228</v>
      </c>
      <c r="J229" s="164" t="s">
        <v>1229</v>
      </c>
      <c r="K229" s="165">
        <v>5.5555555555555556E-4</v>
      </c>
      <c r="L229" s="151" t="s">
        <v>302</v>
      </c>
      <c r="N229" s="151" t="s">
        <v>303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1204</v>
      </c>
      <c r="B230" s="151" t="s">
        <v>1205</v>
      </c>
      <c r="C230" s="164" t="s">
        <v>1230</v>
      </c>
      <c r="D230" s="164" t="s">
        <v>1231</v>
      </c>
      <c r="E230" s="165">
        <v>1.4236111111111112E-3</v>
      </c>
      <c r="F230" s="151" t="s">
        <v>298</v>
      </c>
      <c r="H230" s="151" t="s">
        <v>299</v>
      </c>
      <c r="I230" s="164" t="s">
        <v>1232</v>
      </c>
      <c r="J230" s="164" t="s">
        <v>1233</v>
      </c>
      <c r="K230" s="165">
        <v>3.9351851851851852E-4</v>
      </c>
      <c r="L230" s="151" t="s">
        <v>302</v>
      </c>
      <c r="N230" s="151" t="s">
        <v>303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1204</v>
      </c>
      <c r="B231" s="151" t="s">
        <v>1205</v>
      </c>
      <c r="C231" s="164" t="s">
        <v>1234</v>
      </c>
      <c r="D231" s="164" t="s">
        <v>1235</v>
      </c>
      <c r="E231" s="165">
        <v>1.4699074074074074E-3</v>
      </c>
      <c r="F231" s="151" t="s">
        <v>298</v>
      </c>
      <c r="H231" s="151" t="s">
        <v>299</v>
      </c>
      <c r="I231" s="164" t="s">
        <v>1236</v>
      </c>
      <c r="J231" s="164" t="s">
        <v>1237</v>
      </c>
      <c r="K231" s="165">
        <v>4.9768518518518521E-4</v>
      </c>
      <c r="L231" s="151" t="s">
        <v>302</v>
      </c>
      <c r="N231" s="151" t="s">
        <v>303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1204</v>
      </c>
      <c r="B232" s="151" t="s">
        <v>1205</v>
      </c>
      <c r="C232" s="164" t="s">
        <v>1238</v>
      </c>
      <c r="D232" s="164" t="s">
        <v>1239</v>
      </c>
      <c r="E232" s="165">
        <v>1.5972222222222223E-3</v>
      </c>
      <c r="F232" s="151" t="s">
        <v>298</v>
      </c>
      <c r="H232" s="151" t="s">
        <v>299</v>
      </c>
      <c r="I232" s="164" t="s">
        <v>1240</v>
      </c>
      <c r="J232" s="164" t="s">
        <v>1241</v>
      </c>
      <c r="K232" s="165">
        <v>4.861111111111111E-4</v>
      </c>
      <c r="L232" s="151" t="s">
        <v>302</v>
      </c>
      <c r="N232" s="151" t="s">
        <v>303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1204</v>
      </c>
      <c r="B233" s="151" t="s">
        <v>1205</v>
      </c>
      <c r="C233" s="164" t="s">
        <v>1242</v>
      </c>
      <c r="D233" s="164" t="s">
        <v>958</v>
      </c>
      <c r="E233" s="165">
        <v>1.5740740740740741E-3</v>
      </c>
      <c r="F233" s="151" t="s">
        <v>298</v>
      </c>
      <c r="H233" s="151" t="s">
        <v>299</v>
      </c>
      <c r="I233" s="164" t="s">
        <v>1243</v>
      </c>
      <c r="J233" s="164" t="s">
        <v>1244</v>
      </c>
      <c r="K233" s="165">
        <v>6.4814814814814813E-4</v>
      </c>
      <c r="L233" s="151" t="s">
        <v>302</v>
      </c>
      <c r="N233" s="151" t="s">
        <v>303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1204</v>
      </c>
      <c r="B234" s="151" t="s">
        <v>1205</v>
      </c>
      <c r="C234" s="164" t="s">
        <v>1245</v>
      </c>
      <c r="D234" s="164" t="s">
        <v>1246</v>
      </c>
      <c r="E234" s="165">
        <v>1.3194444444444445E-3</v>
      </c>
      <c r="F234" s="151" t="s">
        <v>298</v>
      </c>
      <c r="H234" s="151" t="s">
        <v>299</v>
      </c>
      <c r="I234" s="164" t="s">
        <v>1247</v>
      </c>
      <c r="J234" s="164" t="s">
        <v>1248</v>
      </c>
      <c r="K234" s="165">
        <v>3.9351851851851852E-4</v>
      </c>
      <c r="L234" s="151" t="s">
        <v>302</v>
      </c>
      <c r="N234" s="151" t="s">
        <v>303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1204</v>
      </c>
      <c r="B235" s="151" t="s">
        <v>1205</v>
      </c>
      <c r="C235" s="164" t="s">
        <v>1249</v>
      </c>
      <c r="D235" s="164" t="s">
        <v>1250</v>
      </c>
      <c r="E235" s="165">
        <v>1.25E-3</v>
      </c>
      <c r="F235" s="151" t="s">
        <v>298</v>
      </c>
      <c r="H235" s="151" t="s">
        <v>299</v>
      </c>
      <c r="I235" s="164" t="s">
        <v>1251</v>
      </c>
      <c r="J235" s="164" t="s">
        <v>1252</v>
      </c>
      <c r="K235" s="165">
        <v>4.861111111111111E-4</v>
      </c>
      <c r="L235" s="151" t="s">
        <v>302</v>
      </c>
      <c r="N235" s="151" t="s">
        <v>303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1204</v>
      </c>
      <c r="B236" s="151" t="s">
        <v>1205</v>
      </c>
      <c r="C236" s="164" t="s">
        <v>1253</v>
      </c>
      <c r="D236" s="164" t="s">
        <v>1254</v>
      </c>
      <c r="E236" s="165">
        <v>1.6435185185185185E-3</v>
      </c>
      <c r="F236" s="151" t="s">
        <v>298</v>
      </c>
      <c r="H236" s="151" t="s">
        <v>299</v>
      </c>
      <c r="I236" s="164" t="s">
        <v>1255</v>
      </c>
      <c r="J236" s="164" t="s">
        <v>1256</v>
      </c>
      <c r="K236" s="165">
        <v>4.5138888888888887E-4</v>
      </c>
      <c r="L236" s="151" t="s">
        <v>302</v>
      </c>
      <c r="N236" s="151" t="s">
        <v>303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1204</v>
      </c>
      <c r="B237" s="151" t="s">
        <v>1205</v>
      </c>
      <c r="C237" s="164" t="s">
        <v>1257</v>
      </c>
      <c r="D237" s="164" t="s">
        <v>1168</v>
      </c>
      <c r="E237" s="165">
        <v>1.7592592592592592E-3</v>
      </c>
      <c r="F237" s="151" t="s">
        <v>298</v>
      </c>
      <c r="H237" s="151" t="s">
        <v>299</v>
      </c>
      <c r="I237" s="164" t="s">
        <v>1258</v>
      </c>
      <c r="J237" s="164" t="s">
        <v>1259</v>
      </c>
      <c r="K237" s="165">
        <v>1.238425925925926E-3</v>
      </c>
      <c r="L237" s="151" t="s">
        <v>302</v>
      </c>
      <c r="N237" s="151" t="s">
        <v>303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1204</v>
      </c>
      <c r="B238" s="151" t="s">
        <v>1205</v>
      </c>
      <c r="C238" s="164" t="s">
        <v>1260</v>
      </c>
      <c r="D238" s="164" t="s">
        <v>1261</v>
      </c>
      <c r="E238" s="165">
        <v>1.5740740740740741E-3</v>
      </c>
      <c r="F238" s="151" t="s">
        <v>298</v>
      </c>
      <c r="H238" s="151" t="s">
        <v>299</v>
      </c>
      <c r="I238" s="164" t="s">
        <v>1262</v>
      </c>
      <c r="J238" s="164" t="s">
        <v>1263</v>
      </c>
      <c r="K238" s="165">
        <v>3.2407407407407406E-4</v>
      </c>
      <c r="L238" s="151" t="s">
        <v>302</v>
      </c>
      <c r="N238" s="151" t="s">
        <v>303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1204</v>
      </c>
      <c r="B239" s="151" t="s">
        <v>1205</v>
      </c>
      <c r="C239" s="164" t="s">
        <v>1264</v>
      </c>
      <c r="D239" s="164" t="s">
        <v>1265</v>
      </c>
      <c r="E239" s="165">
        <v>1.8865740740740742E-3</v>
      </c>
      <c r="F239" s="151" t="s">
        <v>298</v>
      </c>
      <c r="H239" s="151" t="s">
        <v>299</v>
      </c>
      <c r="I239" s="164" t="s">
        <v>1266</v>
      </c>
      <c r="J239" s="164" t="s">
        <v>1267</v>
      </c>
      <c r="K239" s="165">
        <v>4.9768518518518521E-4</v>
      </c>
      <c r="L239" s="151" t="s">
        <v>302</v>
      </c>
      <c r="N239" s="151" t="s">
        <v>303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1204</v>
      </c>
      <c r="B240" s="151" t="s">
        <v>1205</v>
      </c>
      <c r="C240" s="164" t="s">
        <v>1268</v>
      </c>
      <c r="D240" s="164" t="s">
        <v>855</v>
      </c>
      <c r="E240" s="165">
        <v>1.5046296296296296E-3</v>
      </c>
      <c r="F240" s="151" t="s">
        <v>298</v>
      </c>
      <c r="H240" s="151" t="s">
        <v>299</v>
      </c>
      <c r="I240" s="164" t="s">
        <v>1269</v>
      </c>
      <c r="J240" s="164" t="s">
        <v>1270</v>
      </c>
      <c r="K240" s="165">
        <v>4.6296296296296298E-4</v>
      </c>
      <c r="L240" s="151" t="s">
        <v>302</v>
      </c>
      <c r="N240" s="151" t="s">
        <v>303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1204</v>
      </c>
      <c r="B241" s="151" t="s">
        <v>1205</v>
      </c>
      <c r="C241" s="164" t="s">
        <v>1271</v>
      </c>
      <c r="D241" s="164" t="s">
        <v>1272</v>
      </c>
      <c r="E241" s="165">
        <v>1.3310185185185185E-3</v>
      </c>
      <c r="F241" s="151" t="s">
        <v>298</v>
      </c>
      <c r="H241" s="151" t="s">
        <v>299</v>
      </c>
      <c r="I241" s="164" t="s">
        <v>1273</v>
      </c>
      <c r="J241" s="164" t="s">
        <v>1274</v>
      </c>
      <c r="K241" s="165">
        <v>1.0648148148148149E-3</v>
      </c>
      <c r="L241" s="151" t="s">
        <v>302</v>
      </c>
      <c r="N241" s="151" t="s">
        <v>303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1204</v>
      </c>
      <c r="B242" s="151" t="s">
        <v>1205</v>
      </c>
      <c r="C242" s="164" t="s">
        <v>1275</v>
      </c>
      <c r="D242" s="164" t="s">
        <v>1276</v>
      </c>
      <c r="E242" s="165">
        <v>1.1689814814814816E-3</v>
      </c>
      <c r="F242" s="151" t="s">
        <v>298</v>
      </c>
      <c r="H242" s="151" t="s">
        <v>299</v>
      </c>
      <c r="I242" s="164" t="s">
        <v>1277</v>
      </c>
      <c r="J242" s="164" t="s">
        <v>1278</v>
      </c>
      <c r="K242" s="165">
        <v>3.8194444444444446E-4</v>
      </c>
      <c r="L242" s="151" t="s">
        <v>302</v>
      </c>
      <c r="N242" s="151" t="s">
        <v>303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1204</v>
      </c>
      <c r="B243" s="151" t="s">
        <v>1205</v>
      </c>
      <c r="C243" s="164" t="s">
        <v>1279</v>
      </c>
      <c r="D243" s="164" t="s">
        <v>1280</v>
      </c>
      <c r="E243" s="165">
        <v>1.6203703703703703E-3</v>
      </c>
      <c r="F243" s="151" t="s">
        <v>298</v>
      </c>
      <c r="H243" s="151" t="s">
        <v>299</v>
      </c>
      <c r="I243" s="164" t="s">
        <v>1281</v>
      </c>
      <c r="J243" s="164" t="s">
        <v>1282</v>
      </c>
      <c r="K243" s="165">
        <v>4.1666666666666669E-4</v>
      </c>
      <c r="L243" s="151" t="s">
        <v>302</v>
      </c>
      <c r="N243" s="151" t="s">
        <v>303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1204</v>
      </c>
      <c r="B244" s="151" t="s">
        <v>1205</v>
      </c>
      <c r="C244" s="164" t="s">
        <v>1283</v>
      </c>
      <c r="D244" s="164" t="s">
        <v>1284</v>
      </c>
      <c r="E244" s="165">
        <v>1.4236111111111112E-3</v>
      </c>
      <c r="F244" s="151" t="s">
        <v>298</v>
      </c>
      <c r="H244" s="151" t="s">
        <v>299</v>
      </c>
      <c r="I244" s="164" t="s">
        <v>1285</v>
      </c>
      <c r="J244" s="164" t="s">
        <v>1286</v>
      </c>
      <c r="K244" s="165">
        <v>4.6296296296296298E-4</v>
      </c>
      <c r="L244" s="151" t="s">
        <v>302</v>
      </c>
      <c r="N244" s="151" t="s">
        <v>303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1204</v>
      </c>
      <c r="B245" s="151" t="s">
        <v>1205</v>
      </c>
      <c r="C245" s="164" t="s">
        <v>1287</v>
      </c>
      <c r="D245" s="164" t="s">
        <v>1288</v>
      </c>
      <c r="E245" s="165">
        <v>4.6296296296296298E-4</v>
      </c>
      <c r="F245" s="151" t="s">
        <v>298</v>
      </c>
      <c r="H245" s="151" t="s">
        <v>39</v>
      </c>
      <c r="I245" s="164" t="s">
        <v>1289</v>
      </c>
      <c r="J245" s="164" t="s">
        <v>1290</v>
      </c>
      <c r="K245" s="165">
        <v>4.2824074074074075E-4</v>
      </c>
      <c r="L245" s="151" t="s">
        <v>676</v>
      </c>
      <c r="N245" s="166" t="s">
        <v>395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1204</v>
      </c>
      <c r="B246" s="151" t="s">
        <v>1205</v>
      </c>
      <c r="C246" s="164" t="s">
        <v>1291</v>
      </c>
      <c r="D246" s="164" t="s">
        <v>1292</v>
      </c>
      <c r="E246" s="165">
        <v>1.0416666666666667E-3</v>
      </c>
      <c r="F246" s="151" t="s">
        <v>298</v>
      </c>
      <c r="H246" s="151" t="s">
        <v>299</v>
      </c>
      <c r="I246" s="164" t="s">
        <v>1293</v>
      </c>
      <c r="J246" s="164" t="s">
        <v>1294</v>
      </c>
      <c r="K246" s="165">
        <v>4.7453703703703704E-4</v>
      </c>
      <c r="L246" s="151" t="s">
        <v>302</v>
      </c>
      <c r="N246" s="151" t="s">
        <v>303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1295</v>
      </c>
      <c r="B247" s="151" t="s">
        <v>1296</v>
      </c>
      <c r="C247" s="164" t="s">
        <v>1297</v>
      </c>
      <c r="D247" s="164" t="s">
        <v>1298</v>
      </c>
      <c r="E247" s="165">
        <v>1.5625000000000001E-3</v>
      </c>
      <c r="F247" s="151" t="s">
        <v>298</v>
      </c>
      <c r="H247" s="151" t="s">
        <v>299</v>
      </c>
      <c r="I247" s="164" t="s">
        <v>1299</v>
      </c>
      <c r="J247" s="164" t="s">
        <v>1300</v>
      </c>
      <c r="K247" s="165">
        <v>5.5555555555555556E-4</v>
      </c>
      <c r="L247" s="151" t="s">
        <v>302</v>
      </c>
      <c r="N247" s="151" t="s">
        <v>303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1295</v>
      </c>
      <c r="B248" s="151" t="s">
        <v>1296</v>
      </c>
      <c r="C248" s="164" t="s">
        <v>1301</v>
      </c>
      <c r="D248" s="164" t="s">
        <v>1302</v>
      </c>
      <c r="E248" s="165">
        <v>2.0023148148148148E-3</v>
      </c>
      <c r="F248" s="151" t="s">
        <v>298</v>
      </c>
      <c r="H248" s="151" t="s">
        <v>299</v>
      </c>
      <c r="I248" s="164" t="s">
        <v>1303</v>
      </c>
      <c r="J248" s="164" t="s">
        <v>1304</v>
      </c>
      <c r="K248" s="165">
        <v>1.1574074074074073E-5</v>
      </c>
      <c r="L248" s="151" t="s">
        <v>302</v>
      </c>
      <c r="N248" s="151" t="s">
        <v>303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1295</v>
      </c>
      <c r="B249" s="151" t="s">
        <v>1296</v>
      </c>
      <c r="C249" s="164" t="s">
        <v>1305</v>
      </c>
      <c r="D249" s="164" t="s">
        <v>1306</v>
      </c>
      <c r="E249" s="165">
        <v>1.5393518518518519E-3</v>
      </c>
      <c r="F249" s="151" t="s">
        <v>298</v>
      </c>
      <c r="H249" s="151" t="s">
        <v>299</v>
      </c>
      <c r="I249" s="164" t="s">
        <v>1307</v>
      </c>
      <c r="J249" s="164" t="s">
        <v>1308</v>
      </c>
      <c r="K249" s="165">
        <v>5.2083333333333333E-4</v>
      </c>
      <c r="L249" s="151" t="s">
        <v>302</v>
      </c>
      <c r="N249" s="151" t="s">
        <v>303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1295</v>
      </c>
      <c r="B250" s="151" t="s">
        <v>1296</v>
      </c>
      <c r="C250" s="164" t="s">
        <v>1309</v>
      </c>
      <c r="D250" s="164" t="s">
        <v>1310</v>
      </c>
      <c r="E250" s="165">
        <v>1.0532407407407407E-3</v>
      </c>
      <c r="F250" s="151" t="s">
        <v>298</v>
      </c>
      <c r="H250" s="151" t="s">
        <v>299</v>
      </c>
      <c r="I250" s="164" t="s">
        <v>1311</v>
      </c>
      <c r="J250" s="164" t="s">
        <v>1312</v>
      </c>
      <c r="K250" s="165">
        <v>1.1574074074074073E-5</v>
      </c>
      <c r="L250" s="151" t="s">
        <v>302</v>
      </c>
      <c r="N250" s="151" t="s">
        <v>303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1295</v>
      </c>
      <c r="B251" s="151" t="s">
        <v>1296</v>
      </c>
      <c r="C251" s="164" t="s">
        <v>1313</v>
      </c>
      <c r="D251" s="164" t="s">
        <v>1314</v>
      </c>
      <c r="E251" s="165">
        <v>1.5393518518518519E-3</v>
      </c>
      <c r="F251" s="151" t="s">
        <v>298</v>
      </c>
      <c r="H251" s="151" t="s">
        <v>299</v>
      </c>
      <c r="I251" s="164" t="s">
        <v>1315</v>
      </c>
      <c r="J251" s="164" t="s">
        <v>1316</v>
      </c>
      <c r="K251" s="165">
        <v>5.0925925925925921E-4</v>
      </c>
      <c r="L251" s="151" t="s">
        <v>302</v>
      </c>
      <c r="N251" s="151" t="s">
        <v>303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1295</v>
      </c>
      <c r="B252" s="151" t="s">
        <v>1296</v>
      </c>
      <c r="C252" s="164" t="s">
        <v>1317</v>
      </c>
      <c r="D252" s="164" t="s">
        <v>1318</v>
      </c>
      <c r="E252" s="165">
        <v>1.4467592592592592E-3</v>
      </c>
      <c r="F252" s="151" t="s">
        <v>298</v>
      </c>
      <c r="H252" s="151" t="s">
        <v>299</v>
      </c>
      <c r="I252" s="164" t="s">
        <v>1319</v>
      </c>
      <c r="J252" s="164" t="s">
        <v>1320</v>
      </c>
      <c r="K252" s="165">
        <v>7.8703703703703705E-4</v>
      </c>
      <c r="L252" s="151" t="s">
        <v>302</v>
      </c>
      <c r="N252" s="151" t="s">
        <v>303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1295</v>
      </c>
      <c r="B253" s="151" t="s">
        <v>1296</v>
      </c>
      <c r="C253" s="164" t="s">
        <v>647</v>
      </c>
      <c r="D253" s="164" t="s">
        <v>1321</v>
      </c>
      <c r="E253" s="165">
        <v>9.837962962962962E-4</v>
      </c>
      <c r="F253" s="151" t="s">
        <v>298</v>
      </c>
      <c r="H253" s="151" t="s">
        <v>299</v>
      </c>
      <c r="I253" s="164" t="s">
        <v>1322</v>
      </c>
      <c r="J253" s="164" t="s">
        <v>1323</v>
      </c>
      <c r="K253" s="165">
        <v>5.6712962962962967E-4</v>
      </c>
      <c r="L253" s="151" t="s">
        <v>302</v>
      </c>
      <c r="N253" s="151" t="s">
        <v>303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1295</v>
      </c>
      <c r="B254" s="151" t="s">
        <v>1296</v>
      </c>
      <c r="C254" s="164" t="s">
        <v>1324</v>
      </c>
      <c r="D254" s="164" t="s">
        <v>1325</v>
      </c>
      <c r="E254" s="165">
        <v>1.7824074074074075E-3</v>
      </c>
      <c r="F254" s="151" t="s">
        <v>298</v>
      </c>
      <c r="H254" s="151" t="s">
        <v>299</v>
      </c>
      <c r="I254" s="164" t="s">
        <v>1326</v>
      </c>
      <c r="J254" s="164" t="s">
        <v>1327</v>
      </c>
      <c r="K254" s="165">
        <v>7.5231481481481482E-4</v>
      </c>
      <c r="L254" s="151" t="s">
        <v>302</v>
      </c>
      <c r="N254" s="151" t="s">
        <v>303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1295</v>
      </c>
      <c r="B255" s="151" t="s">
        <v>1296</v>
      </c>
      <c r="C255" s="164" t="s">
        <v>1328</v>
      </c>
      <c r="D255" s="164" t="s">
        <v>1329</v>
      </c>
      <c r="E255" s="165">
        <v>1.5393518518518519E-3</v>
      </c>
      <c r="F255" s="151" t="s">
        <v>298</v>
      </c>
      <c r="H255" s="151" t="s">
        <v>299</v>
      </c>
      <c r="I255" s="164" t="s">
        <v>1330</v>
      </c>
      <c r="J255" s="164" t="s">
        <v>1331</v>
      </c>
      <c r="K255" s="165">
        <v>5.6712962962962967E-4</v>
      </c>
      <c r="L255" s="151" t="s">
        <v>302</v>
      </c>
      <c r="N255" s="151" t="s">
        <v>303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1295</v>
      </c>
      <c r="B256" s="151" t="s">
        <v>1296</v>
      </c>
      <c r="C256" s="164" t="s">
        <v>1332</v>
      </c>
      <c r="D256" s="164" t="s">
        <v>1333</v>
      </c>
      <c r="E256" s="165">
        <v>1.4583333333333334E-3</v>
      </c>
      <c r="F256" s="151" t="s">
        <v>298</v>
      </c>
      <c r="H256" s="151" t="s">
        <v>299</v>
      </c>
      <c r="I256" s="164" t="s">
        <v>1334</v>
      </c>
      <c r="J256" s="164" t="s">
        <v>1335</v>
      </c>
      <c r="K256" s="165">
        <v>6.7129629629629625E-4</v>
      </c>
      <c r="L256" s="151" t="s">
        <v>302</v>
      </c>
      <c r="N256" s="151" t="s">
        <v>303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1295</v>
      </c>
      <c r="B257" s="151" t="s">
        <v>1296</v>
      </c>
      <c r="C257" s="164" t="s">
        <v>1336</v>
      </c>
      <c r="D257" s="164" t="s">
        <v>1260</v>
      </c>
      <c r="E257" s="165">
        <v>1.7708333333333332E-3</v>
      </c>
      <c r="F257" s="151" t="s">
        <v>298</v>
      </c>
      <c r="H257" s="151" t="s">
        <v>299</v>
      </c>
      <c r="I257" s="164" t="s">
        <v>1337</v>
      </c>
      <c r="J257" s="164" t="s">
        <v>1338</v>
      </c>
      <c r="K257" s="165">
        <v>5.7870370370370367E-4</v>
      </c>
      <c r="L257" s="151" t="s">
        <v>302</v>
      </c>
      <c r="N257" s="151" t="s">
        <v>303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1295</v>
      </c>
      <c r="B258" s="151" t="s">
        <v>1296</v>
      </c>
      <c r="C258" s="164" t="s">
        <v>1339</v>
      </c>
      <c r="D258" s="164" t="s">
        <v>1340</v>
      </c>
      <c r="E258" s="165">
        <v>1.724537037037037E-3</v>
      </c>
      <c r="F258" s="151" t="s">
        <v>298</v>
      </c>
      <c r="H258" s="151" t="s">
        <v>299</v>
      </c>
      <c r="I258" s="164" t="s">
        <v>1341</v>
      </c>
      <c r="J258" s="164" t="s">
        <v>1342</v>
      </c>
      <c r="K258" s="165">
        <v>6.018518518518519E-4</v>
      </c>
      <c r="L258" s="151" t="s">
        <v>302</v>
      </c>
      <c r="N258" s="151" t="s">
        <v>303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1295</v>
      </c>
      <c r="B259" s="151" t="s">
        <v>1296</v>
      </c>
      <c r="C259" s="164" t="s">
        <v>1343</v>
      </c>
      <c r="D259" s="164" t="s">
        <v>1344</v>
      </c>
      <c r="E259" s="165">
        <v>1.238425925925926E-3</v>
      </c>
      <c r="F259" s="151" t="s">
        <v>298</v>
      </c>
      <c r="H259" s="151" t="s">
        <v>299</v>
      </c>
      <c r="I259" s="164" t="s">
        <v>1345</v>
      </c>
      <c r="J259" s="164" t="s">
        <v>1346</v>
      </c>
      <c r="K259" s="165">
        <v>3.8194444444444446E-4</v>
      </c>
      <c r="L259" s="151" t="s">
        <v>302</v>
      </c>
      <c r="N259" s="151" t="s">
        <v>303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1295</v>
      </c>
      <c r="B260" s="151" t="s">
        <v>1296</v>
      </c>
      <c r="C260" s="164" t="s">
        <v>1347</v>
      </c>
      <c r="D260" s="164" t="s">
        <v>1348</v>
      </c>
      <c r="E260" s="165">
        <v>9.4907407407407408E-4</v>
      </c>
      <c r="F260" s="151" t="s">
        <v>298</v>
      </c>
      <c r="H260" s="151" t="s">
        <v>299</v>
      </c>
      <c r="I260" s="164" t="s">
        <v>1349</v>
      </c>
      <c r="J260" s="164" t="s">
        <v>1350</v>
      </c>
      <c r="K260" s="165">
        <v>6.134259259259259E-4</v>
      </c>
      <c r="L260" s="151" t="s">
        <v>302</v>
      </c>
      <c r="N260" s="151" t="s">
        <v>303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1295</v>
      </c>
      <c r="B261" s="151" t="s">
        <v>1296</v>
      </c>
      <c r="C261" s="164" t="s">
        <v>1351</v>
      </c>
      <c r="D261" s="164" t="s">
        <v>767</v>
      </c>
      <c r="E261" s="165">
        <v>1.4467592592592592E-3</v>
      </c>
      <c r="F261" s="151" t="s">
        <v>298</v>
      </c>
      <c r="H261" s="151" t="s">
        <v>299</v>
      </c>
      <c r="I261" s="164" t="s">
        <v>1352</v>
      </c>
      <c r="J261" s="164" t="s">
        <v>1353</v>
      </c>
      <c r="K261" s="165">
        <v>7.407407407407407E-4</v>
      </c>
      <c r="L261" s="151" t="s">
        <v>302</v>
      </c>
      <c r="N261" s="151" t="s">
        <v>303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1295</v>
      </c>
      <c r="B262" s="151" t="s">
        <v>1296</v>
      </c>
      <c r="C262" s="164" t="s">
        <v>1354</v>
      </c>
      <c r="D262" s="164" t="s">
        <v>1355</v>
      </c>
      <c r="E262" s="165">
        <v>1.1689814814814816E-3</v>
      </c>
      <c r="F262" s="151" t="s">
        <v>298</v>
      </c>
      <c r="H262" s="151" t="s">
        <v>299</v>
      </c>
      <c r="I262" s="164" t="s">
        <v>1356</v>
      </c>
      <c r="J262" s="164" t="s">
        <v>1357</v>
      </c>
      <c r="K262" s="165">
        <v>7.6388888888888893E-4</v>
      </c>
      <c r="L262" s="151" t="s">
        <v>302</v>
      </c>
      <c r="N262" s="151" t="s">
        <v>303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1295</v>
      </c>
      <c r="B263" s="151" t="s">
        <v>1296</v>
      </c>
      <c r="C263" s="164" t="s">
        <v>1358</v>
      </c>
      <c r="D263" s="164" t="s">
        <v>1359</v>
      </c>
      <c r="E263" s="165">
        <v>1.2268518518518518E-3</v>
      </c>
      <c r="F263" s="151" t="s">
        <v>298</v>
      </c>
      <c r="H263" s="151" t="s">
        <v>299</v>
      </c>
      <c r="I263" s="164" t="s">
        <v>1360</v>
      </c>
      <c r="J263" s="164" t="s">
        <v>1361</v>
      </c>
      <c r="K263" s="165">
        <v>7.291666666666667E-4</v>
      </c>
      <c r="L263" s="151" t="s">
        <v>302</v>
      </c>
      <c r="N263" s="151" t="s">
        <v>303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1295</v>
      </c>
      <c r="B264" s="151" t="s">
        <v>1296</v>
      </c>
      <c r="C264" s="164" t="s">
        <v>1362</v>
      </c>
      <c r="D264" s="164" t="s">
        <v>1363</v>
      </c>
      <c r="E264" s="165">
        <v>1.4583333333333334E-3</v>
      </c>
      <c r="F264" s="151" t="s">
        <v>298</v>
      </c>
      <c r="H264" s="151" t="s">
        <v>299</v>
      </c>
      <c r="I264" s="164" t="s">
        <v>1364</v>
      </c>
      <c r="J264" s="164" t="s">
        <v>1365</v>
      </c>
      <c r="K264" s="165">
        <v>7.6388888888888893E-4</v>
      </c>
      <c r="L264" s="151" t="s">
        <v>302</v>
      </c>
      <c r="N264" s="151" t="s">
        <v>303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1295</v>
      </c>
      <c r="B265" s="151" t="s">
        <v>1296</v>
      </c>
      <c r="C265" s="164" t="s">
        <v>1366</v>
      </c>
      <c r="D265" s="164" t="s">
        <v>1367</v>
      </c>
      <c r="E265" s="165">
        <v>9.9537037037037042E-4</v>
      </c>
      <c r="F265" s="151" t="s">
        <v>298</v>
      </c>
      <c r="H265" s="151" t="s">
        <v>299</v>
      </c>
      <c r="I265" s="164" t="s">
        <v>1368</v>
      </c>
      <c r="J265" s="164" t="s">
        <v>1369</v>
      </c>
      <c r="K265" s="165">
        <v>6.8287037037037036E-4</v>
      </c>
      <c r="L265" s="151" t="s">
        <v>302</v>
      </c>
      <c r="N265" s="151" t="s">
        <v>303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1370</v>
      </c>
      <c r="B266" s="151" t="s">
        <v>1110</v>
      </c>
      <c r="C266" s="164" t="s">
        <v>1371</v>
      </c>
      <c r="D266" s="164" t="s">
        <v>1372</v>
      </c>
      <c r="E266" s="165">
        <v>1.4351851851851852E-3</v>
      </c>
      <c r="F266" s="151" t="s">
        <v>298</v>
      </c>
      <c r="H266" s="151" t="s">
        <v>299</v>
      </c>
      <c r="I266" s="164" t="s">
        <v>1373</v>
      </c>
      <c r="J266" s="164" t="s">
        <v>1374</v>
      </c>
      <c r="K266" s="165">
        <v>5.2083333333333333E-4</v>
      </c>
      <c r="L266" s="151" t="s">
        <v>302</v>
      </c>
      <c r="N266" s="151" t="s">
        <v>303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1370</v>
      </c>
      <c r="B267" s="151" t="s">
        <v>1110</v>
      </c>
      <c r="C267" s="164" t="s">
        <v>1375</v>
      </c>
      <c r="D267" s="164" t="s">
        <v>1376</v>
      </c>
      <c r="E267" s="165">
        <v>1.4236111111111112E-3</v>
      </c>
      <c r="F267" s="151" t="s">
        <v>298</v>
      </c>
      <c r="H267" s="151" t="s">
        <v>299</v>
      </c>
      <c r="I267" s="164" t="s">
        <v>1377</v>
      </c>
      <c r="J267" s="164" t="s">
        <v>1378</v>
      </c>
      <c r="K267" s="165">
        <v>4.9768518518518521E-4</v>
      </c>
      <c r="L267" s="151" t="s">
        <v>302</v>
      </c>
      <c r="N267" s="151" t="s">
        <v>303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1370</v>
      </c>
      <c r="B268" s="151" t="s">
        <v>1110</v>
      </c>
      <c r="C268" s="164" t="s">
        <v>1379</v>
      </c>
      <c r="D268" s="164" t="s">
        <v>1380</v>
      </c>
      <c r="E268" s="165">
        <v>1.261574074074074E-3</v>
      </c>
      <c r="F268" s="151" t="s">
        <v>298</v>
      </c>
      <c r="H268" s="151" t="s">
        <v>299</v>
      </c>
      <c r="I268" s="164" t="s">
        <v>1381</v>
      </c>
      <c r="J268" s="164" t="s">
        <v>1382</v>
      </c>
      <c r="K268" s="165">
        <v>5.2083333333333333E-4</v>
      </c>
      <c r="L268" s="151" t="s">
        <v>302</v>
      </c>
      <c r="N268" s="151" t="s">
        <v>303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1370</v>
      </c>
      <c r="B269" s="151" t="s">
        <v>1110</v>
      </c>
      <c r="C269" s="164" t="s">
        <v>959</v>
      </c>
      <c r="D269" s="164" t="s">
        <v>1383</v>
      </c>
      <c r="E269" s="165">
        <v>1.5393518518518519E-3</v>
      </c>
      <c r="F269" s="151" t="s">
        <v>298</v>
      </c>
      <c r="H269" s="151" t="s">
        <v>299</v>
      </c>
      <c r="I269" s="164" t="s">
        <v>734</v>
      </c>
      <c r="J269" s="164" t="s">
        <v>1384</v>
      </c>
      <c r="K269" s="165">
        <v>5.4398148148148144E-4</v>
      </c>
      <c r="L269" s="151" t="s">
        <v>302</v>
      </c>
      <c r="N269" s="151" t="s">
        <v>303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1370</v>
      </c>
      <c r="B270" s="151" t="s">
        <v>1110</v>
      </c>
      <c r="C270" s="164" t="s">
        <v>1385</v>
      </c>
      <c r="D270" s="164" t="s">
        <v>1386</v>
      </c>
      <c r="E270" s="165">
        <v>1.5046296296296296E-3</v>
      </c>
      <c r="F270" s="151" t="s">
        <v>298</v>
      </c>
      <c r="H270" s="151" t="s">
        <v>299</v>
      </c>
      <c r="I270" s="164" t="s">
        <v>1387</v>
      </c>
      <c r="J270" s="164" t="s">
        <v>1388</v>
      </c>
      <c r="K270" s="165">
        <v>1.2268518518518518E-3</v>
      </c>
      <c r="L270" s="151" t="s">
        <v>302</v>
      </c>
      <c r="N270" s="151" t="s">
        <v>303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1370</v>
      </c>
      <c r="B271" s="151" t="s">
        <v>1110</v>
      </c>
      <c r="C271" s="164" t="s">
        <v>1389</v>
      </c>
      <c r="D271" s="164" t="s">
        <v>1390</v>
      </c>
      <c r="E271" s="165">
        <v>9.1435185185185185E-4</v>
      </c>
      <c r="F271" s="151" t="s">
        <v>298</v>
      </c>
      <c r="H271" s="151" t="s">
        <v>299</v>
      </c>
      <c r="I271" s="164" t="s">
        <v>1391</v>
      </c>
      <c r="J271" s="164" t="s">
        <v>1392</v>
      </c>
      <c r="K271" s="165">
        <v>1.273148148148148E-4</v>
      </c>
      <c r="L271" s="151" t="s">
        <v>302</v>
      </c>
      <c r="N271" s="151" t="s">
        <v>303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1370</v>
      </c>
      <c r="B272" s="151" t="s">
        <v>1110</v>
      </c>
      <c r="C272" s="164" t="s">
        <v>1393</v>
      </c>
      <c r="D272" s="164" t="s">
        <v>1394</v>
      </c>
      <c r="E272" s="165">
        <v>1.5625000000000001E-3</v>
      </c>
      <c r="F272" s="151" t="s">
        <v>298</v>
      </c>
      <c r="H272" s="151" t="s">
        <v>299</v>
      </c>
      <c r="I272" s="164" t="s">
        <v>1395</v>
      </c>
      <c r="J272" s="164" t="s">
        <v>1396</v>
      </c>
      <c r="K272" s="165">
        <v>5.7870370370370367E-4</v>
      </c>
      <c r="L272" s="151" t="s">
        <v>302</v>
      </c>
      <c r="N272" s="151" t="s">
        <v>303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1370</v>
      </c>
      <c r="B273" s="151" t="s">
        <v>1110</v>
      </c>
      <c r="C273" s="164" t="s">
        <v>1397</v>
      </c>
      <c r="D273" s="164" t="s">
        <v>1398</v>
      </c>
      <c r="E273" s="165">
        <v>1.4699074074074074E-3</v>
      </c>
      <c r="F273" s="151" t="s">
        <v>298</v>
      </c>
      <c r="H273" s="151" t="s">
        <v>299</v>
      </c>
      <c r="I273" s="164" t="s">
        <v>1399</v>
      </c>
      <c r="J273" s="164" t="s">
        <v>1400</v>
      </c>
      <c r="K273" s="165">
        <v>4.9768518518518521E-4</v>
      </c>
      <c r="L273" s="151" t="s">
        <v>302</v>
      </c>
      <c r="N273" s="151" t="s">
        <v>303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1370</v>
      </c>
      <c r="B274" s="151" t="s">
        <v>1110</v>
      </c>
      <c r="C274" s="164" t="s">
        <v>1401</v>
      </c>
      <c r="D274" s="164" t="s">
        <v>1402</v>
      </c>
      <c r="E274" s="165">
        <v>1.1921296296296296E-3</v>
      </c>
      <c r="F274" s="151" t="s">
        <v>298</v>
      </c>
      <c r="H274" s="151" t="s">
        <v>299</v>
      </c>
      <c r="I274" s="164" t="s">
        <v>1403</v>
      </c>
      <c r="J274" s="164" t="s">
        <v>1003</v>
      </c>
      <c r="K274" s="165">
        <v>4.9768518518518521E-4</v>
      </c>
      <c r="L274" s="151" t="s">
        <v>302</v>
      </c>
      <c r="N274" s="151" t="s">
        <v>303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1370</v>
      </c>
      <c r="B275" s="151" t="s">
        <v>1110</v>
      </c>
      <c r="C275" s="164" t="s">
        <v>1404</v>
      </c>
      <c r="D275" s="164" t="s">
        <v>1405</v>
      </c>
      <c r="E275" s="165">
        <v>1.6319444444444445E-3</v>
      </c>
      <c r="F275" s="151" t="s">
        <v>298</v>
      </c>
      <c r="H275" s="151" t="s">
        <v>299</v>
      </c>
      <c r="I275" s="164" t="s">
        <v>1406</v>
      </c>
      <c r="J275" s="164" t="s">
        <v>1407</v>
      </c>
      <c r="K275" s="165">
        <v>4.9768518518518521E-4</v>
      </c>
      <c r="L275" s="151" t="s">
        <v>302</v>
      </c>
      <c r="N275" s="151" t="s">
        <v>303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1370</v>
      </c>
      <c r="B276" s="151" t="s">
        <v>1110</v>
      </c>
      <c r="C276" s="164" t="s">
        <v>1408</v>
      </c>
      <c r="D276" s="164" t="s">
        <v>1409</v>
      </c>
      <c r="E276" s="165">
        <v>1.2731481481481483E-3</v>
      </c>
      <c r="F276" s="151" t="s">
        <v>298</v>
      </c>
      <c r="H276" s="151" t="s">
        <v>299</v>
      </c>
      <c r="I276" s="164" t="s">
        <v>1410</v>
      </c>
      <c r="J276" s="164" t="s">
        <v>1411</v>
      </c>
      <c r="K276" s="165">
        <v>4.7453703703703704E-4</v>
      </c>
      <c r="L276" s="151" t="s">
        <v>302</v>
      </c>
      <c r="N276" s="151" t="s">
        <v>303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1370</v>
      </c>
      <c r="B277" s="151" t="s">
        <v>1110</v>
      </c>
      <c r="C277" s="164" t="s">
        <v>1412</v>
      </c>
      <c r="D277" s="164" t="s">
        <v>1413</v>
      </c>
      <c r="E277" s="165">
        <v>1.3310185185185185E-3</v>
      </c>
      <c r="F277" s="151" t="s">
        <v>298</v>
      </c>
      <c r="H277" s="151" t="s">
        <v>299</v>
      </c>
      <c r="I277" s="164" t="s">
        <v>1414</v>
      </c>
      <c r="J277" s="164" t="s">
        <v>1415</v>
      </c>
      <c r="K277" s="165">
        <v>6.018518518518519E-4</v>
      </c>
      <c r="L277" s="151" t="s">
        <v>302</v>
      </c>
      <c r="N277" s="151" t="s">
        <v>303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1370</v>
      </c>
      <c r="B278" s="151" t="s">
        <v>1110</v>
      </c>
      <c r="C278" s="164" t="s">
        <v>1416</v>
      </c>
      <c r="D278" s="164" t="s">
        <v>1417</v>
      </c>
      <c r="E278" s="165">
        <v>1.1342592592592593E-3</v>
      </c>
      <c r="F278" s="151" t="s">
        <v>298</v>
      </c>
      <c r="H278" s="151" t="s">
        <v>299</v>
      </c>
      <c r="I278" s="164" t="s">
        <v>1418</v>
      </c>
      <c r="J278" s="164" t="s">
        <v>1419</v>
      </c>
      <c r="K278" s="165">
        <v>6.2500000000000001E-4</v>
      </c>
      <c r="L278" s="151" t="s">
        <v>302</v>
      </c>
      <c r="N278" s="151" t="s">
        <v>303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1370</v>
      </c>
      <c r="B279" s="151" t="s">
        <v>1110</v>
      </c>
      <c r="C279" s="164" t="s">
        <v>1420</v>
      </c>
      <c r="D279" s="164" t="s">
        <v>1421</v>
      </c>
      <c r="E279" s="165">
        <v>1.6782407407407408E-3</v>
      </c>
      <c r="F279" s="151" t="s">
        <v>298</v>
      </c>
      <c r="H279" s="151" t="s">
        <v>299</v>
      </c>
      <c r="I279" s="164" t="s">
        <v>1422</v>
      </c>
      <c r="J279" s="164" t="s">
        <v>1423</v>
      </c>
      <c r="K279" s="165">
        <v>5.6712962962962967E-4</v>
      </c>
      <c r="L279" s="151" t="s">
        <v>302</v>
      </c>
      <c r="N279" s="151" t="s">
        <v>303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1370</v>
      </c>
      <c r="B280" s="151" t="s">
        <v>1110</v>
      </c>
      <c r="C280" s="164" t="s">
        <v>1424</v>
      </c>
      <c r="D280" s="164" t="s">
        <v>1425</v>
      </c>
      <c r="E280" s="165">
        <v>1.4699074074074074E-3</v>
      </c>
      <c r="F280" s="151" t="s">
        <v>298</v>
      </c>
      <c r="H280" s="151" t="s">
        <v>299</v>
      </c>
      <c r="I280" s="164" t="s">
        <v>1426</v>
      </c>
      <c r="J280" s="164" t="s">
        <v>1427</v>
      </c>
      <c r="K280" s="165">
        <v>4.5138888888888887E-4</v>
      </c>
      <c r="L280" s="151" t="s">
        <v>302</v>
      </c>
      <c r="N280" s="151" t="s">
        <v>303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1370</v>
      </c>
      <c r="B281" s="151" t="s">
        <v>1110</v>
      </c>
      <c r="C281" s="164" t="s">
        <v>1428</v>
      </c>
      <c r="D281" s="164" t="s">
        <v>1429</v>
      </c>
      <c r="E281" s="165">
        <v>1.3541666666666667E-3</v>
      </c>
      <c r="F281" s="151" t="s">
        <v>298</v>
      </c>
      <c r="H281" s="151" t="s">
        <v>299</v>
      </c>
      <c r="I281" s="164" t="s">
        <v>1430</v>
      </c>
      <c r="J281" s="164" t="s">
        <v>1431</v>
      </c>
      <c r="K281" s="165">
        <v>7.1759259259259259E-4</v>
      </c>
      <c r="L281" s="151" t="s">
        <v>302</v>
      </c>
      <c r="N281" s="151" t="s">
        <v>303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1370</v>
      </c>
      <c r="B282" s="151" t="s">
        <v>1110</v>
      </c>
      <c r="C282" s="164" t="s">
        <v>1432</v>
      </c>
      <c r="D282" s="164" t="s">
        <v>1433</v>
      </c>
      <c r="E282" s="165">
        <v>1.2037037037037038E-3</v>
      </c>
      <c r="F282" s="151" t="s">
        <v>298</v>
      </c>
      <c r="H282" s="151" t="s">
        <v>299</v>
      </c>
      <c r="I282" s="164" t="s">
        <v>1434</v>
      </c>
      <c r="J282" s="164" t="s">
        <v>1435</v>
      </c>
      <c r="K282" s="165">
        <v>5.4398148148148144E-4</v>
      </c>
      <c r="L282" s="151" t="s">
        <v>302</v>
      </c>
      <c r="N282" s="151" t="s">
        <v>303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1370</v>
      </c>
      <c r="B283" s="151" t="s">
        <v>1436</v>
      </c>
      <c r="C283" s="164" t="s">
        <v>1437</v>
      </c>
      <c r="D283" s="164" t="s">
        <v>1438</v>
      </c>
      <c r="E283" s="165">
        <v>2.6967592592592594E-3</v>
      </c>
      <c r="F283" s="151" t="s">
        <v>298</v>
      </c>
      <c r="H283" s="151" t="s">
        <v>31</v>
      </c>
      <c r="I283" s="164" t="s">
        <v>1439</v>
      </c>
      <c r="J283" s="164" t="s">
        <v>1440</v>
      </c>
      <c r="K283" s="165">
        <v>5.9027777777777778E-4</v>
      </c>
      <c r="L283" s="151" t="s">
        <v>394</v>
      </c>
      <c r="N283" s="151" t="s">
        <v>395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1370</v>
      </c>
      <c r="B284" s="151" t="s">
        <v>1436</v>
      </c>
      <c r="C284" s="164" t="s">
        <v>1441</v>
      </c>
      <c r="D284" s="164" t="s">
        <v>1442</v>
      </c>
      <c r="E284" s="165">
        <v>4.1087962962962962E-3</v>
      </c>
      <c r="F284" s="151" t="s">
        <v>298</v>
      </c>
      <c r="H284" s="151" t="s">
        <v>31</v>
      </c>
      <c r="I284" s="164" t="s">
        <v>1443</v>
      </c>
      <c r="J284" s="164" t="s">
        <v>1444</v>
      </c>
      <c r="K284" s="165">
        <v>5.7870370370370367E-4</v>
      </c>
      <c r="L284" s="151" t="s">
        <v>394</v>
      </c>
      <c r="N284" s="151" t="s">
        <v>395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1370</v>
      </c>
      <c r="B285" s="151" t="s">
        <v>1436</v>
      </c>
      <c r="C285" s="164" t="s">
        <v>1445</v>
      </c>
      <c r="D285" s="164" t="s">
        <v>1446</v>
      </c>
      <c r="E285" s="165">
        <v>1.1574074074074073E-3</v>
      </c>
      <c r="F285" s="151" t="s">
        <v>298</v>
      </c>
      <c r="H285" s="151" t="s">
        <v>299</v>
      </c>
      <c r="I285" s="164" t="s">
        <v>1447</v>
      </c>
      <c r="J285" s="164" t="s">
        <v>1448</v>
      </c>
      <c r="K285" s="165">
        <v>5.7870370370370367E-4</v>
      </c>
      <c r="L285" s="151" t="s">
        <v>302</v>
      </c>
      <c r="N285" s="151" t="s">
        <v>303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1370</v>
      </c>
      <c r="B286" s="151" t="s">
        <v>1436</v>
      </c>
      <c r="C286" s="164" t="s">
        <v>1449</v>
      </c>
      <c r="D286" s="164" t="s">
        <v>1450</v>
      </c>
      <c r="E286" s="165">
        <v>1.5625000000000001E-3</v>
      </c>
      <c r="F286" s="151" t="s">
        <v>298</v>
      </c>
      <c r="H286" s="151" t="s">
        <v>299</v>
      </c>
      <c r="I286" s="164" t="s">
        <v>1451</v>
      </c>
      <c r="J286" s="164" t="s">
        <v>1452</v>
      </c>
      <c r="K286" s="165">
        <v>6.134259259259259E-4</v>
      </c>
      <c r="L286" s="151" t="s">
        <v>302</v>
      </c>
      <c r="N286" s="151" t="s">
        <v>303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1370</v>
      </c>
      <c r="B287" s="151" t="s">
        <v>1436</v>
      </c>
      <c r="C287" s="164" t="s">
        <v>1453</v>
      </c>
      <c r="D287" s="164" t="s">
        <v>1454</v>
      </c>
      <c r="E287" s="165">
        <v>4.5023148148148149E-3</v>
      </c>
      <c r="F287" s="151" t="s">
        <v>298</v>
      </c>
      <c r="H287" s="151" t="s">
        <v>31</v>
      </c>
      <c r="I287" s="164" t="s">
        <v>1455</v>
      </c>
      <c r="J287" s="164" t="s">
        <v>1456</v>
      </c>
      <c r="K287" s="165">
        <v>6.3657407407407413E-4</v>
      </c>
      <c r="L287" s="151" t="s">
        <v>394</v>
      </c>
      <c r="N287" s="151" t="s">
        <v>395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388</v>
      </c>
      <c r="B288" s="151" t="s">
        <v>1457</v>
      </c>
      <c r="C288" s="164" t="s">
        <v>1458</v>
      </c>
      <c r="D288" s="164" t="s">
        <v>1459</v>
      </c>
      <c r="E288" s="165">
        <v>1.3425925925925925E-3</v>
      </c>
      <c r="F288" s="151" t="s">
        <v>298</v>
      </c>
      <c r="H288" s="151" t="s">
        <v>299</v>
      </c>
      <c r="I288" s="164" t="s">
        <v>1460</v>
      </c>
      <c r="J288" s="164" t="s">
        <v>1461</v>
      </c>
      <c r="K288" s="165">
        <v>6.3657407407407413E-4</v>
      </c>
      <c r="L288" s="151" t="s">
        <v>302</v>
      </c>
      <c r="N288" s="151" t="s">
        <v>303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388</v>
      </c>
      <c r="B289" s="151" t="s">
        <v>1457</v>
      </c>
      <c r="C289" s="164" t="s">
        <v>1462</v>
      </c>
      <c r="D289" s="164" t="s">
        <v>1463</v>
      </c>
      <c r="E289" s="165">
        <v>8.7962962962962962E-4</v>
      </c>
      <c r="F289" s="151" t="s">
        <v>298</v>
      </c>
      <c r="H289" s="151" t="s">
        <v>299</v>
      </c>
      <c r="I289" s="164" t="s">
        <v>1464</v>
      </c>
      <c r="J289" s="164" t="s">
        <v>1465</v>
      </c>
      <c r="K289" s="165">
        <v>3.3564814814814812E-4</v>
      </c>
      <c r="L289" s="151" t="s">
        <v>302</v>
      </c>
      <c r="N289" s="151" t="s">
        <v>303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388</v>
      </c>
      <c r="B290" s="151" t="s">
        <v>1457</v>
      </c>
      <c r="C290" s="164" t="s">
        <v>1466</v>
      </c>
      <c r="D290" s="164" t="s">
        <v>1467</v>
      </c>
      <c r="E290" s="165">
        <v>9.837962962962962E-4</v>
      </c>
      <c r="F290" s="151" t="s">
        <v>298</v>
      </c>
      <c r="H290" s="151" t="s">
        <v>299</v>
      </c>
      <c r="I290" s="164" t="s">
        <v>1468</v>
      </c>
      <c r="J290" s="164" t="s">
        <v>1469</v>
      </c>
      <c r="K290" s="165">
        <v>5.9027777777777778E-4</v>
      </c>
      <c r="L290" s="151" t="s">
        <v>302</v>
      </c>
      <c r="N290" s="151" t="s">
        <v>303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388</v>
      </c>
      <c r="B291" s="151" t="s">
        <v>1457</v>
      </c>
      <c r="C291" s="164" t="s">
        <v>1470</v>
      </c>
      <c r="D291" s="164" t="s">
        <v>1471</v>
      </c>
      <c r="E291" s="165">
        <v>1.6782407407407408E-3</v>
      </c>
      <c r="F291" s="151" t="s">
        <v>298</v>
      </c>
      <c r="H291" s="151" t="s">
        <v>299</v>
      </c>
      <c r="I291" s="164" t="s">
        <v>1472</v>
      </c>
      <c r="J291" s="164" t="s">
        <v>1473</v>
      </c>
      <c r="K291" s="165">
        <v>6.5972222222222224E-4</v>
      </c>
      <c r="L291" s="151" t="s">
        <v>302</v>
      </c>
      <c r="N291" s="151" t="s">
        <v>303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388</v>
      </c>
      <c r="B292" s="151" t="s">
        <v>1457</v>
      </c>
      <c r="C292" s="164" t="s">
        <v>1474</v>
      </c>
      <c r="D292" s="164" t="s">
        <v>1475</v>
      </c>
      <c r="E292" s="165">
        <v>1.9328703703703704E-3</v>
      </c>
      <c r="F292" s="151" t="s">
        <v>298</v>
      </c>
      <c r="H292" s="151" t="s">
        <v>31</v>
      </c>
      <c r="I292" s="164" t="s">
        <v>1476</v>
      </c>
      <c r="J292" s="164" t="s">
        <v>1477</v>
      </c>
      <c r="K292" s="165">
        <v>3.7037037037037035E-4</v>
      </c>
      <c r="L292" s="151" t="s">
        <v>394</v>
      </c>
      <c r="N292" s="151" t="s">
        <v>395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388</v>
      </c>
      <c r="B293" s="151" t="s">
        <v>1457</v>
      </c>
      <c r="C293" s="164" t="s">
        <v>1478</v>
      </c>
      <c r="D293" s="164" t="s">
        <v>1479</v>
      </c>
      <c r="E293" s="165">
        <v>1.4583333333333334E-3</v>
      </c>
      <c r="F293" s="151" t="s">
        <v>298</v>
      </c>
      <c r="H293" s="151" t="s">
        <v>299</v>
      </c>
      <c r="I293" s="164" t="s">
        <v>1480</v>
      </c>
      <c r="J293" s="164" t="s">
        <v>1481</v>
      </c>
      <c r="K293" s="165">
        <v>5.7870370370370367E-4</v>
      </c>
      <c r="L293" s="151" t="s">
        <v>302</v>
      </c>
      <c r="N293" s="151" t="s">
        <v>303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388</v>
      </c>
      <c r="B294" s="151" t="s">
        <v>1457</v>
      </c>
      <c r="C294" s="164" t="s">
        <v>1482</v>
      </c>
      <c r="D294" s="164" t="s">
        <v>1483</v>
      </c>
      <c r="E294" s="165">
        <v>1.3310185185185185E-3</v>
      </c>
      <c r="F294" s="151" t="s">
        <v>298</v>
      </c>
      <c r="H294" s="151" t="s">
        <v>299</v>
      </c>
      <c r="I294" s="164" t="s">
        <v>1484</v>
      </c>
      <c r="J294" s="164" t="s">
        <v>1485</v>
      </c>
      <c r="K294" s="165">
        <v>3.1250000000000001E-4</v>
      </c>
      <c r="L294" s="151" t="s">
        <v>302</v>
      </c>
      <c r="N294" s="151" t="s">
        <v>303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388</v>
      </c>
      <c r="B295" s="151" t="s">
        <v>1457</v>
      </c>
      <c r="C295" s="164" t="s">
        <v>1486</v>
      </c>
      <c r="D295" s="164" t="s">
        <v>1487</v>
      </c>
      <c r="E295" s="165">
        <v>1.2962962962962963E-3</v>
      </c>
      <c r="F295" s="151" t="s">
        <v>298</v>
      </c>
      <c r="H295" s="151" t="s">
        <v>299</v>
      </c>
      <c r="I295" s="164" t="s">
        <v>1488</v>
      </c>
      <c r="J295" s="164" t="s">
        <v>1489</v>
      </c>
      <c r="K295" s="165">
        <v>6.134259259259259E-4</v>
      </c>
      <c r="L295" s="151" t="s">
        <v>302</v>
      </c>
      <c r="N295" s="151" t="s">
        <v>303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388</v>
      </c>
      <c r="B296" s="151" t="s">
        <v>1457</v>
      </c>
      <c r="C296" s="164" t="s">
        <v>1490</v>
      </c>
      <c r="D296" s="164" t="s">
        <v>1491</v>
      </c>
      <c r="E296" s="165">
        <v>1.2847222222222223E-3</v>
      </c>
      <c r="F296" s="151" t="s">
        <v>298</v>
      </c>
      <c r="H296" s="151" t="s">
        <v>299</v>
      </c>
      <c r="I296" s="164" t="s">
        <v>1492</v>
      </c>
      <c r="J296" s="164" t="s">
        <v>1493</v>
      </c>
      <c r="K296" s="165">
        <v>3.0092592592592595E-4</v>
      </c>
      <c r="L296" s="151" t="s">
        <v>302</v>
      </c>
      <c r="N296" s="151" t="s">
        <v>303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388</v>
      </c>
      <c r="B297" s="151" t="s">
        <v>1457</v>
      </c>
      <c r="C297" s="164" t="s">
        <v>1494</v>
      </c>
      <c r="D297" s="164" t="s">
        <v>1495</v>
      </c>
      <c r="E297" s="165">
        <v>1.7013888888888888E-3</v>
      </c>
      <c r="F297" s="151" t="s">
        <v>298</v>
      </c>
      <c r="H297" s="151" t="s">
        <v>299</v>
      </c>
      <c r="I297" s="164" t="s">
        <v>1496</v>
      </c>
      <c r="J297" s="164" t="s">
        <v>1497</v>
      </c>
      <c r="K297" s="165">
        <v>4.861111111111111E-4</v>
      </c>
      <c r="L297" s="151" t="s">
        <v>302</v>
      </c>
      <c r="N297" s="151" t="s">
        <v>303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388</v>
      </c>
      <c r="B298" s="151" t="s">
        <v>1457</v>
      </c>
      <c r="C298" s="164" t="s">
        <v>1498</v>
      </c>
      <c r="D298" s="164" t="s">
        <v>1499</v>
      </c>
      <c r="E298" s="165">
        <v>4.861111111111111E-4</v>
      </c>
      <c r="F298" s="151" t="s">
        <v>298</v>
      </c>
      <c r="H298" s="151" t="s">
        <v>299</v>
      </c>
      <c r="I298" s="164" t="s">
        <v>1500</v>
      </c>
      <c r="J298" s="164" t="s">
        <v>1501</v>
      </c>
      <c r="K298" s="165">
        <v>6.9444444444444447E-4</v>
      </c>
      <c r="L298" s="151" t="s">
        <v>302</v>
      </c>
      <c r="N298" s="151" t="s">
        <v>303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388</v>
      </c>
      <c r="B299" s="151" t="s">
        <v>1457</v>
      </c>
      <c r="C299" s="164" t="s">
        <v>1502</v>
      </c>
      <c r="D299" s="164" t="s">
        <v>1503</v>
      </c>
      <c r="E299" s="165">
        <v>1.5972222222222223E-3</v>
      </c>
      <c r="F299" s="151" t="s">
        <v>298</v>
      </c>
      <c r="H299" s="151" t="s">
        <v>299</v>
      </c>
      <c r="I299" s="164" t="s">
        <v>1504</v>
      </c>
      <c r="J299" s="164" t="s">
        <v>1505</v>
      </c>
      <c r="K299" s="165">
        <v>6.018518518518519E-4</v>
      </c>
      <c r="L299" s="151" t="s">
        <v>302</v>
      </c>
      <c r="N299" s="151" t="s">
        <v>303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388</v>
      </c>
      <c r="B300" s="151" t="s">
        <v>1457</v>
      </c>
      <c r="C300" s="164" t="s">
        <v>1506</v>
      </c>
      <c r="D300" s="164" t="s">
        <v>1507</v>
      </c>
      <c r="E300" s="165">
        <v>1.8518518518518519E-3</v>
      </c>
      <c r="F300" s="151" t="s">
        <v>298</v>
      </c>
      <c r="H300" s="151" t="s">
        <v>299</v>
      </c>
      <c r="I300" s="164" t="s">
        <v>1508</v>
      </c>
      <c r="J300" s="164" t="s">
        <v>1509</v>
      </c>
      <c r="K300" s="165">
        <v>3.5879629629629629E-4</v>
      </c>
      <c r="L300" s="151" t="s">
        <v>302</v>
      </c>
      <c r="N300" s="151" t="s">
        <v>303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388</v>
      </c>
      <c r="B301" s="151" t="s">
        <v>1457</v>
      </c>
      <c r="C301" s="164" t="s">
        <v>1510</v>
      </c>
      <c r="D301" s="164" t="s">
        <v>1511</v>
      </c>
      <c r="E301" s="165">
        <v>1.5393518518518519E-3</v>
      </c>
      <c r="F301" s="151" t="s">
        <v>298</v>
      </c>
      <c r="H301" s="151" t="s">
        <v>299</v>
      </c>
      <c r="I301" s="164" t="s">
        <v>1512</v>
      </c>
      <c r="J301" s="164" t="s">
        <v>1513</v>
      </c>
      <c r="K301" s="165">
        <v>4.2824074074074075E-4</v>
      </c>
      <c r="L301" s="151" t="s">
        <v>302</v>
      </c>
      <c r="N301" s="151" t="s">
        <v>303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388</v>
      </c>
      <c r="B302" s="151" t="s">
        <v>1457</v>
      </c>
      <c r="C302" s="164" t="s">
        <v>1514</v>
      </c>
      <c r="D302" s="164" t="s">
        <v>1515</v>
      </c>
      <c r="E302" s="165">
        <v>1.3425925925925925E-3</v>
      </c>
      <c r="F302" s="151" t="s">
        <v>298</v>
      </c>
      <c r="H302" s="151" t="s">
        <v>299</v>
      </c>
      <c r="I302" s="164" t="s">
        <v>1516</v>
      </c>
      <c r="J302" s="164" t="s">
        <v>1517</v>
      </c>
      <c r="K302" s="165">
        <v>6.018518518518519E-4</v>
      </c>
      <c r="L302" s="151" t="s">
        <v>302</v>
      </c>
      <c r="N302" s="151" t="s">
        <v>303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388</v>
      </c>
      <c r="B303" s="151" t="s">
        <v>1457</v>
      </c>
      <c r="C303" s="164" t="s">
        <v>1518</v>
      </c>
      <c r="D303" s="164" t="s">
        <v>1519</v>
      </c>
      <c r="E303" s="165">
        <v>1.5162037037037036E-3</v>
      </c>
      <c r="F303" s="151" t="s">
        <v>298</v>
      </c>
      <c r="H303" s="151" t="s">
        <v>299</v>
      </c>
      <c r="I303" s="164" t="s">
        <v>1520</v>
      </c>
      <c r="J303" s="164" t="s">
        <v>1521</v>
      </c>
      <c r="K303" s="165">
        <v>5.5555555555555556E-4</v>
      </c>
      <c r="L303" s="151" t="s">
        <v>302</v>
      </c>
      <c r="N303" s="151" t="s">
        <v>303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388</v>
      </c>
      <c r="B304" s="151" t="s">
        <v>1457</v>
      </c>
      <c r="C304" s="164" t="s">
        <v>1522</v>
      </c>
      <c r="D304" s="164" t="s">
        <v>1523</v>
      </c>
      <c r="E304" s="165">
        <v>1.2731481481481483E-3</v>
      </c>
      <c r="F304" s="151" t="s">
        <v>298</v>
      </c>
      <c r="H304" s="151" t="s">
        <v>299</v>
      </c>
      <c r="I304" s="164" t="s">
        <v>1524</v>
      </c>
      <c r="J304" s="164" t="s">
        <v>1525</v>
      </c>
      <c r="K304" s="165">
        <v>5.7870370370370367E-4</v>
      </c>
      <c r="L304" s="151" t="s">
        <v>302</v>
      </c>
      <c r="N304" s="151" t="s">
        <v>303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388</v>
      </c>
      <c r="B305" s="151" t="s">
        <v>1457</v>
      </c>
      <c r="C305" s="164" t="s">
        <v>1526</v>
      </c>
      <c r="D305" s="164" t="s">
        <v>1527</v>
      </c>
      <c r="E305" s="165">
        <v>1.6782407407407408E-3</v>
      </c>
      <c r="F305" s="151" t="s">
        <v>298</v>
      </c>
      <c r="H305" s="151" t="s">
        <v>299</v>
      </c>
      <c r="I305" s="164" t="s">
        <v>1528</v>
      </c>
      <c r="J305" s="164" t="s">
        <v>1529</v>
      </c>
      <c r="K305" s="165">
        <v>6.3657407407407413E-4</v>
      </c>
      <c r="L305" s="151" t="s">
        <v>302</v>
      </c>
      <c r="N305" s="151" t="s">
        <v>303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444</v>
      </c>
      <c r="B306" s="151" t="s">
        <v>1530</v>
      </c>
      <c r="C306" s="164" t="s">
        <v>1531</v>
      </c>
      <c r="D306" s="164" t="s">
        <v>1532</v>
      </c>
      <c r="E306" s="165">
        <v>1.8865740740740742E-3</v>
      </c>
      <c r="F306" s="151" t="s">
        <v>298</v>
      </c>
      <c r="H306" s="151" t="s">
        <v>31</v>
      </c>
      <c r="I306" s="164" t="s">
        <v>1533</v>
      </c>
      <c r="J306" s="164" t="s">
        <v>1534</v>
      </c>
      <c r="K306" s="165">
        <v>6.2500000000000001E-4</v>
      </c>
      <c r="L306" s="151" t="s">
        <v>394</v>
      </c>
      <c r="N306" s="151" t="s">
        <v>395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444</v>
      </c>
      <c r="B307" s="151" t="s">
        <v>1530</v>
      </c>
      <c r="C307" s="164" t="s">
        <v>1535</v>
      </c>
      <c r="D307" s="164" t="s">
        <v>1536</v>
      </c>
      <c r="E307" s="165">
        <v>1.5162037037037036E-3</v>
      </c>
      <c r="F307" s="151" t="s">
        <v>298</v>
      </c>
      <c r="H307" s="151" t="s">
        <v>31</v>
      </c>
      <c r="I307" s="164" t="s">
        <v>1537</v>
      </c>
      <c r="J307" s="164" t="s">
        <v>1538</v>
      </c>
      <c r="K307" s="165">
        <v>6.5972222222222224E-4</v>
      </c>
      <c r="L307" s="151" t="s">
        <v>394</v>
      </c>
      <c r="N307" s="151" t="s">
        <v>395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444</v>
      </c>
      <c r="B308" s="151" t="s">
        <v>1530</v>
      </c>
      <c r="C308" s="164" t="s">
        <v>1539</v>
      </c>
      <c r="D308" s="164" t="s">
        <v>1540</v>
      </c>
      <c r="E308" s="165">
        <v>1.5625000000000001E-3</v>
      </c>
      <c r="F308" s="151" t="s">
        <v>298</v>
      </c>
      <c r="H308" s="151" t="s">
        <v>31</v>
      </c>
      <c r="I308" s="164" t="s">
        <v>1541</v>
      </c>
      <c r="J308" s="164" t="s">
        <v>1542</v>
      </c>
      <c r="K308" s="165">
        <v>6.7129629629629625E-4</v>
      </c>
      <c r="L308" s="151" t="s">
        <v>394</v>
      </c>
      <c r="N308" s="151" t="s">
        <v>395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444</v>
      </c>
      <c r="B309" s="151" t="s">
        <v>1530</v>
      </c>
      <c r="C309" s="164" t="s">
        <v>1543</v>
      </c>
      <c r="D309" s="164" t="s">
        <v>1544</v>
      </c>
      <c r="E309" s="165">
        <v>2.2453703703703702E-3</v>
      </c>
      <c r="F309" s="151" t="s">
        <v>298</v>
      </c>
      <c r="H309" s="151" t="s">
        <v>31</v>
      </c>
      <c r="I309" s="164" t="s">
        <v>1545</v>
      </c>
      <c r="J309" s="164" t="s">
        <v>1546</v>
      </c>
      <c r="K309" s="165">
        <v>6.5972222222222224E-4</v>
      </c>
      <c r="L309" s="151" t="s">
        <v>394</v>
      </c>
      <c r="N309" s="151" t="s">
        <v>395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444</v>
      </c>
      <c r="B310" s="151" t="s">
        <v>1530</v>
      </c>
      <c r="C310" s="164" t="s">
        <v>1547</v>
      </c>
      <c r="D310" s="164" t="s">
        <v>1548</v>
      </c>
      <c r="E310" s="165">
        <v>2.7430555555555554E-3</v>
      </c>
      <c r="F310" s="151" t="s">
        <v>298</v>
      </c>
      <c r="H310" s="151" t="s">
        <v>31</v>
      </c>
      <c r="I310" s="164" t="s">
        <v>1549</v>
      </c>
      <c r="J310" s="164" t="s">
        <v>1550</v>
      </c>
      <c r="K310" s="165">
        <v>7.1759259259259259E-4</v>
      </c>
      <c r="L310" s="151" t="s">
        <v>394</v>
      </c>
      <c r="N310" s="151" t="s">
        <v>395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444</v>
      </c>
      <c r="B311" s="151" t="s">
        <v>1530</v>
      </c>
      <c r="C311" s="164" t="s">
        <v>1551</v>
      </c>
      <c r="D311" s="164" t="s">
        <v>1552</v>
      </c>
      <c r="E311" s="165">
        <v>1.5972222222222223E-3</v>
      </c>
      <c r="F311" s="151" t="s">
        <v>298</v>
      </c>
      <c r="H311" s="151" t="s">
        <v>31</v>
      </c>
      <c r="I311" s="164" t="s">
        <v>1553</v>
      </c>
      <c r="J311" s="164" t="s">
        <v>1554</v>
      </c>
      <c r="K311" s="165">
        <v>3.7037037037037035E-4</v>
      </c>
      <c r="L311" s="151" t="s">
        <v>394</v>
      </c>
      <c r="N311" s="151" t="s">
        <v>395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444</v>
      </c>
      <c r="B312" s="151" t="s">
        <v>1530</v>
      </c>
      <c r="C312" s="164" t="s">
        <v>1555</v>
      </c>
      <c r="D312" s="164" t="s">
        <v>1556</v>
      </c>
      <c r="E312" s="165">
        <v>2.0023148148148148E-3</v>
      </c>
      <c r="F312" s="151" t="s">
        <v>298</v>
      </c>
      <c r="H312" s="151" t="s">
        <v>31</v>
      </c>
      <c r="I312" s="164" t="s">
        <v>1557</v>
      </c>
      <c r="J312" s="164" t="s">
        <v>1558</v>
      </c>
      <c r="K312" s="165">
        <v>6.8287037037037036E-4</v>
      </c>
      <c r="L312" s="151" t="s">
        <v>394</v>
      </c>
      <c r="N312" s="151" t="s">
        <v>395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444</v>
      </c>
      <c r="B313" s="151" t="s">
        <v>1530</v>
      </c>
      <c r="C313" s="164" t="s">
        <v>1559</v>
      </c>
      <c r="D313" s="164" t="s">
        <v>1560</v>
      </c>
      <c r="E313" s="165">
        <v>2.1064814814814813E-3</v>
      </c>
      <c r="F313" s="151" t="s">
        <v>298</v>
      </c>
      <c r="H313" s="151" t="s">
        <v>31</v>
      </c>
      <c r="I313" s="164" t="s">
        <v>1561</v>
      </c>
      <c r="J313" s="164" t="s">
        <v>1562</v>
      </c>
      <c r="K313" s="165">
        <v>6.8287037037037036E-4</v>
      </c>
      <c r="L313" s="151" t="s">
        <v>394</v>
      </c>
      <c r="N313" s="151" t="s">
        <v>395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444</v>
      </c>
      <c r="B314" s="151" t="s">
        <v>1530</v>
      </c>
      <c r="C314" s="164" t="s">
        <v>1563</v>
      </c>
      <c r="D314" s="164" t="s">
        <v>1564</v>
      </c>
      <c r="E314" s="165">
        <v>2.2222222222222222E-3</v>
      </c>
      <c r="F314" s="151" t="s">
        <v>298</v>
      </c>
      <c r="H314" s="151" t="s">
        <v>31</v>
      </c>
      <c r="I314" s="164" t="s">
        <v>1565</v>
      </c>
      <c r="J314" s="164" t="s">
        <v>1566</v>
      </c>
      <c r="K314" s="165">
        <v>5.9027777777777778E-4</v>
      </c>
      <c r="L314" s="151" t="s">
        <v>394</v>
      </c>
      <c r="N314" s="151" t="s">
        <v>395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444</v>
      </c>
      <c r="B315" s="151" t="s">
        <v>1530</v>
      </c>
      <c r="C315" s="164" t="s">
        <v>1567</v>
      </c>
      <c r="D315" s="164" t="s">
        <v>1568</v>
      </c>
      <c r="E315" s="165">
        <v>1.4814814814814814E-3</v>
      </c>
      <c r="F315" s="151" t="s">
        <v>298</v>
      </c>
      <c r="H315" s="151" t="s">
        <v>31</v>
      </c>
      <c r="I315" s="164" t="s">
        <v>1569</v>
      </c>
      <c r="J315" s="164" t="s">
        <v>1570</v>
      </c>
      <c r="K315" s="165">
        <v>5.7870370370370367E-4</v>
      </c>
      <c r="L315" s="151" t="s">
        <v>394</v>
      </c>
      <c r="N315" s="151" t="s">
        <v>395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444</v>
      </c>
      <c r="B316" s="151" t="s">
        <v>1530</v>
      </c>
      <c r="C316" s="164" t="s">
        <v>1571</v>
      </c>
      <c r="D316" s="164" t="s">
        <v>1572</v>
      </c>
      <c r="E316" s="165">
        <v>1.7708333333333332E-3</v>
      </c>
      <c r="F316" s="151" t="s">
        <v>298</v>
      </c>
      <c r="H316" s="151" t="s">
        <v>31</v>
      </c>
      <c r="I316" s="164" t="s">
        <v>1573</v>
      </c>
      <c r="J316" s="164" t="s">
        <v>1574</v>
      </c>
      <c r="K316" s="165">
        <v>3.2407407407407406E-4</v>
      </c>
      <c r="L316" s="151" t="s">
        <v>394</v>
      </c>
      <c r="N316" s="151" t="s">
        <v>395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444</v>
      </c>
      <c r="B317" s="151" t="s">
        <v>1530</v>
      </c>
      <c r="C317" s="164" t="s">
        <v>1575</v>
      </c>
      <c r="D317" s="164" t="s">
        <v>1576</v>
      </c>
      <c r="E317" s="165">
        <v>2.3842592592592591E-3</v>
      </c>
      <c r="F317" s="151" t="s">
        <v>298</v>
      </c>
      <c r="H317" s="151" t="s">
        <v>31</v>
      </c>
      <c r="I317" s="164" t="s">
        <v>1577</v>
      </c>
      <c r="J317" s="164" t="s">
        <v>1578</v>
      </c>
      <c r="K317" s="165">
        <v>7.291666666666667E-4</v>
      </c>
      <c r="L317" s="151" t="s">
        <v>394</v>
      </c>
      <c r="N317" s="151" t="s">
        <v>395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444</v>
      </c>
      <c r="B318" s="151" t="s">
        <v>1530</v>
      </c>
      <c r="C318" s="164" t="s">
        <v>1579</v>
      </c>
      <c r="D318" s="164" t="s">
        <v>1580</v>
      </c>
      <c r="E318" s="165">
        <v>1.6666666666666668E-3</v>
      </c>
      <c r="F318" s="151" t="s">
        <v>298</v>
      </c>
      <c r="H318" s="151" t="s">
        <v>31</v>
      </c>
      <c r="I318" s="164" t="s">
        <v>1581</v>
      </c>
      <c r="J318" s="164" t="s">
        <v>1582</v>
      </c>
      <c r="K318" s="165">
        <v>6.8287037037037036E-4</v>
      </c>
      <c r="L318" s="151" t="s">
        <v>394</v>
      </c>
      <c r="N318" s="151" t="s">
        <v>395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444</v>
      </c>
      <c r="B319" s="151" t="s">
        <v>1530</v>
      </c>
      <c r="C319" s="164" t="s">
        <v>1583</v>
      </c>
      <c r="D319" s="164" t="s">
        <v>1584</v>
      </c>
      <c r="E319" s="165">
        <v>2.673611111111111E-3</v>
      </c>
      <c r="F319" s="151" t="s">
        <v>298</v>
      </c>
      <c r="H319" s="151" t="s">
        <v>31</v>
      </c>
      <c r="I319" s="164" t="s">
        <v>1585</v>
      </c>
      <c r="J319" s="164" t="s">
        <v>1586</v>
      </c>
      <c r="K319" s="165">
        <v>7.407407407407407E-4</v>
      </c>
      <c r="L319" s="151" t="s">
        <v>394</v>
      </c>
      <c r="N319" s="151" t="s">
        <v>395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444</v>
      </c>
      <c r="B320" s="151" t="s">
        <v>1530</v>
      </c>
      <c r="C320" s="164" t="s">
        <v>1587</v>
      </c>
      <c r="D320" s="164" t="s">
        <v>1588</v>
      </c>
      <c r="E320" s="165">
        <v>1.8055555555555555E-3</v>
      </c>
      <c r="F320" s="151" t="s">
        <v>298</v>
      </c>
      <c r="H320" s="151" t="s">
        <v>31</v>
      </c>
      <c r="I320" s="164" t="s">
        <v>1589</v>
      </c>
      <c r="J320" s="164" t="s">
        <v>1590</v>
      </c>
      <c r="K320" s="165">
        <v>4.5138888888888887E-4</v>
      </c>
      <c r="L320" s="151" t="s">
        <v>394</v>
      </c>
      <c r="N320" s="151" t="s">
        <v>395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444</v>
      </c>
      <c r="B321" s="151" t="s">
        <v>1530</v>
      </c>
      <c r="C321" s="164" t="s">
        <v>1591</v>
      </c>
      <c r="D321" s="164" t="s">
        <v>1592</v>
      </c>
      <c r="E321" s="165">
        <v>2.4074074074074076E-3</v>
      </c>
      <c r="F321" s="151" t="s">
        <v>298</v>
      </c>
      <c r="H321" s="151" t="s">
        <v>31</v>
      </c>
      <c r="J321" s="164" t="s">
        <v>1593</v>
      </c>
      <c r="K321" s="165">
        <v>0</v>
      </c>
      <c r="L321" s="166" t="s">
        <v>394</v>
      </c>
      <c r="M321" s="151" t="s">
        <v>411</v>
      </c>
      <c r="N321" s="151" t="s">
        <v>395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444</v>
      </c>
      <c r="B322" s="151" t="s">
        <v>1530</v>
      </c>
      <c r="C322" s="164" t="s">
        <v>1594</v>
      </c>
      <c r="D322" s="164" t="s">
        <v>1595</v>
      </c>
      <c r="E322" s="165">
        <v>9.7222222222222219E-4</v>
      </c>
      <c r="F322" s="151" t="s">
        <v>298</v>
      </c>
      <c r="H322" s="151" t="s">
        <v>299</v>
      </c>
      <c r="I322" s="164" t="s">
        <v>1596</v>
      </c>
      <c r="J322" s="164" t="s">
        <v>1597</v>
      </c>
      <c r="K322" s="165">
        <v>9.1435185185185185E-4</v>
      </c>
      <c r="L322" s="151" t="s">
        <v>302</v>
      </c>
      <c r="N322" s="151" t="s">
        <v>303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444</v>
      </c>
      <c r="B323" s="151" t="s">
        <v>1530</v>
      </c>
      <c r="C323" s="164" t="s">
        <v>1598</v>
      </c>
      <c r="D323" s="164" t="s">
        <v>1599</v>
      </c>
      <c r="E323" s="165">
        <v>1.7939814814814815E-3</v>
      </c>
      <c r="F323" s="151" t="s">
        <v>298</v>
      </c>
      <c r="H323" s="151" t="s">
        <v>31</v>
      </c>
      <c r="I323" s="164" t="s">
        <v>1600</v>
      </c>
      <c r="K323" s="165">
        <v>0</v>
      </c>
      <c r="L323" s="151" t="s">
        <v>394</v>
      </c>
      <c r="N323" s="151" t="s">
        <v>395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444</v>
      </c>
      <c r="B324" s="151" t="s">
        <v>1530</v>
      </c>
      <c r="C324" s="164" t="s">
        <v>1601</v>
      </c>
      <c r="D324" s="164" t="s">
        <v>1602</v>
      </c>
      <c r="E324" s="165">
        <v>1.7013888888888888E-3</v>
      </c>
      <c r="F324" s="151" t="s">
        <v>298</v>
      </c>
      <c r="H324" s="151" t="s">
        <v>31</v>
      </c>
      <c r="J324" s="164" t="s">
        <v>1603</v>
      </c>
      <c r="K324" s="165">
        <v>0</v>
      </c>
      <c r="L324" s="166" t="s">
        <v>394</v>
      </c>
      <c r="M324" s="151" t="s">
        <v>411</v>
      </c>
      <c r="N324" s="151" t="s">
        <v>395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444</v>
      </c>
      <c r="B325" s="151" t="s">
        <v>1530</v>
      </c>
      <c r="C325" s="164" t="s">
        <v>1604</v>
      </c>
      <c r="D325" s="164" t="s">
        <v>1605</v>
      </c>
      <c r="E325" s="165">
        <v>1.7708333333333332E-3</v>
      </c>
      <c r="F325" s="151" t="s">
        <v>298</v>
      </c>
      <c r="H325" s="151" t="s">
        <v>31</v>
      </c>
      <c r="I325" s="164" t="s">
        <v>1606</v>
      </c>
      <c r="J325" s="164" t="s">
        <v>1607</v>
      </c>
      <c r="K325" s="165">
        <v>7.407407407407407E-4</v>
      </c>
      <c r="L325" s="151" t="s">
        <v>394</v>
      </c>
      <c r="N325" s="151" t="s">
        <v>395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444</v>
      </c>
      <c r="B326" s="151" t="s">
        <v>1530</v>
      </c>
      <c r="C326" s="164" t="s">
        <v>1608</v>
      </c>
      <c r="D326" s="164" t="s">
        <v>1609</v>
      </c>
      <c r="E326" s="165">
        <v>2.1759259259259258E-3</v>
      </c>
      <c r="F326" s="151" t="s">
        <v>298</v>
      </c>
      <c r="H326" s="151" t="s">
        <v>31</v>
      </c>
      <c r="I326" s="164" t="s">
        <v>1610</v>
      </c>
      <c r="J326" s="164" t="s">
        <v>1611</v>
      </c>
      <c r="K326" s="165">
        <v>6.5972222222222224E-4</v>
      </c>
      <c r="L326" s="151" t="s">
        <v>394</v>
      </c>
      <c r="N326" s="151" t="s">
        <v>395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444</v>
      </c>
      <c r="B327" s="151" t="s">
        <v>1530</v>
      </c>
      <c r="C327" s="164" t="s">
        <v>1612</v>
      </c>
      <c r="D327" s="164" t="s">
        <v>1613</v>
      </c>
      <c r="E327" s="165">
        <v>1.7939814814814815E-3</v>
      </c>
      <c r="F327" s="151" t="s">
        <v>298</v>
      </c>
      <c r="H327" s="151" t="s">
        <v>31</v>
      </c>
      <c r="J327" s="164" t="s">
        <v>1614</v>
      </c>
      <c r="K327" s="165">
        <v>0</v>
      </c>
      <c r="L327" s="166" t="s">
        <v>394</v>
      </c>
      <c r="M327" s="151" t="s">
        <v>411</v>
      </c>
      <c r="N327" s="151" t="s">
        <v>395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444</v>
      </c>
      <c r="B328" s="151" t="s">
        <v>1530</v>
      </c>
      <c r="C328" s="164" t="s">
        <v>1615</v>
      </c>
      <c r="D328" s="164" t="s">
        <v>1616</v>
      </c>
      <c r="E328" s="165">
        <v>2.2222222222222222E-3</v>
      </c>
      <c r="F328" s="151" t="s">
        <v>298</v>
      </c>
      <c r="H328" s="151" t="s">
        <v>31</v>
      </c>
      <c r="I328" s="164" t="s">
        <v>1617</v>
      </c>
      <c r="J328" s="164" t="s">
        <v>1618</v>
      </c>
      <c r="K328" s="165">
        <v>7.0601851851851847E-4</v>
      </c>
      <c r="L328" s="151" t="s">
        <v>394</v>
      </c>
      <c r="N328" s="151" t="s">
        <v>395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444</v>
      </c>
      <c r="B329" s="151" t="s">
        <v>1530</v>
      </c>
      <c r="C329" s="164" t="s">
        <v>1619</v>
      </c>
      <c r="D329" s="164" t="s">
        <v>1620</v>
      </c>
      <c r="E329" s="165">
        <v>2.2916666666666667E-3</v>
      </c>
      <c r="F329" s="151" t="s">
        <v>298</v>
      </c>
      <c r="H329" s="151" t="s">
        <v>31</v>
      </c>
      <c r="I329" s="164" t="s">
        <v>1621</v>
      </c>
      <c r="J329" s="164" t="s">
        <v>1622</v>
      </c>
      <c r="K329" s="165">
        <v>7.5231481481481482E-4</v>
      </c>
      <c r="L329" s="151" t="s">
        <v>394</v>
      </c>
      <c r="N329" s="151" t="s">
        <v>395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444</v>
      </c>
      <c r="B330" s="151" t="s">
        <v>1530</v>
      </c>
      <c r="C330" s="164" t="s">
        <v>1623</v>
      </c>
      <c r="D330" s="164" t="s">
        <v>1624</v>
      </c>
      <c r="E330" s="165">
        <v>3.2291666666666666E-3</v>
      </c>
      <c r="F330" s="151" t="s">
        <v>298</v>
      </c>
      <c r="H330" s="151" t="s">
        <v>31</v>
      </c>
      <c r="I330" s="164" t="s">
        <v>1625</v>
      </c>
      <c r="J330" s="164" t="s">
        <v>1626</v>
      </c>
      <c r="K330" s="165">
        <v>7.291666666666667E-4</v>
      </c>
      <c r="L330" s="151" t="s">
        <v>394</v>
      </c>
      <c r="N330" s="151" t="s">
        <v>395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444</v>
      </c>
      <c r="B331" s="151" t="s">
        <v>1530</v>
      </c>
      <c r="C331" s="164" t="s">
        <v>1627</v>
      </c>
      <c r="D331" s="164" t="s">
        <v>1628</v>
      </c>
      <c r="E331" s="165">
        <v>1.9675925925925924E-3</v>
      </c>
      <c r="F331" s="151" t="s">
        <v>298</v>
      </c>
      <c r="H331" s="151" t="s">
        <v>31</v>
      </c>
      <c r="I331" s="164" t="s">
        <v>1629</v>
      </c>
      <c r="J331" s="164" t="s">
        <v>1630</v>
      </c>
      <c r="K331" s="165">
        <v>7.7546296296296293E-4</v>
      </c>
      <c r="L331" s="151" t="s">
        <v>394</v>
      </c>
      <c r="N331" s="151" t="s">
        <v>395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444</v>
      </c>
      <c r="B332" s="151" t="s">
        <v>1530</v>
      </c>
      <c r="C332" s="164" t="s">
        <v>1631</v>
      </c>
      <c r="D332" s="164" t="s">
        <v>1632</v>
      </c>
      <c r="E332" s="165">
        <v>2.4189814814814816E-3</v>
      </c>
      <c r="F332" s="151" t="s">
        <v>298</v>
      </c>
      <c r="H332" s="151" t="s">
        <v>31</v>
      </c>
      <c r="I332" s="164" t="s">
        <v>1633</v>
      </c>
      <c r="J332" s="164" t="s">
        <v>1634</v>
      </c>
      <c r="K332" s="165">
        <v>7.9861111111111116E-4</v>
      </c>
      <c r="L332" s="151" t="s">
        <v>394</v>
      </c>
      <c r="N332" s="151" t="s">
        <v>395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444</v>
      </c>
      <c r="B333" s="151" t="s">
        <v>1530</v>
      </c>
      <c r="C333" s="164" t="s">
        <v>1635</v>
      </c>
      <c r="D333" s="164" t="s">
        <v>1636</v>
      </c>
      <c r="E333" s="165">
        <v>1.8749999999999999E-3</v>
      </c>
      <c r="F333" s="151" t="s">
        <v>298</v>
      </c>
      <c r="H333" s="151" t="s">
        <v>31</v>
      </c>
      <c r="I333" s="164" t="s">
        <v>1637</v>
      </c>
      <c r="J333" s="164" t="s">
        <v>1638</v>
      </c>
      <c r="K333" s="165">
        <v>6.8287037037037036E-4</v>
      </c>
      <c r="L333" s="151" t="s">
        <v>394</v>
      </c>
      <c r="N333" s="151" t="s">
        <v>395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444</v>
      </c>
      <c r="B334" s="151" t="s">
        <v>1530</v>
      </c>
      <c r="C334" s="164" t="s">
        <v>1639</v>
      </c>
      <c r="D334" s="164" t="s">
        <v>1640</v>
      </c>
      <c r="E334" s="165">
        <v>2.0833333333333333E-3</v>
      </c>
      <c r="F334" s="151" t="s">
        <v>298</v>
      </c>
      <c r="H334" s="151" t="s">
        <v>31</v>
      </c>
      <c r="I334" s="164" t="s">
        <v>1641</v>
      </c>
      <c r="J334" s="164" t="s">
        <v>1642</v>
      </c>
      <c r="K334" s="165">
        <v>7.6388888888888893E-4</v>
      </c>
      <c r="L334" s="151" t="s">
        <v>394</v>
      </c>
      <c r="N334" s="151" t="s">
        <v>395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444</v>
      </c>
      <c r="B335" s="151" t="s">
        <v>1530</v>
      </c>
      <c r="C335" s="164" t="s">
        <v>1643</v>
      </c>
      <c r="D335" s="164" t="s">
        <v>1644</v>
      </c>
      <c r="E335" s="165">
        <v>3.0092592592592593E-3</v>
      </c>
      <c r="F335" s="151" t="s">
        <v>298</v>
      </c>
      <c r="H335" s="151" t="s">
        <v>31</v>
      </c>
      <c r="I335" s="164" t="s">
        <v>1645</v>
      </c>
      <c r="J335" s="164" t="s">
        <v>1646</v>
      </c>
      <c r="K335" s="165">
        <v>7.7546296296296293E-4</v>
      </c>
      <c r="L335" s="151" t="s">
        <v>394</v>
      </c>
      <c r="N335" s="151" t="s">
        <v>395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623</v>
      </c>
      <c r="B336" s="151" t="s">
        <v>1457</v>
      </c>
      <c r="C336" s="164" t="s">
        <v>1647</v>
      </c>
      <c r="D336" s="164" t="s">
        <v>1648</v>
      </c>
      <c r="E336" s="165">
        <v>1.7824074074074075E-3</v>
      </c>
      <c r="F336" s="151" t="s">
        <v>298</v>
      </c>
      <c r="H336" s="151" t="s">
        <v>299</v>
      </c>
      <c r="I336" s="164" t="s">
        <v>1649</v>
      </c>
      <c r="J336" s="164" t="s">
        <v>1650</v>
      </c>
      <c r="K336" s="165">
        <v>6.5972222222222224E-4</v>
      </c>
      <c r="L336" s="151" t="s">
        <v>302</v>
      </c>
      <c r="N336" s="151" t="s">
        <v>303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623</v>
      </c>
      <c r="B337" s="151" t="s">
        <v>1457</v>
      </c>
      <c r="C337" s="164" t="s">
        <v>1651</v>
      </c>
      <c r="D337" s="164" t="s">
        <v>1652</v>
      </c>
      <c r="E337" s="165">
        <v>1.6087962962962963E-3</v>
      </c>
      <c r="F337" s="151" t="s">
        <v>298</v>
      </c>
      <c r="H337" s="151" t="s">
        <v>299</v>
      </c>
      <c r="I337" s="164" t="s">
        <v>1653</v>
      </c>
      <c r="J337" s="164" t="s">
        <v>1654</v>
      </c>
      <c r="K337" s="165">
        <v>3.7037037037037035E-4</v>
      </c>
      <c r="L337" s="151" t="s">
        <v>302</v>
      </c>
      <c r="N337" s="151" t="s">
        <v>303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623</v>
      </c>
      <c r="B338" s="151" t="s">
        <v>1457</v>
      </c>
      <c r="C338" s="164" t="s">
        <v>1655</v>
      </c>
      <c r="D338" s="164" t="s">
        <v>1656</v>
      </c>
      <c r="E338" s="165">
        <v>1.261574074074074E-3</v>
      </c>
      <c r="F338" s="151" t="s">
        <v>298</v>
      </c>
      <c r="H338" s="151" t="s">
        <v>299</v>
      </c>
      <c r="I338" s="164" t="s">
        <v>1657</v>
      </c>
      <c r="J338" s="164" t="s">
        <v>1658</v>
      </c>
      <c r="K338" s="165">
        <v>4.2824074074074075E-4</v>
      </c>
      <c r="L338" s="151" t="s">
        <v>302</v>
      </c>
      <c r="N338" s="151" t="s">
        <v>303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623</v>
      </c>
      <c r="B339" s="151" t="s">
        <v>1457</v>
      </c>
      <c r="C339" s="164" t="s">
        <v>1659</v>
      </c>
      <c r="D339" s="164" t="s">
        <v>1660</v>
      </c>
      <c r="E339" s="165">
        <v>1.5393518518518519E-3</v>
      </c>
      <c r="F339" s="151" t="s">
        <v>298</v>
      </c>
      <c r="H339" s="151" t="s">
        <v>299</v>
      </c>
      <c r="I339" s="164" t="s">
        <v>1661</v>
      </c>
      <c r="J339" s="164" t="s">
        <v>1662</v>
      </c>
      <c r="K339" s="165">
        <v>6.134259259259259E-4</v>
      </c>
      <c r="L339" s="151" t="s">
        <v>302</v>
      </c>
      <c r="N339" s="151" t="s">
        <v>303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623</v>
      </c>
      <c r="B340" s="151" t="s">
        <v>1457</v>
      </c>
      <c r="C340" s="164" t="s">
        <v>1663</v>
      </c>
      <c r="D340" s="164" t="s">
        <v>1664</v>
      </c>
      <c r="E340" s="165">
        <v>1.2152777777777778E-3</v>
      </c>
      <c r="F340" s="151" t="s">
        <v>298</v>
      </c>
      <c r="H340" s="151" t="s">
        <v>299</v>
      </c>
      <c r="I340" s="164" t="s">
        <v>1665</v>
      </c>
      <c r="J340" s="164" t="s">
        <v>1666</v>
      </c>
      <c r="K340" s="165">
        <v>6.018518518518519E-4</v>
      </c>
      <c r="L340" s="151" t="s">
        <v>302</v>
      </c>
      <c r="N340" s="151" t="s">
        <v>303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623</v>
      </c>
      <c r="B341" s="151" t="s">
        <v>1457</v>
      </c>
      <c r="C341" s="164" t="s">
        <v>1667</v>
      </c>
      <c r="D341" s="164" t="s">
        <v>1668</v>
      </c>
      <c r="E341" s="165">
        <v>1.6666666666666668E-3</v>
      </c>
      <c r="F341" s="151" t="s">
        <v>298</v>
      </c>
      <c r="H341" s="151" t="s">
        <v>299</v>
      </c>
      <c r="I341" s="164" t="s">
        <v>1669</v>
      </c>
      <c r="J341" s="164" t="s">
        <v>1670</v>
      </c>
      <c r="K341" s="165">
        <v>4.0509259259259258E-4</v>
      </c>
      <c r="L341" s="151" t="s">
        <v>302</v>
      </c>
      <c r="N341" s="151" t="s">
        <v>303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623</v>
      </c>
      <c r="B342" s="151" t="s">
        <v>1457</v>
      </c>
      <c r="C342" s="164" t="s">
        <v>1671</v>
      </c>
      <c r="D342" s="164" t="s">
        <v>1672</v>
      </c>
      <c r="E342" s="165">
        <v>1.4120370370370369E-3</v>
      </c>
      <c r="F342" s="151" t="s">
        <v>298</v>
      </c>
      <c r="H342" s="151" t="s">
        <v>299</v>
      </c>
      <c r="I342" s="164" t="s">
        <v>1673</v>
      </c>
      <c r="J342" s="164" t="s">
        <v>1674</v>
      </c>
      <c r="K342" s="165">
        <v>5.7870370370370367E-4</v>
      </c>
      <c r="L342" s="151" t="s">
        <v>302</v>
      </c>
      <c r="N342" s="151" t="s">
        <v>303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623</v>
      </c>
      <c r="B343" s="151" t="s">
        <v>1457</v>
      </c>
      <c r="C343" s="164" t="s">
        <v>1675</v>
      </c>
      <c r="D343" s="164" t="s">
        <v>1676</v>
      </c>
      <c r="E343" s="165">
        <v>1.2847222222222223E-3</v>
      </c>
      <c r="F343" s="151" t="s">
        <v>298</v>
      </c>
      <c r="H343" s="151" t="s">
        <v>299</v>
      </c>
      <c r="I343" s="164" t="s">
        <v>1677</v>
      </c>
      <c r="J343" s="164" t="s">
        <v>1678</v>
      </c>
      <c r="K343" s="165">
        <v>5.9027777777777778E-4</v>
      </c>
      <c r="L343" s="151" t="s">
        <v>302</v>
      </c>
      <c r="N343" s="151" t="s">
        <v>303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623</v>
      </c>
      <c r="B344" s="151" t="s">
        <v>1457</v>
      </c>
      <c r="C344" s="164" t="s">
        <v>1679</v>
      </c>
      <c r="D344" s="164" t="s">
        <v>1680</v>
      </c>
      <c r="E344" s="165">
        <v>1.3425925925925925E-3</v>
      </c>
      <c r="F344" s="151" t="s">
        <v>298</v>
      </c>
      <c r="H344" s="151" t="s">
        <v>39</v>
      </c>
      <c r="I344" s="164" t="s">
        <v>1681</v>
      </c>
      <c r="J344" s="164" t="s">
        <v>1682</v>
      </c>
      <c r="K344" s="165">
        <v>9.0277777777777774E-4</v>
      </c>
      <c r="L344" s="151" t="s">
        <v>676</v>
      </c>
      <c r="N344" s="151" t="s">
        <v>303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623</v>
      </c>
      <c r="B345" s="151" t="s">
        <v>1457</v>
      </c>
      <c r="C345" s="164" t="s">
        <v>1683</v>
      </c>
      <c r="D345" s="164" t="s">
        <v>1684</v>
      </c>
      <c r="E345" s="165">
        <v>2.7777777777777779E-3</v>
      </c>
      <c r="F345" s="151" t="s">
        <v>298</v>
      </c>
      <c r="H345" s="151" t="s">
        <v>299</v>
      </c>
      <c r="I345" s="164" t="s">
        <v>1685</v>
      </c>
      <c r="J345" s="164" t="s">
        <v>1686</v>
      </c>
      <c r="K345" s="165">
        <v>3.9351851851851852E-4</v>
      </c>
      <c r="L345" s="151" t="s">
        <v>302</v>
      </c>
      <c r="N345" s="151" t="s">
        <v>303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623</v>
      </c>
      <c r="B346" s="151" t="s">
        <v>1457</v>
      </c>
      <c r="C346" s="164" t="s">
        <v>1687</v>
      </c>
      <c r="D346" s="164" t="s">
        <v>1688</v>
      </c>
      <c r="E346" s="165">
        <v>1.1805555555555556E-3</v>
      </c>
      <c r="F346" s="151" t="s">
        <v>298</v>
      </c>
      <c r="H346" s="151" t="s">
        <v>299</v>
      </c>
      <c r="I346" s="164" t="s">
        <v>1689</v>
      </c>
      <c r="J346" s="164" t="s">
        <v>1690</v>
      </c>
      <c r="K346" s="165">
        <v>5.4398148148148144E-4</v>
      </c>
      <c r="L346" s="151" t="s">
        <v>302</v>
      </c>
      <c r="N346" s="151" t="s">
        <v>303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623</v>
      </c>
      <c r="B347" s="151" t="s">
        <v>1457</v>
      </c>
      <c r="C347" s="164" t="s">
        <v>1691</v>
      </c>
      <c r="D347" s="164" t="s">
        <v>1692</v>
      </c>
      <c r="E347" s="165">
        <v>1.7592592592592592E-3</v>
      </c>
      <c r="F347" s="151" t="s">
        <v>298</v>
      </c>
      <c r="H347" s="151" t="s">
        <v>299</v>
      </c>
      <c r="I347" s="164" t="s">
        <v>1693</v>
      </c>
      <c r="J347" s="164" t="s">
        <v>1694</v>
      </c>
      <c r="K347" s="165">
        <v>5.6712962962962967E-4</v>
      </c>
      <c r="L347" s="151" t="s">
        <v>302</v>
      </c>
      <c r="N347" s="151" t="s">
        <v>303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623</v>
      </c>
      <c r="B348" s="151" t="s">
        <v>1457</v>
      </c>
      <c r="C348" s="164" t="s">
        <v>1695</v>
      </c>
      <c r="D348" s="164" t="s">
        <v>1696</v>
      </c>
      <c r="E348" s="165">
        <v>1.6898148148148148E-3</v>
      </c>
      <c r="F348" s="151" t="s">
        <v>298</v>
      </c>
      <c r="H348" s="151" t="s">
        <v>299</v>
      </c>
      <c r="I348" s="164" t="s">
        <v>1697</v>
      </c>
      <c r="J348" s="164" t="s">
        <v>1698</v>
      </c>
      <c r="K348" s="165">
        <v>4.2824074074074075E-4</v>
      </c>
      <c r="L348" s="151" t="s">
        <v>302</v>
      </c>
      <c r="N348" s="151" t="s">
        <v>303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623</v>
      </c>
      <c r="B349" s="151" t="s">
        <v>1457</v>
      </c>
      <c r="C349" s="164" t="s">
        <v>1699</v>
      </c>
      <c r="D349" s="164" t="s">
        <v>1700</v>
      </c>
      <c r="E349" s="165">
        <v>9.837962962962962E-4</v>
      </c>
      <c r="F349" s="151" t="s">
        <v>298</v>
      </c>
      <c r="H349" s="151" t="s">
        <v>299</v>
      </c>
      <c r="I349" s="164" t="s">
        <v>1701</v>
      </c>
      <c r="J349" s="164" t="s">
        <v>1702</v>
      </c>
      <c r="K349" s="165">
        <v>5.7870370370370367E-4</v>
      </c>
      <c r="L349" s="151" t="s">
        <v>302</v>
      </c>
      <c r="N349" s="151" t="s">
        <v>303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623</v>
      </c>
      <c r="B350" s="151" t="s">
        <v>1457</v>
      </c>
      <c r="C350" s="164" t="s">
        <v>1703</v>
      </c>
      <c r="D350" s="164" t="s">
        <v>1704</v>
      </c>
      <c r="E350" s="165">
        <v>1.3310185185185185E-3</v>
      </c>
      <c r="F350" s="151" t="s">
        <v>298</v>
      </c>
      <c r="H350" s="151" t="s">
        <v>299</v>
      </c>
      <c r="I350" s="164" t="s">
        <v>1705</v>
      </c>
      <c r="J350" s="164" t="s">
        <v>1706</v>
      </c>
      <c r="K350" s="165">
        <v>4.9768518518518521E-4</v>
      </c>
      <c r="L350" s="151" t="s">
        <v>302</v>
      </c>
      <c r="N350" s="151" t="s">
        <v>303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623</v>
      </c>
      <c r="B351" s="151" t="s">
        <v>1457</v>
      </c>
      <c r="C351" s="164" t="s">
        <v>1707</v>
      </c>
      <c r="D351" s="164" t="s">
        <v>1708</v>
      </c>
      <c r="E351" s="165">
        <v>1.4120370370370369E-3</v>
      </c>
      <c r="F351" s="151" t="s">
        <v>298</v>
      </c>
      <c r="H351" s="151" t="s">
        <v>299</v>
      </c>
      <c r="I351" s="164" t="s">
        <v>1709</v>
      </c>
      <c r="J351" s="164" t="s">
        <v>1710</v>
      </c>
      <c r="K351" s="165">
        <v>4.0509259259259258E-4</v>
      </c>
      <c r="L351" s="151" t="s">
        <v>302</v>
      </c>
      <c r="N351" s="151" t="s">
        <v>303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623</v>
      </c>
      <c r="B352" s="151" t="s">
        <v>1457</v>
      </c>
      <c r="C352" s="164" t="s">
        <v>1711</v>
      </c>
      <c r="D352" s="164" t="s">
        <v>1712</v>
      </c>
      <c r="E352" s="165">
        <v>1.3078703703703703E-3</v>
      </c>
      <c r="F352" s="151" t="s">
        <v>298</v>
      </c>
      <c r="H352" s="151" t="s">
        <v>299</v>
      </c>
      <c r="I352" s="164" t="s">
        <v>1713</v>
      </c>
      <c r="J352" s="164" t="s">
        <v>1714</v>
      </c>
      <c r="K352" s="165">
        <v>4.861111111111111E-4</v>
      </c>
      <c r="L352" s="151" t="s">
        <v>302</v>
      </c>
      <c r="N352" s="151" t="s">
        <v>303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685</v>
      </c>
      <c r="B353" s="151" t="s">
        <v>1715</v>
      </c>
      <c r="C353" s="164" t="s">
        <v>1716</v>
      </c>
      <c r="D353" s="164" t="s">
        <v>1717</v>
      </c>
      <c r="E353" s="165">
        <v>1.4467592592592592E-3</v>
      </c>
      <c r="F353" s="151" t="s">
        <v>298</v>
      </c>
      <c r="H353" s="166" t="s">
        <v>39</v>
      </c>
      <c r="I353" s="164" t="s">
        <v>1718</v>
      </c>
      <c r="J353" s="164" t="s">
        <v>1719</v>
      </c>
      <c r="K353" s="165">
        <v>3.0092592592592595E-4</v>
      </c>
      <c r="L353" s="151" t="s">
        <v>676</v>
      </c>
      <c r="N353" s="151" t="s">
        <v>303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685</v>
      </c>
      <c r="B354" s="151" t="s">
        <v>1715</v>
      </c>
      <c r="C354" s="164" t="s">
        <v>1720</v>
      </c>
      <c r="D354" s="164" t="s">
        <v>1721</v>
      </c>
      <c r="E354" s="165">
        <v>8.6805555555555551E-4</v>
      </c>
      <c r="F354" s="151" t="s">
        <v>298</v>
      </c>
      <c r="H354" s="151" t="s">
        <v>31</v>
      </c>
      <c r="I354" s="164" t="s">
        <v>1722</v>
      </c>
      <c r="J354" s="164" t="s">
        <v>1723</v>
      </c>
      <c r="K354" s="165">
        <v>4.2824074074074075E-4</v>
      </c>
      <c r="L354" s="151" t="s">
        <v>394</v>
      </c>
      <c r="N354" s="151" t="s">
        <v>395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685</v>
      </c>
      <c r="B355" s="151" t="s">
        <v>1715</v>
      </c>
      <c r="C355" s="164" t="s">
        <v>1724</v>
      </c>
      <c r="D355" s="164" t="s">
        <v>1725</v>
      </c>
      <c r="E355" s="165">
        <v>2.1875000000000002E-3</v>
      </c>
      <c r="F355" s="151" t="s">
        <v>298</v>
      </c>
      <c r="H355" s="151" t="s">
        <v>31</v>
      </c>
      <c r="I355" s="164" t="s">
        <v>1726</v>
      </c>
      <c r="J355" s="164" t="s">
        <v>1727</v>
      </c>
      <c r="K355" s="165">
        <v>2.8935185185185184E-4</v>
      </c>
      <c r="L355" s="151" t="s">
        <v>394</v>
      </c>
      <c r="N355" s="151" t="s">
        <v>395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685</v>
      </c>
      <c r="B356" s="151" t="s">
        <v>1715</v>
      </c>
      <c r="C356" s="164" t="s">
        <v>1728</v>
      </c>
      <c r="D356" s="164" t="s">
        <v>1729</v>
      </c>
      <c r="E356" s="165">
        <v>1.1689814814814816E-3</v>
      </c>
      <c r="F356" s="151" t="s">
        <v>298</v>
      </c>
      <c r="H356" s="151" t="s">
        <v>31</v>
      </c>
      <c r="I356" s="164" t="s">
        <v>1730</v>
      </c>
      <c r="J356" s="164" t="s">
        <v>1731</v>
      </c>
      <c r="K356" s="165">
        <v>6.3657407407407413E-4</v>
      </c>
      <c r="L356" s="151" t="s">
        <v>394</v>
      </c>
      <c r="N356" s="151" t="s">
        <v>395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685</v>
      </c>
      <c r="B357" s="151" t="s">
        <v>1715</v>
      </c>
      <c r="C357" s="164" t="s">
        <v>1732</v>
      </c>
      <c r="D357" s="164" t="s">
        <v>1733</v>
      </c>
      <c r="E357" s="165">
        <v>2.1643518518518518E-3</v>
      </c>
      <c r="F357" s="151" t="s">
        <v>298</v>
      </c>
      <c r="H357" s="151" t="s">
        <v>31</v>
      </c>
      <c r="I357" s="164" t="s">
        <v>1734</v>
      </c>
      <c r="J357" s="164" t="s">
        <v>1735</v>
      </c>
      <c r="K357" s="165">
        <v>7.1759259259259259E-4</v>
      </c>
      <c r="L357" s="151" t="s">
        <v>394</v>
      </c>
      <c r="N357" s="151" t="s">
        <v>395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685</v>
      </c>
      <c r="B358" s="151" t="s">
        <v>1715</v>
      </c>
      <c r="C358" s="164" t="s">
        <v>1736</v>
      </c>
      <c r="D358" s="164" t="s">
        <v>1737</v>
      </c>
      <c r="E358" s="165">
        <v>3.3101851851851851E-3</v>
      </c>
      <c r="F358" s="151" t="s">
        <v>298</v>
      </c>
      <c r="H358" s="151" t="s">
        <v>31</v>
      </c>
      <c r="I358" s="164" t="s">
        <v>1556</v>
      </c>
      <c r="J358" s="164" t="s">
        <v>1738</v>
      </c>
      <c r="K358" s="165">
        <v>3.5879629629629629E-4</v>
      </c>
      <c r="L358" s="151" t="s">
        <v>394</v>
      </c>
      <c r="N358" s="151" t="s">
        <v>395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685</v>
      </c>
      <c r="B359" s="151" t="s">
        <v>1715</v>
      </c>
      <c r="C359" s="164" t="s">
        <v>1739</v>
      </c>
      <c r="D359" s="164" t="s">
        <v>1740</v>
      </c>
      <c r="E359" s="165">
        <v>2.1990740740740742E-3</v>
      </c>
      <c r="F359" s="151" t="s">
        <v>298</v>
      </c>
      <c r="H359" s="151" t="s">
        <v>31</v>
      </c>
      <c r="I359" s="164" t="s">
        <v>1741</v>
      </c>
      <c r="J359" s="164" t="s">
        <v>1742</v>
      </c>
      <c r="K359" s="165">
        <v>7.291666666666667E-4</v>
      </c>
      <c r="L359" s="151" t="s">
        <v>394</v>
      </c>
      <c r="N359" s="151" t="s">
        <v>395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685</v>
      </c>
      <c r="B360" s="151" t="s">
        <v>1715</v>
      </c>
      <c r="C360" s="164" t="s">
        <v>1743</v>
      </c>
      <c r="D360" s="164" t="s">
        <v>1744</v>
      </c>
      <c r="E360" s="165">
        <v>1.8981481481481482E-3</v>
      </c>
      <c r="F360" s="151" t="s">
        <v>298</v>
      </c>
      <c r="H360" s="151" t="s">
        <v>31</v>
      </c>
      <c r="I360" s="164" t="s">
        <v>1745</v>
      </c>
      <c r="J360" s="164" t="s">
        <v>1746</v>
      </c>
      <c r="K360" s="165">
        <v>2.8935185185185184E-4</v>
      </c>
      <c r="L360" s="151" t="s">
        <v>394</v>
      </c>
      <c r="N360" s="151" t="s">
        <v>395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685</v>
      </c>
      <c r="B361" s="151" t="s">
        <v>1715</v>
      </c>
      <c r="C361" s="164" t="s">
        <v>1747</v>
      </c>
      <c r="D361" s="164" t="s">
        <v>1748</v>
      </c>
      <c r="E361" s="165">
        <v>2.4074074074074076E-3</v>
      </c>
      <c r="F361" s="151" t="s">
        <v>298</v>
      </c>
      <c r="H361" s="151" t="s">
        <v>31</v>
      </c>
      <c r="I361" s="164" t="s">
        <v>1749</v>
      </c>
      <c r="J361" s="164" t="s">
        <v>1750</v>
      </c>
      <c r="K361" s="165">
        <v>6.2500000000000001E-4</v>
      </c>
      <c r="L361" s="151" t="s">
        <v>394</v>
      </c>
      <c r="N361" s="151" t="s">
        <v>395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685</v>
      </c>
      <c r="B362" s="151" t="s">
        <v>1715</v>
      </c>
      <c r="C362" s="164" t="s">
        <v>1751</v>
      </c>
      <c r="D362" s="164" t="s">
        <v>1752</v>
      </c>
      <c r="E362" s="165">
        <v>2.2685185185185187E-3</v>
      </c>
      <c r="F362" s="151" t="s">
        <v>298</v>
      </c>
      <c r="H362" s="151" t="s">
        <v>31</v>
      </c>
      <c r="I362" s="164" t="s">
        <v>1753</v>
      </c>
      <c r="J362" s="164" t="s">
        <v>1754</v>
      </c>
      <c r="K362" s="165">
        <v>3.3564814814814812E-4</v>
      </c>
      <c r="L362" s="151" t="s">
        <v>394</v>
      </c>
      <c r="N362" s="151" t="s">
        <v>395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685</v>
      </c>
      <c r="B363" s="151" t="s">
        <v>1715</v>
      </c>
      <c r="C363" s="164" t="s">
        <v>1755</v>
      </c>
      <c r="D363" s="164" t="s">
        <v>1756</v>
      </c>
      <c r="E363" s="165">
        <v>2.5347222222222221E-3</v>
      </c>
      <c r="F363" s="151" t="s">
        <v>298</v>
      </c>
      <c r="H363" s="151" t="s">
        <v>31</v>
      </c>
      <c r="I363" s="164" t="s">
        <v>1757</v>
      </c>
      <c r="K363" s="165">
        <v>0</v>
      </c>
      <c r="L363" s="151" t="s">
        <v>394</v>
      </c>
      <c r="N363" s="151" t="s">
        <v>395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685</v>
      </c>
      <c r="B364" s="151" t="s">
        <v>1715</v>
      </c>
      <c r="C364" s="164" t="s">
        <v>1758</v>
      </c>
      <c r="D364" s="164" t="s">
        <v>1759</v>
      </c>
      <c r="E364" s="165">
        <v>1.6550925925925926E-3</v>
      </c>
      <c r="F364" s="151" t="s">
        <v>298</v>
      </c>
      <c r="H364" s="151" t="s">
        <v>31</v>
      </c>
      <c r="I364" s="164" t="s">
        <v>1760</v>
      </c>
      <c r="K364" s="165">
        <v>0</v>
      </c>
      <c r="L364" s="151" t="s">
        <v>394</v>
      </c>
      <c r="N364" s="151" t="s">
        <v>395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685</v>
      </c>
      <c r="B365" s="151" t="s">
        <v>1715</v>
      </c>
      <c r="C365" s="164" t="s">
        <v>1761</v>
      </c>
      <c r="D365" s="164" t="s">
        <v>1762</v>
      </c>
      <c r="E365" s="165">
        <v>1.9560185185185184E-3</v>
      </c>
      <c r="F365" s="151" t="s">
        <v>298</v>
      </c>
      <c r="H365" s="151" t="s">
        <v>31</v>
      </c>
      <c r="I365" s="164" t="s">
        <v>1763</v>
      </c>
      <c r="J365" s="164" t="s">
        <v>1764</v>
      </c>
      <c r="K365" s="165">
        <v>3.5879629629629629E-4</v>
      </c>
      <c r="L365" s="151" t="s">
        <v>394</v>
      </c>
      <c r="N365" s="151" t="s">
        <v>395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685</v>
      </c>
      <c r="B366" s="151" t="s">
        <v>1715</v>
      </c>
      <c r="C366" s="164" t="s">
        <v>1765</v>
      </c>
      <c r="D366" s="164" t="s">
        <v>1766</v>
      </c>
      <c r="E366" s="165">
        <v>1.9212962962962964E-3</v>
      </c>
      <c r="F366" s="151" t="s">
        <v>298</v>
      </c>
      <c r="H366" s="151" t="s">
        <v>31</v>
      </c>
      <c r="I366" s="164" t="s">
        <v>1767</v>
      </c>
      <c r="J366" s="164" t="s">
        <v>1768</v>
      </c>
      <c r="K366" s="165">
        <v>3.9351851851851852E-4</v>
      </c>
      <c r="L366" s="151" t="s">
        <v>394</v>
      </c>
      <c r="N366" s="151" t="s">
        <v>395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685</v>
      </c>
      <c r="B367" s="151" t="s">
        <v>1715</v>
      </c>
      <c r="C367" s="164" t="s">
        <v>1769</v>
      </c>
      <c r="D367" s="164" t="s">
        <v>1770</v>
      </c>
      <c r="E367" s="165">
        <v>9.0277777777777774E-4</v>
      </c>
      <c r="F367" s="151" t="s">
        <v>298</v>
      </c>
      <c r="H367" s="151" t="s">
        <v>299</v>
      </c>
      <c r="I367" s="164" t="s">
        <v>1771</v>
      </c>
      <c r="J367" s="164" t="s">
        <v>1772</v>
      </c>
      <c r="K367" s="165">
        <v>6.7824074074074071E-3</v>
      </c>
      <c r="L367" s="166" t="s">
        <v>302</v>
      </c>
      <c r="N367" s="151" t="s">
        <v>303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685</v>
      </c>
      <c r="B368" s="151" t="s">
        <v>1715</v>
      </c>
      <c r="C368" s="164" t="s">
        <v>1773</v>
      </c>
      <c r="D368" s="164" t="s">
        <v>1774</v>
      </c>
      <c r="E368" s="165">
        <v>2.1064814814814813E-3</v>
      </c>
      <c r="F368" s="151" t="s">
        <v>298</v>
      </c>
      <c r="H368" s="151" t="s">
        <v>31</v>
      </c>
      <c r="I368" s="164" t="s">
        <v>1775</v>
      </c>
      <c r="J368" s="164" t="s">
        <v>1776</v>
      </c>
      <c r="K368" s="165">
        <v>5.5555555555555556E-4</v>
      </c>
      <c r="L368" s="151" t="s">
        <v>394</v>
      </c>
      <c r="N368" s="151" t="s">
        <v>395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685</v>
      </c>
      <c r="B369" s="151" t="s">
        <v>1715</v>
      </c>
      <c r="C369" s="164" t="s">
        <v>1777</v>
      </c>
      <c r="D369" s="164" t="s">
        <v>1778</v>
      </c>
      <c r="E369" s="165">
        <v>1.0763888888888889E-3</v>
      </c>
      <c r="F369" s="151" t="s">
        <v>298</v>
      </c>
      <c r="H369" s="151" t="s">
        <v>31</v>
      </c>
      <c r="I369" s="164" t="s">
        <v>1779</v>
      </c>
      <c r="J369" s="164" t="s">
        <v>1780</v>
      </c>
      <c r="K369" s="165">
        <v>6.018518518518519E-4</v>
      </c>
      <c r="L369" s="151" t="s">
        <v>394</v>
      </c>
      <c r="N369" s="151" t="s">
        <v>395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685</v>
      </c>
      <c r="B370" s="151" t="s">
        <v>1715</v>
      </c>
      <c r="C370" s="164" t="s">
        <v>1781</v>
      </c>
      <c r="D370" s="164" t="s">
        <v>1782</v>
      </c>
      <c r="E370" s="165">
        <v>1.6435185185185185E-3</v>
      </c>
      <c r="F370" s="151" t="s">
        <v>298</v>
      </c>
      <c r="H370" s="151" t="s">
        <v>31</v>
      </c>
      <c r="I370" s="164" t="s">
        <v>1783</v>
      </c>
      <c r="J370" s="164" t="s">
        <v>1784</v>
      </c>
      <c r="K370" s="165">
        <v>2.5462962962962961E-4</v>
      </c>
      <c r="L370" s="151" t="s">
        <v>394</v>
      </c>
      <c r="N370" s="151" t="s">
        <v>395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685</v>
      </c>
      <c r="B371" s="151" t="s">
        <v>1715</v>
      </c>
      <c r="C371" s="164" t="s">
        <v>1785</v>
      </c>
      <c r="D371" s="164" t="s">
        <v>1786</v>
      </c>
      <c r="E371" s="165">
        <v>2.1990740740740742E-3</v>
      </c>
      <c r="F371" s="151" t="s">
        <v>298</v>
      </c>
      <c r="H371" s="151" t="s">
        <v>31</v>
      </c>
      <c r="I371" s="164" t="s">
        <v>1787</v>
      </c>
      <c r="J371" s="164" t="s">
        <v>1788</v>
      </c>
      <c r="K371" s="165">
        <v>5.4398148148148144E-4</v>
      </c>
      <c r="L371" s="151" t="s">
        <v>394</v>
      </c>
      <c r="N371" s="151" t="s">
        <v>395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685</v>
      </c>
      <c r="B372" s="151" t="s">
        <v>1715</v>
      </c>
      <c r="C372" s="164" t="s">
        <v>1789</v>
      </c>
      <c r="D372" s="164" t="s">
        <v>1790</v>
      </c>
      <c r="E372" s="165">
        <v>2.0601851851851853E-3</v>
      </c>
      <c r="F372" s="151" t="s">
        <v>298</v>
      </c>
      <c r="H372" s="151" t="s">
        <v>31</v>
      </c>
      <c r="I372" s="164" t="s">
        <v>1613</v>
      </c>
      <c r="J372" s="164" t="s">
        <v>1791</v>
      </c>
      <c r="K372" s="165">
        <v>6.134259259259259E-4</v>
      </c>
      <c r="L372" s="151" t="s">
        <v>394</v>
      </c>
      <c r="N372" s="151" t="s">
        <v>395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685</v>
      </c>
      <c r="B373" s="151" t="s">
        <v>1715</v>
      </c>
      <c r="C373" s="164" t="s">
        <v>1792</v>
      </c>
      <c r="D373" s="164" t="s">
        <v>1793</v>
      </c>
      <c r="E373" s="165">
        <v>2.3726851851851851E-3</v>
      </c>
      <c r="F373" s="151" t="s">
        <v>298</v>
      </c>
      <c r="H373" s="151" t="s">
        <v>31</v>
      </c>
      <c r="I373" s="164" t="s">
        <v>1794</v>
      </c>
      <c r="J373" s="164" t="s">
        <v>1795</v>
      </c>
      <c r="K373" s="165">
        <v>5.4398148148148144E-4</v>
      </c>
      <c r="L373" s="151" t="s">
        <v>394</v>
      </c>
      <c r="N373" s="151" t="s">
        <v>395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685</v>
      </c>
      <c r="B374" s="151" t="s">
        <v>1715</v>
      </c>
      <c r="C374" s="164" t="s">
        <v>1796</v>
      </c>
      <c r="D374" s="164" t="s">
        <v>1797</v>
      </c>
      <c r="E374" s="165">
        <v>1.5972222222222223E-3</v>
      </c>
      <c r="F374" s="151" t="s">
        <v>298</v>
      </c>
      <c r="H374" s="151" t="s">
        <v>31</v>
      </c>
      <c r="I374" s="164" t="s">
        <v>1798</v>
      </c>
      <c r="J374" s="164" t="s">
        <v>1799</v>
      </c>
      <c r="K374" s="165">
        <v>8.9120370370370373E-4</v>
      </c>
      <c r="L374" s="151" t="s">
        <v>394</v>
      </c>
      <c r="N374" s="151" t="s">
        <v>395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685</v>
      </c>
      <c r="B375" s="151" t="s">
        <v>1715</v>
      </c>
      <c r="C375" s="164" t="s">
        <v>1800</v>
      </c>
      <c r="D375" s="164" t="s">
        <v>1801</v>
      </c>
      <c r="E375" s="165">
        <v>3.8425925925925928E-3</v>
      </c>
      <c r="F375" s="151" t="s">
        <v>298</v>
      </c>
      <c r="H375" s="151" t="s">
        <v>31</v>
      </c>
      <c r="I375" s="164" t="s">
        <v>1802</v>
      </c>
      <c r="J375" s="164" t="s">
        <v>1803</v>
      </c>
      <c r="K375" s="165">
        <v>6.7129629629629625E-4</v>
      </c>
      <c r="L375" s="151" t="s">
        <v>394</v>
      </c>
      <c r="N375" s="151" t="s">
        <v>395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685</v>
      </c>
      <c r="B376" s="151" t="s">
        <v>1715</v>
      </c>
      <c r="C376" s="164" t="s">
        <v>1804</v>
      </c>
      <c r="D376" s="164" t="s">
        <v>1805</v>
      </c>
      <c r="E376" s="165">
        <v>2.7777777777777779E-3</v>
      </c>
      <c r="F376" s="151" t="s">
        <v>298</v>
      </c>
      <c r="H376" s="151" t="s">
        <v>31</v>
      </c>
      <c r="I376" s="164" t="s">
        <v>1806</v>
      </c>
      <c r="J376" s="164" t="s">
        <v>1807</v>
      </c>
      <c r="K376" s="165">
        <v>5.5555555555555556E-4</v>
      </c>
      <c r="L376" s="151" t="s">
        <v>394</v>
      </c>
      <c r="N376" s="151" t="s">
        <v>395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685</v>
      </c>
      <c r="B377" s="151" t="s">
        <v>1715</v>
      </c>
      <c r="C377" s="164" t="s">
        <v>1808</v>
      </c>
      <c r="D377" s="164" t="s">
        <v>1809</v>
      </c>
      <c r="E377" s="165">
        <v>2.4537037037037036E-3</v>
      </c>
      <c r="F377" s="151" t="s">
        <v>298</v>
      </c>
      <c r="H377" s="151" t="s">
        <v>31</v>
      </c>
      <c r="I377" s="164" t="s">
        <v>1810</v>
      </c>
      <c r="J377" s="164" t="s">
        <v>1811</v>
      </c>
      <c r="K377" s="165">
        <v>5.7870370370370367E-4</v>
      </c>
      <c r="L377" s="151" t="s">
        <v>394</v>
      </c>
      <c r="N377" s="151" t="s">
        <v>395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685</v>
      </c>
      <c r="B378" s="151" t="s">
        <v>1715</v>
      </c>
      <c r="C378" s="164" t="s">
        <v>1812</v>
      </c>
      <c r="D378" s="164" t="s">
        <v>1813</v>
      </c>
      <c r="E378" s="165">
        <v>2.7430555555555554E-3</v>
      </c>
      <c r="F378" s="151" t="s">
        <v>298</v>
      </c>
      <c r="H378" s="151" t="s">
        <v>31</v>
      </c>
      <c r="I378" s="164" t="s">
        <v>1814</v>
      </c>
      <c r="J378" s="164" t="s">
        <v>1815</v>
      </c>
      <c r="K378" s="165">
        <v>4.0509259259259258E-4</v>
      </c>
      <c r="L378" s="151" t="s">
        <v>394</v>
      </c>
      <c r="N378" s="151" t="s">
        <v>395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685</v>
      </c>
      <c r="B379" s="151" t="s">
        <v>1715</v>
      </c>
      <c r="C379" s="164" t="s">
        <v>1816</v>
      </c>
      <c r="D379" s="164" t="s">
        <v>1817</v>
      </c>
      <c r="E379" s="165">
        <v>2.5578703703703705E-3</v>
      </c>
      <c r="F379" s="151" t="s">
        <v>298</v>
      </c>
      <c r="H379" s="151" t="s">
        <v>31</v>
      </c>
      <c r="I379" s="164" t="s">
        <v>1818</v>
      </c>
      <c r="J379" s="164" t="s">
        <v>1819</v>
      </c>
      <c r="K379" s="165">
        <v>8.2175925925925927E-4</v>
      </c>
      <c r="L379" s="151" t="s">
        <v>394</v>
      </c>
      <c r="N379" s="151" t="s">
        <v>395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785</v>
      </c>
      <c r="B380" s="151" t="s">
        <v>1820</v>
      </c>
      <c r="C380" s="164" t="s">
        <v>1821</v>
      </c>
      <c r="D380" s="164" t="s">
        <v>1822</v>
      </c>
      <c r="E380" s="165">
        <v>1.9097222222222222E-3</v>
      </c>
      <c r="F380" s="151" t="s">
        <v>298</v>
      </c>
      <c r="H380" s="151" t="s">
        <v>31</v>
      </c>
      <c r="I380" s="164" t="s">
        <v>1823</v>
      </c>
      <c r="J380" s="164" t="s">
        <v>1824</v>
      </c>
      <c r="K380" s="165">
        <v>7.407407407407407E-4</v>
      </c>
      <c r="L380" s="151" t="s">
        <v>394</v>
      </c>
      <c r="N380" s="151" t="s">
        <v>395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785</v>
      </c>
      <c r="B381" s="151" t="s">
        <v>1820</v>
      </c>
      <c r="C381" s="164" t="s">
        <v>1825</v>
      </c>
      <c r="D381" s="164" t="s">
        <v>1826</v>
      </c>
      <c r="E381" s="165">
        <v>2.0601851851851853E-3</v>
      </c>
      <c r="F381" s="151" t="s">
        <v>298</v>
      </c>
      <c r="H381" s="151" t="s">
        <v>39</v>
      </c>
      <c r="I381" s="164" t="s">
        <v>1827</v>
      </c>
      <c r="K381" s="165">
        <v>0</v>
      </c>
      <c r="L381" s="151" t="s">
        <v>676</v>
      </c>
      <c r="N381" s="151" t="s">
        <v>395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785</v>
      </c>
      <c r="B382" s="151" t="s">
        <v>1820</v>
      </c>
      <c r="C382" s="164" t="s">
        <v>1828</v>
      </c>
      <c r="D382" s="164" t="s">
        <v>1829</v>
      </c>
      <c r="E382" s="165">
        <v>1.8865740740740742E-3</v>
      </c>
      <c r="F382" s="151" t="s">
        <v>298</v>
      </c>
      <c r="H382" s="151" t="s">
        <v>31</v>
      </c>
      <c r="I382" s="164" t="s">
        <v>1830</v>
      </c>
      <c r="J382" s="164" t="s">
        <v>1831</v>
      </c>
      <c r="K382" s="165">
        <v>7.0601851851851847E-4</v>
      </c>
      <c r="L382" s="151" t="s">
        <v>394</v>
      </c>
      <c r="N382" s="151" t="s">
        <v>395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785</v>
      </c>
      <c r="B383" s="151" t="s">
        <v>1820</v>
      </c>
      <c r="C383" s="164" t="s">
        <v>1832</v>
      </c>
      <c r="D383" s="164" t="s">
        <v>1833</v>
      </c>
      <c r="E383" s="165">
        <v>2.3495370370370371E-3</v>
      </c>
      <c r="F383" s="151" t="s">
        <v>298</v>
      </c>
      <c r="H383" s="151" t="s">
        <v>31</v>
      </c>
      <c r="I383" s="164" t="s">
        <v>1834</v>
      </c>
      <c r="J383" s="164" t="s">
        <v>1835</v>
      </c>
      <c r="K383" s="165">
        <v>6.8287037037037036E-4</v>
      </c>
      <c r="L383" s="151" t="s">
        <v>394</v>
      </c>
      <c r="N383" s="151" t="s">
        <v>395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785</v>
      </c>
      <c r="B384" s="151" t="s">
        <v>1820</v>
      </c>
      <c r="C384" s="164" t="s">
        <v>1836</v>
      </c>
      <c r="D384" s="164" t="s">
        <v>1837</v>
      </c>
      <c r="E384" s="165">
        <v>2.6041666666666665E-3</v>
      </c>
      <c r="F384" s="151" t="s">
        <v>298</v>
      </c>
      <c r="H384" s="151" t="s">
        <v>31</v>
      </c>
      <c r="I384" s="164" t="s">
        <v>1838</v>
      </c>
      <c r="J384" s="164" t="s">
        <v>1839</v>
      </c>
      <c r="K384" s="165">
        <v>6.134259259259259E-4</v>
      </c>
      <c r="L384" s="151" t="s">
        <v>394</v>
      </c>
      <c r="N384" s="151" t="s">
        <v>395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785</v>
      </c>
      <c r="B385" s="151" t="s">
        <v>1820</v>
      </c>
      <c r="C385" s="164" t="s">
        <v>1840</v>
      </c>
      <c r="D385" s="164" t="s">
        <v>1841</v>
      </c>
      <c r="E385" s="165">
        <v>2.0023148148148148E-3</v>
      </c>
      <c r="F385" s="151" t="s">
        <v>298</v>
      </c>
      <c r="H385" s="151" t="s">
        <v>31</v>
      </c>
      <c r="I385" s="164" t="s">
        <v>1842</v>
      </c>
      <c r="J385" s="164" t="s">
        <v>1843</v>
      </c>
      <c r="K385" s="165">
        <v>6.3657407407407413E-4</v>
      </c>
      <c r="L385" s="151" t="s">
        <v>394</v>
      </c>
      <c r="N385" s="151" t="s">
        <v>395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785</v>
      </c>
      <c r="B386" s="151" t="s">
        <v>1820</v>
      </c>
      <c r="C386" s="164" t="s">
        <v>1844</v>
      </c>
      <c r="D386" s="164" t="s">
        <v>1845</v>
      </c>
      <c r="E386" s="165">
        <v>2.0138888888888888E-3</v>
      </c>
      <c r="F386" s="151" t="s">
        <v>298</v>
      </c>
      <c r="H386" s="166" t="s">
        <v>31</v>
      </c>
      <c r="I386" s="164" t="s">
        <v>1846</v>
      </c>
      <c r="J386" s="164" t="s">
        <v>1847</v>
      </c>
      <c r="K386" s="165">
        <v>6.134259259259259E-4</v>
      </c>
      <c r="L386" s="151" t="s">
        <v>394</v>
      </c>
      <c r="N386" s="151" t="s">
        <v>303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785</v>
      </c>
      <c r="B387" s="151" t="s">
        <v>1820</v>
      </c>
      <c r="C387" s="164" t="s">
        <v>1848</v>
      </c>
      <c r="D387" s="164" t="s">
        <v>1849</v>
      </c>
      <c r="E387" s="165">
        <v>1.3078703703703703E-3</v>
      </c>
      <c r="F387" s="151" t="s">
        <v>298</v>
      </c>
      <c r="H387" s="151" t="s">
        <v>31</v>
      </c>
      <c r="I387" s="164" t="s">
        <v>1850</v>
      </c>
      <c r="J387" s="164" t="s">
        <v>1851</v>
      </c>
      <c r="K387" s="165">
        <v>7.6388888888888893E-4</v>
      </c>
      <c r="L387" s="151" t="s">
        <v>394</v>
      </c>
      <c r="N387" s="151" t="s">
        <v>395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785</v>
      </c>
      <c r="B388" s="151" t="s">
        <v>1820</v>
      </c>
      <c r="C388" s="164" t="s">
        <v>1852</v>
      </c>
      <c r="D388" s="164" t="s">
        <v>1853</v>
      </c>
      <c r="E388" s="165">
        <v>2.5810185185185185E-3</v>
      </c>
      <c r="F388" s="151" t="s">
        <v>298</v>
      </c>
      <c r="H388" s="151" t="s">
        <v>31</v>
      </c>
      <c r="I388" s="164" t="s">
        <v>1854</v>
      </c>
      <c r="J388" s="164" t="s">
        <v>1855</v>
      </c>
      <c r="K388" s="165">
        <v>6.8287037037037036E-4</v>
      </c>
      <c r="L388" s="151" t="s">
        <v>394</v>
      </c>
      <c r="N388" s="151" t="s">
        <v>395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785</v>
      </c>
      <c r="B389" s="151" t="s">
        <v>1820</v>
      </c>
      <c r="C389" s="164" t="s">
        <v>1856</v>
      </c>
      <c r="D389" s="164" t="s">
        <v>1857</v>
      </c>
      <c r="E389" s="165">
        <v>2.2106481481481482E-3</v>
      </c>
      <c r="F389" s="151" t="s">
        <v>298</v>
      </c>
      <c r="H389" s="151" t="s">
        <v>31</v>
      </c>
      <c r="I389" s="164" t="s">
        <v>1858</v>
      </c>
      <c r="J389" s="164" t="s">
        <v>1859</v>
      </c>
      <c r="K389" s="165">
        <v>6.4814814814814813E-4</v>
      </c>
      <c r="L389" s="151" t="s">
        <v>394</v>
      </c>
      <c r="N389" s="151" t="s">
        <v>395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785</v>
      </c>
      <c r="B390" s="151" t="s">
        <v>1820</v>
      </c>
      <c r="C390" s="164" t="s">
        <v>1860</v>
      </c>
      <c r="D390" s="164" t="s">
        <v>1861</v>
      </c>
      <c r="E390" s="165">
        <v>1.2847222222222223E-3</v>
      </c>
      <c r="F390" s="151" t="s">
        <v>298</v>
      </c>
      <c r="H390" s="151" t="s">
        <v>31</v>
      </c>
      <c r="I390" s="164" t="s">
        <v>1862</v>
      </c>
      <c r="J390" s="164" t="s">
        <v>1863</v>
      </c>
      <c r="K390" s="165">
        <v>6.134259259259259E-4</v>
      </c>
      <c r="L390" s="151" t="s">
        <v>394</v>
      </c>
      <c r="N390" s="151" t="s">
        <v>395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785</v>
      </c>
      <c r="B391" s="151" t="s">
        <v>1820</v>
      </c>
      <c r="C391" s="164" t="s">
        <v>1864</v>
      </c>
      <c r="D391" s="164" t="s">
        <v>1865</v>
      </c>
      <c r="E391" s="165">
        <v>1.9560185185185184E-3</v>
      </c>
      <c r="F391" s="151" t="s">
        <v>298</v>
      </c>
      <c r="H391" s="151" t="s">
        <v>31</v>
      </c>
      <c r="I391" s="164" t="s">
        <v>1866</v>
      </c>
      <c r="J391" s="164" t="s">
        <v>1867</v>
      </c>
      <c r="K391" s="165">
        <v>5.0925925925925921E-4</v>
      </c>
      <c r="L391" s="151" t="s">
        <v>394</v>
      </c>
      <c r="N391" s="151" t="s">
        <v>395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785</v>
      </c>
      <c r="B392" s="151" t="s">
        <v>1820</v>
      </c>
      <c r="C392" s="164" t="s">
        <v>1868</v>
      </c>
      <c r="D392" s="164" t="s">
        <v>1869</v>
      </c>
      <c r="E392" s="165">
        <v>2.488425925925926E-3</v>
      </c>
      <c r="F392" s="151" t="s">
        <v>298</v>
      </c>
      <c r="H392" s="151" t="s">
        <v>31</v>
      </c>
      <c r="I392" s="164" t="s">
        <v>1870</v>
      </c>
      <c r="J392" s="164" t="s">
        <v>1871</v>
      </c>
      <c r="K392" s="165">
        <v>6.8287037037037036E-4</v>
      </c>
      <c r="L392" s="151" t="s">
        <v>394</v>
      </c>
      <c r="N392" s="151" t="s">
        <v>395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785</v>
      </c>
      <c r="B393" s="151" t="s">
        <v>1820</v>
      </c>
      <c r="C393" s="164" t="s">
        <v>1872</v>
      </c>
      <c r="D393" s="164" t="s">
        <v>1873</v>
      </c>
      <c r="E393" s="165">
        <v>1.712962962962963E-3</v>
      </c>
      <c r="F393" s="151" t="s">
        <v>298</v>
      </c>
      <c r="H393" s="151" t="s">
        <v>31</v>
      </c>
      <c r="I393" s="164" t="s">
        <v>1874</v>
      </c>
      <c r="J393" s="164" t="s">
        <v>1875</v>
      </c>
      <c r="K393" s="165">
        <v>8.1018518518518516E-4</v>
      </c>
      <c r="L393" s="151" t="s">
        <v>394</v>
      </c>
      <c r="N393" s="151" t="s">
        <v>395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785</v>
      </c>
      <c r="B394" s="151" t="s">
        <v>1820</v>
      </c>
      <c r="C394" s="164" t="s">
        <v>1876</v>
      </c>
      <c r="D394" s="164" t="s">
        <v>1877</v>
      </c>
      <c r="E394" s="165">
        <v>1.8981481481481482E-3</v>
      </c>
      <c r="F394" s="151" t="s">
        <v>298</v>
      </c>
      <c r="H394" s="151" t="s">
        <v>31</v>
      </c>
      <c r="I394" s="164" t="s">
        <v>1878</v>
      </c>
      <c r="J394" s="164" t="s">
        <v>1879</v>
      </c>
      <c r="K394" s="165">
        <v>4.861111111111111E-4</v>
      </c>
      <c r="L394" s="151" t="s">
        <v>394</v>
      </c>
      <c r="N394" s="151" t="s">
        <v>395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785</v>
      </c>
      <c r="B395" s="151" t="s">
        <v>1820</v>
      </c>
      <c r="C395" s="164" t="s">
        <v>1880</v>
      </c>
      <c r="D395" s="164" t="s">
        <v>1881</v>
      </c>
      <c r="E395" s="165">
        <v>1.8402777777777777E-3</v>
      </c>
      <c r="F395" s="151" t="s">
        <v>298</v>
      </c>
      <c r="H395" s="151" t="s">
        <v>31</v>
      </c>
      <c r="J395" s="164" t="s">
        <v>1882</v>
      </c>
      <c r="K395" s="165">
        <v>0</v>
      </c>
      <c r="L395" s="151" t="s">
        <v>394</v>
      </c>
      <c r="M395" s="151" t="s">
        <v>877</v>
      </c>
      <c r="N395" s="151" t="s">
        <v>395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785</v>
      </c>
      <c r="B396" s="151" t="s">
        <v>1820</v>
      </c>
      <c r="C396" s="164" t="s">
        <v>1883</v>
      </c>
      <c r="D396" s="164" t="s">
        <v>1884</v>
      </c>
      <c r="E396" s="165">
        <v>1.7939814814814815E-3</v>
      </c>
      <c r="F396" s="151" t="s">
        <v>298</v>
      </c>
      <c r="H396" s="151" t="s">
        <v>31</v>
      </c>
      <c r="I396" s="164" t="s">
        <v>1885</v>
      </c>
      <c r="J396" s="164" t="s">
        <v>1886</v>
      </c>
      <c r="K396" s="165">
        <v>7.407407407407407E-4</v>
      </c>
      <c r="L396" s="151" t="s">
        <v>394</v>
      </c>
      <c r="N396" s="151" t="s">
        <v>395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785</v>
      </c>
      <c r="B397" s="151" t="s">
        <v>1820</v>
      </c>
      <c r="C397" s="164" t="s">
        <v>1887</v>
      </c>
      <c r="D397" s="164" t="s">
        <v>1888</v>
      </c>
      <c r="E397" s="165">
        <v>1.724537037037037E-3</v>
      </c>
      <c r="F397" s="151" t="s">
        <v>298</v>
      </c>
      <c r="H397" s="151" t="s">
        <v>31</v>
      </c>
      <c r="I397" s="164" t="s">
        <v>1889</v>
      </c>
      <c r="J397" s="164" t="s">
        <v>1890</v>
      </c>
      <c r="K397" s="165">
        <v>6.4814814814814813E-4</v>
      </c>
      <c r="L397" s="151" t="s">
        <v>394</v>
      </c>
      <c r="N397" s="151" t="s">
        <v>395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785</v>
      </c>
      <c r="B398" s="151" t="s">
        <v>1820</v>
      </c>
      <c r="C398" s="164" t="s">
        <v>1891</v>
      </c>
      <c r="D398" s="164" t="s">
        <v>1892</v>
      </c>
      <c r="E398" s="165">
        <v>2.2222222222222222E-3</v>
      </c>
      <c r="F398" s="151" t="s">
        <v>298</v>
      </c>
      <c r="H398" s="151" t="s">
        <v>31</v>
      </c>
      <c r="I398" s="164" t="s">
        <v>1893</v>
      </c>
      <c r="J398" s="164" t="s">
        <v>1894</v>
      </c>
      <c r="K398" s="165">
        <v>6.2500000000000001E-4</v>
      </c>
      <c r="L398" s="151" t="s">
        <v>394</v>
      </c>
      <c r="N398" s="151" t="s">
        <v>395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785</v>
      </c>
      <c r="B399" s="151" t="s">
        <v>1820</v>
      </c>
      <c r="C399" s="164" t="s">
        <v>1895</v>
      </c>
      <c r="D399" s="164" t="s">
        <v>1896</v>
      </c>
      <c r="E399" s="165">
        <v>2.2685185185185187E-3</v>
      </c>
      <c r="F399" s="151" t="s">
        <v>298</v>
      </c>
      <c r="H399" s="151" t="s">
        <v>31</v>
      </c>
      <c r="I399" s="164" t="s">
        <v>1897</v>
      </c>
      <c r="J399" s="164" t="s">
        <v>1898</v>
      </c>
      <c r="K399" s="165">
        <v>7.0601851851851847E-4</v>
      </c>
      <c r="L399" s="151" t="s">
        <v>394</v>
      </c>
      <c r="N399" s="151" t="s">
        <v>395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785</v>
      </c>
      <c r="B400" s="151" t="s">
        <v>1820</v>
      </c>
      <c r="C400" s="164" t="s">
        <v>1899</v>
      </c>
      <c r="D400" s="164" t="s">
        <v>1900</v>
      </c>
      <c r="E400" s="165">
        <v>2.5000000000000001E-3</v>
      </c>
      <c r="F400" s="151" t="s">
        <v>298</v>
      </c>
      <c r="H400" s="151" t="s">
        <v>31</v>
      </c>
      <c r="I400" s="164" t="s">
        <v>1901</v>
      </c>
      <c r="J400" s="164" t="s">
        <v>1902</v>
      </c>
      <c r="K400" s="165">
        <v>7.291666666666667E-4</v>
      </c>
      <c r="L400" s="151" t="s">
        <v>394</v>
      </c>
      <c r="N400" s="151" t="s">
        <v>395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785</v>
      </c>
      <c r="B401" s="151" t="s">
        <v>1820</v>
      </c>
      <c r="C401" s="164" t="s">
        <v>1903</v>
      </c>
      <c r="D401" s="164" t="s">
        <v>1904</v>
      </c>
      <c r="E401" s="165">
        <v>3.1597222222222222E-3</v>
      </c>
      <c r="F401" s="151" t="s">
        <v>298</v>
      </c>
      <c r="H401" s="151" t="s">
        <v>31</v>
      </c>
      <c r="I401" s="164" t="s">
        <v>1905</v>
      </c>
      <c r="J401" s="164" t="s">
        <v>1906</v>
      </c>
      <c r="K401" s="165">
        <v>6.7129629629629625E-4</v>
      </c>
      <c r="L401" s="151" t="s">
        <v>394</v>
      </c>
      <c r="N401" s="151" t="s">
        <v>395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785</v>
      </c>
      <c r="B402" s="151" t="s">
        <v>1820</v>
      </c>
      <c r="C402" s="164" t="s">
        <v>1907</v>
      </c>
      <c r="D402" s="164" t="s">
        <v>1908</v>
      </c>
      <c r="E402" s="165">
        <v>3.6226851851851854E-3</v>
      </c>
      <c r="F402" s="151" t="s">
        <v>298</v>
      </c>
      <c r="H402" s="151" t="s">
        <v>31</v>
      </c>
      <c r="I402" s="164" t="s">
        <v>1909</v>
      </c>
      <c r="J402" s="164" t="s">
        <v>1910</v>
      </c>
      <c r="K402" s="165">
        <v>1.3657407407407407E-3</v>
      </c>
      <c r="L402" s="151" t="s">
        <v>394</v>
      </c>
      <c r="N402" s="151" t="s">
        <v>395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785</v>
      </c>
      <c r="B403" s="151" t="s">
        <v>1820</v>
      </c>
      <c r="C403" s="164" t="s">
        <v>1911</v>
      </c>
      <c r="D403" s="164" t="s">
        <v>1912</v>
      </c>
      <c r="E403" s="165">
        <v>2.7893518518518519E-3</v>
      </c>
      <c r="F403" s="151" t="s">
        <v>298</v>
      </c>
      <c r="H403" s="151" t="s">
        <v>31</v>
      </c>
      <c r="I403" s="164" t="s">
        <v>1913</v>
      </c>
      <c r="J403" s="164" t="s">
        <v>1914</v>
      </c>
      <c r="K403" s="165">
        <v>5.3240740740740744E-4</v>
      </c>
      <c r="L403" s="151" t="s">
        <v>394</v>
      </c>
      <c r="N403" s="151" t="s">
        <v>395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785</v>
      </c>
      <c r="B404" s="151" t="s">
        <v>1820</v>
      </c>
      <c r="C404" s="164" t="s">
        <v>1915</v>
      </c>
      <c r="D404" s="164" t="s">
        <v>1916</v>
      </c>
      <c r="E404" s="165">
        <v>3.3449074074074076E-3</v>
      </c>
      <c r="F404" s="151" t="s">
        <v>298</v>
      </c>
      <c r="H404" s="151" t="s">
        <v>31</v>
      </c>
      <c r="I404" s="164" t="s">
        <v>1917</v>
      </c>
      <c r="J404" s="164" t="s">
        <v>1918</v>
      </c>
      <c r="K404" s="165">
        <v>6.5972222222222224E-4</v>
      </c>
      <c r="L404" s="151" t="s">
        <v>394</v>
      </c>
      <c r="N404" s="151" t="s">
        <v>395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785</v>
      </c>
      <c r="B405" s="151" t="s">
        <v>1820</v>
      </c>
      <c r="C405" s="164" t="s">
        <v>1919</v>
      </c>
      <c r="D405" s="164" t="s">
        <v>1920</v>
      </c>
      <c r="E405" s="165">
        <v>2.3958333333333331E-3</v>
      </c>
      <c r="F405" s="151" t="s">
        <v>298</v>
      </c>
      <c r="H405" s="151" t="s">
        <v>31</v>
      </c>
      <c r="I405" s="164" t="s">
        <v>1921</v>
      </c>
      <c r="J405" s="164" t="s">
        <v>1922</v>
      </c>
      <c r="K405" s="165">
        <v>7.8703703703703705E-4</v>
      </c>
      <c r="L405" s="151" t="s">
        <v>394</v>
      </c>
      <c r="N405" s="151" t="s">
        <v>395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785</v>
      </c>
      <c r="B406" s="151" t="s">
        <v>1820</v>
      </c>
      <c r="C406" s="164" t="s">
        <v>1923</v>
      </c>
      <c r="D406" s="164" t="s">
        <v>1924</v>
      </c>
      <c r="E406" s="165">
        <v>2.8935185185185184E-3</v>
      </c>
      <c r="F406" s="151" t="s">
        <v>298</v>
      </c>
      <c r="H406" s="151" t="s">
        <v>31</v>
      </c>
      <c r="I406" s="164" t="s">
        <v>1925</v>
      </c>
      <c r="J406" s="164" t="s">
        <v>1926</v>
      </c>
      <c r="K406" s="165">
        <v>6.8287037037037036E-4</v>
      </c>
      <c r="L406" s="151" t="s">
        <v>394</v>
      </c>
      <c r="N406" s="151" t="s">
        <v>395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785</v>
      </c>
      <c r="B407" s="151" t="s">
        <v>1820</v>
      </c>
      <c r="C407" s="164" t="s">
        <v>1927</v>
      </c>
      <c r="D407" s="164" t="s">
        <v>1928</v>
      </c>
      <c r="E407" s="165">
        <v>3.6574074074074074E-3</v>
      </c>
      <c r="F407" s="151" t="s">
        <v>298</v>
      </c>
      <c r="H407" s="151" t="s">
        <v>31</v>
      </c>
      <c r="I407" s="164" t="s">
        <v>1929</v>
      </c>
      <c r="J407" s="164" t="s">
        <v>1930</v>
      </c>
      <c r="K407" s="165">
        <v>6.3657407407407413E-4</v>
      </c>
      <c r="L407" s="151" t="s">
        <v>394</v>
      </c>
      <c r="N407" s="151" t="s">
        <v>395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873</v>
      </c>
      <c r="B408" s="151" t="s">
        <v>1931</v>
      </c>
      <c r="C408" s="164" t="s">
        <v>1932</v>
      </c>
      <c r="D408" s="164" t="s">
        <v>1933</v>
      </c>
      <c r="E408" s="165">
        <v>2.0717592592592593E-3</v>
      </c>
      <c r="F408" s="151" t="s">
        <v>298</v>
      </c>
      <c r="H408" s="151" t="s">
        <v>299</v>
      </c>
      <c r="I408" s="164" t="s">
        <v>1934</v>
      </c>
      <c r="J408" s="164" t="s">
        <v>1935</v>
      </c>
      <c r="K408" s="165">
        <v>3.9351851851851852E-4</v>
      </c>
      <c r="L408" s="151" t="s">
        <v>302</v>
      </c>
      <c r="N408" s="151" t="s">
        <v>303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873</v>
      </c>
      <c r="B409" s="151" t="s">
        <v>1931</v>
      </c>
      <c r="C409" s="164" t="s">
        <v>1936</v>
      </c>
      <c r="D409" s="164" t="s">
        <v>1937</v>
      </c>
      <c r="E409" s="165">
        <v>1.2037037037037038E-3</v>
      </c>
      <c r="F409" s="151" t="s">
        <v>298</v>
      </c>
      <c r="H409" s="151" t="s">
        <v>299</v>
      </c>
      <c r="I409" s="164" t="s">
        <v>1938</v>
      </c>
      <c r="J409" s="164" t="s">
        <v>1939</v>
      </c>
      <c r="K409" s="165">
        <v>4.6296296296296298E-4</v>
      </c>
      <c r="L409" s="151" t="s">
        <v>302</v>
      </c>
      <c r="N409" s="151" t="s">
        <v>303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873</v>
      </c>
      <c r="B410" s="151" t="s">
        <v>1931</v>
      </c>
      <c r="C410" s="164" t="s">
        <v>1940</v>
      </c>
      <c r="D410" s="164" t="s">
        <v>1941</v>
      </c>
      <c r="E410" s="165">
        <v>1.25E-3</v>
      </c>
      <c r="F410" s="151" t="s">
        <v>298</v>
      </c>
      <c r="H410" s="151" t="s">
        <v>299</v>
      </c>
      <c r="I410" s="164" t="s">
        <v>1942</v>
      </c>
      <c r="J410" s="164" t="s">
        <v>1943</v>
      </c>
      <c r="K410" s="165">
        <v>3.3564814814814812E-4</v>
      </c>
      <c r="L410" s="151" t="s">
        <v>302</v>
      </c>
      <c r="N410" s="151" t="s">
        <v>303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873</v>
      </c>
      <c r="B411" s="151" t="s">
        <v>1931</v>
      </c>
      <c r="C411" s="164" t="s">
        <v>1944</v>
      </c>
      <c r="D411" s="164" t="s">
        <v>1945</v>
      </c>
      <c r="E411" s="165">
        <v>1.1805555555555556E-3</v>
      </c>
      <c r="F411" s="151" t="s">
        <v>298</v>
      </c>
      <c r="H411" s="151" t="s">
        <v>299</v>
      </c>
      <c r="I411" s="164" t="s">
        <v>1946</v>
      </c>
      <c r="J411" s="164" t="s">
        <v>1947</v>
      </c>
      <c r="K411" s="165">
        <v>3.0092592592592595E-4</v>
      </c>
      <c r="L411" s="151" t="s">
        <v>302</v>
      </c>
      <c r="N411" s="151" t="s">
        <v>303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873</v>
      </c>
      <c r="B412" s="151" t="s">
        <v>1931</v>
      </c>
      <c r="C412" s="164" t="s">
        <v>1948</v>
      </c>
      <c r="D412" s="164" t="s">
        <v>1949</v>
      </c>
      <c r="E412" s="165">
        <v>2.8124999999999999E-3</v>
      </c>
      <c r="F412" s="151" t="s">
        <v>298</v>
      </c>
      <c r="H412" s="151" t="s">
        <v>299</v>
      </c>
      <c r="I412" s="164" t="s">
        <v>1950</v>
      </c>
      <c r="J412" s="164" t="s">
        <v>1951</v>
      </c>
      <c r="K412" s="165">
        <v>4.0509259259259258E-4</v>
      </c>
      <c r="L412" s="151" t="s">
        <v>302</v>
      </c>
      <c r="N412" s="151" t="s">
        <v>303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873</v>
      </c>
      <c r="B413" s="151" t="s">
        <v>1931</v>
      </c>
      <c r="C413" s="164" t="s">
        <v>1952</v>
      </c>
      <c r="D413" s="164" t="s">
        <v>1953</v>
      </c>
      <c r="E413" s="165">
        <v>1.5046296296296296E-3</v>
      </c>
      <c r="F413" s="151" t="s">
        <v>298</v>
      </c>
      <c r="H413" s="151" t="s">
        <v>299</v>
      </c>
      <c r="I413" s="164" t="s">
        <v>1954</v>
      </c>
      <c r="J413" s="164" t="s">
        <v>1955</v>
      </c>
      <c r="K413" s="165">
        <v>4.0509259259259258E-4</v>
      </c>
      <c r="L413" s="151" t="s">
        <v>302</v>
      </c>
      <c r="N413" s="151" t="s">
        <v>303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873</v>
      </c>
      <c r="B414" s="151" t="s">
        <v>1931</v>
      </c>
      <c r="C414" s="164" t="s">
        <v>1956</v>
      </c>
      <c r="D414" s="164" t="s">
        <v>1957</v>
      </c>
      <c r="E414" s="165">
        <v>4.8495370370370368E-3</v>
      </c>
      <c r="F414" s="151" t="s">
        <v>298</v>
      </c>
      <c r="H414" s="151" t="s">
        <v>31</v>
      </c>
      <c r="I414" s="164" t="s">
        <v>1958</v>
      </c>
      <c r="J414" s="164" t="s">
        <v>1959</v>
      </c>
      <c r="K414" s="165">
        <v>3.4722222222222224E-4</v>
      </c>
      <c r="L414" s="151" t="s">
        <v>394</v>
      </c>
      <c r="N414" s="151" t="s">
        <v>395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873</v>
      </c>
      <c r="B415" s="151" t="s">
        <v>1931</v>
      </c>
      <c r="C415" s="164" t="s">
        <v>1960</v>
      </c>
      <c r="D415" s="164" t="s">
        <v>1961</v>
      </c>
      <c r="E415" s="165">
        <v>2.3148148148148147E-5</v>
      </c>
      <c r="F415" s="151" t="s">
        <v>298</v>
      </c>
      <c r="H415" s="151" t="s">
        <v>39</v>
      </c>
      <c r="I415" s="164" t="s">
        <v>1962</v>
      </c>
      <c r="J415" s="164" t="s">
        <v>1963</v>
      </c>
      <c r="K415" s="165">
        <v>2.7777777777777778E-4</v>
      </c>
      <c r="L415" s="151" t="s">
        <v>676</v>
      </c>
      <c r="N415" s="151" t="s">
        <v>303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873</v>
      </c>
      <c r="B416" s="151" t="s">
        <v>1931</v>
      </c>
      <c r="C416" s="164" t="s">
        <v>1964</v>
      </c>
      <c r="D416" s="164" t="s">
        <v>1965</v>
      </c>
      <c r="E416" s="165">
        <v>7.8935185185185185E-3</v>
      </c>
      <c r="F416" s="151" t="s">
        <v>298</v>
      </c>
      <c r="H416" s="151" t="s">
        <v>39</v>
      </c>
      <c r="I416" s="164" t="s">
        <v>1966</v>
      </c>
      <c r="J416" s="164" t="s">
        <v>1967</v>
      </c>
      <c r="K416" s="165">
        <v>3.5879629629629629E-4</v>
      </c>
      <c r="L416" s="151" t="s">
        <v>676</v>
      </c>
      <c r="N416" s="151" t="s">
        <v>303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873</v>
      </c>
      <c r="B417" s="151" t="s">
        <v>1931</v>
      </c>
      <c r="C417" s="164" t="s">
        <v>1968</v>
      </c>
      <c r="D417" s="164" t="s">
        <v>1969</v>
      </c>
      <c r="E417" s="165">
        <v>1.0648148148148149E-3</v>
      </c>
      <c r="F417" s="151" t="s">
        <v>298</v>
      </c>
      <c r="H417" s="151" t="s">
        <v>39</v>
      </c>
      <c r="I417" s="164" t="s">
        <v>1970</v>
      </c>
      <c r="J417" s="164" t="s">
        <v>1971</v>
      </c>
      <c r="K417" s="165">
        <v>3.1250000000000001E-4</v>
      </c>
      <c r="L417" s="151" t="s">
        <v>676</v>
      </c>
      <c r="N417" s="151" t="s">
        <v>303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873</v>
      </c>
      <c r="B418" s="151" t="s">
        <v>1931</v>
      </c>
      <c r="C418" s="164" t="s">
        <v>1972</v>
      </c>
      <c r="D418" s="164" t="s">
        <v>1973</v>
      </c>
      <c r="E418" s="165">
        <v>5.115740740740741E-3</v>
      </c>
      <c r="F418" s="151" t="s">
        <v>298</v>
      </c>
      <c r="H418" s="151" t="s">
        <v>299</v>
      </c>
      <c r="I418" s="164" t="s">
        <v>1974</v>
      </c>
      <c r="J418" s="164" t="s">
        <v>1975</v>
      </c>
      <c r="K418" s="165">
        <v>2.7777777777777778E-4</v>
      </c>
      <c r="L418" s="151" t="s">
        <v>302</v>
      </c>
      <c r="N418" s="151" t="s">
        <v>303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873</v>
      </c>
      <c r="B419" s="151" t="s">
        <v>1931</v>
      </c>
      <c r="C419" s="164" t="s">
        <v>1976</v>
      </c>
      <c r="D419" s="164" t="s">
        <v>1977</v>
      </c>
      <c r="E419" s="165">
        <v>1.6782407407407408E-3</v>
      </c>
      <c r="F419" s="151" t="s">
        <v>298</v>
      </c>
      <c r="H419" s="151" t="s">
        <v>299</v>
      </c>
      <c r="I419" s="164" t="s">
        <v>1978</v>
      </c>
      <c r="J419" s="164" t="s">
        <v>1979</v>
      </c>
      <c r="K419" s="165">
        <v>3.3564814814814812E-4</v>
      </c>
      <c r="L419" s="151" t="s">
        <v>302</v>
      </c>
      <c r="N419" s="151" t="s">
        <v>303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873</v>
      </c>
      <c r="B420" s="151" t="s">
        <v>1931</v>
      </c>
      <c r="C420" s="164" t="s">
        <v>1980</v>
      </c>
      <c r="D420" s="164" t="s">
        <v>1981</v>
      </c>
      <c r="E420" s="165">
        <v>1.0763888888888889E-3</v>
      </c>
      <c r="F420" s="151" t="s">
        <v>298</v>
      </c>
      <c r="H420" s="151" t="s">
        <v>299</v>
      </c>
      <c r="I420" s="164" t="s">
        <v>1982</v>
      </c>
      <c r="J420" s="164" t="s">
        <v>1983</v>
      </c>
      <c r="K420" s="165">
        <v>2.4305555555555555E-4</v>
      </c>
      <c r="L420" s="151" t="s">
        <v>302</v>
      </c>
      <c r="N420" s="151" t="s">
        <v>303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873</v>
      </c>
      <c r="B421" s="151" t="s">
        <v>1931</v>
      </c>
      <c r="C421" s="164" t="s">
        <v>1984</v>
      </c>
      <c r="D421" s="164" t="s">
        <v>1985</v>
      </c>
      <c r="E421" s="165">
        <v>5.4282407407407404E-3</v>
      </c>
      <c r="F421" s="151" t="s">
        <v>298</v>
      </c>
      <c r="H421" s="151" t="s">
        <v>299</v>
      </c>
      <c r="I421" s="164" t="s">
        <v>1870</v>
      </c>
      <c r="J421" s="164" t="s">
        <v>1986</v>
      </c>
      <c r="K421" s="165">
        <v>2.7777777777777778E-4</v>
      </c>
      <c r="L421" s="151" t="s">
        <v>302</v>
      </c>
      <c r="N421" s="151" t="s">
        <v>303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873</v>
      </c>
      <c r="B422" s="151" t="s">
        <v>1931</v>
      </c>
      <c r="C422" s="164" t="s">
        <v>1987</v>
      </c>
      <c r="D422" s="164" t="s">
        <v>1988</v>
      </c>
      <c r="E422" s="165">
        <v>9.7106481481481488E-3</v>
      </c>
      <c r="F422" s="151" t="s">
        <v>298</v>
      </c>
      <c r="H422" s="151" t="s">
        <v>299</v>
      </c>
      <c r="I422" s="164" t="s">
        <v>1989</v>
      </c>
      <c r="J422" s="164" t="s">
        <v>1990</v>
      </c>
      <c r="K422" s="165">
        <v>1.0879629629629629E-3</v>
      </c>
      <c r="L422" s="151" t="s">
        <v>302</v>
      </c>
      <c r="N422" s="151" t="s">
        <v>303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873</v>
      </c>
      <c r="B423" s="151" t="s">
        <v>1931</v>
      </c>
      <c r="C423" s="164" t="s">
        <v>1991</v>
      </c>
      <c r="D423" s="164" t="s">
        <v>1992</v>
      </c>
      <c r="E423" s="165">
        <v>1.6898148148148148E-3</v>
      </c>
      <c r="F423" s="151" t="s">
        <v>298</v>
      </c>
      <c r="H423" s="151" t="s">
        <v>299</v>
      </c>
      <c r="I423" s="164" t="s">
        <v>1993</v>
      </c>
      <c r="J423" s="164" t="s">
        <v>1994</v>
      </c>
      <c r="K423" s="165">
        <v>3.1250000000000001E-4</v>
      </c>
      <c r="L423" s="151" t="s">
        <v>302</v>
      </c>
      <c r="N423" s="151" t="s">
        <v>303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873</v>
      </c>
      <c r="B424" s="151" t="s">
        <v>1931</v>
      </c>
      <c r="C424" s="164" t="s">
        <v>1995</v>
      </c>
      <c r="D424" s="164" t="s">
        <v>1996</v>
      </c>
      <c r="E424" s="165">
        <v>1.1516203703703704E-2</v>
      </c>
      <c r="F424" s="151" t="s">
        <v>298</v>
      </c>
      <c r="H424" s="151" t="s">
        <v>31</v>
      </c>
      <c r="I424" s="164" t="s">
        <v>1997</v>
      </c>
      <c r="J424" s="164" t="s">
        <v>1998</v>
      </c>
      <c r="K424" s="165">
        <v>2.8935185185185184E-4</v>
      </c>
      <c r="L424" s="151" t="s">
        <v>394</v>
      </c>
      <c r="N424" s="151" t="s">
        <v>395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873</v>
      </c>
      <c r="B425" s="151" t="s">
        <v>1931</v>
      </c>
      <c r="C425" s="164" t="s">
        <v>1999</v>
      </c>
      <c r="D425" s="164" t="s">
        <v>2000</v>
      </c>
      <c r="E425" s="165">
        <v>1.5046296296296297E-4</v>
      </c>
      <c r="F425" s="151" t="s">
        <v>298</v>
      </c>
      <c r="H425" s="151" t="s">
        <v>299</v>
      </c>
      <c r="I425" s="164" t="s">
        <v>2001</v>
      </c>
      <c r="J425" s="164" t="s">
        <v>2002</v>
      </c>
      <c r="K425" s="165">
        <v>3.7037037037037035E-4</v>
      </c>
      <c r="L425" s="151" t="s">
        <v>302</v>
      </c>
      <c r="N425" s="151" t="s">
        <v>303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873</v>
      </c>
      <c r="B426" s="151" t="s">
        <v>1931</v>
      </c>
      <c r="C426" s="164" t="s">
        <v>2003</v>
      </c>
      <c r="D426" s="164" t="s">
        <v>2004</v>
      </c>
      <c r="E426" s="165">
        <v>3.460648148148148E-3</v>
      </c>
      <c r="F426" s="151" t="s">
        <v>298</v>
      </c>
      <c r="H426" s="151" t="s">
        <v>299</v>
      </c>
      <c r="I426" s="164" t="s">
        <v>2005</v>
      </c>
      <c r="J426" s="164" t="s">
        <v>2006</v>
      </c>
      <c r="K426" s="165">
        <v>3.0092592592592595E-4</v>
      </c>
      <c r="L426" s="151" t="s">
        <v>302</v>
      </c>
      <c r="N426" s="151" t="s">
        <v>303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873</v>
      </c>
      <c r="B427" s="151" t="s">
        <v>1931</v>
      </c>
      <c r="C427" s="164" t="s">
        <v>2007</v>
      </c>
      <c r="D427" s="164" t="s">
        <v>2008</v>
      </c>
      <c r="E427" s="165">
        <v>2.199074074074074E-4</v>
      </c>
      <c r="F427" s="151" t="s">
        <v>298</v>
      </c>
      <c r="H427" s="151" t="s">
        <v>299</v>
      </c>
      <c r="I427" s="164" t="s">
        <v>2009</v>
      </c>
      <c r="J427" s="164" t="s">
        <v>2010</v>
      </c>
      <c r="K427" s="165">
        <v>5.0925925925925921E-4</v>
      </c>
      <c r="L427" s="151" t="s">
        <v>302</v>
      </c>
      <c r="N427" s="151" t="s">
        <v>303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873</v>
      </c>
      <c r="B428" s="151" t="s">
        <v>1931</v>
      </c>
      <c r="C428" s="164" t="s">
        <v>2011</v>
      </c>
      <c r="D428" s="164" t="s">
        <v>2012</v>
      </c>
      <c r="E428" s="165">
        <v>1.3425925925925925E-3</v>
      </c>
      <c r="F428" s="151" t="s">
        <v>298</v>
      </c>
      <c r="H428" s="151" t="s">
        <v>31</v>
      </c>
      <c r="I428" s="164" t="s">
        <v>2013</v>
      </c>
      <c r="J428" s="164" t="s">
        <v>2014</v>
      </c>
      <c r="K428" s="165">
        <v>7.407407407407407E-4</v>
      </c>
      <c r="L428" s="151" t="s">
        <v>394</v>
      </c>
      <c r="N428" s="151" t="s">
        <v>395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873</v>
      </c>
      <c r="B429" s="151" t="s">
        <v>1931</v>
      </c>
      <c r="C429" s="164" t="s">
        <v>2015</v>
      </c>
      <c r="D429" s="164" t="s">
        <v>2016</v>
      </c>
      <c r="E429" s="165">
        <v>1.0868055555555556E-2</v>
      </c>
      <c r="F429" s="151" t="s">
        <v>298</v>
      </c>
      <c r="H429" s="151" t="s">
        <v>31</v>
      </c>
      <c r="I429" s="164" t="s">
        <v>2017</v>
      </c>
      <c r="J429" s="164" t="s">
        <v>2018</v>
      </c>
      <c r="K429" s="165">
        <v>4.3981481481481481E-4</v>
      </c>
      <c r="L429" s="151" t="s">
        <v>394</v>
      </c>
      <c r="N429" s="151" t="s">
        <v>395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873</v>
      </c>
      <c r="B430" s="151" t="s">
        <v>1931</v>
      </c>
      <c r="C430" s="164" t="s">
        <v>2019</v>
      </c>
      <c r="D430" s="164" t="s">
        <v>2020</v>
      </c>
      <c r="E430" s="165">
        <v>1.3773148148148147E-3</v>
      </c>
      <c r="F430" s="151" t="s">
        <v>298</v>
      </c>
      <c r="H430" s="151" t="s">
        <v>299</v>
      </c>
      <c r="I430" s="164" t="s">
        <v>2021</v>
      </c>
      <c r="J430" s="164" t="s">
        <v>2022</v>
      </c>
      <c r="K430" s="165">
        <v>4.2824074074074075E-4</v>
      </c>
      <c r="L430" s="151" t="s">
        <v>302</v>
      </c>
      <c r="N430" s="151" t="s">
        <v>303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873</v>
      </c>
      <c r="B431" s="151" t="s">
        <v>1931</v>
      </c>
      <c r="C431" s="164" t="s">
        <v>2023</v>
      </c>
      <c r="D431" s="164" t="s">
        <v>2024</v>
      </c>
      <c r="E431" s="165">
        <v>9.9537037037037042E-4</v>
      </c>
      <c r="F431" s="151" t="s">
        <v>298</v>
      </c>
      <c r="H431" s="151" t="s">
        <v>299</v>
      </c>
      <c r="I431" s="164" t="s">
        <v>2025</v>
      </c>
      <c r="J431" s="164" t="s">
        <v>2026</v>
      </c>
      <c r="K431" s="165">
        <v>2.8935185185185184E-4</v>
      </c>
      <c r="L431" s="151" t="s">
        <v>302</v>
      </c>
      <c r="N431" s="151" t="s">
        <v>303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873</v>
      </c>
      <c r="B432" s="151" t="s">
        <v>1931</v>
      </c>
      <c r="C432" s="164" t="s">
        <v>2027</v>
      </c>
      <c r="D432" s="164" t="s">
        <v>2028</v>
      </c>
      <c r="E432" s="165">
        <v>2.638888888888889E-3</v>
      </c>
      <c r="F432" s="151" t="s">
        <v>298</v>
      </c>
      <c r="H432" s="151" t="s">
        <v>299</v>
      </c>
      <c r="I432" s="164" t="s">
        <v>2029</v>
      </c>
      <c r="J432" s="164" t="s">
        <v>2030</v>
      </c>
      <c r="K432" s="165">
        <v>3.4722222222222224E-4</v>
      </c>
      <c r="L432" s="151" t="s">
        <v>302</v>
      </c>
      <c r="N432" s="151" t="s">
        <v>303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873</v>
      </c>
      <c r="B433" s="151" t="s">
        <v>1931</v>
      </c>
      <c r="C433" s="164" t="s">
        <v>2031</v>
      </c>
      <c r="D433" s="164" t="s">
        <v>2032</v>
      </c>
      <c r="E433" s="165">
        <v>2.5694444444444445E-3</v>
      </c>
      <c r="F433" s="151" t="s">
        <v>298</v>
      </c>
      <c r="H433" s="151" t="s">
        <v>299</v>
      </c>
      <c r="I433" s="164" t="s">
        <v>2033</v>
      </c>
      <c r="J433" s="164" t="s">
        <v>2034</v>
      </c>
      <c r="K433" s="165">
        <v>2.4305555555555555E-4</v>
      </c>
      <c r="L433" s="151" t="s">
        <v>302</v>
      </c>
      <c r="N433" s="151" t="s">
        <v>303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873</v>
      </c>
      <c r="B434" s="151" t="s">
        <v>1931</v>
      </c>
      <c r="C434" s="164" t="s">
        <v>2035</v>
      </c>
      <c r="D434" s="164" t="s">
        <v>2036</v>
      </c>
      <c r="E434" s="165">
        <v>2.9282407407407408E-3</v>
      </c>
      <c r="F434" s="151" t="s">
        <v>298</v>
      </c>
      <c r="H434" s="151" t="s">
        <v>299</v>
      </c>
      <c r="I434" s="164" t="s">
        <v>2037</v>
      </c>
      <c r="J434" s="164" t="s">
        <v>2038</v>
      </c>
      <c r="K434" s="165">
        <v>3.0092592592592595E-4</v>
      </c>
      <c r="L434" s="151" t="s">
        <v>302</v>
      </c>
      <c r="N434" s="151" t="s">
        <v>303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873</v>
      </c>
      <c r="B435" s="151" t="s">
        <v>1931</v>
      </c>
      <c r="C435" s="164" t="s">
        <v>2039</v>
      </c>
      <c r="D435" s="164" t="s">
        <v>2040</v>
      </c>
      <c r="E435" s="165">
        <v>3.4375E-3</v>
      </c>
      <c r="F435" s="151" t="s">
        <v>298</v>
      </c>
      <c r="H435" s="151" t="s">
        <v>299</v>
      </c>
      <c r="I435" s="164" t="s">
        <v>2041</v>
      </c>
      <c r="J435" s="164" t="s">
        <v>2042</v>
      </c>
      <c r="K435" s="165">
        <v>3.4722222222222224E-4</v>
      </c>
      <c r="L435" s="151" t="s">
        <v>302</v>
      </c>
      <c r="N435" s="151" t="s">
        <v>303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873</v>
      </c>
      <c r="B436" s="151" t="s">
        <v>1931</v>
      </c>
      <c r="C436" s="164" t="s">
        <v>2043</v>
      </c>
      <c r="D436" s="164" t="s">
        <v>2044</v>
      </c>
      <c r="E436" s="165">
        <v>1.5046296296296296E-3</v>
      </c>
      <c r="F436" s="151" t="s">
        <v>298</v>
      </c>
      <c r="H436" s="151" t="s">
        <v>299</v>
      </c>
      <c r="I436" s="164" t="s">
        <v>2045</v>
      </c>
      <c r="J436" s="164" t="s">
        <v>2046</v>
      </c>
      <c r="K436" s="165">
        <v>4.0509259259259258E-4</v>
      </c>
      <c r="L436" s="151" t="s">
        <v>302</v>
      </c>
      <c r="N436" s="151" t="s">
        <v>303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873</v>
      </c>
      <c r="B437" s="151" t="s">
        <v>1931</v>
      </c>
      <c r="C437" s="164" t="s">
        <v>2047</v>
      </c>
      <c r="D437" s="164" t="s">
        <v>2048</v>
      </c>
      <c r="E437" s="165">
        <v>4.9421296296296297E-3</v>
      </c>
      <c r="F437" s="151" t="s">
        <v>298</v>
      </c>
      <c r="H437" s="151" t="s">
        <v>299</v>
      </c>
      <c r="I437" s="164" t="s">
        <v>2049</v>
      </c>
      <c r="J437" s="164" t="s">
        <v>2050</v>
      </c>
      <c r="K437" s="165">
        <v>6.018518518518519E-4</v>
      </c>
      <c r="L437" s="151" t="s">
        <v>302</v>
      </c>
      <c r="N437" s="151" t="s">
        <v>303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873</v>
      </c>
      <c r="B438" s="151" t="s">
        <v>1931</v>
      </c>
      <c r="C438" s="164" t="s">
        <v>2051</v>
      </c>
      <c r="D438" s="164" t="s">
        <v>2052</v>
      </c>
      <c r="E438" s="165">
        <v>5.5439814814814813E-3</v>
      </c>
      <c r="F438" s="151" t="s">
        <v>298</v>
      </c>
      <c r="H438" s="151" t="s">
        <v>299</v>
      </c>
      <c r="I438" s="164" t="s">
        <v>2053</v>
      </c>
      <c r="J438" s="164" t="s">
        <v>2054</v>
      </c>
      <c r="K438" s="165">
        <v>3.1250000000000001E-4</v>
      </c>
      <c r="L438" s="151" t="s">
        <v>302</v>
      </c>
      <c r="N438" s="151" t="s">
        <v>303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873</v>
      </c>
      <c r="B439" s="151" t="s">
        <v>1931</v>
      </c>
      <c r="C439" s="164" t="s">
        <v>2055</v>
      </c>
      <c r="D439" s="164" t="s">
        <v>2056</v>
      </c>
      <c r="E439" s="165">
        <v>5.4166666666666669E-3</v>
      </c>
      <c r="F439" s="151" t="s">
        <v>298</v>
      </c>
      <c r="H439" s="151" t="s">
        <v>299</v>
      </c>
      <c r="I439" s="164" t="s">
        <v>2057</v>
      </c>
      <c r="J439" s="164" t="s">
        <v>2058</v>
      </c>
      <c r="K439" s="165">
        <v>3.4722222222222224E-4</v>
      </c>
      <c r="L439" s="151" t="s">
        <v>302</v>
      </c>
      <c r="N439" s="151" t="s">
        <v>303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873</v>
      </c>
      <c r="B440" s="151" t="s">
        <v>1931</v>
      </c>
      <c r="C440" s="164" t="s">
        <v>2059</v>
      </c>
      <c r="D440" s="164" t="s">
        <v>2060</v>
      </c>
      <c r="E440" s="165">
        <v>3.5069444444444445E-3</v>
      </c>
      <c r="F440" s="151" t="s">
        <v>298</v>
      </c>
      <c r="H440" s="151" t="s">
        <v>299</v>
      </c>
      <c r="I440" s="164" t="s">
        <v>2061</v>
      </c>
      <c r="J440" s="164" t="s">
        <v>2062</v>
      </c>
      <c r="K440" s="165">
        <v>3.7037037037037035E-4</v>
      </c>
      <c r="L440" s="151" t="s">
        <v>302</v>
      </c>
      <c r="N440" s="151" t="s">
        <v>303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873</v>
      </c>
      <c r="B441" s="151" t="s">
        <v>1931</v>
      </c>
      <c r="C441" s="164" t="s">
        <v>2063</v>
      </c>
      <c r="D441" s="164" t="s">
        <v>2064</v>
      </c>
      <c r="E441" s="165">
        <v>3.5763888888888889E-3</v>
      </c>
      <c r="F441" s="151" t="s">
        <v>298</v>
      </c>
      <c r="H441" s="151" t="s">
        <v>299</v>
      </c>
      <c r="I441" s="164" t="s">
        <v>2065</v>
      </c>
      <c r="J441" s="164" t="s">
        <v>2066</v>
      </c>
      <c r="K441" s="165">
        <v>3.2407407407407406E-4</v>
      </c>
      <c r="L441" s="151" t="s">
        <v>302</v>
      </c>
      <c r="N441" s="151" t="s">
        <v>303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873</v>
      </c>
      <c r="B442" s="151" t="s">
        <v>1931</v>
      </c>
      <c r="C442" s="164" t="s">
        <v>2067</v>
      </c>
      <c r="D442" s="164" t="s">
        <v>2068</v>
      </c>
      <c r="E442" s="165">
        <v>5.0925925925925921E-4</v>
      </c>
      <c r="F442" s="151" t="s">
        <v>298</v>
      </c>
      <c r="H442" s="151" t="s">
        <v>299</v>
      </c>
      <c r="I442" s="164" t="s">
        <v>2069</v>
      </c>
      <c r="J442" s="164" t="s">
        <v>2070</v>
      </c>
      <c r="K442" s="165">
        <v>5.2083333333333333E-4</v>
      </c>
      <c r="L442" s="151" t="s">
        <v>302</v>
      </c>
      <c r="N442" s="151" t="s">
        <v>303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1204</v>
      </c>
      <c r="B443" s="151" t="s">
        <v>2071</v>
      </c>
      <c r="C443" s="164" t="s">
        <v>2072</v>
      </c>
      <c r="D443" s="164" t="s">
        <v>2073</v>
      </c>
      <c r="E443" s="165">
        <v>1.6550925925925926E-3</v>
      </c>
      <c r="F443" s="151" t="s">
        <v>298</v>
      </c>
      <c r="H443" s="151" t="s">
        <v>299</v>
      </c>
      <c r="I443" s="164" t="s">
        <v>2074</v>
      </c>
      <c r="J443" s="164" t="s">
        <v>2075</v>
      </c>
      <c r="K443" s="165">
        <v>5.2083333333333333E-4</v>
      </c>
      <c r="L443" s="151" t="s">
        <v>302</v>
      </c>
      <c r="N443" s="151" t="s">
        <v>303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1204</v>
      </c>
      <c r="B444" s="151" t="s">
        <v>2071</v>
      </c>
      <c r="C444" s="164" t="s">
        <v>2076</v>
      </c>
      <c r="D444" s="164" t="s">
        <v>2077</v>
      </c>
      <c r="E444" s="165">
        <v>1.1111111111111111E-3</v>
      </c>
      <c r="F444" s="151" t="s">
        <v>298</v>
      </c>
      <c r="H444" s="151" t="s">
        <v>299</v>
      </c>
      <c r="I444" s="164" t="s">
        <v>2078</v>
      </c>
      <c r="J444" s="164" t="s">
        <v>2079</v>
      </c>
      <c r="K444" s="165">
        <v>8.1018518518518516E-4</v>
      </c>
      <c r="L444" s="151" t="s">
        <v>302</v>
      </c>
      <c r="N444" s="151" t="s">
        <v>303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1204</v>
      </c>
      <c r="B445" s="151" t="s">
        <v>2071</v>
      </c>
      <c r="C445" s="164" t="s">
        <v>2080</v>
      </c>
      <c r="D445" s="164" t="s">
        <v>2081</v>
      </c>
      <c r="E445" s="165">
        <v>9.1435185185185185E-4</v>
      </c>
      <c r="F445" s="151" t="s">
        <v>298</v>
      </c>
      <c r="H445" s="151" t="s">
        <v>299</v>
      </c>
      <c r="I445" s="164" t="s">
        <v>2082</v>
      </c>
      <c r="J445" s="164" t="s">
        <v>2083</v>
      </c>
      <c r="K445" s="165">
        <v>7.7546296296296293E-4</v>
      </c>
      <c r="L445" s="151" t="s">
        <v>302</v>
      </c>
      <c r="N445" s="151" t="s">
        <v>303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1204</v>
      </c>
      <c r="B446" s="151" t="s">
        <v>2071</v>
      </c>
      <c r="C446" s="164" t="s">
        <v>2084</v>
      </c>
      <c r="D446" s="164" t="s">
        <v>2085</v>
      </c>
      <c r="E446" s="165">
        <v>1.5856481481481481E-3</v>
      </c>
      <c r="F446" s="151" t="s">
        <v>298</v>
      </c>
      <c r="H446" s="151" t="s">
        <v>299</v>
      </c>
      <c r="I446" s="164" t="s">
        <v>2086</v>
      </c>
      <c r="J446" s="164" t="s">
        <v>2087</v>
      </c>
      <c r="K446" s="165">
        <v>7.407407407407407E-4</v>
      </c>
      <c r="L446" s="151" t="s">
        <v>302</v>
      </c>
      <c r="N446" s="151" t="s">
        <v>303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1204</v>
      </c>
      <c r="B447" s="151" t="s">
        <v>2071</v>
      </c>
      <c r="C447" s="164" t="s">
        <v>2088</v>
      </c>
      <c r="D447" s="164" t="s">
        <v>2089</v>
      </c>
      <c r="E447" s="165">
        <v>1.4351851851851852E-3</v>
      </c>
      <c r="F447" s="151" t="s">
        <v>298</v>
      </c>
      <c r="H447" s="151" t="s">
        <v>299</v>
      </c>
      <c r="I447" s="164" t="s">
        <v>2090</v>
      </c>
      <c r="J447" s="164" t="s">
        <v>2091</v>
      </c>
      <c r="K447" s="165">
        <v>9.0277777777777774E-4</v>
      </c>
      <c r="L447" s="151" t="s">
        <v>302</v>
      </c>
      <c r="N447" s="151" t="s">
        <v>303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1204</v>
      </c>
      <c r="B448" s="151" t="s">
        <v>2071</v>
      </c>
      <c r="C448" s="164" t="s">
        <v>2092</v>
      </c>
      <c r="D448" s="164" t="s">
        <v>1840</v>
      </c>
      <c r="E448" s="165">
        <v>1.3194444444444445E-3</v>
      </c>
      <c r="F448" s="151" t="s">
        <v>298</v>
      </c>
      <c r="H448" s="151" t="s">
        <v>299</v>
      </c>
      <c r="I448" s="164" t="s">
        <v>2093</v>
      </c>
      <c r="J448" s="164" t="s">
        <v>2094</v>
      </c>
      <c r="K448" s="165">
        <v>2.8935185185185184E-4</v>
      </c>
      <c r="L448" s="151" t="s">
        <v>302</v>
      </c>
      <c r="N448" s="151" t="s">
        <v>303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1204</v>
      </c>
      <c r="B449" s="151" t="s">
        <v>2071</v>
      </c>
      <c r="C449" s="164" t="s">
        <v>2095</v>
      </c>
      <c r="D449" s="164" t="s">
        <v>2096</v>
      </c>
      <c r="E449" s="165">
        <v>1.0532407407407407E-3</v>
      </c>
      <c r="F449" s="151" t="s">
        <v>298</v>
      </c>
      <c r="H449" s="151" t="s">
        <v>39</v>
      </c>
      <c r="I449" s="164" t="s">
        <v>2097</v>
      </c>
      <c r="J449" s="164" t="s">
        <v>2098</v>
      </c>
      <c r="K449" s="165">
        <v>6.4814814814814813E-4</v>
      </c>
      <c r="L449" s="151" t="s">
        <v>676</v>
      </c>
      <c r="N449" s="151" t="s">
        <v>303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1204</v>
      </c>
      <c r="B450" s="151" t="s">
        <v>2071</v>
      </c>
      <c r="C450" s="164" t="s">
        <v>2099</v>
      </c>
      <c r="D450" s="164" t="s">
        <v>2100</v>
      </c>
      <c r="E450" s="165">
        <v>9.6064814814814819E-4</v>
      </c>
      <c r="F450" s="151" t="s">
        <v>298</v>
      </c>
      <c r="H450" s="151" t="s">
        <v>299</v>
      </c>
      <c r="I450" s="164" t="s">
        <v>2101</v>
      </c>
      <c r="J450" s="164" t="s">
        <v>2102</v>
      </c>
      <c r="K450" s="165">
        <v>9.0277777777777774E-4</v>
      </c>
      <c r="L450" s="151" t="s">
        <v>302</v>
      </c>
      <c r="N450" s="151" t="s">
        <v>303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1204</v>
      </c>
      <c r="B451" s="151" t="s">
        <v>2071</v>
      </c>
      <c r="C451" s="164" t="s">
        <v>2103</v>
      </c>
      <c r="D451" s="164" t="s">
        <v>2104</v>
      </c>
      <c r="E451" s="165">
        <v>1.25E-3</v>
      </c>
      <c r="F451" s="151" t="s">
        <v>298</v>
      </c>
      <c r="H451" s="151" t="s">
        <v>299</v>
      </c>
      <c r="I451" s="164" t="s">
        <v>2105</v>
      </c>
      <c r="J451" s="164" t="s">
        <v>2106</v>
      </c>
      <c r="K451" s="165">
        <v>5.6712962962962967E-4</v>
      </c>
      <c r="L451" s="151" t="s">
        <v>302</v>
      </c>
      <c r="N451" s="151" t="s">
        <v>303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1204</v>
      </c>
      <c r="B452" s="151" t="s">
        <v>2071</v>
      </c>
      <c r="C452" s="164" t="s">
        <v>2107</v>
      </c>
      <c r="D452" s="164" t="s">
        <v>2108</v>
      </c>
      <c r="E452" s="165">
        <v>1.7708333333333332E-3</v>
      </c>
      <c r="F452" s="151" t="s">
        <v>298</v>
      </c>
      <c r="H452" s="151" t="s">
        <v>299</v>
      </c>
      <c r="I452" s="164" t="s">
        <v>2109</v>
      </c>
      <c r="J452" s="164" t="s">
        <v>2110</v>
      </c>
      <c r="K452" s="165">
        <v>1.1111111111111111E-3</v>
      </c>
      <c r="L452" s="151" t="s">
        <v>302</v>
      </c>
      <c r="N452" s="151" t="s">
        <v>303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1204</v>
      </c>
      <c r="B453" s="151" t="s">
        <v>2071</v>
      </c>
      <c r="C453" s="164" t="s">
        <v>2111</v>
      </c>
      <c r="D453" s="164" t="s">
        <v>2112</v>
      </c>
      <c r="E453" s="165">
        <v>1.2962962962962963E-3</v>
      </c>
      <c r="F453" s="151" t="s">
        <v>298</v>
      </c>
      <c r="H453" s="151" t="s">
        <v>299</v>
      </c>
      <c r="I453" s="164" t="s">
        <v>2113</v>
      </c>
      <c r="J453" s="164" t="s">
        <v>2114</v>
      </c>
      <c r="K453" s="165">
        <v>1.0185185185185184E-3</v>
      </c>
      <c r="L453" s="151" t="s">
        <v>302</v>
      </c>
      <c r="N453" s="151" t="s">
        <v>303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1204</v>
      </c>
      <c r="B454" s="151" t="s">
        <v>2071</v>
      </c>
      <c r="C454" s="164" t="s">
        <v>2115</v>
      </c>
      <c r="D454" s="164" t="s">
        <v>2116</v>
      </c>
      <c r="E454" s="165">
        <v>8.2175925925925927E-4</v>
      </c>
      <c r="F454" s="151" t="s">
        <v>298</v>
      </c>
      <c r="H454" s="151" t="s">
        <v>299</v>
      </c>
      <c r="I454" s="164" t="s">
        <v>2117</v>
      </c>
      <c r="J454" s="164" t="s">
        <v>2118</v>
      </c>
      <c r="K454" s="165">
        <v>5.5555555555555556E-4</v>
      </c>
      <c r="L454" s="151" t="s">
        <v>302</v>
      </c>
      <c r="N454" s="151" t="s">
        <v>303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1204</v>
      </c>
      <c r="B455" s="151" t="s">
        <v>2071</v>
      </c>
      <c r="C455" s="164" t="s">
        <v>2119</v>
      </c>
      <c r="D455" s="164" t="s">
        <v>2120</v>
      </c>
      <c r="E455" s="165">
        <v>1.4004629629629629E-3</v>
      </c>
      <c r="F455" s="151" t="s">
        <v>298</v>
      </c>
      <c r="H455" s="151" t="s">
        <v>299</v>
      </c>
      <c r="I455" s="164" t="s">
        <v>2121</v>
      </c>
      <c r="J455" s="164" t="s">
        <v>2122</v>
      </c>
      <c r="K455" s="165">
        <v>5.6712962962962967E-4</v>
      </c>
      <c r="L455" s="151" t="s">
        <v>302</v>
      </c>
      <c r="N455" s="151" t="s">
        <v>303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1204</v>
      </c>
      <c r="B456" s="151" t="s">
        <v>2071</v>
      </c>
      <c r="C456" s="164" t="s">
        <v>2123</v>
      </c>
      <c r="D456" s="164" t="s">
        <v>2124</v>
      </c>
      <c r="E456" s="165">
        <v>1.2152777777777778E-3</v>
      </c>
      <c r="F456" s="151" t="s">
        <v>298</v>
      </c>
      <c r="H456" s="151" t="s">
        <v>299</v>
      </c>
      <c r="I456" s="164" t="s">
        <v>2125</v>
      </c>
      <c r="J456" s="164" t="s">
        <v>2126</v>
      </c>
      <c r="K456" s="165">
        <v>3.9004629629629628E-3</v>
      </c>
      <c r="L456" s="151" t="s">
        <v>302</v>
      </c>
      <c r="N456" s="151" t="s">
        <v>303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1204</v>
      </c>
      <c r="B457" s="151" t="s">
        <v>2071</v>
      </c>
      <c r="C457" s="164" t="s">
        <v>2127</v>
      </c>
      <c r="D457" s="164" t="s">
        <v>2128</v>
      </c>
      <c r="E457" s="165">
        <v>2.5115740740740741E-3</v>
      </c>
      <c r="F457" s="151" t="s">
        <v>298</v>
      </c>
      <c r="H457" s="151" t="s">
        <v>31</v>
      </c>
      <c r="I457" s="164" t="s">
        <v>2129</v>
      </c>
      <c r="J457" s="164" t="s">
        <v>2130</v>
      </c>
      <c r="K457" s="165">
        <v>5.7870370370370367E-4</v>
      </c>
      <c r="L457" s="151" t="s">
        <v>394</v>
      </c>
      <c r="N457" s="151" t="s">
        <v>395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1204</v>
      </c>
      <c r="B458" s="151" t="s">
        <v>2071</v>
      </c>
      <c r="C458" s="164" t="s">
        <v>2131</v>
      </c>
      <c r="D458" s="164" t="s">
        <v>2132</v>
      </c>
      <c r="E458" s="165">
        <v>1.7013888888888888E-3</v>
      </c>
      <c r="F458" s="151" t="s">
        <v>298</v>
      </c>
      <c r="H458" s="151" t="s">
        <v>299</v>
      </c>
      <c r="I458" s="164" t="s">
        <v>2133</v>
      </c>
      <c r="J458" s="164" t="s">
        <v>2134</v>
      </c>
      <c r="K458" s="165">
        <v>1.0995370370370371E-3</v>
      </c>
      <c r="L458" s="151" t="s">
        <v>302</v>
      </c>
      <c r="N458" s="151" t="s">
        <v>303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1204</v>
      </c>
      <c r="B459" s="151" t="s">
        <v>2071</v>
      </c>
      <c r="C459" s="164" t="s">
        <v>2135</v>
      </c>
      <c r="D459" s="164" t="s">
        <v>2136</v>
      </c>
      <c r="E459" s="165">
        <v>1.4814814814814814E-3</v>
      </c>
      <c r="F459" s="151" t="s">
        <v>298</v>
      </c>
      <c r="H459" s="151" t="s">
        <v>299</v>
      </c>
      <c r="I459" s="164" t="s">
        <v>2137</v>
      </c>
      <c r="J459" s="164" t="s">
        <v>2138</v>
      </c>
      <c r="K459" s="165">
        <v>5.2083333333333333E-4</v>
      </c>
      <c r="L459" s="151" t="s">
        <v>302</v>
      </c>
      <c r="N459" s="151" t="s">
        <v>303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1204</v>
      </c>
      <c r="B460" s="151" t="s">
        <v>2071</v>
      </c>
      <c r="C460" s="164" t="s">
        <v>2139</v>
      </c>
      <c r="D460" s="164" t="s">
        <v>2140</v>
      </c>
      <c r="E460" s="165">
        <v>2.0486111111111113E-3</v>
      </c>
      <c r="F460" s="151" t="s">
        <v>298</v>
      </c>
      <c r="H460" s="151" t="s">
        <v>31</v>
      </c>
      <c r="I460" s="164" t="s">
        <v>2141</v>
      </c>
      <c r="J460" s="164" t="s">
        <v>2142</v>
      </c>
      <c r="K460" s="165">
        <v>5.4398148148148144E-4</v>
      </c>
      <c r="L460" s="151" t="s">
        <v>394</v>
      </c>
      <c r="N460" s="151" t="s">
        <v>395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1204</v>
      </c>
      <c r="B461" s="151" t="s">
        <v>2071</v>
      </c>
      <c r="C461" s="164" t="s">
        <v>2143</v>
      </c>
      <c r="D461" s="164" t="s">
        <v>2144</v>
      </c>
      <c r="E461" s="165">
        <v>1.5046296296296296E-3</v>
      </c>
      <c r="F461" s="151" t="s">
        <v>298</v>
      </c>
      <c r="H461" s="151" t="s">
        <v>299</v>
      </c>
      <c r="I461" s="164" t="s">
        <v>2145</v>
      </c>
      <c r="J461" s="164" t="s">
        <v>2146</v>
      </c>
      <c r="K461" s="165">
        <v>5.5555555555555556E-4</v>
      </c>
      <c r="L461" s="151" t="s">
        <v>302</v>
      </c>
      <c r="N461" s="151" t="s">
        <v>303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1204</v>
      </c>
      <c r="B462" s="151" t="s">
        <v>2071</v>
      </c>
      <c r="C462" s="164" t="s">
        <v>2147</v>
      </c>
      <c r="D462" s="164" t="s">
        <v>2148</v>
      </c>
      <c r="E462" s="165">
        <v>1.0995370370370371E-3</v>
      </c>
      <c r="F462" s="151" t="s">
        <v>298</v>
      </c>
      <c r="H462" s="151" t="s">
        <v>299</v>
      </c>
      <c r="I462" s="164" t="s">
        <v>2149</v>
      </c>
      <c r="J462" s="164" t="s">
        <v>2150</v>
      </c>
      <c r="K462" s="165">
        <v>6.9444444444444447E-4</v>
      </c>
      <c r="L462" s="151" t="s">
        <v>302</v>
      </c>
      <c r="N462" s="151" t="s">
        <v>303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1204</v>
      </c>
      <c r="B463" s="151" t="s">
        <v>2071</v>
      </c>
      <c r="C463" s="164" t="s">
        <v>2151</v>
      </c>
      <c r="D463" s="164" t="s">
        <v>2152</v>
      </c>
      <c r="E463" s="165">
        <v>1.8865740740740742E-3</v>
      </c>
      <c r="F463" s="151" t="s">
        <v>298</v>
      </c>
      <c r="H463" s="151" t="s">
        <v>299</v>
      </c>
      <c r="I463" s="164" t="s">
        <v>2153</v>
      </c>
      <c r="J463" s="164" t="s">
        <v>2154</v>
      </c>
      <c r="K463" s="165">
        <v>6.3657407407407413E-4</v>
      </c>
      <c r="L463" s="151" t="s">
        <v>302</v>
      </c>
      <c r="N463" s="151" t="s">
        <v>303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1204</v>
      </c>
      <c r="B464" s="151" t="s">
        <v>2071</v>
      </c>
      <c r="C464" s="164" t="s">
        <v>2155</v>
      </c>
      <c r="D464" s="164" t="s">
        <v>2156</v>
      </c>
      <c r="E464" s="165">
        <v>1.7939814814814815E-3</v>
      </c>
      <c r="F464" s="151" t="s">
        <v>298</v>
      </c>
      <c r="H464" s="151" t="s">
        <v>299</v>
      </c>
      <c r="I464" s="164" t="s">
        <v>2157</v>
      </c>
      <c r="J464" s="164" t="s">
        <v>2158</v>
      </c>
      <c r="K464" s="165">
        <v>4.9768518518518521E-4</v>
      </c>
      <c r="L464" s="151" t="s">
        <v>302</v>
      </c>
      <c r="N464" s="151" t="s">
        <v>303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1204</v>
      </c>
      <c r="B465" s="151" t="s">
        <v>2071</v>
      </c>
      <c r="C465" s="164" t="s">
        <v>2159</v>
      </c>
      <c r="D465" s="164" t="s">
        <v>2160</v>
      </c>
      <c r="E465" s="165">
        <v>1.4699074074074074E-3</v>
      </c>
      <c r="F465" s="151" t="s">
        <v>298</v>
      </c>
      <c r="H465" s="151" t="s">
        <v>299</v>
      </c>
      <c r="I465" s="164" t="s">
        <v>2161</v>
      </c>
      <c r="J465" s="164" t="s">
        <v>2162</v>
      </c>
      <c r="K465" s="165">
        <v>7.291666666666667E-4</v>
      </c>
      <c r="L465" s="151" t="s">
        <v>302</v>
      </c>
      <c r="N465" s="151" t="s">
        <v>303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1204</v>
      </c>
      <c r="B466" s="151" t="s">
        <v>2071</v>
      </c>
      <c r="C466" s="164" t="s">
        <v>2163</v>
      </c>
      <c r="D466" s="164" t="s">
        <v>2164</v>
      </c>
      <c r="E466" s="165">
        <v>2.0370370370370369E-3</v>
      </c>
      <c r="F466" s="151" t="s">
        <v>298</v>
      </c>
      <c r="H466" s="151" t="s">
        <v>299</v>
      </c>
      <c r="I466" s="164" t="s">
        <v>2165</v>
      </c>
      <c r="J466" s="164" t="s">
        <v>2166</v>
      </c>
      <c r="K466" s="165">
        <v>6.018518518518519E-4</v>
      </c>
      <c r="L466" s="151" t="s">
        <v>302</v>
      </c>
      <c r="N466" s="151" t="s">
        <v>303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1204</v>
      </c>
      <c r="B467" s="151" t="s">
        <v>2071</v>
      </c>
      <c r="C467" s="164" t="s">
        <v>2167</v>
      </c>
      <c r="D467" s="164" t="s">
        <v>2168</v>
      </c>
      <c r="E467" s="165">
        <v>1.4699074074074074E-3</v>
      </c>
      <c r="F467" s="151" t="s">
        <v>298</v>
      </c>
      <c r="H467" s="151" t="s">
        <v>299</v>
      </c>
      <c r="I467" s="164" t="s">
        <v>2169</v>
      </c>
      <c r="J467" s="164" t="s">
        <v>2170</v>
      </c>
      <c r="K467" s="165">
        <v>2.4305555555555556E-3</v>
      </c>
      <c r="L467" s="151" t="s">
        <v>302</v>
      </c>
      <c r="N467" s="151" t="s">
        <v>303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1204</v>
      </c>
      <c r="B468" s="151" t="s">
        <v>2071</v>
      </c>
      <c r="C468" s="164" t="s">
        <v>2171</v>
      </c>
      <c r="D468" s="164" t="s">
        <v>2172</v>
      </c>
      <c r="E468" s="165">
        <v>1.7592592592592592E-3</v>
      </c>
      <c r="F468" s="151" t="s">
        <v>298</v>
      </c>
      <c r="H468" s="151" t="s">
        <v>299</v>
      </c>
      <c r="I468" s="164" t="s">
        <v>2173</v>
      </c>
      <c r="J468" s="164" t="s">
        <v>2174</v>
      </c>
      <c r="K468" s="165">
        <v>6.3657407407407413E-4</v>
      </c>
      <c r="L468" s="151" t="s">
        <v>302</v>
      </c>
      <c r="N468" s="151" t="s">
        <v>303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1204</v>
      </c>
      <c r="B469" s="151" t="s">
        <v>2071</v>
      </c>
      <c r="C469" s="164" t="s">
        <v>2175</v>
      </c>
      <c r="D469" s="164" t="s">
        <v>2176</v>
      </c>
      <c r="E469" s="165">
        <v>2.0254629629629629E-3</v>
      </c>
      <c r="F469" s="151" t="s">
        <v>298</v>
      </c>
      <c r="H469" s="151" t="s">
        <v>299</v>
      </c>
      <c r="I469" s="164" t="s">
        <v>2177</v>
      </c>
      <c r="J469" s="164" t="s">
        <v>2178</v>
      </c>
      <c r="K469" s="165">
        <v>8.7962962962962962E-4</v>
      </c>
      <c r="L469" s="151" t="s">
        <v>302</v>
      </c>
      <c r="N469" s="151" t="s">
        <v>303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1204</v>
      </c>
      <c r="B470" s="151" t="s">
        <v>2071</v>
      </c>
      <c r="C470" s="164" t="s">
        <v>2179</v>
      </c>
      <c r="D470" s="164" t="s">
        <v>2180</v>
      </c>
      <c r="E470" s="165">
        <v>1.5856481481481481E-3</v>
      </c>
      <c r="F470" s="151" t="s">
        <v>298</v>
      </c>
      <c r="H470" s="151" t="s">
        <v>299</v>
      </c>
      <c r="I470" s="164" t="s">
        <v>2181</v>
      </c>
      <c r="J470" s="164" t="s">
        <v>2182</v>
      </c>
      <c r="K470" s="165">
        <v>4.9768518518518521E-4</v>
      </c>
      <c r="L470" s="151" t="s">
        <v>302</v>
      </c>
      <c r="N470" s="151" t="s">
        <v>303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1204</v>
      </c>
      <c r="B471" s="151" t="s">
        <v>2071</v>
      </c>
      <c r="C471" s="164" t="s">
        <v>2183</v>
      </c>
      <c r="D471" s="164" t="s">
        <v>2184</v>
      </c>
      <c r="E471" s="165">
        <v>1.7013888888888888E-3</v>
      </c>
      <c r="F471" s="151" t="s">
        <v>298</v>
      </c>
      <c r="H471" s="151" t="s">
        <v>299</v>
      </c>
      <c r="I471" s="164" t="s">
        <v>2185</v>
      </c>
      <c r="J471" s="164" t="s">
        <v>2186</v>
      </c>
      <c r="K471" s="165">
        <v>1.1111111111111111E-3</v>
      </c>
      <c r="L471" s="151" t="s">
        <v>302</v>
      </c>
      <c r="N471" s="151" t="s">
        <v>303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1204</v>
      </c>
      <c r="B472" s="151" t="s">
        <v>2071</v>
      </c>
      <c r="C472" s="164" t="s">
        <v>2187</v>
      </c>
      <c r="D472" s="164" t="s">
        <v>2188</v>
      </c>
      <c r="E472" s="165">
        <v>1.6087962962962963E-3</v>
      </c>
      <c r="F472" s="151" t="s">
        <v>298</v>
      </c>
      <c r="H472" s="151" t="s">
        <v>299</v>
      </c>
      <c r="I472" s="164" t="s">
        <v>2189</v>
      </c>
      <c r="J472" s="164" t="s">
        <v>2190</v>
      </c>
      <c r="K472" s="165">
        <v>5.2083333333333333E-4</v>
      </c>
      <c r="L472" s="151" t="s">
        <v>302</v>
      </c>
      <c r="N472" s="151" t="s">
        <v>303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1204</v>
      </c>
      <c r="B473" s="151" t="s">
        <v>2071</v>
      </c>
      <c r="C473" s="164" t="s">
        <v>2191</v>
      </c>
      <c r="D473" s="164" t="s">
        <v>2192</v>
      </c>
      <c r="E473" s="165">
        <v>8.564814814814815E-4</v>
      </c>
      <c r="F473" s="151" t="s">
        <v>298</v>
      </c>
      <c r="H473" s="151" t="s">
        <v>299</v>
      </c>
      <c r="I473" s="164" t="s">
        <v>2193</v>
      </c>
      <c r="J473" s="164" t="s">
        <v>2194</v>
      </c>
      <c r="K473" s="165">
        <v>4.3981481481481481E-4</v>
      </c>
      <c r="L473" s="151" t="s">
        <v>302</v>
      </c>
      <c r="N473" s="151" t="s">
        <v>303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1295</v>
      </c>
      <c r="B474" s="151" t="s">
        <v>2195</v>
      </c>
      <c r="C474" s="164" t="s">
        <v>2196</v>
      </c>
      <c r="D474" s="164" t="s">
        <v>2197</v>
      </c>
      <c r="E474" s="165">
        <v>2.3495370370370371E-3</v>
      </c>
      <c r="F474" s="151" t="s">
        <v>298</v>
      </c>
      <c r="H474" s="151" t="s">
        <v>299</v>
      </c>
      <c r="I474" s="164" t="s">
        <v>2198</v>
      </c>
      <c r="J474" s="164" t="s">
        <v>2199</v>
      </c>
      <c r="K474" s="165">
        <v>5.3240740740740744E-4</v>
      </c>
      <c r="L474" s="151" t="s">
        <v>302</v>
      </c>
      <c r="N474" s="151" t="s">
        <v>303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1295</v>
      </c>
      <c r="B475" s="151" t="s">
        <v>2195</v>
      </c>
      <c r="C475" s="164" t="s">
        <v>2200</v>
      </c>
      <c r="D475" s="164" t="s">
        <v>2201</v>
      </c>
      <c r="E475" s="165">
        <v>1.4930555555555556E-3</v>
      </c>
      <c r="F475" s="151" t="s">
        <v>298</v>
      </c>
      <c r="H475" s="151" t="s">
        <v>299</v>
      </c>
      <c r="I475" s="164" t="s">
        <v>2202</v>
      </c>
      <c r="J475" s="164" t="s">
        <v>2203</v>
      </c>
      <c r="K475" s="165">
        <v>6.9444444444444447E-4</v>
      </c>
      <c r="L475" s="151" t="s">
        <v>302</v>
      </c>
      <c r="N475" s="151" t="s">
        <v>303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1295</v>
      </c>
      <c r="B476" s="151" t="s">
        <v>2195</v>
      </c>
      <c r="C476" s="164" t="s">
        <v>2204</v>
      </c>
      <c r="D476" s="164" t="s">
        <v>2205</v>
      </c>
      <c r="E476" s="165">
        <v>1.2152777777777778E-3</v>
      </c>
      <c r="F476" s="151" t="s">
        <v>298</v>
      </c>
      <c r="H476" s="151" t="s">
        <v>299</v>
      </c>
      <c r="I476" s="164" t="s">
        <v>2206</v>
      </c>
      <c r="J476" s="164" t="s">
        <v>2207</v>
      </c>
      <c r="K476" s="165">
        <v>6.4814814814814813E-4</v>
      </c>
      <c r="L476" s="151" t="s">
        <v>302</v>
      </c>
      <c r="N476" s="151" t="s">
        <v>303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1295</v>
      </c>
      <c r="B477" s="151" t="s">
        <v>2195</v>
      </c>
      <c r="C477" s="164" t="s">
        <v>2208</v>
      </c>
      <c r="D477" s="164" t="s">
        <v>2209</v>
      </c>
      <c r="E477" s="165">
        <v>1.4467592592592592E-3</v>
      </c>
      <c r="F477" s="151" t="s">
        <v>298</v>
      </c>
      <c r="H477" s="151" t="s">
        <v>299</v>
      </c>
      <c r="I477" s="164" t="s">
        <v>2210</v>
      </c>
      <c r="J477" s="164" t="s">
        <v>2211</v>
      </c>
      <c r="K477" s="165">
        <v>6.3657407407407413E-4</v>
      </c>
      <c r="L477" s="151" t="s">
        <v>302</v>
      </c>
      <c r="N477" s="151" t="s">
        <v>303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1295</v>
      </c>
      <c r="B478" s="151" t="s">
        <v>2195</v>
      </c>
      <c r="C478" s="164" t="s">
        <v>2212</v>
      </c>
      <c r="D478" s="164" t="s">
        <v>2213</v>
      </c>
      <c r="E478" s="165">
        <v>1.238425925925926E-3</v>
      </c>
      <c r="F478" s="151" t="s">
        <v>298</v>
      </c>
      <c r="H478" s="151" t="s">
        <v>299</v>
      </c>
      <c r="I478" s="164" t="s">
        <v>2214</v>
      </c>
      <c r="J478" s="164" t="s">
        <v>2215</v>
      </c>
      <c r="K478" s="165">
        <v>5.6712962962962967E-4</v>
      </c>
      <c r="L478" s="151" t="s">
        <v>302</v>
      </c>
      <c r="N478" s="151" t="s">
        <v>303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1295</v>
      </c>
      <c r="B479" s="151" t="s">
        <v>2195</v>
      </c>
      <c r="C479" s="164" t="s">
        <v>2216</v>
      </c>
      <c r="D479" s="164" t="s">
        <v>2217</v>
      </c>
      <c r="E479" s="165">
        <v>1.3888888888888889E-3</v>
      </c>
      <c r="F479" s="151" t="s">
        <v>298</v>
      </c>
      <c r="H479" s="151" t="s">
        <v>299</v>
      </c>
      <c r="I479" s="164" t="s">
        <v>2218</v>
      </c>
      <c r="J479" s="164" t="s">
        <v>2219</v>
      </c>
      <c r="K479" s="165">
        <v>6.018518518518519E-4</v>
      </c>
      <c r="L479" s="151" t="s">
        <v>302</v>
      </c>
      <c r="N479" s="151" t="s">
        <v>303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1295</v>
      </c>
      <c r="B480" s="151" t="s">
        <v>2195</v>
      </c>
      <c r="C480" s="164" t="s">
        <v>2220</v>
      </c>
      <c r="D480" s="164" t="s">
        <v>2221</v>
      </c>
      <c r="E480" s="165">
        <v>1.2847222222222223E-3</v>
      </c>
      <c r="F480" s="151" t="s">
        <v>298</v>
      </c>
      <c r="H480" s="151" t="s">
        <v>299</v>
      </c>
      <c r="I480" s="164" t="s">
        <v>2222</v>
      </c>
      <c r="J480" s="164" t="s">
        <v>2223</v>
      </c>
      <c r="K480" s="165">
        <v>5.0925925925925921E-4</v>
      </c>
      <c r="L480" s="151" t="s">
        <v>302</v>
      </c>
      <c r="N480" s="151" t="s">
        <v>303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1295</v>
      </c>
      <c r="B481" s="151" t="s">
        <v>2195</v>
      </c>
      <c r="C481" s="164" t="s">
        <v>2224</v>
      </c>
      <c r="D481" s="164" t="s">
        <v>2225</v>
      </c>
      <c r="E481" s="165">
        <v>1.6898148148148148E-3</v>
      </c>
      <c r="F481" s="151" t="s">
        <v>298</v>
      </c>
      <c r="H481" s="151" t="s">
        <v>39</v>
      </c>
      <c r="I481" s="164" t="s">
        <v>2226</v>
      </c>
      <c r="J481" s="164" t="s">
        <v>2227</v>
      </c>
      <c r="K481" s="165">
        <v>5.7870370370370367E-4</v>
      </c>
      <c r="L481" s="151" t="s">
        <v>676</v>
      </c>
      <c r="N481" s="151" t="s">
        <v>303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1295</v>
      </c>
      <c r="B482" s="151" t="s">
        <v>2195</v>
      </c>
      <c r="C482" s="164" t="s">
        <v>2228</v>
      </c>
      <c r="D482" s="164" t="s">
        <v>2229</v>
      </c>
      <c r="E482" s="165">
        <v>3.1250000000000002E-3</v>
      </c>
      <c r="F482" s="151" t="s">
        <v>298</v>
      </c>
      <c r="H482" s="151" t="s">
        <v>39</v>
      </c>
      <c r="I482" s="164" t="s">
        <v>2230</v>
      </c>
      <c r="J482" s="164" t="s">
        <v>2231</v>
      </c>
      <c r="K482" s="165">
        <v>5.3240740740740744E-4</v>
      </c>
      <c r="L482" s="151" t="s">
        <v>676</v>
      </c>
      <c r="N482" s="151" t="s">
        <v>303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1295</v>
      </c>
      <c r="B483" s="151" t="s">
        <v>2195</v>
      </c>
      <c r="C483" s="164" t="s">
        <v>2232</v>
      </c>
      <c r="D483" s="164" t="s">
        <v>2233</v>
      </c>
      <c r="E483" s="165">
        <v>1.5393518518518519E-3</v>
      </c>
      <c r="F483" s="151" t="s">
        <v>298</v>
      </c>
      <c r="H483" s="151" t="s">
        <v>299</v>
      </c>
      <c r="I483" s="164" t="s">
        <v>2234</v>
      </c>
      <c r="J483" s="164" t="s">
        <v>2235</v>
      </c>
      <c r="K483" s="165">
        <v>5.9027777777777778E-4</v>
      </c>
      <c r="L483" s="151" t="s">
        <v>302</v>
      </c>
      <c r="N483" s="151" t="s">
        <v>303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1295</v>
      </c>
      <c r="B484" s="151" t="s">
        <v>2195</v>
      </c>
      <c r="C484" s="164" t="s">
        <v>2236</v>
      </c>
      <c r="D484" s="164" t="s">
        <v>2237</v>
      </c>
      <c r="E484" s="165">
        <v>1.3541666666666667E-3</v>
      </c>
      <c r="F484" s="151" t="s">
        <v>298</v>
      </c>
      <c r="H484" s="151" t="s">
        <v>299</v>
      </c>
      <c r="I484" s="164" t="s">
        <v>2238</v>
      </c>
      <c r="J484" s="164" t="s">
        <v>2239</v>
      </c>
      <c r="K484" s="165">
        <v>4.9768518518518521E-4</v>
      </c>
      <c r="L484" s="151" t="s">
        <v>302</v>
      </c>
      <c r="N484" s="151" t="s">
        <v>303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1295</v>
      </c>
      <c r="B485" s="151" t="s">
        <v>2195</v>
      </c>
      <c r="C485" s="164" t="s">
        <v>2240</v>
      </c>
      <c r="D485" s="164" t="s">
        <v>2241</v>
      </c>
      <c r="E485" s="165">
        <v>1.3425925925925925E-3</v>
      </c>
      <c r="F485" s="151" t="s">
        <v>298</v>
      </c>
      <c r="H485" s="151" t="s">
        <v>299</v>
      </c>
      <c r="I485" s="164" t="s">
        <v>2242</v>
      </c>
      <c r="J485" s="164" t="s">
        <v>2243</v>
      </c>
      <c r="K485" s="165">
        <v>6.5972222222222224E-4</v>
      </c>
      <c r="L485" s="151" t="s">
        <v>302</v>
      </c>
      <c r="N485" s="151" t="s">
        <v>303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1295</v>
      </c>
      <c r="B486" s="151" t="s">
        <v>2195</v>
      </c>
      <c r="C486" s="164" t="s">
        <v>2244</v>
      </c>
      <c r="D486" s="164" t="s">
        <v>2245</v>
      </c>
      <c r="E486" s="165">
        <v>1.2268518518518518E-3</v>
      </c>
      <c r="F486" s="151" t="s">
        <v>298</v>
      </c>
      <c r="H486" s="151" t="s">
        <v>299</v>
      </c>
      <c r="I486" s="164" t="s">
        <v>2246</v>
      </c>
      <c r="J486" s="164" t="s">
        <v>1573</v>
      </c>
      <c r="K486" s="165">
        <v>6.3657407407407413E-4</v>
      </c>
      <c r="L486" s="151" t="s">
        <v>302</v>
      </c>
      <c r="N486" s="151" t="s">
        <v>303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1295</v>
      </c>
      <c r="B487" s="151" t="s">
        <v>2195</v>
      </c>
      <c r="C487" s="164" t="s">
        <v>2247</v>
      </c>
      <c r="D487" s="164" t="s">
        <v>2248</v>
      </c>
      <c r="E487" s="165">
        <v>4.3518518518518515E-3</v>
      </c>
      <c r="F487" s="151" t="s">
        <v>2249</v>
      </c>
      <c r="H487" s="151" t="s">
        <v>449</v>
      </c>
      <c r="I487" s="164" t="s">
        <v>2250</v>
      </c>
      <c r="J487" s="164" t="s">
        <v>2251</v>
      </c>
      <c r="K487" s="165">
        <v>7.0601851851851847E-4</v>
      </c>
      <c r="L487" s="151" t="s">
        <v>298</v>
      </c>
      <c r="N487" s="166" t="s">
        <v>693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1295</v>
      </c>
      <c r="B488" s="151" t="s">
        <v>2195</v>
      </c>
      <c r="C488" s="164" t="s">
        <v>2252</v>
      </c>
      <c r="D488" s="164" t="s">
        <v>2253</v>
      </c>
      <c r="E488" s="165">
        <v>6.1921296296296299E-3</v>
      </c>
      <c r="F488" s="151" t="s">
        <v>2249</v>
      </c>
      <c r="H488" s="151" t="s">
        <v>449</v>
      </c>
      <c r="I488" s="164" t="s">
        <v>2254</v>
      </c>
      <c r="J488" s="164" t="s">
        <v>2255</v>
      </c>
      <c r="K488" s="165">
        <v>7.9861111111111116E-4</v>
      </c>
      <c r="L488" s="151" t="s">
        <v>298</v>
      </c>
      <c r="N488" s="166" t="s">
        <v>693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1295</v>
      </c>
      <c r="B489" s="151" t="s">
        <v>2195</v>
      </c>
      <c r="C489" s="164" t="s">
        <v>2256</v>
      </c>
      <c r="D489" s="164" t="s">
        <v>2257</v>
      </c>
      <c r="E489" s="165">
        <v>5.324074074074074E-3</v>
      </c>
      <c r="F489" s="151" t="s">
        <v>2249</v>
      </c>
      <c r="H489" s="151" t="s">
        <v>449</v>
      </c>
      <c r="I489" s="164" t="s">
        <v>2258</v>
      </c>
      <c r="J489" s="164" t="s">
        <v>2259</v>
      </c>
      <c r="K489" s="165">
        <v>1.4467592592592592E-3</v>
      </c>
      <c r="L489" s="151" t="s">
        <v>298</v>
      </c>
      <c r="N489" s="151" t="s">
        <v>693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1295</v>
      </c>
      <c r="B490" s="151" t="s">
        <v>2195</v>
      </c>
      <c r="C490" s="164" t="s">
        <v>2260</v>
      </c>
      <c r="D490" s="164" t="s">
        <v>2261</v>
      </c>
      <c r="E490" s="165">
        <v>3.472222222222222E-3</v>
      </c>
      <c r="F490" s="151" t="s">
        <v>2249</v>
      </c>
      <c r="H490" s="151" t="s">
        <v>449</v>
      </c>
      <c r="I490" s="164" t="s">
        <v>2262</v>
      </c>
      <c r="J490" s="164" t="s">
        <v>2263</v>
      </c>
      <c r="K490" s="165">
        <v>1.8981481481481482E-3</v>
      </c>
      <c r="L490" s="151" t="s">
        <v>298</v>
      </c>
      <c r="N490" s="151" t="s">
        <v>693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1295</v>
      </c>
      <c r="B491" s="151" t="s">
        <v>2195</v>
      </c>
      <c r="C491" s="164" t="s">
        <v>2264</v>
      </c>
      <c r="D491" s="164" t="s">
        <v>2265</v>
      </c>
      <c r="E491" s="165">
        <v>4.409722222222222E-3</v>
      </c>
      <c r="F491" s="151" t="s">
        <v>2249</v>
      </c>
      <c r="H491" s="151" t="s">
        <v>449</v>
      </c>
      <c r="I491" s="164" t="s">
        <v>2266</v>
      </c>
      <c r="J491" s="164" t="s">
        <v>2267</v>
      </c>
      <c r="K491" s="165">
        <v>1.3657407407407407E-3</v>
      </c>
      <c r="L491" s="151" t="s">
        <v>298</v>
      </c>
      <c r="N491" s="151" t="s">
        <v>693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1295</v>
      </c>
      <c r="B492" s="151" t="s">
        <v>2195</v>
      </c>
      <c r="C492" s="164" t="s">
        <v>2268</v>
      </c>
      <c r="D492" s="164" t="s">
        <v>2269</v>
      </c>
      <c r="E492" s="165">
        <v>3.1944444444444446E-3</v>
      </c>
      <c r="F492" s="151" t="s">
        <v>2249</v>
      </c>
      <c r="H492" s="151" t="s">
        <v>449</v>
      </c>
      <c r="I492" s="164" t="s">
        <v>2270</v>
      </c>
      <c r="J492" s="164" t="s">
        <v>2271</v>
      </c>
      <c r="K492" s="165">
        <v>2.1759259259259258E-3</v>
      </c>
      <c r="L492" s="151" t="s">
        <v>298</v>
      </c>
      <c r="N492" s="151" t="s">
        <v>693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1295</v>
      </c>
      <c r="B493" s="151" t="s">
        <v>2195</v>
      </c>
      <c r="C493" s="164" t="s">
        <v>2272</v>
      </c>
      <c r="D493" s="164" t="s">
        <v>2273</v>
      </c>
      <c r="E493" s="165">
        <v>5.4976851851851853E-3</v>
      </c>
      <c r="F493" s="151" t="s">
        <v>2249</v>
      </c>
      <c r="H493" s="151" t="s">
        <v>449</v>
      </c>
      <c r="J493" s="164" t="s">
        <v>2274</v>
      </c>
      <c r="K493" s="165">
        <v>0</v>
      </c>
      <c r="L493" s="151" t="s">
        <v>448</v>
      </c>
      <c r="M493" s="151" t="s">
        <v>2275</v>
      </c>
      <c r="N493" s="151" t="s">
        <v>693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1295</v>
      </c>
      <c r="B494" s="151" t="s">
        <v>2195</v>
      </c>
      <c r="C494" s="164" t="s">
        <v>2276</v>
      </c>
      <c r="D494" s="164" t="s">
        <v>2277</v>
      </c>
      <c r="E494" s="165">
        <v>3.8425925925925928E-3</v>
      </c>
      <c r="F494" s="151" t="s">
        <v>2249</v>
      </c>
      <c r="H494" s="151" t="s">
        <v>449</v>
      </c>
      <c r="I494" s="164" t="s">
        <v>2278</v>
      </c>
      <c r="K494" s="165">
        <v>0</v>
      </c>
      <c r="L494" s="166" t="s">
        <v>448</v>
      </c>
      <c r="N494" s="151" t="s">
        <v>693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1295</v>
      </c>
      <c r="B495" s="151" t="s">
        <v>2195</v>
      </c>
      <c r="C495" s="164" t="s">
        <v>2279</v>
      </c>
      <c r="D495" s="164" t="s">
        <v>2280</v>
      </c>
      <c r="E495" s="165">
        <v>3.9699074074074072E-3</v>
      </c>
      <c r="F495" s="151" t="s">
        <v>2249</v>
      </c>
      <c r="H495" s="151" t="s">
        <v>449</v>
      </c>
      <c r="J495" s="164" t="s">
        <v>2281</v>
      </c>
      <c r="K495" s="165">
        <v>0</v>
      </c>
      <c r="L495" s="166" t="s">
        <v>448</v>
      </c>
      <c r="M495" s="151" t="s">
        <v>2275</v>
      </c>
      <c r="N495" s="151" t="s">
        <v>693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1295</v>
      </c>
      <c r="B496" s="151" t="s">
        <v>2195</v>
      </c>
      <c r="C496" s="164" t="s">
        <v>2282</v>
      </c>
      <c r="D496" s="164" t="s">
        <v>2283</v>
      </c>
      <c r="E496" s="165">
        <v>7.5231481481481477E-3</v>
      </c>
      <c r="F496" s="151" t="s">
        <v>2249</v>
      </c>
      <c r="H496" s="151" t="s">
        <v>449</v>
      </c>
      <c r="I496" s="164" t="s">
        <v>2284</v>
      </c>
      <c r="J496" s="164" t="s">
        <v>2285</v>
      </c>
      <c r="K496" s="165">
        <v>4.386574074074074E-3</v>
      </c>
      <c r="L496" s="151" t="s">
        <v>298</v>
      </c>
      <c r="N496" s="151" t="s">
        <v>693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1295</v>
      </c>
      <c r="B497" s="151" t="s">
        <v>2195</v>
      </c>
      <c r="C497" s="164" t="s">
        <v>2286</v>
      </c>
      <c r="D497" s="164" t="s">
        <v>2287</v>
      </c>
      <c r="E497" s="165">
        <v>3.460648148148148E-3</v>
      </c>
      <c r="F497" s="151" t="s">
        <v>2249</v>
      </c>
      <c r="H497" s="151" t="s">
        <v>449</v>
      </c>
      <c r="I497" s="164" t="s">
        <v>2288</v>
      </c>
      <c r="J497" s="164" t="s">
        <v>2289</v>
      </c>
      <c r="K497" s="165">
        <v>1.2847222222222223E-3</v>
      </c>
      <c r="L497" s="151" t="s">
        <v>298</v>
      </c>
      <c r="N497" s="151" t="s">
        <v>693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1295</v>
      </c>
      <c r="B498" s="151" t="s">
        <v>2195</v>
      </c>
      <c r="C498" s="164" t="s">
        <v>2290</v>
      </c>
      <c r="D498" s="164" t="s">
        <v>2291</v>
      </c>
      <c r="E498" s="165">
        <v>1.6666666666666668E-3</v>
      </c>
      <c r="F498" s="151" t="s">
        <v>298</v>
      </c>
      <c r="H498" s="151" t="s">
        <v>299</v>
      </c>
      <c r="I498" s="164" t="s">
        <v>2292</v>
      </c>
      <c r="J498" s="164" t="s">
        <v>2293</v>
      </c>
      <c r="K498" s="165">
        <v>5.0925925925925921E-4</v>
      </c>
      <c r="L498" s="151" t="s">
        <v>302</v>
      </c>
      <c r="N498" s="151" t="s">
        <v>303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1295</v>
      </c>
      <c r="B499" s="151" t="s">
        <v>2195</v>
      </c>
      <c r="C499" s="164" t="s">
        <v>2294</v>
      </c>
      <c r="D499" s="164" t="s">
        <v>2295</v>
      </c>
      <c r="E499" s="165">
        <v>1.736111111111111E-3</v>
      </c>
      <c r="F499" s="151" t="s">
        <v>298</v>
      </c>
      <c r="H499" s="151" t="s">
        <v>299</v>
      </c>
      <c r="I499" s="164" t="s">
        <v>2296</v>
      </c>
      <c r="J499" s="164" t="s">
        <v>2297</v>
      </c>
      <c r="K499" s="165">
        <v>8.2175925925925927E-4</v>
      </c>
      <c r="L499" s="151" t="s">
        <v>302</v>
      </c>
      <c r="N499" s="151" t="s">
        <v>303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1295</v>
      </c>
      <c r="B500" s="151" t="s">
        <v>2195</v>
      </c>
      <c r="C500" s="164" t="s">
        <v>2298</v>
      </c>
      <c r="D500" s="164" t="s">
        <v>2299</v>
      </c>
      <c r="E500" s="165">
        <v>2.0717592592592593E-3</v>
      </c>
      <c r="F500" s="151" t="s">
        <v>298</v>
      </c>
      <c r="H500" s="151" t="s">
        <v>299</v>
      </c>
      <c r="I500" s="164" t="s">
        <v>2300</v>
      </c>
      <c r="J500" s="164" t="s">
        <v>2301</v>
      </c>
      <c r="K500" s="165">
        <v>8.4490740740740739E-4</v>
      </c>
      <c r="L500" s="151" t="s">
        <v>302</v>
      </c>
      <c r="N500" s="151" t="s">
        <v>303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1295</v>
      </c>
      <c r="B501" s="151" t="s">
        <v>2195</v>
      </c>
      <c r="C501" s="164" t="s">
        <v>2302</v>
      </c>
      <c r="D501" s="164" t="s">
        <v>2303</v>
      </c>
      <c r="E501" s="165">
        <v>1.8518518518518519E-3</v>
      </c>
      <c r="F501" s="151" t="s">
        <v>298</v>
      </c>
      <c r="H501" s="151" t="s">
        <v>299</v>
      </c>
      <c r="I501" s="164" t="s">
        <v>2304</v>
      </c>
      <c r="J501" s="164" t="s">
        <v>2305</v>
      </c>
      <c r="K501" s="165">
        <v>1.3425925925925925E-3</v>
      </c>
      <c r="L501" s="151" t="s">
        <v>302</v>
      </c>
      <c r="N501" s="151" t="s">
        <v>303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2026-09-01T20:17:17Z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