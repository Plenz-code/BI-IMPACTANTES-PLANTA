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75" documentId="13_ncr:1_{0A10D8D4-8450-4366-8075-B53B08E6B7EA}" xr6:coauthVersionLast="47" xr6:coauthVersionMax="47" xr10:uidLastSave="{9E7EC928-1102-418A-8D55-022C4E2F91AC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4" i="6" s="1"/>
  <c r="J48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4" i="5" s="1"/>
  <c r="J48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4" i="4" s="1"/>
  <c r="J48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2" i="5" l="1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<sst xmlns="http://schemas.openxmlformats.org/spreadsheetml/2006/main" count="8157" uniqueCount="382">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</sst>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65" activePane="bottomLeft" state="frozen"/>
      <selection pane="bottomLeft" activeCell="F531" sqref="F53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335</v>
      </c>
      <c r="G486" s="36">
        <f>SUM(G474:G485)</f>
        <v>1675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682</v>
      </c>
      <c r="G487" s="40">
        <f>G473+G486</f>
        <v>3410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5" sqref="G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0.14135462962440215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0.28024351851329105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0.36496574073551336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655.20000000000005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349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1465.8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5" activePane="bottomLeft" state="frozen"/>
      <selection pane="bottomLeft" activeCell="N477" sqref="N4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 t="s">
        <v>26</v>
      </c>
      <c r="M477" s="33" t="s">
        <v>54</v>
      </c>
      <c r="N477" s="33" t="s">
        <v>34</v>
      </c>
      <c r="O477" s="29">
        <v>0.25833333333333336</v>
      </c>
      <c r="P477" s="29"/>
      <c r="Q477" s="35">
        <f t="shared" ca="1" si="118"/>
        <v>4.5490740740206093E-3</v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6"/>
        <v>0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235.20000000000002</v>
      </c>
      <c r="L486" s="37"/>
      <c r="M486" s="37"/>
      <c r="N486" s="37"/>
      <c r="O486" s="37"/>
      <c r="P486" s="37"/>
      <c r="Q486" s="38">
        <f ca="1">IFERROR(SUM(Q474:Q485),"")</f>
        <v>9.2743518518465101E-2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122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512.4</v>
      </c>
      <c r="L487" s="41"/>
      <c r="M487" s="41"/>
      <c r="N487" s="41"/>
      <c r="O487" s="41"/>
      <c r="P487" s="41"/>
      <c r="Q487" s="42">
        <f ca="1">IFERROR(Q473+Q486,"")</f>
        <v>0.3844101851851317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G485" sqref="G4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381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141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592.19999999999993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1239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2026-08-19T10:19:05Z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