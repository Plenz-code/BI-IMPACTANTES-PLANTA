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379" documentId="8_{C51EB6CB-002B-4D6B-B68F-DDEBDB4460C0}" xr6:coauthVersionLast="47" xr6:coauthVersionMax="47" xr10:uidLastSave="{096DACDB-F197-40F2-B412-D7FF5F6AF5ED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<sst xmlns="http://schemas.openxmlformats.org/spreadsheetml/2006/main" count="3688" uniqueCount="291">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</sst>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3292780</v>
      </c>
      <c r="F35" s="13">
        <f>IFERROR(SUM(F4:F34),"")</f>
        <v>8099350</v>
      </c>
      <c r="G35" s="13">
        <f>IFERROR(SUM(G4:G34),"")</f>
        <v>17776040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 t="s">
        <v>221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2" activePane="bottomLeft" state="frozen"/>
      <selection pane="bottomLeft" activeCell="F170" sqref="F17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234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232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232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235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234</v>
      </c>
      <c r="O27" s="39">
        <v>997910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238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232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239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232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235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234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232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232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232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234</v>
      </c>
      <c r="O54" s="39">
        <v>981310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238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232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234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232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241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234</v>
      </c>
      <c r="O81" s="39">
        <v>1547910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238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232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232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242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234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243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3156240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238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234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234</v>
      </c>
      <c r="O135" s="39">
        <v>2875180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238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232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232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232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234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232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232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232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232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234</v>
      </c>
      <c r="O162" s="44">
        <v>842000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238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246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232</v>
      </c>
      <c r="F165" s="27">
        <v>35</v>
      </c>
      <c r="G165" s="34">
        <f t="shared" si="36"/>
        <v>175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232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232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232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232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232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249</v>
      </c>
      <c r="G176" s="36">
        <f>SUM(G164:G175)</f>
        <v>1245</v>
      </c>
      <c r="H176" s="37"/>
      <c r="I176" s="37"/>
      <c r="J176" s="37"/>
      <c r="K176" s="37"/>
      <c r="L176" s="37"/>
      <c r="M176" s="38">
        <f ca="1">IFERROR(SUM(M164:M175),"")</f>
        <v>4.5833333333333337E-2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249</v>
      </c>
      <c r="G190" s="40">
        <f>G176+G189</f>
        <v>1245</v>
      </c>
      <c r="H190" s="41"/>
      <c r="I190" s="41"/>
      <c r="J190" s="41"/>
      <c r="K190" s="41"/>
      <c r="L190" s="41"/>
      <c r="M190" s="42">
        <f ca="1">IFERROR(M176+M189,"")</f>
        <v>4.5833333333333337E-2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13" t="s">
        <v>237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46" activePane="bottomLeft" state="frozen"/>
      <selection pane="bottomLeft" activeCell="F171" sqref="F17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234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247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247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247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247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247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247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247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247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247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247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234</v>
      </c>
      <c r="O27" s="77">
        <v>549860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238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234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247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247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247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247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247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247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247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247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0.50699282407003921</v>
      </c>
      <c r="N53" s="46" t="s">
        <v>256</v>
      </c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0.64588171295892804</v>
      </c>
      <c r="N54" s="36" t="s">
        <v>234</v>
      </c>
      <c r="O54" s="84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0.73060393518115041</v>
      </c>
      <c r="N55" s="40" t="s">
        <v>238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234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247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247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247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247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247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247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247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247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234</v>
      </c>
      <c r="O81" s="54">
        <v>634210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238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258</v>
      </c>
      <c r="E83" s="59" t="s">
        <v>247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234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259</v>
      </c>
      <c r="M96" s="30" t="str">
        <f t="shared" ref="M96:M107" ca="1" si="22">IFERROR(IF(K96="","",IF(L96="",MOD(NOW()-K96,1),IF(L96&gt;=K96,L96-K96,L96+1-K96))),"")</f>
        <v/>
      </c>
      <c r="N96" s="46" t="s">
        <v>260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235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234</v>
      </c>
      <c r="O108" s="54">
        <v>456830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238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234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234</v>
      </c>
      <c r="O135" s="54">
        <v>756720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238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247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247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247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247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247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247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247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247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247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234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234</v>
      </c>
      <c r="O162" s="54">
        <v>501750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238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247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247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247</v>
      </c>
      <c r="F167" s="27">
        <v>6</v>
      </c>
      <c r="G167" s="34">
        <f t="shared" si="36"/>
        <v>25.200000000000003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247</v>
      </c>
      <c r="F168" s="27">
        <v>8</v>
      </c>
      <c r="G168" s="28">
        <f t="shared" si="36"/>
        <v>33.6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247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247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41</v>
      </c>
      <c r="G176" s="36">
        <f>SUM(G164:G175)</f>
        <v>172.2</v>
      </c>
      <c r="H176" s="37"/>
      <c r="I176" s="37"/>
      <c r="J176" s="37"/>
      <c r="K176" s="37"/>
      <c r="L176" s="37"/>
      <c r="M176" s="38">
        <f ca="1">IFERROR(SUM(M164:M175),"")</f>
        <v>7.0138888888888973E-2</v>
      </c>
      <c r="N176" s="36" t="s">
        <v>234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77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41</v>
      </c>
      <c r="G190" s="40">
        <f>G176+G189</f>
        <v>172.2</v>
      </c>
      <c r="H190" s="41"/>
      <c r="I190" s="41"/>
      <c r="J190" s="41"/>
      <c r="K190" s="41"/>
      <c r="L190" s="41"/>
      <c r="M190" s="42">
        <f ca="1">IFERROR(M176+M189,"")</f>
        <v>7.0138888888888973E-2</v>
      </c>
      <c r="N190" s="40" t="s">
        <v>238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77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233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77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77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77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77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77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77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77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77"/>
    </row>
    <row r="433" spans="1:15" ht="18" customHeight="1">
      <c r="A433" s="92" t="s">
        <v>237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77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77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77"/>
    </row>
    <row r="514" spans="1:15" ht="18" customHeight="1">
      <c r="A514" s="92" t="s">
        <v>237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77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77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77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77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77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77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77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84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38" zoomScale="50" zoomScaleNormal="50" workbookViewId="0">
      <selection activeCell="K172" sqref="K17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234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247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247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247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247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247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247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247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247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247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234</v>
      </c>
      <c r="O27" s="39">
        <v>358000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238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234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234</v>
      </c>
      <c r="O54" s="39">
        <v>279980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238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247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247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247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247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247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247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247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247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247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234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234</v>
      </c>
      <c r="O81" s="39">
        <v>185920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238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234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234</v>
      </c>
      <c r="O108" s="39">
        <v>434370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238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234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234</v>
      </c>
      <c r="O135" s="39">
        <v>416350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238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234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234</v>
      </c>
      <c r="O162" s="39">
        <v>169760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238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/>
      <c r="G171" s="34" t="str">
        <f t="shared" si="36"/>
        <v/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45</v>
      </c>
      <c r="G176" s="36">
        <f>SUM(G164:G175)</f>
        <v>189.00000000000003</v>
      </c>
      <c r="H176" s="37"/>
      <c r="I176" s="37"/>
      <c r="J176" s="37"/>
      <c r="K176" s="37"/>
      <c r="L176" s="37"/>
      <c r="M176" s="38">
        <f ca="1">IFERROR(SUM(M164:M175),"")</f>
        <v>7.2222222222222299E-2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45</v>
      </c>
      <c r="G190" s="40">
        <f>G176+G189</f>
        <v>189.00000000000003</v>
      </c>
      <c r="H190" s="41"/>
      <c r="I190" s="41"/>
      <c r="J190" s="41"/>
      <c r="K190" s="41"/>
      <c r="L190" s="41"/>
      <c r="M190" s="42">
        <f ca="1">IFERROR(M176+M189,"")</f>
        <v>7.2222222222222299E-2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39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54" activePane="bottomLeft" state="frozen"/>
      <selection pane="bottomLeft" activeCell="K171" sqref="K17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234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247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247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247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247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247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247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247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247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247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234</v>
      </c>
      <c r="O27" s="39">
        <v>491520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238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247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247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247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247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247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247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247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247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247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247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233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234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234</v>
      </c>
      <c r="O54" s="39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238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234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247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234</v>
      </c>
      <c r="O81" s="39">
        <v>612410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238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234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234</v>
      </c>
      <c r="O108" s="39">
        <v>956070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238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234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234</v>
      </c>
      <c r="O135" s="39">
        <v>912240</v>
      </c>
    </row>
    <row r="136" spans="1:18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238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233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234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234</v>
      </c>
      <c r="O162" s="39">
        <v>573230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238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161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155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140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18</v>
      </c>
      <c r="G170" s="28">
        <f t="shared" si="36"/>
        <v>75.600000000000009</v>
      </c>
      <c r="H170" s="26"/>
      <c r="I170" s="26"/>
      <c r="J170" s="26"/>
      <c r="K170" s="29">
        <v>0.62847222222222221</v>
      </c>
      <c r="L170" s="29"/>
      <c r="M170" s="30">
        <f t="shared" ca="1" si="37"/>
        <v>4.8379632062278688E-5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101</v>
      </c>
      <c r="G176" s="36">
        <f>SUM(G164:G175)</f>
        <v>424.20000000000005</v>
      </c>
      <c r="H176" s="37"/>
      <c r="I176" s="37"/>
      <c r="J176" s="37"/>
      <c r="K176" s="61"/>
      <c r="L176" s="61"/>
      <c r="M176" s="38">
        <f ca="1">IFERROR(SUM(M164:M175),"")</f>
        <v>9.7270601854284489E-2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101</v>
      </c>
      <c r="G190" s="40">
        <f>G176+G189</f>
        <v>424.20000000000005</v>
      </c>
      <c r="H190" s="41"/>
      <c r="I190" s="41"/>
      <c r="J190" s="41"/>
      <c r="K190" s="63"/>
      <c r="L190" s="63"/>
      <c r="M190" s="42">
        <f ca="1">IFERROR(M176+M189,"")</f>
        <v>9.7270601854284489E-2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233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234</v>
      </c>
      <c r="O432" s="39"/>
    </row>
    <row r="433" spans="1:17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234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238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2026-08-07T19:07:06Z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