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14" documentId="13_ncr:1_{A6DBCFB4-28D9-4249-9038-216934055CA6}" xr6:coauthVersionLast="47" xr6:coauthVersionMax="47" xr10:uidLastSave="{AD59F524-FC8A-42E7-86A6-CAA697D7E44E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<sst xmlns="http://schemas.openxmlformats.org/spreadsheetml/2006/main" count="9934" uniqueCount="428">
  <si>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</si>
  <si>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</si>
  <si>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</si>
  <si>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</si>
  <si>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</si>
  <si>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</si>
  <si>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</si>
  <si>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</si>
  <si>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</si>
  <si>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</si>
  <si>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</si>
  <si>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</si>
  <si>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</si>
  <si>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</si>
  <si>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</si>
  <si>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</si>
  <si>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</si>
  <si>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</si>
  <si>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</si>
  <si>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</si>
  <si>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</si>
  <si>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</si>
  <si>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</si>
  <si>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</si>
  <si>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</si>
  <si>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</si>
  <si>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</si>
  <si>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</si>
  <si>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</si>
  <si>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</si>
  <si>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</si>
  <si>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</si>
  <si>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</si>
  <si>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</si>
  <si>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</si>
  <si>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</si>
  <si>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</si>
  <si>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</si>
  <si>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</si>
  <si>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</si>
  <si>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</si>
  <si>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</si>
  <si>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</si>
  <si>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</si>
  <si>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</si>
  <si>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</si>
  <si>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</si>
  <si>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</si>
  <si>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</si>
  <si>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</si>
  <si>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</si>
  <si>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</si>
  <si>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</si>
  <si>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</si>
  <si>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</si>
  <si>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</si>
  <si>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</si>
  <si>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</si>
  <si>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</si>
  <si>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</si>
  <si>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</si>
  <si>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</si>
  <si>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</si>
  <si>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</si>
  <si>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</si>
  <si>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</si>
  <si>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</si>
  <si>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</si>
  <si>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</si>
  <si>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</si>
  <si>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</si>
  <si>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</si>
  <si>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</si>
  <si>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</si>
  <si>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</si>
  <si>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</si>
  <si>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</si>
  <si>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</si>
  <si>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</si>
  <si>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</si>
  <si>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</si>
  <si>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</si>
  <si>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</si>
  <si>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</si>
  <si>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</si>
  <si>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</si>
  <si>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</si>
  <si>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</si>
  <si>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</si>
  <si>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</si>
  <si>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</si>
  <si>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</si>
  <si>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</si>
  <si>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</si>
  <si>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</si>
  <si>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</si>
  <si>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</si>
  <si>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</si>
  <si>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</si>
  <si>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</si>
  <si>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</si>
  <si>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</si>
  <si>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</si>
  <si>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</si>
  <si>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</si>
  <si>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</si>
  <si>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</si>
  <si>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</si>
  <si>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</si>
  <si>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</si>
  <si>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</si>
  <si>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</si>
  <si>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</si>
  <si>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</si>
  <si>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</si>
  <si>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</si>
  <si>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</si>
  <si>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</si>
  <si>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</si>
  <si>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</si>
  <si>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</si>
  <si>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</si>
  <si>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</si>
  <si>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</si>
  <si>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</si>
  <si>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</si>
  <si>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</si>
  <si>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</si>
  <si>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</si>
  <si>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</si>
  <si>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</si>
  <si>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</si>
  <si>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</si>
  <si>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</si>
  <si>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</si>
  <si>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</si>
  <si>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</si>
  <si>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</si>
  <si>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</si>
  <si>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</si>
  <si>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</si>
  <si>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</si>
  <si>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</si>
  <si>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</si>
  <si>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</si>
  <si>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</si>
  <si>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</si>
  <si>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</si>
  <si>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</si>
  <si>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</si>
  <si>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</si>
  <si>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</si>
  <si>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</si>
  <si>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</si>
  <si>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</si>
  <si>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</si>
  <si>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</si>
  <si>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</si>
  <si>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</si>
  <si>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</si>
  <si>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</si>
  <si>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</si>
  <si>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</si>
  <si>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</si>
  <si>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</si>
  <si>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</si>
  <si>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</si>
  <si>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</si>
  <si>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</si>
  <si>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</si>
  <si>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</si>
  <si>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</si>
  <si>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</si>
  <si>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</si>
  <si>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</si>
  <si>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</si>
  <si>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</si>
  <si>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</si>
  <si>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</si>
  <si>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</si>
  <si>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</si>
  <si>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</si>
  <si>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</si>
  <si>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</si>
  <si>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</si>
  <si>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</si>
  <si>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</si>
  <si>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</si>
  <si>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</si>
  <si>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</si>
  <si>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</si>
  <si>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</si>
  <si>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</si>
  <si>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</si>
  <si>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</si>
  <si>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</si>
  <si>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</si>
  <si>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</si>
  <si>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</si>
  <si>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</si>
  <si>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</si>
  <si>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</si>
  <si>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</si>
  <si>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</si>
  <si>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</si>
  <si>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</si>
  <si>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</si>
  <si>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</si>
  <si>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</si>
  <si>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</si>
  <si>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</si>
  <si>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</si>
  <si>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</si>
  <si>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</si>
  <si>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</si>
  <si>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</si>
  <si>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</si>
  <si>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</si>
  <si>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</si>
  <si>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</si>
  <si>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</si>
  <si>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</si>
  <si>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</si>
  <si>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</si>
  <si>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</si>
  <si>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</si>
  <si>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</si>
  <si>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</si>
  <si>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</si>
  <si>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</si>
  <si>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</si>
  <si>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</si>
  <si>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</si>
  <si>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</si>
  <si>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</si>
  <si>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</si>
  <si>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</si>
  <si>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</si>
  <si>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</si>
  <si>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</si>
  <si>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</si>
  <si>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</si>
  <si>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</si>
  <si>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</si>
  <si>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</si>
  <si>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</si>
  <si>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</si>
  <si>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</si>
  <si>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</si>
  <si>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</si>
  <si>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</si>
  <si>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</si>
  <si>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</si>
  <si>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</si>
  <si>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</si>
  <si>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</si>
  <si>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</si>
  <si>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</si>
  <si>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</si>
  <si>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</si>
  <si>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</si>
  <si>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</si>
  <si>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</si>
  <si>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</si>
  <si>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</si>
  <si>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</si>
  <si>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</si>
  <si>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</si>
  <si>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</si>
  <si>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</si>
  <si>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</si>
  <si>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</si>
  <si>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</si>
  <si>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</si>
  <si>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</si>
  <si>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</si>
  <si>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</si>
  <si>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</si>
  <si>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</si>
  <si>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</si>
  <si>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</si>
  <si>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</si>
  <si>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</si>
  <si>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</si>
  <si>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</si>
  <si>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</si>
  <si>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</si>
  <si>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</si>
  <si>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</si>
  <si>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</si>
  <si>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</si>
  <si>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</si>
  <si>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</si>
  <si>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</si>
  <si>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</si>
  <si>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</si>
  <si>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</si>
  <si>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</si>
  <si>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</si>
  <si>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</si>
  <si>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</si>
  <si>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</si>
  <si>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</si>
  <si>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</si>
  <si>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pino caiu</t>
  </si>
  <si>
    <t>rolamento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</si>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</sst>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72" activePane="bottomLeft" state="frozen"/>
      <selection pane="bottomLeft" activeCell="F593" sqref="F593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0.24791666666666667</v>
      </c>
      <c r="M583" s="71">
        <f t="shared" ca="1" si="126"/>
        <v>2.9166666666666674E-2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 t="s">
        <v>27</v>
      </c>
      <c r="I584" s="61" t="s">
        <v>32</v>
      </c>
      <c r="J584" s="61" t="s">
        <v>43</v>
      </c>
      <c r="K584" s="65">
        <v>0.24791666666666667</v>
      </c>
      <c r="L584" s="65"/>
      <c r="M584" s="66">
        <f t="shared" ca="1" si="126"/>
        <v>1.3167592594982125E-2</v>
      </c>
      <c r="N584" s="80" t="s">
        <v>305</v>
      </c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7.7056481483871009E-2</v>
      </c>
      <c r="N594" s="2" t="s">
        <v>263</v>
      </c>
      <c r="O594" s="74"/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0.15413981481720429</v>
      </c>
      <c r="N595" s="1" t="s">
        <v>266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92" sqref="G592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306</v>
      </c>
      <c r="I1" s="86" t="s">
        <v>22</v>
      </c>
      <c r="J1" s="86" t="s">
        <v>307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0.13955648148112232</v>
      </c>
      <c r="R53" s="80" t="s">
        <v>316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0.27844537037001005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0.36316759259223286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318</v>
      </c>
      <c r="Q96" s="66" t="str">
        <f t="shared" ref="Q96:Q107" ca="1" si="22">IFERROR(IF(O96="","",IF(P96="",MOD(NOW()-O96,1),IF(P96&gt;=O96,P96-O96,P96+1-O96))),"")</f>
        <v/>
      </c>
      <c r="R96" s="80" t="s">
        <v>319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350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351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0</v>
      </c>
      <c r="I592" s="90">
        <f>IFERROR(IF($D592="","",VLOOKUP($D592,Cadastro!$C$4:$G$7,5,FALSE())),"")</f>
        <v>0.6</v>
      </c>
      <c r="J592" s="91">
        <f t="shared" si="150"/>
        <v>0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3" sqref="G593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306</v>
      </c>
      <c r="I1" s="86" t="s">
        <v>22</v>
      </c>
      <c r="J1" s="86" t="s">
        <v>307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365</v>
      </c>
      <c r="Q222" s="66" t="str">
        <f t="shared" ca="1" si="49"/>
        <v/>
      </c>
      <c r="R222" s="63" t="s">
        <v>366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317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380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352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317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375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47"/>
        <v>0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0</v>
      </c>
      <c r="I592" s="90">
        <f>IFERROR(IF($D592="","",VLOOKUP($D592,Cadastro!$C$4:$G$7,5,FALSE())),"")</f>
        <v>0.6</v>
      </c>
      <c r="J592" s="91">
        <f t="shared" si="147"/>
        <v>0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G593" sqref="G593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306</v>
      </c>
      <c r="I1" s="86" t="s">
        <v>22</v>
      </c>
      <c r="J1" s="86" t="s">
        <v>307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423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424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407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408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425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426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427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374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0</v>
      </c>
      <c r="I592" s="90">
        <f>IFERROR(IF($D592="","",VLOOKUP($D592,Cadastro!$C$4:$G$7,5,FALSE())),"")</f>
        <v>0.6</v>
      </c>
      <c r="J592" s="91">
        <f t="shared" si="150"/>
        <v>0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2026-08-23T10:16:30Z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