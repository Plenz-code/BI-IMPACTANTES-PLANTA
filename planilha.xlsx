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48" documentId="8_{AF585B22-221D-4780-BB9C-493D365A6A02}" xr6:coauthVersionLast="47" xr6:coauthVersionMax="47" xr10:uidLastSave="{E4F9BDDD-7036-4A84-9FFD-433510555EC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<sst xmlns="http://schemas.openxmlformats.org/spreadsheetml/2006/main" count="5116" uniqueCount="296">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</sst>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5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5">
      <c r="H2" s="101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5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5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5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5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5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5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5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5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5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5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5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5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5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5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5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5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5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5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5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5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5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5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5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5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5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5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5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5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5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5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5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5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5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5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5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5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5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5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5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5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5">
      <c r="H57" s="101"/>
      <c r="I57" s="17"/>
      <c r="J57" s="17"/>
      <c r="K57" s="17" t="s">
        <v>50</v>
      </c>
      <c r="L57" s="17"/>
      <c r="M57" s="17"/>
    </row>
    <row r="58" spans="1:13" ht="15" customHeight="1" x14ac:dyDescent="0.35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5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5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5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5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5">
      <c r="H63" s="101"/>
      <c r="I63" s="17"/>
      <c r="J63" s="17"/>
      <c r="K63" s="17"/>
      <c r="L63" s="17"/>
      <c r="M63" s="17"/>
    </row>
    <row r="64" spans="1:13" ht="15" customHeight="1" x14ac:dyDescent="0.35">
      <c r="H64" s="101"/>
      <c r="I64" s="16"/>
      <c r="J64" s="16"/>
      <c r="K64" s="16"/>
      <c r="L64" s="16"/>
      <c r="M64" s="16"/>
    </row>
    <row r="65" spans="8:13" ht="15" customHeight="1" x14ac:dyDescent="0.35">
      <c r="H65" s="101"/>
      <c r="I65" s="17"/>
      <c r="J65" s="17"/>
      <c r="K65" s="17"/>
      <c r="L65" s="17"/>
      <c r="M65" s="17"/>
    </row>
    <row r="66" spans="8:13" ht="15" customHeight="1" x14ac:dyDescent="0.35">
      <c r="H66" s="101"/>
      <c r="I66" s="16"/>
      <c r="J66" s="16"/>
      <c r="K66" s="16"/>
      <c r="L66" s="16"/>
      <c r="M66" s="16"/>
    </row>
    <row r="67" spans="8:13" ht="15" customHeight="1" x14ac:dyDescent="0.35">
      <c r="H67" s="101"/>
      <c r="I67" s="17"/>
      <c r="J67" s="17"/>
      <c r="K67" s="17"/>
      <c r="L67" s="17"/>
      <c r="M67" s="17"/>
    </row>
    <row r="68" spans="8:13" ht="15" customHeight="1" x14ac:dyDescent="0.35">
      <c r="H68" s="101"/>
      <c r="I68" s="16"/>
      <c r="J68" s="16"/>
      <c r="K68" s="16"/>
      <c r="L68" s="16"/>
      <c r="M68" s="16"/>
    </row>
    <row r="69" spans="8:13" ht="15" customHeight="1" x14ac:dyDescent="0.35">
      <c r="H69" s="101"/>
      <c r="I69" s="17"/>
      <c r="J69" s="17"/>
      <c r="K69" s="17"/>
      <c r="L69" s="17"/>
      <c r="M69" s="17"/>
    </row>
    <row r="70" spans="8:13" ht="15" customHeight="1" x14ac:dyDescent="0.35">
      <c r="H70" s="101"/>
      <c r="I70" s="16"/>
      <c r="J70" s="16"/>
      <c r="K70" s="16"/>
      <c r="L70" s="16"/>
      <c r="M70" s="16"/>
    </row>
    <row r="71" spans="8:13" ht="15" customHeight="1" x14ac:dyDescent="0.35">
      <c r="H71" s="101"/>
      <c r="I71" s="17"/>
      <c r="J71" s="17"/>
      <c r="K71" s="17"/>
      <c r="L71" s="17"/>
      <c r="M71" s="17"/>
    </row>
    <row r="72" spans="8:13" ht="15" customHeight="1" x14ac:dyDescent="0.35">
      <c r="H72" s="101"/>
      <c r="I72" s="16"/>
      <c r="J72" s="16"/>
      <c r="K72" s="16"/>
      <c r="L72" s="16"/>
      <c r="M72" s="16"/>
    </row>
    <row r="73" spans="8:13" ht="15" customHeight="1" x14ac:dyDescent="0.35">
      <c r="H73" s="101"/>
      <c r="I73" s="17"/>
      <c r="J73" s="17"/>
      <c r="K73" s="17"/>
      <c r="L73" s="17"/>
      <c r="M73" s="17"/>
    </row>
    <row r="74" spans="8:13" ht="15" customHeight="1" x14ac:dyDescent="0.35">
      <c r="H74" s="101"/>
      <c r="I74" s="16"/>
      <c r="J74" s="16"/>
      <c r="K74" s="16"/>
      <c r="L74" s="16"/>
      <c r="M74" s="16"/>
    </row>
    <row r="75" spans="8:13" ht="15" customHeight="1" x14ac:dyDescent="0.35">
      <c r="H75" s="101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70" zoomScaleNormal="70" workbookViewId="0">
      <pane ySplit="1" topLeftCell="A271" activePane="bottomLeft" state="frozen"/>
      <selection pane="bottomLeft" activeCell="L308" sqref="L308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94" t="s">
        <v>215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94" t="s">
        <v>217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 x14ac:dyDescent="0.35">
      <c r="A28" s="91" t="s">
        <v>218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94" t="s">
        <v>215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94" t="s">
        <v>217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 x14ac:dyDescent="0.35">
      <c r="A55" s="91" t="s">
        <v>218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94" t="s">
        <v>215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94" t="s">
        <v>217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 x14ac:dyDescent="0.35">
      <c r="A82" s="91" t="s">
        <v>218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94" t="s">
        <v>215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94" t="s">
        <v>217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 x14ac:dyDescent="0.35">
      <c r="A109" s="91" t="s">
        <v>218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94" t="s">
        <v>215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94" t="s">
        <v>217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 x14ac:dyDescent="0.35">
      <c r="A136" s="91" t="s">
        <v>218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94" t="s">
        <v>215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94" t="s">
        <v>217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 x14ac:dyDescent="0.35">
      <c r="A163" s="91" t="s">
        <v>218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4" t="s">
        <v>215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4" t="s">
        <v>217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 x14ac:dyDescent="0.35">
      <c r="A190" s="91" t="s">
        <v>218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4" t="s">
        <v>215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94" t="s">
        <v>217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 x14ac:dyDescent="0.35">
      <c r="A217" s="91" t="s">
        <v>218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94" t="s">
        <v>215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94" t="s">
        <v>217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 x14ac:dyDescent="0.35">
      <c r="A244" s="91" t="s">
        <v>218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94" t="s">
        <v>215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94" t="s">
        <v>217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 x14ac:dyDescent="0.35">
      <c r="A271" s="91" t="s">
        <v>218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94" t="s">
        <v>215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 x14ac:dyDescent="0.35">
      <c r="A297" s="94" t="s">
        <v>217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 x14ac:dyDescent="0.35">
      <c r="A298" s="91" t="s">
        <v>218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/>
      <c r="M299" s="35">
        <f t="shared" ref="M299:M310" ca="1" si="67">IFERROR(IF(K299="","",IF(L299="",MOD(NOW()-K299,1),IF(L299&gt;=K299,L299-K299,L299+1-K299))),"")</f>
        <v>5.0234953741892241E-3</v>
      </c>
      <c r="N299" s="46" t="s">
        <v>228</v>
      </c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94" t="s">
        <v>215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5.0234953741892241E-3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94" t="s">
        <v>217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1" t="s">
        <v>218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5.0234953741892241E-3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94" t="s">
        <v>215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94" t="s">
        <v>217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1" t="s">
        <v>218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94" t="s">
        <v>215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94" t="s">
        <v>217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1" t="s">
        <v>218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94" t="s">
        <v>215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94" t="s">
        <v>217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1" t="s">
        <v>218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94" t="s">
        <v>215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94" t="s">
        <v>217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5">
      <c r="A433" s="91" t="s">
        <v>218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94" t="s">
        <v>215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94" t="s">
        <v>217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1" t="s">
        <v>218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94" t="s">
        <v>215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94" t="s">
        <v>217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1" t="s">
        <v>218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94" t="s">
        <v>215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94" t="s">
        <v>217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1" t="s">
        <v>218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94" t="s">
        <v>215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94" t="s">
        <v>217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1" t="s">
        <v>218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94" t="s">
        <v>215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94" t="s">
        <v>217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1" t="s">
        <v>218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94" t="s">
        <v>215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94" t="s">
        <v>217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1" t="s">
        <v>218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94" t="s">
        <v>215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94" t="s">
        <v>217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1" t="s">
        <v>218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94" t="s">
        <v>215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94" t="s">
        <v>217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1" t="s">
        <v>218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94" t="s">
        <v>215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94" t="s">
        <v>217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1" t="s">
        <v>218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94" t="s">
        <v>215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94" t="s">
        <v>217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1" t="s">
        <v>218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94" t="s">
        <v>215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94" t="s">
        <v>217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1" t="s">
        <v>218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94" t="s">
        <v>215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94" t="s">
        <v>217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1" t="s">
        <v>218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94" t="s">
        <v>215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94" t="s">
        <v>217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1" t="s">
        <v>218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94" t="s">
        <v>215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94" t="s">
        <v>217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1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70" zoomScaleNormal="70" workbookViewId="0">
      <pane ySplit="1" topLeftCell="A269" activePane="bottomLeft" state="frozen"/>
      <selection pane="bottomLeft" activeCell="I285" sqref="I285:I290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5.54296875" style="20" customWidth="1"/>
    <col min="14" max="14" width="64.5429687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5">
      <c r="A14" s="94" t="s">
        <v>215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5">
      <c r="A27" s="94" t="s">
        <v>217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 x14ac:dyDescent="0.35">
      <c r="A28" s="91" t="s">
        <v>218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94" t="s">
        <v>215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 x14ac:dyDescent="0.3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5">
      <c r="A54" s="94" t="s">
        <v>217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 x14ac:dyDescent="0.35">
      <c r="A55" s="91" t="s">
        <v>218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94" t="s">
        <v>215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94" t="s">
        <v>217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 x14ac:dyDescent="0.35">
      <c r="A82" s="91" t="s">
        <v>218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94" t="s">
        <v>215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94" t="s">
        <v>217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 x14ac:dyDescent="0.35">
      <c r="A109" s="91" t="s">
        <v>218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94" t="s">
        <v>215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94" t="s">
        <v>217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 x14ac:dyDescent="0.35">
      <c r="A136" s="91" t="s">
        <v>218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94" t="s">
        <v>215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94" t="s">
        <v>217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 x14ac:dyDescent="0.35">
      <c r="A163" s="91" t="s">
        <v>218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94" t="s">
        <v>215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94" t="s">
        <v>217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 x14ac:dyDescent="0.35">
      <c r="A190" s="91" t="s">
        <v>218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94" t="s">
        <v>215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94" t="s">
        <v>217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 x14ac:dyDescent="0.35">
      <c r="A217" s="91" t="s">
        <v>218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94" t="s">
        <v>217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 x14ac:dyDescent="0.35">
      <c r="A244" s="91" t="s">
        <v>218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94" t="s">
        <v>215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94" t="s">
        <v>217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 x14ac:dyDescent="0.35">
      <c r="A271" s="91" t="s">
        <v>218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94" t="s">
        <v>215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94" t="s">
        <v>217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 x14ac:dyDescent="0.35">
      <c r="A298" s="91" t="s">
        <v>218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94" t="s">
        <v>215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78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94" t="s">
        <v>217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 x14ac:dyDescent="0.35">
      <c r="A325" s="91" t="s">
        <v>218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84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94" t="s">
        <v>215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94" t="s">
        <v>217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 x14ac:dyDescent="0.35">
      <c r="A352" s="91" t="s">
        <v>218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94" t="s">
        <v>215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94" t="s">
        <v>217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 x14ac:dyDescent="0.35">
      <c r="A379" s="91" t="s">
        <v>218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94" t="s">
        <v>215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94" t="s">
        <v>217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 x14ac:dyDescent="0.35">
      <c r="A406" s="91" t="s">
        <v>218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94" t="s">
        <v>215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94" t="s">
        <v>217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 x14ac:dyDescent="0.35">
      <c r="A433" s="91" t="s">
        <v>218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94" t="s">
        <v>215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94" t="s">
        <v>217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 x14ac:dyDescent="0.35">
      <c r="A460" s="91" t="s">
        <v>218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94" t="s">
        <v>215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94" t="s">
        <v>217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 x14ac:dyDescent="0.35">
      <c r="A487" s="91" t="s">
        <v>218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94" t="s">
        <v>215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94" t="s">
        <v>217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 x14ac:dyDescent="0.35">
      <c r="A514" s="91" t="s">
        <v>218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94" t="s">
        <v>215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94" t="s">
        <v>217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 x14ac:dyDescent="0.35">
      <c r="A541" s="91" t="s">
        <v>218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94" t="s">
        <v>215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94" t="s">
        <v>217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 x14ac:dyDescent="0.35">
      <c r="A568" s="91" t="s">
        <v>218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94" t="s">
        <v>215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94" t="s">
        <v>217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 x14ac:dyDescent="0.35">
      <c r="A595" s="91" t="s">
        <v>218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94" t="s">
        <v>215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94" t="s">
        <v>217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 x14ac:dyDescent="0.35">
      <c r="A622" s="91" t="s">
        <v>218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94" t="s">
        <v>215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94" t="s">
        <v>217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 x14ac:dyDescent="0.35">
      <c r="A649" s="91" t="s">
        <v>218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94" t="s">
        <v>215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94" t="s">
        <v>217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 x14ac:dyDescent="0.35">
      <c r="A676" s="91" t="s">
        <v>218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94" t="s">
        <v>215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94" t="s">
        <v>217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 x14ac:dyDescent="0.35">
      <c r="A703" s="91" t="s">
        <v>218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94" t="s">
        <v>215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94" t="s">
        <v>217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 x14ac:dyDescent="0.35">
      <c r="A730" s="91" t="s">
        <v>218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94" t="s">
        <v>215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94" t="s">
        <v>217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1" t="s">
        <v>218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94" t="s">
        <v>215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94" t="s">
        <v>217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1" t="s">
        <v>218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94" t="s">
        <v>215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94" t="s">
        <v>217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1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80" zoomScale="70" zoomScaleNormal="70" workbookViewId="0">
      <selection activeCell="F300" sqref="F300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39.269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94" t="s">
        <v>215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5">
      <c r="A27" s="94" t="s">
        <v>217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 x14ac:dyDescent="0.35">
      <c r="A28" s="91" t="s">
        <v>218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94" t="s">
        <v>215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94" t="s">
        <v>217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 x14ac:dyDescent="0.35">
      <c r="A55" s="91" t="s">
        <v>218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94" t="s">
        <v>215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94" t="s">
        <v>217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 x14ac:dyDescent="0.35">
      <c r="A82" s="91" t="s">
        <v>218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94" t="s">
        <v>215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94" t="s">
        <v>217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 x14ac:dyDescent="0.35">
      <c r="A109" s="91" t="s">
        <v>218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94" t="s">
        <v>215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94" t="s">
        <v>217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 x14ac:dyDescent="0.35">
      <c r="A136" s="91" t="s">
        <v>218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4" t="s">
        <v>215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4" t="s">
        <v>217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 x14ac:dyDescent="0.35">
      <c r="A163" s="91" t="s">
        <v>218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4" t="s">
        <v>215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4" t="s">
        <v>217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 x14ac:dyDescent="0.35">
      <c r="A190" s="91" t="s">
        <v>218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4" t="s">
        <v>215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94" t="s">
        <v>217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 x14ac:dyDescent="0.35">
      <c r="A217" s="91" t="s">
        <v>218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94" t="s">
        <v>215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94" t="s">
        <v>217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 x14ac:dyDescent="0.35">
      <c r="A244" s="91" t="s">
        <v>218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94" t="s">
        <v>215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94" t="s">
        <v>217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 x14ac:dyDescent="0.35">
      <c r="A271" s="91" t="s">
        <v>218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94" t="s">
        <v>215</v>
      </c>
      <c r="B284" s="95"/>
      <c r="C284" s="95"/>
      <c r="D284" s="95"/>
      <c r="E284" s="96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94" t="s">
        <v>217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 x14ac:dyDescent="0.35">
      <c r="A298" s="91" t="s">
        <v>218</v>
      </c>
      <c r="B298" s="92"/>
      <c r="C298" s="92"/>
      <c r="D298" s="92"/>
      <c r="E298" s="93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94" t="s">
        <v>215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94" t="s">
        <v>217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1" t="s">
        <v>218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94" t="s">
        <v>215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94" t="s">
        <v>217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1" t="s">
        <v>218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94" t="s">
        <v>215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94" t="s">
        <v>217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1" t="s">
        <v>218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94" t="s">
        <v>215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94" t="s">
        <v>217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1" t="s">
        <v>218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94" t="s">
        <v>215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94" t="s">
        <v>217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5">
      <c r="A433" s="91" t="s">
        <v>218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94" t="s">
        <v>215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94" t="s">
        <v>217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1" t="s">
        <v>218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94" t="s">
        <v>215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94" t="s">
        <v>217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1" t="s">
        <v>218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94" t="s">
        <v>215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94" t="s">
        <v>217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1" t="s">
        <v>218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94" t="s">
        <v>215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94" t="s">
        <v>217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1" t="s">
        <v>218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94" t="s">
        <v>215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94" t="s">
        <v>217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1" t="s">
        <v>218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94" t="s">
        <v>215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94" t="s">
        <v>217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1" t="s">
        <v>218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94" t="s">
        <v>215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94" t="s">
        <v>217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1" t="s">
        <v>218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94" t="s">
        <v>215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94" t="s">
        <v>217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1" t="s">
        <v>218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94" t="s">
        <v>215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94" t="s">
        <v>217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1" t="s">
        <v>218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94" t="s">
        <v>215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94" t="s">
        <v>217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1" t="s">
        <v>218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94" t="s">
        <v>215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94" t="s">
        <v>217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1" t="s">
        <v>218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94" t="s">
        <v>215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94" t="s">
        <v>217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1" t="s">
        <v>218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94" t="s">
        <v>215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94" t="s">
        <v>217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1" t="s">
        <v>218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94" t="s">
        <v>215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94" t="s">
        <v>217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1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43.5429687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94" t="s">
        <v>215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94" t="s">
        <v>217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 x14ac:dyDescent="0.35">
      <c r="A28" s="91" t="s">
        <v>218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94" t="s">
        <v>215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5">
      <c r="A54" s="94" t="s">
        <v>217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 x14ac:dyDescent="0.35">
      <c r="A55" s="91" t="s">
        <v>218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94" t="s">
        <v>215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94" t="s">
        <v>217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 x14ac:dyDescent="0.35">
      <c r="A82" s="91" t="s">
        <v>218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94" t="s">
        <v>215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94" t="s">
        <v>217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 x14ac:dyDescent="0.35">
      <c r="A109" s="91" t="s">
        <v>218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94" t="s">
        <v>215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0.10571793981944211</v>
      </c>
      <c r="N128" s="27"/>
      <c r="O128" s="60"/>
    </row>
    <row r="129" spans="1:18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5">
      <c r="A135" s="94" t="s">
        <v>217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0.30502349537499773</v>
      </c>
      <c r="N135" s="36" t="s">
        <v>216</v>
      </c>
      <c r="O135" s="39">
        <v>729290</v>
      </c>
    </row>
    <row r="136" spans="1:18" ht="18" customHeight="1" x14ac:dyDescent="0.35">
      <c r="A136" s="91" t="s">
        <v>218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0.67238460648610876</v>
      </c>
      <c r="N136" s="40" t="s">
        <v>219</v>
      </c>
      <c r="O136" s="48">
        <f>IFERROR(O122+O135,"")</f>
        <v>1003740</v>
      </c>
    </row>
    <row r="137" spans="1:18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4" t="s">
        <v>215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4" t="s">
        <v>217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 x14ac:dyDescent="0.35">
      <c r="A163" s="91" t="s">
        <v>218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4" t="s">
        <v>215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4" t="s">
        <v>217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 x14ac:dyDescent="0.35">
      <c r="A190" s="91" t="s">
        <v>218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4" t="s">
        <v>215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94" t="s">
        <v>217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 x14ac:dyDescent="0.35">
      <c r="A217" s="91" t="s">
        <v>218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94" t="s">
        <v>215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94" t="s">
        <v>217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 x14ac:dyDescent="0.35">
      <c r="A244" s="91" t="s">
        <v>218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94" t="s">
        <v>215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94" t="s">
        <v>217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 x14ac:dyDescent="0.35">
      <c r="A271" s="91" t="s">
        <v>218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94" t="s">
        <v>215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 x14ac:dyDescent="0.3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94" t="s">
        <v>217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 x14ac:dyDescent="0.35">
      <c r="A298" s="91" t="s">
        <v>218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 x14ac:dyDescent="0.3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6.3356828708492685E-2</v>
      </c>
      <c r="N299" s="27" t="s">
        <v>295</v>
      </c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94" t="s">
        <v>215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6.3356828708492685E-2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94" t="s">
        <v>217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1" t="s">
        <v>218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6.3356828708492685E-2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94" t="s">
        <v>215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94" t="s">
        <v>217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1" t="s">
        <v>218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94" t="s">
        <v>215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94" t="s">
        <v>217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1" t="s">
        <v>218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94" t="s">
        <v>215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94" t="s">
        <v>217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1" t="s">
        <v>218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94" t="s">
        <v>215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94" t="s">
        <v>217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 x14ac:dyDescent="0.35">
      <c r="A433" s="91" t="s">
        <v>218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94" t="s">
        <v>215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94" t="s">
        <v>217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1" t="s">
        <v>218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94" t="s">
        <v>215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94" t="s">
        <v>217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1" t="s">
        <v>218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94" t="s">
        <v>215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94" t="s">
        <v>217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1" t="s">
        <v>218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94" t="s">
        <v>215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94" t="s">
        <v>217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1" t="s">
        <v>218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94" t="s">
        <v>215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94" t="s">
        <v>217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1" t="s">
        <v>218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94" t="s">
        <v>215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94" t="s">
        <v>217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1" t="s">
        <v>218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94" t="s">
        <v>215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94" t="s">
        <v>217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1" t="s">
        <v>218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94" t="s">
        <v>215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94" t="s">
        <v>217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1" t="s">
        <v>218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94" t="s">
        <v>215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94" t="s">
        <v>217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1" t="s">
        <v>218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94" t="s">
        <v>215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94" t="s">
        <v>217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1" t="s">
        <v>218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94" t="s">
        <v>215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94" t="s">
        <v>217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1" t="s">
        <v>218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94" t="s">
        <v>215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94" t="s">
        <v>217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1" t="s">
        <v>218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94" t="s">
        <v>215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94" t="s">
        <v>217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1" t="s">
        <v>218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94" t="s">
        <v>215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94" t="s">
        <v>217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1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2026-07-12T12:37:23Z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