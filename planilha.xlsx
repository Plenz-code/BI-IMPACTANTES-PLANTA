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50" documentId="8_{C51EB6CB-002B-4D6B-B68F-DDEBDB4460C0}" xr6:coauthVersionLast="47" xr6:coauthVersionMax="47" xr10:uidLastSave="{8919D546-0D82-415E-BE24-2089AD93D9DA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G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<sst xmlns="http://schemas.openxmlformats.org/spreadsheetml/2006/main" count="3221" uniqueCount="277">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</sst>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14" activePane="bottomLeft" state="frozen"/>
      <selection pane="bottomLeft" activeCell="E148" sqref="E1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2875180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229</v>
      </c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>
        <v>0.32847222222222222</v>
      </c>
      <c r="M137" s="35" t="str">
        <f t="shared" ref="M137:M148" ca="1" si="31">IFERROR(IF(K137="","",IF(L137="",MOD(NOW()-K137,1),IF(L137&gt;=K137,L137-K137,L137+1-K137))),"")</f>
        <v/>
      </c>
      <c r="N137" s="27" t="s">
        <v>241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229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229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229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229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229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229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229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229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229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229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229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12" t="s">
        <v>234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21" activePane="bottomLeft" state="frozen"/>
      <selection pane="bottomLeft" activeCell="I138" sqref="I1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0.22122418980870862</v>
      </c>
      <c r="N53" s="46" t="s">
        <v>251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0.36011307869759751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0.44483530091981982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242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242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242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242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242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242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242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242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253</v>
      </c>
      <c r="E83" s="59" t="s">
        <v>242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254</v>
      </c>
      <c r="M96" s="30" t="str">
        <f t="shared" ref="M96:M107" ca="1" si="22">IFERROR(IF(K96="","",IF(L96="",MOD(NOW()-K96,1),IF(L96&gt;=K96,L96-K96,L96+1-K96))),"")</f>
        <v/>
      </c>
      <c r="N96" s="46" t="s">
        <v>255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>
        <v>756720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21</v>
      </c>
      <c r="G137" s="34">
        <f t="shared" ref="G137:G148" si="30"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 t="s">
        <v>20</v>
      </c>
      <c r="I138" s="26" t="s">
        <v>39</v>
      </c>
      <c r="J138" s="26"/>
      <c r="K138" s="29">
        <v>0.3347222222222222</v>
      </c>
      <c r="L138" s="29">
        <v>0.33750000000000002</v>
      </c>
      <c r="M138" s="30">
        <f t="shared" ca="1" si="31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21</v>
      </c>
      <c r="G149" s="36">
        <f>SUM(G137:G148)</f>
        <v>88.2</v>
      </c>
      <c r="H149" s="37"/>
      <c r="I149" s="37"/>
      <c r="J149" s="37"/>
      <c r="K149" s="37"/>
      <c r="L149" s="37"/>
      <c r="M149" s="38">
        <f ca="1">IFERROR(SUM(M137:M148),"")</f>
        <v>1.3194444444444453E-2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21</v>
      </c>
      <c r="G163" s="40">
        <f>G149+G162</f>
        <v>88.2</v>
      </c>
      <c r="H163" s="41"/>
      <c r="I163" s="41"/>
      <c r="J163" s="41"/>
      <c r="K163" s="41"/>
      <c r="L163" s="41"/>
      <c r="M163" s="42">
        <f ca="1">IFERROR(M149+M162,"")</f>
        <v>1.3194444444444453E-2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L138" sqref="L1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>
        <v>416350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267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3</v>
      </c>
      <c r="G149" s="36">
        <f>SUM(G137:G148)</f>
        <v>12.600000000000001</v>
      </c>
      <c r="H149" s="37"/>
      <c r="I149" s="37"/>
      <c r="J149" s="37"/>
      <c r="K149" s="37"/>
      <c r="L149" s="37"/>
      <c r="M149" s="38">
        <f ca="1">IFERROR(SUM(M137:M148),"")</f>
        <v>2.083333333333337E-2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3</v>
      </c>
      <c r="G163" s="40">
        <f>G149+G162</f>
        <v>12.600000000000001</v>
      </c>
      <c r="H163" s="41"/>
      <c r="I163" s="41"/>
      <c r="J163" s="41"/>
      <c r="K163" s="41"/>
      <c r="L163" s="41"/>
      <c r="M163" s="42">
        <f ca="1">IFERROR(M149+M162,"")</f>
        <v>2.083333333333337E-2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2" activePane="bottomLeft" state="frozen"/>
      <selection pane="bottomLeft" activeCell="J137" sqref="J1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242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259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>
        <v>912240</v>
      </c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230</v>
      </c>
      <c r="B149" s="88"/>
      <c r="C149" s="88"/>
      <c r="D149" s="88"/>
      <c r="E149" s="89">
        <f>SUM(E137:E148)</f>
        <v>0</v>
      </c>
      <c r="F149" s="36">
        <f>SUM(F137:F148)</f>
        <v>20</v>
      </c>
      <c r="G149" s="36">
        <f>SUM(G137:G148)</f>
        <v>84</v>
      </c>
      <c r="H149" s="37"/>
      <c r="I149" s="37"/>
      <c r="J149" s="37"/>
      <c r="K149" s="61"/>
      <c r="L149" s="61"/>
      <c r="M149" s="38">
        <f ca="1">IFERROR(SUM(M137:M148),"")</f>
        <v>1.041666666666663E-2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20</v>
      </c>
      <c r="G163" s="40">
        <f>G149+G162</f>
        <v>84</v>
      </c>
      <c r="H163" s="41"/>
      <c r="I163" s="41"/>
      <c r="J163" s="41"/>
      <c r="K163" s="63"/>
      <c r="L163" s="63"/>
      <c r="M163" s="42">
        <f ca="1">IFERROR(M149+M162,"")</f>
        <v>1.041666666666663E-2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2026-08-06T12:13:39Z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