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42" documentId="8_{AF585B22-221D-4780-BB9C-493D365A6A02}" xr6:coauthVersionLast="47" xr6:coauthVersionMax="47" xr10:uidLastSave="{7BD7218E-C2DD-41A3-A989-53CE54BB393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<sst xmlns="http://schemas.openxmlformats.org/spreadsheetml/2006/main" count="6145" uniqueCount="315">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</sst>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5" sqref="F3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130</v>
      </c>
      <c r="G378" s="36">
        <f>SUM(G366:G377)</f>
        <v>650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405</v>
      </c>
      <c r="G379" s="40">
        <f>G365+G378</f>
        <v>2025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93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0.12569444444444444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251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0.23541666666666661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75" sqref="F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95</v>
      </c>
      <c r="G378" s="36">
        <f>SUM(G366:G377)</f>
        <v>399.00000000000006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104</v>
      </c>
      <c r="G379" s="40">
        <f>G365+G378</f>
        <v>436.80000000000007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46" activePane="bottomLeft" state="frozen"/>
      <selection pane="bottomLeft" activeCell="L377" sqref="L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0.92360462963551981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1.1229101851910754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1.4902712963021865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141</v>
      </c>
      <c r="G378" s="36">
        <f>SUM(G366:G377)</f>
        <v>592.19999999999993</v>
      </c>
      <c r="H378" s="37"/>
      <c r="I378" s="37"/>
      <c r="J378" s="37"/>
      <c r="K378" s="61"/>
      <c r="L378" s="61"/>
      <c r="M378" s="38">
        <f ca="1">IFERROR(SUM(M366:M377),"")</f>
        <v>8.680555555555565E-2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266</v>
      </c>
      <c r="G379" s="40">
        <f>G365+G378</f>
        <v>1117.1999999999998</v>
      </c>
      <c r="H379" s="41"/>
      <c r="I379" s="41"/>
      <c r="J379" s="41"/>
      <c r="K379" s="63"/>
      <c r="L379" s="63"/>
      <c r="M379" s="42">
        <f ca="1">IFERROR(M365+M378,"")</f>
        <v>0.19166666666666682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