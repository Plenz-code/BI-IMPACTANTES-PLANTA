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8105" documentId="8_{1D11E9C4-FEA4-4128-910F-91CB6BBF9255}" xr6:coauthVersionLast="47" xr6:coauthVersionMax="47" xr10:uidLastSave="{10054CAD-C547-4DCE-9C44-71F36CC6CE43}"/>
  <bookViews>
    <workbookView xWindow="-110" yWindow="-110" windowWidth="25820" windowHeight="15500" tabRatio="500" firstSheet="3" activeTab="2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75" i="5" l="1"/>
  <c r="F773" i="2"/>
  <c r="F772" i="3"/>
  <c r="F747" i="5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<sst xmlns="http://schemas.openxmlformats.org/spreadsheetml/2006/main" count="8417" uniqueCount="376">
  <si>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</si>
  <si>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</si>
  <si>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</si>
  <si>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</si>
  <si>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</si>
  <si>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</si>
  <si>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</si>
  <si>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</si>
  <si>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</si>
  <si>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</si>
  <si>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</si>
  <si>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</si>
  <si>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</si>
  <si>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</si>
  <si>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</si>
  <si>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</si>
  <si>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</si>
  <si>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</si>
  <si>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</si>
  <si>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</si>
  <si>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</si>
  <si>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</si>
  <si>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</si>
  <si>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</si>
  <si>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</si>
  <si>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</si>
  <si>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</si>
  <si>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</si>
  <si>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</si>
  <si>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</si>
  <si>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</si>
  <si>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</si>
  <si>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</si>
  <si>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</si>
  <si>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</si>
  <si>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</si>
  <si>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</si>
  <si>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</si>
  <si>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</si>
  <si>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</si>
  <si>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</si>
  <si>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</si>
  <si>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</si>
  <si>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</si>
  <si>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</si>
  <si>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</si>
  <si>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</si>
  <si>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</si>
  <si>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</si>
  <si>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</si>
  <si>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</si>
  <si>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</si>
  <si>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</si>
  <si>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</si>
  <si>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</si>
  <si>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</si>
  <si>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</si>
  <si>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</si>
  <si>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</si>
  <si>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</si>
  <si>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</si>
  <si>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</si>
  <si>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</si>
  <si>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</si>
  <si>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</si>
  <si>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</si>
  <si>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</si>
  <si>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</si>
  <si>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</si>
  <si>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</si>
  <si>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</si>
  <si>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</si>
  <si>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</si>
  <si>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</si>
  <si>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</si>
  <si>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</si>
  <si>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</si>
  <si>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</si>
  <si>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</si>
  <si>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</si>
  <si>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</si>
  <si>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</si>
  <si>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</si>
  <si>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</si>
  <si>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</si>
  <si>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</si>
  <si>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</si>
  <si>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</si>
  <si>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</si>
  <si>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</si>
  <si>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</si>
  <si>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</si>
  <si>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</si>
  <si>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</si>
  <si>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</si>
  <si>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</si>
  <si>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</si>
  <si>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</si>
  <si>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</si>
  <si>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</si>
  <si>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</si>
  <si>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</si>
  <si>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</si>
  <si>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</si>
  <si>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</si>
  <si>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</si>
  <si>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</si>
  <si>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</si>
  <si>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</si>
  <si>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</si>
  <si>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</si>
  <si>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</si>
  <si>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</si>
  <si>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</si>
  <si>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</si>
  <si>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</si>
  <si>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</si>
  <si>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</si>
  <si>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</si>
  <si>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</si>
  <si>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</si>
  <si>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</si>
  <si>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</si>
  <si>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</si>
  <si>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</si>
  <si>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</si>
  <si>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</si>
  <si>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</si>
  <si>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</si>
  <si>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</si>
  <si>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</si>
  <si>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</si>
  <si>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</si>
  <si>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</si>
  <si>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</si>
  <si>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</si>
  <si>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</si>
  <si>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</si>
  <si>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</si>
  <si>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</si>
  <si>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</si>
  <si>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</si>
  <si>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</si>
  <si>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</si>
  <si>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</si>
  <si>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</si>
  <si>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</si>
  <si>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</si>
  <si>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</si>
  <si>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</si>
  <si>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</si>
  <si>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</si>
  <si>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</si>
  <si>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</si>
  <si>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</si>
  <si>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</si>
  <si>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</si>
  <si>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</si>
  <si>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</si>
  <si>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</si>
  <si>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</si>
  <si>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</si>
  <si>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</si>
  <si>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</si>
  <si>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</si>
  <si>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</si>
  <si>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</si>
  <si>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</si>
  <si>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</si>
  <si>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</si>
  <si>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</si>
  <si>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</si>
  <si>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</si>
  <si>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</si>
  <si>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Material atrapalhando a troca do componente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</si>
  <si>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</si>
  <si>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</si>
  <si>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</si>
  <si>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</si>
  <si>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</si>
  <si>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Colocamento da trava da tampa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</si>
  <si>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</si>
  <si>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</si>
  <si>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</si>
  <si>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</si>
  <si>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</si>
  <si>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</si>
  <si>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</si>
  <si>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</si>
  <si>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</si>
  <si>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</si>
  <si>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</si>
  <si>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</si>
  <si>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</si>
  <si>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</si>
  <si>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</si>
  <si>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</si>
  <si>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</si>
  <si>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</si>
  <si>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</si>
  <si>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</si>
  <si>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</si>
  <si>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</si>
  <si>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</si>
  <si>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</si>
  <si>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</si>
  <si>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</si>
  <si>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</si>
  <si>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</si>
  <si>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</si>
  <si>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</si>
  <si>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</si>
  <si>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</si>
  <si>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</si>
  <si>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</si>
  <si>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</si>
  <si>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</si>
  <si>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</si>
  <si>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</si>
  <si>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</si>
  <si>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</si>
  <si>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</si>
  <si>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</si>
  <si>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</si>
  <si>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</si>
  <si>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</si>
  <si>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</si>
  <si>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</si>
  <si>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</si>
  <si>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</si>
  <si>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</si>
  <si>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</si>
  <si>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</si>
  <si>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</si>
  <si>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</si>
  <si>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</si>
  <si>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</si>
  <si>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</si>
  <si>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</si>
  <si>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</si>
  <si>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</si>
  <si>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</si>
  <si>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</si>
  <si>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</si>
  <si>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</si>
  <si>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</si>
  <si>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</si>
  <si>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</si>
  <si>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</si>
  <si>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</si>
  <si>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</si>
  <si>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</si>
  <si>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</si>
  <si>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</si>
  <si>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</si>
  <si>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</si>
  <si>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</si>
  <si>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</si>
  <si>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</si>
  <si>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</si>
  <si>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</si>
  <si>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</si>
  <si>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</si>
  <si>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</si>
  <si>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</si>
  <si>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</si>
  <si>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</si>
  <si>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</si>
  <si>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</si>
  <si>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</si>
  <si>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</si>
  <si>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</si>
  <si>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</si>
  <si>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</si>
  <si>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</si>
  <si>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</si>
  <si>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</si>
  <si>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</si>
  <si>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</si>
  <si>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</si>
  <si>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</si>
  <si>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</si>
  <si>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</si>
  <si>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</si>
  <si>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</si>
  <si>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</si>
  <si>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</si>
  <si>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</si>
  <si>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</si>
  <si>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</si>
  <si>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</si>
  <si>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</si>
  <si>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</si>
  <si>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</si>
  <si>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</si>
  <si>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</si>
  <si>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</si>
  <si>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</si>
  <si>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</si>
  <si>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</si>
  <si>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</si>
  <si>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</si>
  <si>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</si>
  <si>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</si>
  <si>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</si>
  <si>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troca de rolamento mm1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</si>
  <si>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</si>
  <si>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</si>
  <si>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</si>
  <si>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</si>
  <si>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</si>
  <si>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</si>
  <si>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</si>
  <si>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</si>
  <si>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</si>
  <si>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</si>
  <si>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</si>
  <si>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</si>
  <si>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</si>
  <si>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</si>
  <si>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</si>
  <si>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</si>
  <si>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</si>
  <si>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</si>
  <si>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troca de martelo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</si>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</sst>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15" sqref="G15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928270</v>
      </c>
      <c r="D32" s="49">
        <f>IFERROR('Linha 1'!N784,"")</f>
        <v>309470</v>
      </c>
      <c r="E32" s="49">
        <f>IFERROR('Linha 2'!N784,"")</f>
        <v>216400</v>
      </c>
      <c r="F32" s="49">
        <f>IFERROR('Linha 3'!N784,"")</f>
        <v>769540</v>
      </c>
      <c r="G32" s="50">
        <f t="shared" si="0"/>
        <v>1295410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49730180</v>
      </c>
      <c r="D34" s="55">
        <f t="shared" si="1"/>
        <v>24507090</v>
      </c>
      <c r="E34" s="55">
        <f t="shared" si="1"/>
        <v>9873850</v>
      </c>
      <c r="F34" s="55">
        <f t="shared" si="1"/>
        <v>28584285</v>
      </c>
      <c r="G34" s="55">
        <f t="shared" si="1"/>
        <v>62965225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32" zoomScale="85" zoomScaleNormal="85" workbookViewId="0">
      <selection activeCell="M46" sqref="M4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6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6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6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6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6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6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6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6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6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6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6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6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6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6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6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6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6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6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6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6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6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 t="s">
        <v>174</v>
      </c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175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176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177</v>
      </c>
      <c r="L48" s="3"/>
      <c r="M48" s="3"/>
    </row>
    <row r="49" spans="1:13" ht="18" customHeight="1">
      <c r="H49" s="106"/>
      <c r="I49" s="4"/>
      <c r="J49" s="4"/>
      <c r="K49" s="4" t="s">
        <v>178</v>
      </c>
      <c r="L49" s="4"/>
      <c r="M49" s="4"/>
    </row>
    <row r="50" spans="1:13" ht="21" customHeight="1">
      <c r="A50" s="6" t="s">
        <v>179</v>
      </c>
      <c r="B50" s="6"/>
      <c r="C50" s="6"/>
      <c r="D50" s="6"/>
      <c r="E50" s="6"/>
      <c r="F50" s="6"/>
      <c r="G50" s="6"/>
      <c r="H50" s="106"/>
      <c r="I50" s="3"/>
      <c r="J50" s="3"/>
      <c r="K50" s="3" t="s">
        <v>180</v>
      </c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tabSelected="1" zoomScale="80" zoomScaleNormal="80" workbookViewId="0">
      <pane ySplit="1" topLeftCell="A764" activePane="bottomLeft" state="frozen"/>
      <selection pane="bottomLeft" activeCell="E776" sqref="E776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183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190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191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192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193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192</v>
      </c>
      <c r="N27" s="20">
        <v>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195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196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191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192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193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192</v>
      </c>
      <c r="N54" s="20">
        <v>125660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195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191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192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193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192</v>
      </c>
      <c r="N81" s="20">
        <v>580300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195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190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191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192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197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196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193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192</v>
      </c>
      <c r="N108" s="20">
        <v>652520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195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198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191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192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193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192</v>
      </c>
      <c r="N135" s="20">
        <v>909050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195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190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191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192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193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192</v>
      </c>
      <c r="N162" s="27">
        <v>1048880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195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198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199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191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192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193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192</v>
      </c>
      <c r="N189" s="20">
        <v>797540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195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198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200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191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192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193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192</v>
      </c>
      <c r="N216" s="28">
        <v>203080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195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191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192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193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192</v>
      </c>
      <c r="N243" s="20">
        <v>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195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191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192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193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192</v>
      </c>
      <c r="N270" s="20">
        <f>346400+269080</f>
        <v>615480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195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201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191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192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193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192</v>
      </c>
      <c r="N297" s="20">
        <f>35160+383610</f>
        <v>418770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195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202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191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192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203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193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192</v>
      </c>
      <c r="N324" s="20">
        <f>411220+466620</f>
        <v>877840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195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204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191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192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193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192</v>
      </c>
      <c r="N351" s="20"/>
    </row>
    <row r="352" spans="1:14" ht="18" customHeight="1">
      <c r="A352" s="98" t="s">
        <v>194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195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205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191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192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206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207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193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192</v>
      </c>
      <c r="N378" s="20">
        <v>1299920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195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191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192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193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192</v>
      </c>
      <c r="N405" s="20">
        <v>1342790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195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208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191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192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209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193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192</v>
      </c>
      <c r="N432" s="20">
        <v>963120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195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191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192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193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192</v>
      </c>
      <c r="N459" s="20">
        <v>534910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195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210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211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191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192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193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192</v>
      </c>
      <c r="N486" s="20">
        <v>557170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195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191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192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212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193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192</v>
      </c>
      <c r="N513" s="20">
        <v>701090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195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213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213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214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191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192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193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192</v>
      </c>
      <c r="N540" s="20">
        <v>915770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195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215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216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217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191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192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193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192</v>
      </c>
      <c r="N567" s="20">
        <v>636740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195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218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219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191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192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220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193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192</v>
      </c>
      <c r="N594" s="20">
        <v>394820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195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221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222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222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223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191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192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224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175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193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192</v>
      </c>
      <c r="N621" s="20">
        <v>587370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195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176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191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192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225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193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192</v>
      </c>
      <c r="N648" s="20">
        <v>635110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195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191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192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193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192</v>
      </c>
      <c r="N675" s="20">
        <v>1608610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195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176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178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226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227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191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192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193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192</v>
      </c>
      <c r="N702" s="20">
        <f>316300+609860</f>
        <v>926160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195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228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229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191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192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193</v>
      </c>
      <c r="B729" s="108"/>
      <c r="C729" s="108"/>
      <c r="D729" s="108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192</v>
      </c>
      <c r="N729" s="20">
        <v>706600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195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191</v>
      </c>
      <c r="B743" s="108"/>
      <c r="C743" s="108"/>
      <c r="D743" s="108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192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193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1646670</v>
      </c>
    </row>
    <row r="757" spans="1:14" ht="18" customHeight="1">
      <c r="A757" s="22" t="s">
        <v>194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195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180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230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231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 t="s">
        <v>20</v>
      </c>
      <c r="H760" s="10" t="s">
        <v>23</v>
      </c>
      <c r="I760" s="10" t="s">
        <v>173</v>
      </c>
      <c r="J760" s="13">
        <v>0.6875</v>
      </c>
      <c r="K760" s="13">
        <v>0.72569444444444442</v>
      </c>
      <c r="L760" s="70">
        <f t="shared" si="172"/>
        <v>3.819444444444442E-2</v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>
        <v>20</v>
      </c>
      <c r="F766" s="12">
        <f t="shared" si="171"/>
        <v>100</v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>
        <v>4</v>
      </c>
      <c r="F767" s="17">
        <f t="shared" si="171"/>
        <v>20</v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>
        <v>16</v>
      </c>
      <c r="F768" s="12">
        <f t="shared" si="171"/>
        <v>80</v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>
        <v>0</v>
      </c>
      <c r="F769" s="17">
        <f t="shared" si="171"/>
        <v>0</v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191</v>
      </c>
      <c r="B770" s="82"/>
      <c r="C770" s="82"/>
      <c r="D770" s="82"/>
      <c r="E770" s="19">
        <f>SUM(E758:E769)</f>
        <v>146</v>
      </c>
      <c r="F770" s="19">
        <f>SUM(F758:F769)</f>
        <v>730</v>
      </c>
      <c r="G770" s="18"/>
      <c r="H770" s="18"/>
      <c r="I770" s="18"/>
      <c r="J770" s="18"/>
      <c r="K770" s="18"/>
      <c r="L770" s="72">
        <f>IFERROR(SUM(L758:L769),"")</f>
        <v>0.17847222222222225</v>
      </c>
      <c r="M770" s="19" t="s">
        <v>192</v>
      </c>
      <c r="N770" s="20">
        <v>928270</v>
      </c>
    </row>
    <row r="771" spans="1:14" ht="15" customHeight="1">
      <c r="A771" s="59">
        <v>46202</v>
      </c>
      <c r="B771" s="15">
        <v>0.83333333333333304</v>
      </c>
      <c r="C771" s="10" t="s">
        <v>45</v>
      </c>
      <c r="D771" s="16" t="s">
        <v>30</v>
      </c>
      <c r="E771" s="11">
        <v>20</v>
      </c>
      <c r="F771" s="17">
        <f t="shared" ref="F771:F782" si="174">IF(E771="","",E771*5)</f>
        <v>100</v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 t="s">
        <v>45</v>
      </c>
      <c r="D772" s="16" t="s">
        <v>30</v>
      </c>
      <c r="E772" s="11">
        <v>28</v>
      </c>
      <c r="F772" s="12">
        <f t="shared" si="174"/>
        <v>140</v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0" t="s">
        <v>45</v>
      </c>
      <c r="D773" s="16" t="s">
        <v>30</v>
      </c>
      <c r="E773" s="11">
        <v>0</v>
      </c>
      <c r="F773" s="12">
        <f t="shared" si="174"/>
        <v>0</v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 t="s">
        <v>45</v>
      </c>
      <c r="D774" s="16" t="s">
        <v>30</v>
      </c>
      <c r="E774" s="11">
        <v>66</v>
      </c>
      <c r="F774" s="12">
        <f t="shared" si="174"/>
        <v>330</v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0" t="s">
        <v>45</v>
      </c>
      <c r="D775" s="16" t="s">
        <v>30</v>
      </c>
      <c r="E775" s="11">
        <v>35</v>
      </c>
      <c r="F775" s="17">
        <f t="shared" si="174"/>
        <v>175</v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 t="s">
        <v>45</v>
      </c>
      <c r="D776" s="16" t="s">
        <v>30</v>
      </c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0" t="s">
        <v>45</v>
      </c>
      <c r="D777" s="16" t="s">
        <v>30</v>
      </c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 t="s">
        <v>45</v>
      </c>
      <c r="D778" s="16" t="s">
        <v>30</v>
      </c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0" t="s">
        <v>45</v>
      </c>
      <c r="D779" s="16" t="s">
        <v>30</v>
      </c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 t="s">
        <v>45</v>
      </c>
      <c r="D780" s="16" t="s">
        <v>30</v>
      </c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0" t="s">
        <v>45</v>
      </c>
      <c r="D781" s="16" t="s">
        <v>30</v>
      </c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 t="s">
        <v>45</v>
      </c>
      <c r="D782" s="16" t="s">
        <v>30</v>
      </c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193</v>
      </c>
      <c r="B783" s="108"/>
      <c r="C783" s="108"/>
      <c r="D783" s="108"/>
      <c r="E783" s="19">
        <f>SUM(E771:E782)</f>
        <v>149</v>
      </c>
      <c r="F783" s="19">
        <f>SUM(F771:F782)</f>
        <v>745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295</v>
      </c>
      <c r="F784" s="22">
        <f>F770+F783</f>
        <v>1475</v>
      </c>
      <c r="G784" s="21"/>
      <c r="H784" s="21"/>
      <c r="I784" s="21"/>
      <c r="J784" s="21"/>
      <c r="K784" s="21"/>
      <c r="L784" s="73">
        <f>IFERROR(L770+L783,"")</f>
        <v>0.17847222222222225</v>
      </c>
      <c r="M784" s="22" t="s">
        <v>195</v>
      </c>
      <c r="N784" s="31">
        <f>IFERROR(N770+N783,"")</f>
        <v>928270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191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193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C758:C769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63" zoomScale="85" zoomScaleNormal="85" workbookViewId="0">
      <selection activeCell="E776" sqref="E776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232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191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192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193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192</v>
      </c>
      <c r="N27" s="20">
        <v>1035240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195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233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191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192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193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192</v>
      </c>
      <c r="N54" s="20">
        <v>871960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195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234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191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192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235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193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192</v>
      </c>
      <c r="N81" s="20">
        <v>482250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195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236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191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192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237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193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192</v>
      </c>
      <c r="N108" s="20">
        <v>529500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195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237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237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191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192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237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238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193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192</v>
      </c>
      <c r="N135" s="20">
        <v>666150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195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236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239</v>
      </c>
      <c r="I139" s="16" t="s">
        <v>240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237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191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192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193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192</v>
      </c>
      <c r="N162" s="35">
        <v>183240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195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191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241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241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241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241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241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241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241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241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193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192</v>
      </c>
      <c r="N189" s="20">
        <v>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195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241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242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191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192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193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192</v>
      </c>
      <c r="N216" s="28">
        <v>525070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195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243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191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192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193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192</v>
      </c>
      <c r="N243" s="20">
        <v>244000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195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244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245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191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192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246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193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192</v>
      </c>
      <c r="N270" s="20">
        <v>8130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195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247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191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192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193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192</v>
      </c>
      <c r="N297" s="20">
        <f>229280+228660</f>
        <v>457940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195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248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249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249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250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191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192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251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252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253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254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193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192</v>
      </c>
      <c r="N324" s="20">
        <f>217310+197670</f>
        <v>414980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195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255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256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191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192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257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258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193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192</v>
      </c>
      <c r="N351" s="20">
        <f>135270+304860</f>
        <v>440130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195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259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260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261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191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192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193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192</v>
      </c>
      <c r="N378" s="20">
        <f>291750+291000</f>
        <v>582750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195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191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192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262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263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193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192</v>
      </c>
      <c r="N405" s="20">
        <v>305810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195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264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265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266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191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192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267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268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193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192</v>
      </c>
      <c r="N432" s="20">
        <v>522180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195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269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270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271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191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192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272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193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192</v>
      </c>
      <c r="N459" s="20">
        <v>560220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195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273</v>
      </c>
      <c r="J465" s="13">
        <v>0.70833333333333337</v>
      </c>
      <c r="K465" s="13" t="s">
        <v>274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275</v>
      </c>
      <c r="N472" s="30"/>
    </row>
    <row r="473" spans="1:14" ht="15.75" customHeight="1">
      <c r="A473" s="97" t="s">
        <v>191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192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276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277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193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192</v>
      </c>
      <c r="N486" s="20">
        <v>400000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195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191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192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278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193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192</v>
      </c>
      <c r="N513" s="20">
        <f>1031250+71560</f>
        <v>1102810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195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213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213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213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191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192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279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280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281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282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283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283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193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192</v>
      </c>
      <c r="N540" s="20">
        <v>504470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195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284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191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192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193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192</v>
      </c>
      <c r="N567" s="20">
        <v>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195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191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192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285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193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192</v>
      </c>
      <c r="N594" s="20">
        <v>258960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195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286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287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288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191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192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289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290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193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192</v>
      </c>
      <c r="N621" s="20">
        <v>687740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195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291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191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192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292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293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294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193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192</v>
      </c>
      <c r="N648" s="20">
        <f>47050+58630</f>
        <v>105680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195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191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192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295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296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297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193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192</v>
      </c>
      <c r="N675" s="20">
        <v>546550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195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298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191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192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299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300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193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192</v>
      </c>
      <c r="N702" s="20">
        <f>430070+116100</f>
        <v>546170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195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301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191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192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193</v>
      </c>
      <c r="B729" s="97"/>
      <c r="C729" s="97"/>
      <c r="D729" s="97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192</v>
      </c>
      <c r="N729" s="20">
        <v>477920</v>
      </c>
    </row>
    <row r="730" spans="1:14" ht="18" customHeight="1">
      <c r="A730" s="98" t="s">
        <v>194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195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302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191</v>
      </c>
      <c r="B743" s="97"/>
      <c r="C743" s="97"/>
      <c r="D743" s="97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192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303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193</v>
      </c>
      <c r="B756" s="97"/>
      <c r="C756" s="97"/>
      <c r="D756" s="97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379890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195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304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 t="s">
        <v>20</v>
      </c>
      <c r="H759" s="10" t="s">
        <v>151</v>
      </c>
      <c r="I759" s="10" t="s">
        <v>174</v>
      </c>
      <c r="J759" s="13">
        <v>0.68055555555555558</v>
      </c>
      <c r="K759" s="13">
        <v>0.74583333333333335</v>
      </c>
      <c r="L759" s="71">
        <f t="shared" si="170"/>
        <v>6.5277777777777768E-2</v>
      </c>
      <c r="M759" s="29" t="s">
        <v>305</v>
      </c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>
        <v>5</v>
      </c>
      <c r="F766" s="12">
        <f t="shared" si="169"/>
        <v>20</v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>
        <v>5</v>
      </c>
      <c r="F767" s="17">
        <f t="shared" si="169"/>
        <v>20</v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>
        <v>0</v>
      </c>
      <c r="F768" s="12">
        <f t="shared" si="169"/>
        <v>0</v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>
        <v>0</v>
      </c>
      <c r="F769" s="17">
        <f t="shared" si="169"/>
        <v>0</v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191</v>
      </c>
      <c r="B770" s="97"/>
      <c r="C770" s="97"/>
      <c r="D770" s="97"/>
      <c r="E770" s="19">
        <f>SUM(E758:E769)</f>
        <v>80</v>
      </c>
      <c r="F770" s="19">
        <f>SUM(F758:F769)</f>
        <v>320</v>
      </c>
      <c r="G770" s="18"/>
      <c r="H770" s="18"/>
      <c r="I770" s="18"/>
      <c r="J770" s="18"/>
      <c r="K770" s="18"/>
      <c r="L770" s="72">
        <f>IFERROR(SUM(L758:L769),"")</f>
        <v>0.11874999999999997</v>
      </c>
      <c r="M770" s="19" t="s">
        <v>192</v>
      </c>
      <c r="N770" s="20">
        <v>309470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18</v>
      </c>
      <c r="F771" s="17">
        <f t="shared" ref="F771:F782" si="172">IF(E771="","",E771*4)</f>
        <v>72</v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16" t="s">
        <v>30</v>
      </c>
      <c r="E772" s="11">
        <v>7</v>
      </c>
      <c r="F772" s="17">
        <f t="shared" si="172"/>
        <v>28</v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16" t="s">
        <v>30</v>
      </c>
      <c r="E773" s="11">
        <v>7</v>
      </c>
      <c r="F773" s="17">
        <f t="shared" si="172"/>
        <v>28</v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16" t="s">
        <v>30</v>
      </c>
      <c r="E774" s="11">
        <v>7</v>
      </c>
      <c r="F774" s="12">
        <f t="shared" si="172"/>
        <v>28</v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16" t="s">
        <v>30</v>
      </c>
      <c r="E775" s="11">
        <v>6</v>
      </c>
      <c r="F775" s="17">
        <f t="shared" si="172"/>
        <v>24</v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16" t="s">
        <v>30</v>
      </c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16" t="s">
        <v>30</v>
      </c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16" t="s">
        <v>30</v>
      </c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16" t="s">
        <v>30</v>
      </c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16" t="s">
        <v>30</v>
      </c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16" t="s">
        <v>30</v>
      </c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16" t="s">
        <v>30</v>
      </c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193</v>
      </c>
      <c r="B783" s="97"/>
      <c r="C783" s="97"/>
      <c r="D783" s="97"/>
      <c r="E783" s="19">
        <f>SUM(E771:E782)</f>
        <v>45</v>
      </c>
      <c r="F783" s="19">
        <f>SUM(F771:F782)</f>
        <v>180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125</v>
      </c>
      <c r="F784" s="22">
        <f>F770+F783</f>
        <v>500</v>
      </c>
      <c r="G784" s="21"/>
      <c r="H784" s="21"/>
      <c r="I784" s="21"/>
      <c r="J784" s="21"/>
      <c r="K784" s="21"/>
      <c r="L784" s="73">
        <f>IFERROR(L770+L783,"")</f>
        <v>0.11874999999999997</v>
      </c>
      <c r="M784" s="22" t="s">
        <v>195</v>
      </c>
      <c r="N784" s="31">
        <f>IFERROR(N770+N783,"")</f>
        <v>309470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191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193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69" activePane="bottomLeft" state="frozen"/>
      <selection pane="bottomLeft" activeCell="E776" sqref="E776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306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191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192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193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192</v>
      </c>
      <c r="N27" s="20"/>
    </row>
    <row r="28" spans="1:14" ht="18" customHeight="1">
      <c r="A28" s="98" t="s">
        <v>194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195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191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192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193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192</v>
      </c>
      <c r="N54" s="20"/>
    </row>
    <row r="55" spans="1:14" ht="18" customHeight="1">
      <c r="A55" s="98" t="s">
        <v>194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195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191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192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307</v>
      </c>
      <c r="I80" s="10" t="s">
        <v>235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193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192</v>
      </c>
      <c r="N81" s="20">
        <v>206440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195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191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192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193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192</v>
      </c>
      <c r="N108" s="20"/>
    </row>
    <row r="109" spans="1:14" ht="18" customHeight="1">
      <c r="A109" s="98" t="s">
        <v>194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195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191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192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193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192</v>
      </c>
      <c r="N135" s="20"/>
    </row>
    <row r="136" spans="1:14" ht="18" customHeight="1">
      <c r="A136" s="98" t="s">
        <v>194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195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191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192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193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192</v>
      </c>
      <c r="N162" s="20">
        <v>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195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191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193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192</v>
      </c>
      <c r="N189" s="20">
        <v>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195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191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192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193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192</v>
      </c>
      <c r="N216" s="20"/>
    </row>
    <row r="217" spans="1:14" ht="18" customHeight="1">
      <c r="A217" s="98" t="s">
        <v>194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195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191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192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193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192</v>
      </c>
      <c r="N243" s="20">
        <v>180000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195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308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308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191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192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246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193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192</v>
      </c>
      <c r="N270" s="20">
        <f>103170+137770</f>
        <v>240940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195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191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192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309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193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192</v>
      </c>
      <c r="N297" s="20">
        <f>110740+118380</f>
        <v>229120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195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310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191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192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311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253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193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192</v>
      </c>
      <c r="N324" s="20">
        <f>119730+227060</f>
        <v>346790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195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191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192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258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193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192</v>
      </c>
      <c r="N351" s="20">
        <f>50730+24450</f>
        <v>75180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195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261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312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191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192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193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192</v>
      </c>
      <c r="N378" s="20">
        <f>151130+160740</f>
        <v>311870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195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191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192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193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192</v>
      </c>
      <c r="N405" s="20">
        <v>340530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195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191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192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193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192</v>
      </c>
      <c r="N432" s="20">
        <v>169230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195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313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271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191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192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314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193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192</v>
      </c>
      <c r="N459" s="20">
        <v>221750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195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273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275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275</v>
      </c>
      <c r="N472" s="30"/>
    </row>
    <row r="473" spans="1:14" ht="15.75" customHeight="1">
      <c r="A473" s="97" t="s">
        <v>191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192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193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192</v>
      </c>
      <c r="N486" s="20">
        <v>240000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195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191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192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193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192</v>
      </c>
      <c r="N513" s="20">
        <v>3930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195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191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192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315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281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193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192</v>
      </c>
      <c r="N540" s="20">
        <v>304230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195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269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191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192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193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192</v>
      </c>
      <c r="N567" s="20">
        <v>437260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195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316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191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192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317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253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193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192</v>
      </c>
      <c r="N594" s="20">
        <v>269570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195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191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192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318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193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192</v>
      </c>
      <c r="N621" s="20">
        <v>176650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195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319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191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192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320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193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192</v>
      </c>
      <c r="N648" s="20">
        <f>154590+56700</f>
        <v>211290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195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191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192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193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192</v>
      </c>
      <c r="N675" s="20">
        <v>234010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195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321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191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192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193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192</v>
      </c>
      <c r="N702" s="20">
        <f>151740+85690</f>
        <v>237430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195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223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191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192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193</v>
      </c>
      <c r="B729" s="97"/>
      <c r="C729" s="97"/>
      <c r="D729" s="97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192</v>
      </c>
      <c r="N729" s="20">
        <v>377030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195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302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322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191</v>
      </c>
      <c r="B743" s="97"/>
      <c r="C743" s="97"/>
      <c r="D743" s="97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192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303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193</v>
      </c>
      <c r="B756" s="97"/>
      <c r="C756" s="97"/>
      <c r="D756" s="97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265090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195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323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 t="s">
        <v>20</v>
      </c>
      <c r="H759" s="16" t="s">
        <v>47</v>
      </c>
      <c r="I759" s="16" t="s">
        <v>28</v>
      </c>
      <c r="J759" s="13">
        <v>0.68472222222222223</v>
      </c>
      <c r="K759" s="13">
        <v>0.73611111111111116</v>
      </c>
      <c r="L759" s="71">
        <f t="shared" si="169"/>
        <v>5.1388888888888928E-2</v>
      </c>
      <c r="M759" s="11" t="s">
        <v>324</v>
      </c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>
        <v>9</v>
      </c>
      <c r="F766" s="12">
        <f t="shared" si="168"/>
        <v>36</v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>
        <v>3</v>
      </c>
      <c r="F767" s="17">
        <f t="shared" si="168"/>
        <v>12</v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>
        <v>4</v>
      </c>
      <c r="F768" s="12">
        <f t="shared" si="168"/>
        <v>16</v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>
        <v>3</v>
      </c>
      <c r="F769" s="17">
        <f t="shared" si="168"/>
        <v>12</v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191</v>
      </c>
      <c r="B770" s="97"/>
      <c r="C770" s="97"/>
      <c r="D770" s="97"/>
      <c r="E770" s="19">
        <f>SUM(E758:E769)</f>
        <v>60</v>
      </c>
      <c r="F770" s="19">
        <f>SUM(F758:F769)</f>
        <v>240</v>
      </c>
      <c r="G770" s="18"/>
      <c r="H770" s="18"/>
      <c r="I770" s="18"/>
      <c r="J770" s="18"/>
      <c r="K770" s="18"/>
      <c r="L770" s="72">
        <f>IFERROR(SUM(L758:L769),"")</f>
        <v>0.13124999999999998</v>
      </c>
      <c r="M770" s="19" t="s">
        <v>192</v>
      </c>
      <c r="N770" s="20">
        <v>216400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8</v>
      </c>
      <c r="F771" s="17">
        <f t="shared" ref="F771:F782" si="171">IF(E771="","",E771*4)</f>
        <v>32</v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6" t="s">
        <v>45</v>
      </c>
      <c r="D772" s="16" t="s">
        <v>30</v>
      </c>
      <c r="E772" s="11">
        <v>0</v>
      </c>
      <c r="F772" s="12">
        <f t="shared" si="171"/>
        <v>0</v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 t="s">
        <v>45</v>
      </c>
      <c r="D773" s="16" t="s">
        <v>30</v>
      </c>
      <c r="E773" s="11">
        <v>4</v>
      </c>
      <c r="F773" s="17">
        <f t="shared" si="171"/>
        <v>16</v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6" t="s">
        <v>45</v>
      </c>
      <c r="D774" s="16" t="s">
        <v>30</v>
      </c>
      <c r="E774" s="11">
        <v>4</v>
      </c>
      <c r="F774" s="12">
        <f t="shared" si="171"/>
        <v>16</v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 t="s">
        <v>45</v>
      </c>
      <c r="D775" s="16" t="s">
        <v>30</v>
      </c>
      <c r="E775" s="11">
        <v>4</v>
      </c>
      <c r="F775" s="17">
        <f t="shared" si="171"/>
        <v>16</v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6" t="s">
        <v>45</v>
      </c>
      <c r="D776" s="16" t="s">
        <v>30</v>
      </c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 t="s">
        <v>45</v>
      </c>
      <c r="D777" s="16" t="s">
        <v>30</v>
      </c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6" t="s">
        <v>45</v>
      </c>
      <c r="D778" s="16" t="s">
        <v>30</v>
      </c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 t="s">
        <v>45</v>
      </c>
      <c r="D779" s="16" t="s">
        <v>30</v>
      </c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6" t="s">
        <v>45</v>
      </c>
      <c r="D780" s="16" t="s">
        <v>30</v>
      </c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 t="s">
        <v>45</v>
      </c>
      <c r="D781" s="16" t="s">
        <v>30</v>
      </c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6" t="s">
        <v>45</v>
      </c>
      <c r="D782" s="16" t="s">
        <v>30</v>
      </c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193</v>
      </c>
      <c r="B783" s="97"/>
      <c r="C783" s="97"/>
      <c r="D783" s="97"/>
      <c r="E783" s="19">
        <f>SUM(E771:E782)</f>
        <v>20</v>
      </c>
      <c r="F783" s="19">
        <f>SUM(F771:F782)</f>
        <v>80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80</v>
      </c>
      <c r="F784" s="22">
        <f>F770+F783</f>
        <v>320</v>
      </c>
      <c r="G784" s="21"/>
      <c r="H784" s="21"/>
      <c r="I784" s="21"/>
      <c r="J784" s="21"/>
      <c r="K784" s="21"/>
      <c r="L784" s="73">
        <f>IFERROR(L770+L783,"")</f>
        <v>0.13124999999999998</v>
      </c>
      <c r="M784" s="22" t="s">
        <v>195</v>
      </c>
      <c r="N784" s="31">
        <f>IFERROR(N770+N783,"")</f>
        <v>216400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191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193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63" activePane="bottomLeft" state="frozen"/>
      <selection pane="bottomLeft" activeCell="E776" sqref="E776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57" t="s">
        <v>13</v>
      </c>
      <c r="E1" s="8" t="s">
        <v>182</v>
      </c>
      <c r="F1" s="8" t="s">
        <v>325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326</v>
      </c>
      <c r="I2" s="10" t="s">
        <v>327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326</v>
      </c>
      <c r="I3" s="16" t="s">
        <v>327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326</v>
      </c>
      <c r="I4" s="10" t="s">
        <v>327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326</v>
      </c>
      <c r="I5" s="16" t="s">
        <v>327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326</v>
      </c>
      <c r="I6" s="10" t="s">
        <v>327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326</v>
      </c>
      <c r="I7" s="16" t="s">
        <v>327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326</v>
      </c>
      <c r="I8" s="10" t="s">
        <v>327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326</v>
      </c>
      <c r="I9" s="16" t="s">
        <v>327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326</v>
      </c>
      <c r="I10" s="10" t="s">
        <v>327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326</v>
      </c>
      <c r="I11" s="16" t="s">
        <v>327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326</v>
      </c>
      <c r="I12" s="10" t="s">
        <v>327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326</v>
      </c>
      <c r="I13" s="16" t="s">
        <v>327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191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192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328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193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192</v>
      </c>
      <c r="N27" s="20">
        <v>537710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195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329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330</v>
      </c>
      <c r="I33" s="16" t="s">
        <v>331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190</v>
      </c>
      <c r="H36" s="10" t="s">
        <v>332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191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192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235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193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192</v>
      </c>
      <c r="N54" s="20">
        <v>800250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195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191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192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332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193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192</v>
      </c>
      <c r="N81" s="20">
        <v>423590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195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191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192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333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193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192</v>
      </c>
      <c r="N108" s="20">
        <v>784300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195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191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192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190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193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192</v>
      </c>
      <c r="N135" s="20">
        <v>527600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195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190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191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192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193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192</v>
      </c>
      <c r="N162" s="20">
        <v>215370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195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191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193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192</v>
      </c>
      <c r="N189" s="20">
        <v>400530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195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334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191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192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238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193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192</v>
      </c>
      <c r="N216" s="28">
        <v>704110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195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335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253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191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192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193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192</v>
      </c>
      <c r="N243" s="20">
        <v>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195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336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191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192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193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192</v>
      </c>
      <c r="N270" s="20">
        <f>214250+252630</f>
        <v>466880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195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337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191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192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338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339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340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193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192</v>
      </c>
      <c r="N297" s="20">
        <f>124260+105220</f>
        <v>229480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195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339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341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310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191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192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342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342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342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343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193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192</v>
      </c>
      <c r="N324" s="20">
        <f>311920+165290</f>
        <v>477210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195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191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192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344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258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193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192</v>
      </c>
      <c r="N351" s="20">
        <f>117790+390790</f>
        <v>508580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195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345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346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312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191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192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193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192</v>
      </c>
      <c r="N378" s="20">
        <f>490380+390690</f>
        <v>881070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195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191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192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193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192</v>
      </c>
      <c r="N405" s="20">
        <v>745910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195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347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348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349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191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192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193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192</v>
      </c>
      <c r="N432" s="20">
        <v>669300</v>
      </c>
    </row>
    <row r="433" spans="1:16" ht="18" customHeight="1">
      <c r="A433" s="98" t="s">
        <v>194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195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191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192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339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339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193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192</v>
      </c>
      <c r="N459" s="20">
        <v>561580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195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275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275</v>
      </c>
      <c r="N472" s="41"/>
    </row>
    <row r="473" spans="1:14" ht="15.75" customHeight="1">
      <c r="A473" s="97" t="s">
        <v>191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192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350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324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351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193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192</v>
      </c>
      <c r="N486" s="20">
        <v>508000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195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191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192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352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353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193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192</v>
      </c>
      <c r="N513" s="20">
        <v>745760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195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191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192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354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355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253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193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192</v>
      </c>
      <c r="N540" s="20">
        <v>426450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195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356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357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191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192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358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193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192</v>
      </c>
      <c r="N567" s="20">
        <v>652080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195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359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360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191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192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361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279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253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193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192</v>
      </c>
      <c r="N594" s="20">
        <v>800310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195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362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191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192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363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193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192</v>
      </c>
      <c r="N621" s="20">
        <v>141320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195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324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191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192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364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177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365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193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192</v>
      </c>
      <c r="N648" s="20">
        <f>89640+153770</f>
        <v>243410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195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191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192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366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193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192</v>
      </c>
      <c r="N675" s="20">
        <v>425320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195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191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192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367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368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193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192</v>
      </c>
      <c r="N702" s="20">
        <f>626540+94190</f>
        <v>720730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195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369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370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371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191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192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372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373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193</v>
      </c>
      <c r="B729" s="97"/>
      <c r="C729" s="97"/>
      <c r="D729" s="97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192</v>
      </c>
      <c r="N729" s="20">
        <v>874110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195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374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302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322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191</v>
      </c>
      <c r="B743" s="97"/>
      <c r="C743" s="97"/>
      <c r="D743" s="97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192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303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193</v>
      </c>
      <c r="B756" s="97"/>
      <c r="C756" s="97"/>
      <c r="D756" s="97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192</v>
      </c>
      <c r="N756" s="20">
        <v>1001690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195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375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323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 t="s">
        <v>19</v>
      </c>
      <c r="H761" s="16" t="s">
        <v>52</v>
      </c>
      <c r="I761" s="16" t="s">
        <v>27</v>
      </c>
      <c r="J761" s="13">
        <v>0.72222222222222221</v>
      </c>
      <c r="K761" s="13">
        <v>0.73611111111111116</v>
      </c>
      <c r="L761" s="71">
        <f t="shared" si="170"/>
        <v>1.3888888888888951E-2</v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>
        <v>19</v>
      </c>
      <c r="F766" s="12">
        <f t="shared" si="169"/>
        <v>76</v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>
        <v>26</v>
      </c>
      <c r="F767" s="17">
        <f t="shared" si="169"/>
        <v>104</v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>
        <v>8</v>
      </c>
      <c r="F768" s="12">
        <f t="shared" si="169"/>
        <v>32</v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>
        <v>8</v>
      </c>
      <c r="F769" s="17">
        <f t="shared" si="169"/>
        <v>32</v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9" t="s">
        <v>191</v>
      </c>
      <c r="B770" s="100"/>
      <c r="C770" s="100"/>
      <c r="D770" s="101"/>
      <c r="E770" s="19">
        <f>SUM(E758:E769)</f>
        <v>175</v>
      </c>
      <c r="F770" s="19">
        <f>SUM(F758:F769)</f>
        <v>700</v>
      </c>
      <c r="G770" s="38"/>
      <c r="H770" s="38"/>
      <c r="I770" s="38"/>
      <c r="J770" s="38"/>
      <c r="K770" s="38"/>
      <c r="L770" s="72">
        <f>IFERROR(SUM(L758:L769),"")</f>
        <v>7.3611111111111127E-2</v>
      </c>
      <c r="M770" s="19" t="s">
        <v>192</v>
      </c>
      <c r="N770" s="20">
        <v>769540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63" t="s">
        <v>30</v>
      </c>
      <c r="E771" s="11">
        <v>25</v>
      </c>
      <c r="F771" s="17">
        <f t="shared" ref="F771:F782" si="172">IF(E771="","",E771*4)</f>
        <v>100</v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63" t="s">
        <v>30</v>
      </c>
      <c r="E772" s="11">
        <v>19</v>
      </c>
      <c r="F772" s="12">
        <f t="shared" si="172"/>
        <v>76</v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63" t="s">
        <v>30</v>
      </c>
      <c r="E773" s="11">
        <v>22</v>
      </c>
      <c r="F773" s="17">
        <f t="shared" si="172"/>
        <v>88</v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63" t="s">
        <v>30</v>
      </c>
      <c r="E774" s="11">
        <v>23</v>
      </c>
      <c r="F774" s="12">
        <f t="shared" si="172"/>
        <v>92</v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63" t="s">
        <v>30</v>
      </c>
      <c r="E775" s="11">
        <v>16</v>
      </c>
      <c r="F775" s="17">
        <f t="shared" si="172"/>
        <v>64</v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63" t="s">
        <v>30</v>
      </c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63" t="s">
        <v>30</v>
      </c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63" t="s">
        <v>30</v>
      </c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63" t="s">
        <v>30</v>
      </c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63" t="s">
        <v>30</v>
      </c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63" t="s">
        <v>30</v>
      </c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63" t="s">
        <v>30</v>
      </c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193</v>
      </c>
      <c r="B783" s="97"/>
      <c r="C783" s="97"/>
      <c r="D783" s="97"/>
      <c r="E783" s="19">
        <f>SUM(E771:E782)</f>
        <v>105</v>
      </c>
      <c r="F783" s="19">
        <f>SUM(F771:F782)</f>
        <v>420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280</v>
      </c>
      <c r="F784" s="22">
        <f>F770+F783</f>
        <v>1120</v>
      </c>
      <c r="G784" s="39"/>
      <c r="H784" s="39"/>
      <c r="I784" s="39"/>
      <c r="J784" s="39"/>
      <c r="K784" s="39"/>
      <c r="L784" s="73">
        <f>IFERROR(L770+L783,"")</f>
        <v>7.3611111111111127E-2</v>
      </c>
      <c r="M784" s="22" t="s">
        <v>195</v>
      </c>
      <c r="N784" s="31">
        <f>IFERROR(N770+N783,"")</f>
        <v>769540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191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192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193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192</v>
      </c>
      <c r="N810" s="20"/>
    </row>
    <row r="811" spans="1:14" ht="18" customHeight="1">
      <c r="A811" s="110" t="s">
        <v>194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195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14D07B3-4831-4991-A053-ED05E81548EC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F91E8D77-88C5-466C-9E71-B0518BBFB65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2026-06-30T04:07:40Z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