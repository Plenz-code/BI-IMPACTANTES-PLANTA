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259" documentId="8_{C51EB6CB-002B-4D6B-B68F-DDEBDB4460C0}" xr6:coauthVersionLast="47" xr6:coauthVersionMax="47" xr10:uidLastSave="{759B25C7-BACA-4E78-9451-18C045A4BCF5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<sst xmlns="http://schemas.openxmlformats.org/spreadsheetml/2006/main" count="3642" uniqueCount="288">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</sst>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18" sqref="K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19199835</v>
      </c>
      <c r="D35" s="13">
        <f>IFERROR(SUM(D4:D34),"")</f>
        <v>6383910</v>
      </c>
      <c r="E35" s="13">
        <f>IFERROR(SUM(E4:E34),"")</f>
        <v>3292780</v>
      </c>
      <c r="F35" s="13">
        <f>IFERROR(SUM(F4:F34),"")</f>
        <v>8099350</v>
      </c>
      <c r="G35" s="13">
        <f>IFERROR(SUM(G4:G34),"")</f>
        <v>17776040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I20" sqref="I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1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1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1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1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1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1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1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1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1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1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1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1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1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1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1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1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1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1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1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1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1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1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1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1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1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1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206</v>
      </c>
      <c r="L58" s="16"/>
      <c r="M58" s="16"/>
    </row>
    <row r="59" spans="1:13" ht="15" customHeight="1">
      <c r="H59" s="111"/>
      <c r="I59" s="17"/>
      <c r="J59" s="17"/>
      <c r="K59" s="17" t="s">
        <v>207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208</v>
      </c>
      <c r="L61" s="17"/>
      <c r="M61" s="17"/>
    </row>
    <row r="62" spans="1:13" ht="15" customHeight="1">
      <c r="H62" s="111"/>
      <c r="I62" s="16"/>
      <c r="J62" s="16"/>
      <c r="K62" s="16" t="s">
        <v>209</v>
      </c>
      <c r="L62" s="16"/>
      <c r="M62" s="16"/>
    </row>
    <row r="63" spans="1:13" ht="15" customHeight="1">
      <c r="H63" s="111"/>
      <c r="I63" s="17"/>
      <c r="J63" s="17"/>
      <c r="K63" s="17" t="s">
        <v>210</v>
      </c>
      <c r="L63" s="17"/>
      <c r="M63" s="17"/>
    </row>
    <row r="64" spans="1:13" ht="15" customHeight="1">
      <c r="H64" s="111"/>
      <c r="I64" s="16"/>
      <c r="J64" s="16"/>
      <c r="K64" s="16" t="s">
        <v>211</v>
      </c>
      <c r="L64" s="16"/>
      <c r="M64" s="16"/>
    </row>
    <row r="65" spans="8:13" ht="15" customHeight="1">
      <c r="H65" s="111"/>
      <c r="I65" s="17"/>
      <c r="J65" s="17"/>
      <c r="K65" s="17" t="s">
        <v>212</v>
      </c>
      <c r="L65" s="17"/>
      <c r="M65" s="17"/>
    </row>
    <row r="66" spans="8:13" ht="15" customHeight="1">
      <c r="H66" s="111"/>
      <c r="I66" s="16"/>
      <c r="J66" s="16"/>
      <c r="K66" s="16" t="s">
        <v>213</v>
      </c>
      <c r="L66" s="16"/>
      <c r="M66" s="16"/>
    </row>
    <row r="67" spans="8:13" ht="15" customHeight="1">
      <c r="H67" s="111"/>
      <c r="I67" s="17"/>
      <c r="J67" s="17"/>
      <c r="K67" s="17" t="s">
        <v>214</v>
      </c>
      <c r="L67" s="17"/>
      <c r="M67" s="17"/>
    </row>
    <row r="68" spans="8:13" ht="15" customHeight="1">
      <c r="H68" s="111"/>
      <c r="I68" s="16"/>
      <c r="J68" s="16"/>
      <c r="K68" s="16" t="s">
        <v>215</v>
      </c>
      <c r="L68" s="16"/>
      <c r="M68" s="16"/>
    </row>
    <row r="69" spans="8:13" ht="15" customHeight="1">
      <c r="H69" s="111"/>
      <c r="I69" s="17"/>
      <c r="J69" s="17"/>
      <c r="K69" s="17" t="s">
        <v>216</v>
      </c>
      <c r="L69" s="17"/>
      <c r="M69" s="17"/>
    </row>
    <row r="70" spans="8:13" ht="15" customHeight="1">
      <c r="H70" s="111"/>
      <c r="I70" s="16"/>
      <c r="J70" s="16"/>
      <c r="K70" s="16" t="s">
        <v>217</v>
      </c>
      <c r="L70" s="16"/>
      <c r="M70" s="16"/>
    </row>
    <row r="71" spans="8:13" ht="15" customHeight="1">
      <c r="H71" s="111"/>
      <c r="I71" s="17"/>
      <c r="J71" s="17"/>
      <c r="K71" s="17" t="s">
        <v>218</v>
      </c>
      <c r="L71" s="17"/>
      <c r="M71" s="17"/>
    </row>
    <row r="72" spans="8:13" ht="15" customHeight="1">
      <c r="H72" s="111"/>
      <c r="I72" s="16"/>
      <c r="J72" s="16"/>
      <c r="K72" s="16" t="s">
        <v>219</v>
      </c>
      <c r="L72" s="16"/>
      <c r="M72" s="16"/>
    </row>
    <row r="73" spans="8:13" ht="15" customHeight="1">
      <c r="H73" s="111"/>
      <c r="I73" s="17"/>
      <c r="J73" s="17"/>
      <c r="K73" s="17" t="s">
        <v>220</v>
      </c>
      <c r="L73" s="17"/>
      <c r="M73" s="17"/>
    </row>
    <row r="74" spans="8:13" ht="15" customHeight="1">
      <c r="H74" s="111"/>
      <c r="I74" s="16"/>
      <c r="J74" s="16"/>
      <c r="K74" s="16"/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39" activePane="bottomLeft" state="frozen"/>
      <selection pane="bottomLeft" activeCell="L155" sqref="L15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231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231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231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231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231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231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231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231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231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231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231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231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233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231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231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231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234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231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231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231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231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231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231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231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235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233</v>
      </c>
      <c r="O27" s="39">
        <v>997910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237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231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231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238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231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234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231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231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231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231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231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231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232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233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231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231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231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231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231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231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231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233</v>
      </c>
      <c r="O54" s="39">
        <v>981310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237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231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231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231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231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231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231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231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231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231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231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231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231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233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231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231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240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231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231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231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231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231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231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231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233</v>
      </c>
      <c r="O81" s="39">
        <v>1547910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237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231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231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231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241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231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231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231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231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231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231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233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231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231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231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231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231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231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242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231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231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231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231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231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3156240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237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231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231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231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231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231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233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231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231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231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231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231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231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231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231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231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231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231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231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233</v>
      </c>
      <c r="O135" s="39">
        <v>2875180</v>
      </c>
    </row>
    <row r="136" spans="1:15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237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231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231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231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231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231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231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231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231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231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231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232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233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231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231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231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133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231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231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144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231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231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231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231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231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233</v>
      </c>
      <c r="O162" s="44">
        <v>842000</v>
      </c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237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231</v>
      </c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231</v>
      </c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231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231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231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231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231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231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231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231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231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231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232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232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232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235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4" t="s">
        <v>236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235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4" t="s">
        <v>236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13" t="s">
        <v>236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33" activePane="bottomLeft" state="frozen"/>
      <selection pane="bottomLeft" activeCell="L165" sqref="L16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246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247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248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233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245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245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245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245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245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249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245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250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245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245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245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245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245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235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233</v>
      </c>
      <c r="O27" s="77">
        <v>549860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237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245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245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245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245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245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245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245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245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245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245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245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232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233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245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245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245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245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245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251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245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252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245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245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253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245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0.20239409722125856</v>
      </c>
      <c r="N53" s="46" t="s">
        <v>254</v>
      </c>
      <c r="O53" s="31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0.34128298611014746</v>
      </c>
      <c r="N54" s="36" t="s">
        <v>233</v>
      </c>
      <c r="O54" s="84">
        <v>352430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0.42600520833236977</v>
      </c>
      <c r="N55" s="40" t="s">
        <v>237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245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245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245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245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245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245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246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245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245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245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245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233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245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245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245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245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245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245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255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245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245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245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245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233</v>
      </c>
      <c r="O81" s="54">
        <v>634210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237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256</v>
      </c>
      <c r="E83" s="59" t="s">
        <v>245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233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257</v>
      </c>
      <c r="M96" s="30" t="str">
        <f t="shared" ref="M96:M107" ca="1" si="22">IFERROR(IF(K96="","",IF(L96="",MOD(NOW()-K96,1),IF(L96&gt;=K96,L96-K96,L96+1-K96))),"")</f>
        <v/>
      </c>
      <c r="N96" s="46" t="s">
        <v>258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259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260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234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233</v>
      </c>
      <c r="O108" s="54">
        <v>456830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237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261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233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233</v>
      </c>
      <c r="O135" s="54">
        <v>756720</v>
      </c>
    </row>
    <row r="136" spans="1:15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237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245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262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245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245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263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245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245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245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245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264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245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245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245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232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233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233</v>
      </c>
      <c r="O162" s="54">
        <v>501750</v>
      </c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237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245</v>
      </c>
      <c r="F164" s="27"/>
      <c r="G164" s="28" t="str">
        <f t="shared" ref="G164:G175" si="36">IF(F164="","",IF(E164="PC 17",F164*4.2,IF(E164="PC 19",F164*5,IF(E164="CB",F164*24,""))))</f>
        <v/>
      </c>
      <c r="H164" s="26" t="s">
        <v>18</v>
      </c>
      <c r="I164" s="26" t="s">
        <v>158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245</v>
      </c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245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245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245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245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245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245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245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245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245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245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3.125E-2</v>
      </c>
      <c r="N176" s="36" t="s">
        <v>233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77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3.125E-2</v>
      </c>
      <c r="N190" s="40" t="s">
        <v>237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77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232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77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77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77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77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232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77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232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77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77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77"/>
    </row>
    <row r="433" spans="1:15" ht="18" customHeight="1">
      <c r="A433" s="92" t="s">
        <v>236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77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77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77"/>
    </row>
    <row r="514" spans="1:15" ht="18" customHeight="1">
      <c r="A514" s="92" t="s">
        <v>236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77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77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77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4" t="s">
        <v>236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84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144" zoomScale="50" zoomScaleNormal="50" workbookViewId="0">
      <selection activeCell="J164" sqref="J16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233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245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266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245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245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245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249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245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267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245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245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245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245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245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245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235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233</v>
      </c>
      <c r="O27" s="39">
        <v>358000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237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245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245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245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245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245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245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245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245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245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245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245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232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233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266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245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245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245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245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245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245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245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266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245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245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233</v>
      </c>
      <c r="O54" s="39">
        <v>279980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237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245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245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245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245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245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268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245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245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245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245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245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233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269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245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245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245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245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245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233</v>
      </c>
      <c r="O81" s="39">
        <v>185920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237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245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270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271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233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233</v>
      </c>
      <c r="O108" s="39">
        <v>434370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237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233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273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233</v>
      </c>
      <c r="O135" s="39">
        <v>416350</v>
      </c>
    </row>
    <row r="136" spans="1:15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237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245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245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245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245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245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245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264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245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245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245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232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233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255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233</v>
      </c>
      <c r="O162" s="39">
        <v>169760</v>
      </c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237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245</v>
      </c>
      <c r="F164" s="27"/>
      <c r="G164" s="28" t="str">
        <f t="shared" ref="G164:G175" si="36">IF(F164="","",IF(E164="PC 17",F164*4.2,IF(E164="PC 19",F164*5,IF(E164="CB",F164*24,""))))</f>
        <v/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/>
      <c r="M164" s="30">
        <f t="shared" ref="M164:M175" ca="1" si="37">IFERROR(IF(K164="","",IF(L164="",MOD(NOW()-K164,1),IF(L164&gt;=K164,L164-K164,L164+1-K164))),"")</f>
        <v>1.6996527774608694E-3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245</v>
      </c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245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245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245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245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245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245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245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245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245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245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1.6996527774608694E-3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1.6996527774608694E-3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39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232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232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232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235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4" t="s">
        <v>236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235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4" t="s">
        <v>236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4" t="s">
        <v>236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34" activePane="bottomLeft" state="frozen"/>
      <selection pane="bottomLeft" activeCell="L166" sqref="L16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233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245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245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245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252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245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266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245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245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245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245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277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245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245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235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233</v>
      </c>
      <c r="O27" s="39">
        <v>491520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237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245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245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245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245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245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245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245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245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245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245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232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233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245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245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278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245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245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245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245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245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245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245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233</v>
      </c>
      <c r="O54" s="39">
        <v>352430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237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245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245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245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245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245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245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245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245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245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233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245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245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266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245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245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245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245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245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245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245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233</v>
      </c>
      <c r="O81" s="39">
        <v>612410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237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245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233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266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233</v>
      </c>
      <c r="O108" s="39">
        <v>956070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237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233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255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266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233</v>
      </c>
      <c r="O135" s="39">
        <v>912240</v>
      </c>
    </row>
    <row r="136" spans="1:18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237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245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245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245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245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245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245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245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245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264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245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245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232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233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161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286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11</v>
      </c>
      <c r="G151" s="34">
        <f t="shared" si="33"/>
        <v>46.2</v>
      </c>
      <c r="H151" s="33" t="s">
        <v>16</v>
      </c>
      <c r="I151" s="33" t="s">
        <v>139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287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233</v>
      </c>
      <c r="O162" s="39">
        <v>573230</v>
      </c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237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245</v>
      </c>
      <c r="F164" s="27"/>
      <c r="G164" s="28" t="str">
        <f t="shared" ref="G164:G175" si="36">IF(F164="","",IF(E164="PC 17",F164*4.2,IF(E164="PC 19",F164*5,IF(E164="CB",F164*24,""))))</f>
        <v/>
      </c>
      <c r="H164" s="26" t="s">
        <v>20</v>
      </c>
      <c r="I164" s="26" t="s">
        <v>139</v>
      </c>
      <c r="J164" s="26" t="s">
        <v>133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245</v>
      </c>
      <c r="F165" s="27"/>
      <c r="G165" s="34" t="str">
        <f t="shared" si="36"/>
        <v/>
      </c>
      <c r="H165" s="33" t="s">
        <v>20</v>
      </c>
      <c r="I165" s="33" t="s">
        <v>161</v>
      </c>
      <c r="J165" s="33" t="s">
        <v>182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245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245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245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245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245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245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245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245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245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2.4999999999999967E-2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2.4999999999999967E-2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232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232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235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233</v>
      </c>
      <c r="O432" s="39"/>
    </row>
    <row r="433" spans="1:17" ht="18" customHeight="1">
      <c r="A433" s="104" t="s">
        <v>236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233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235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4" t="s">
        <v>236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4" t="s">
        <v>236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237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2026-08-07T11:47:15Z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