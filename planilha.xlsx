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47" documentId="8_{AF585B22-221D-4780-BB9C-493D365A6A02}" xr6:coauthVersionLast="47" xr6:coauthVersionMax="47" xr10:uidLastSave="{E24875F0-2CCF-4361-9BF5-2F3FADD8F05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<sst xmlns="http://schemas.openxmlformats.org/spreadsheetml/2006/main" count="2521" uniqueCount="236">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</sst>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20" sqref="F1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134.4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100.80000000000001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257</v>
      </c>
      <c r="G122" s="36">
        <f>SUM(G110:G121)</f>
        <v>1079.4000000000001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257</v>
      </c>
      <c r="G136" s="40">
        <f>G122+G135</f>
        <v>1079.4000000000001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4" activePane="bottomLeft" state="frozen"/>
      <selection pane="bottomLeft" activeCell="L112" sqref="L1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N110" sqref="N1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0.42634421296679648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>
        <v>0</v>
      </c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0.42634421296679648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0.42634421296679648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80" activePane="bottomLeft" state="frozen"/>
      <selection pane="bottomLeft" activeCell="K112" sqref="K11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>
        <v>0.71736111111111112</v>
      </c>
      <c r="L111" s="29"/>
      <c r="M111" s="35">
        <f t="shared" ca="1" si="25"/>
        <v>6.4976851717801765E-4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12</v>
      </c>
      <c r="G119" s="34">
        <f t="shared" si="24"/>
        <v>50.400000000000006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22</v>
      </c>
      <c r="G122" s="36">
        <f>SUM(G110:G121)</f>
        <v>92.4</v>
      </c>
      <c r="H122" s="37"/>
      <c r="I122" s="37"/>
      <c r="J122" s="37"/>
      <c r="K122" s="61"/>
      <c r="L122" s="61"/>
      <c r="M122" s="38">
        <f ca="1">IFERROR(SUM(M110:M121),"")</f>
        <v>0.36592754629495577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22</v>
      </c>
      <c r="G136" s="40">
        <f>G122+G135</f>
        <v>92.4</v>
      </c>
      <c r="H136" s="41"/>
      <c r="I136" s="41"/>
      <c r="J136" s="41"/>
      <c r="K136" s="63"/>
      <c r="L136" s="63"/>
      <c r="M136" s="42">
        <f ca="1">IFERROR(M122+M135,"")</f>
        <v>0.36592754629495577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i:0#.f|membership|controle.planta@harpiagold.com.br</cp:lastModifiedBy>
  <cp:revision>0</cp:revision>
  <dcterms:created xsi:type="dcterms:W3CDTF">2026-06-05T19:56:02Z</dcterms:created>
  <dcterms:modified xsi:type="dcterms:W3CDTF">2026-07-05T21:14:07Z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