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570" documentId="8_{AF585B22-221D-4780-BB9C-493D365A6A02}" xr6:coauthVersionLast="47" xr6:coauthVersionMax="47" xr10:uidLastSave="{431F6D22-E0E1-4C7B-9EEC-44D21A66D7A6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<sst xmlns="http://schemas.openxmlformats.org/spreadsheetml/2006/main" count="10765" uniqueCount="404">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</sst>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12" sqref="F71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208</v>
      </c>
      <c r="G716" s="36">
        <f>SUM(G704:G715)</f>
        <v>1040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208</v>
      </c>
      <c r="G730" s="40">
        <f>G716+G729</f>
        <v>1040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0" activePane="bottomLeft" state="frozen"/>
      <selection pane="bottomLeft" activeCell="F713" sqref="F7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0.42705254629254341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0.5846914351814323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0.69441365740365446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0.40552476851735264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0.57635810185068603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0.72149699073957496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/>
      <c r="K707" s="29">
        <v>0.51736111111111116</v>
      </c>
      <c r="L707" s="29"/>
      <c r="M707" s="35">
        <f t="shared" ca="1" si="157"/>
        <v>0.14927476851880783</v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/>
      <c r="I710" s="26"/>
      <c r="J710" s="26" t="s">
        <v>129</v>
      </c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99</v>
      </c>
      <c r="G716" s="36">
        <f>SUM(G704:G715)</f>
        <v>415.8</v>
      </c>
      <c r="H716" s="37"/>
      <c r="I716" s="37"/>
      <c r="J716" s="37"/>
      <c r="K716" s="37"/>
      <c r="L716" s="37"/>
      <c r="M716" s="38">
        <f ca="1">IFERROR(SUM(M704:M715),"")</f>
        <v>0.20066365740769671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99</v>
      </c>
      <c r="G730" s="40">
        <f>G716+G729</f>
        <v>415.8</v>
      </c>
      <c r="H730" s="41"/>
      <c r="I730" s="41"/>
      <c r="J730" s="41"/>
      <c r="K730" s="41"/>
      <c r="L730" s="41"/>
      <c r="M730" s="42">
        <f ca="1">IFERROR(M716+M729,"")</f>
        <v>0.20066365740769671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13" sqref="F7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71</v>
      </c>
      <c r="G716" s="36">
        <f>SUM(G704:G715)</f>
        <v>298.2</v>
      </c>
      <c r="H716" s="37"/>
      <c r="I716" s="37"/>
      <c r="J716" s="37"/>
      <c r="K716" s="37"/>
      <c r="L716" s="37"/>
      <c r="M716" s="38">
        <f ca="1">IFERROR(SUM(M704:M715),"")</f>
        <v>6.8749999999999922E-2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71</v>
      </c>
      <c r="G730" s="40">
        <f>G716+G729</f>
        <v>298.2</v>
      </c>
      <c r="H730" s="41"/>
      <c r="I730" s="41"/>
      <c r="J730" s="41"/>
      <c r="K730" s="41"/>
      <c r="L730" s="41"/>
      <c r="M730" s="42">
        <f ca="1">IFERROR(M716+M729,"")</f>
        <v>6.8749999999999922E-2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J709" sqref="J70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0.41733032407501014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0.61663587963056576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0.98399699074167679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20</v>
      </c>
      <c r="I708" s="26" t="s">
        <v>47</v>
      </c>
      <c r="J708" s="26" t="s">
        <v>36</v>
      </c>
      <c r="K708" s="29">
        <v>0.61250000000000004</v>
      </c>
      <c r="L708" s="29"/>
      <c r="M708" s="30">
        <f t="shared" ca="1" si="157"/>
        <v>5.4135879625391681E-2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/>
      <c r="I709" s="33" t="s">
        <v>52</v>
      </c>
      <c r="J709" s="33" t="s">
        <v>128</v>
      </c>
      <c r="K709" s="29">
        <v>0.62916666666666665</v>
      </c>
      <c r="L709" s="29">
        <v>0.65347222222222223</v>
      </c>
      <c r="M709" s="35">
        <f t="shared" ca="1" si="157"/>
        <v>2.430555555555558E-2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106</v>
      </c>
      <c r="G716" s="36">
        <f>SUM(G704:G715)</f>
        <v>445.20000000000005</v>
      </c>
      <c r="H716" s="37"/>
      <c r="I716" s="37"/>
      <c r="J716" s="37"/>
      <c r="K716" s="61"/>
      <c r="L716" s="61"/>
      <c r="M716" s="38">
        <f ca="1">IFERROR(SUM(M704:M715),"")</f>
        <v>0.20344143518094721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106</v>
      </c>
      <c r="G730" s="40">
        <f>G716+G729</f>
        <v>445.20000000000005</v>
      </c>
      <c r="H730" s="41"/>
      <c r="I730" s="41"/>
      <c r="J730" s="41"/>
      <c r="K730" s="63"/>
      <c r="L730" s="63"/>
      <c r="M730" s="42">
        <f ca="1">IFERROR(M716+M729,"")</f>
        <v>0.20344143518094721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2026-07-27T20:00:46Z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