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97" documentId="13_ncr:1_{9DFDFEE8-78F7-4C04-B87C-99924EE6CC37}" xr6:coauthVersionLast="47" xr6:coauthVersionMax="47" xr10:uidLastSave="{10A5F890-0F85-4F93-B070-D9307EDD2FB1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<sst xmlns="http://schemas.openxmlformats.org/spreadsheetml/2006/main" count="8912" uniqueCount="2874">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</sst>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65" activePane="bottomLeft" state="frozen"/>
      <selection pane="bottomLeft" activeCell="I69" sqref="I6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/>
      <c r="K69" s="80">
        <v>3.0555555555555555E-2</v>
      </c>
      <c r="L69" s="80"/>
      <c r="M69" s="86">
        <f t="shared" ref="M69:M80" ca="1" si="16">IFERROR(IF(K69="","",IF(L69="",MOD(NOW()-K69,1),IF(L69&gt;=K69,L69-K69,L69+1-K69))),"")</f>
        <v>3.4699074603850022E-4</v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148</v>
      </c>
      <c r="G81" s="2">
        <f>SUM(G69:G80)</f>
        <v>740</v>
      </c>
      <c r="H81" s="87"/>
      <c r="I81" s="87"/>
      <c r="J81" s="87"/>
      <c r="K81" s="87"/>
      <c r="L81" s="87"/>
      <c r="M81" s="88">
        <f ca="1">IFERROR(SUM(M69:M80),"")</f>
        <v>3.4699074603850022E-4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537</v>
      </c>
      <c r="G82" s="1">
        <f>G68+G81</f>
        <v>2661</v>
      </c>
      <c r="H82" s="91"/>
      <c r="I82" s="91"/>
      <c r="J82" s="91"/>
      <c r="K82" s="91"/>
      <c r="L82" s="91"/>
      <c r="M82" s="92">
        <f ca="1">IFERROR(M68+M81,"")</f>
        <v>4.5136574127051521E-3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P77" sqref="P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357</v>
      </c>
      <c r="L81" s="87"/>
      <c r="M81" s="87"/>
      <c r="N81" s="87"/>
      <c r="O81" s="87"/>
      <c r="P81" s="87"/>
      <c r="Q81" s="88">
        <f ca="1">IFERROR(SUM(Q69:Q80),"")</f>
        <v>6.5972222222222363E-2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1079.4000000000001</v>
      </c>
      <c r="L82" s="91"/>
      <c r="M82" s="91"/>
      <c r="N82" s="91"/>
      <c r="O82" s="91"/>
      <c r="P82" s="91"/>
      <c r="Q82" s="92">
        <f ca="1">IFERROR(Q68+Q81,"")</f>
        <v>0.13055555555555581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7.2569212963571772E-2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8.9930324074682821E-2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0.1190969907413495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8" activePane="bottomLeft" state="frozen"/>
      <selection pane="bottomLeft" activeCell="N69" sqref="N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94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394.8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1222.2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2026-09-04T04:44:54Z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