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86" documentId="13_ncr:1_{A6DBCFB4-28D9-4249-9038-216934055CA6}" xr6:coauthVersionLast="47" xr6:coauthVersionMax="47" xr10:uidLastSave="{A67A8BD1-FC1B-439E-8CF0-92EFBB60E86A}"/>
  <bookViews>
    <workbookView xWindow="-110" yWindow="-110" windowWidth="25820" windowHeight="15500" tabRatio="500" firstSheet="4" activeTab="4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91" i="3" l="1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K770" i="6" s="1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K662" i="6" s="1"/>
  <c r="K676" i="6" s="1"/>
  <c r="J656" i="6"/>
  <c r="I656" i="6"/>
  <c r="H656" i="6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K554" i="6" s="1"/>
  <c r="K568" i="6" s="1"/>
  <c r="J545" i="6"/>
  <c r="I545" i="6"/>
  <c r="H545" i="6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J532" i="6" s="1"/>
  <c r="F532" i="6"/>
  <c r="Q531" i="6"/>
  <c r="K531" i="6"/>
  <c r="I531" i="6"/>
  <c r="H531" i="6"/>
  <c r="J531" i="6" s="1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J511" i="6" s="1"/>
  <c r="F511" i="6"/>
  <c r="Q510" i="6"/>
  <c r="K510" i="6"/>
  <c r="I510" i="6"/>
  <c r="H510" i="6"/>
  <c r="J510" i="6" s="1"/>
  <c r="F510" i="6"/>
  <c r="Q509" i="6"/>
  <c r="K509" i="6"/>
  <c r="I509" i="6"/>
  <c r="H509" i="6"/>
  <c r="J509" i="6" s="1"/>
  <c r="F509" i="6"/>
  <c r="Q508" i="6"/>
  <c r="K508" i="6"/>
  <c r="I508" i="6"/>
  <c r="H508" i="6"/>
  <c r="J508" i="6" s="1"/>
  <c r="F508" i="6"/>
  <c r="Q507" i="6"/>
  <c r="K507" i="6"/>
  <c r="I507" i="6"/>
  <c r="H507" i="6"/>
  <c r="J507" i="6" s="1"/>
  <c r="F507" i="6"/>
  <c r="Q506" i="6"/>
  <c r="K506" i="6"/>
  <c r="I506" i="6"/>
  <c r="H506" i="6"/>
  <c r="J506" i="6" s="1"/>
  <c r="F506" i="6"/>
  <c r="Q505" i="6"/>
  <c r="K505" i="6"/>
  <c r="I505" i="6"/>
  <c r="H505" i="6"/>
  <c r="J505" i="6" s="1"/>
  <c r="F505" i="6"/>
  <c r="Q504" i="6"/>
  <c r="K504" i="6"/>
  <c r="I504" i="6"/>
  <c r="H504" i="6"/>
  <c r="J504" i="6" s="1"/>
  <c r="F504" i="6"/>
  <c r="Q503" i="6"/>
  <c r="K503" i="6"/>
  <c r="I503" i="6"/>
  <c r="H503" i="6"/>
  <c r="J503" i="6" s="1"/>
  <c r="F503" i="6"/>
  <c r="Q502" i="6"/>
  <c r="K502" i="6"/>
  <c r="I502" i="6"/>
  <c r="H502" i="6"/>
  <c r="J502" i="6" s="1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J499" i="6" s="1"/>
  <c r="F499" i="6"/>
  <c r="Q498" i="6"/>
  <c r="K498" i="6"/>
  <c r="I498" i="6"/>
  <c r="H498" i="6"/>
  <c r="J498" i="6" s="1"/>
  <c r="F498" i="6"/>
  <c r="Q497" i="6"/>
  <c r="K497" i="6"/>
  <c r="I497" i="6"/>
  <c r="H497" i="6"/>
  <c r="J497" i="6" s="1"/>
  <c r="F497" i="6"/>
  <c r="Q496" i="6"/>
  <c r="K496" i="6"/>
  <c r="I496" i="6"/>
  <c r="H496" i="6"/>
  <c r="J496" i="6" s="1"/>
  <c r="F496" i="6"/>
  <c r="Q495" i="6"/>
  <c r="K495" i="6"/>
  <c r="I495" i="6"/>
  <c r="H495" i="6"/>
  <c r="J495" i="6" s="1"/>
  <c r="F495" i="6"/>
  <c r="Q494" i="6"/>
  <c r="K494" i="6"/>
  <c r="I494" i="6"/>
  <c r="H494" i="6"/>
  <c r="J494" i="6" s="1"/>
  <c r="F494" i="6"/>
  <c r="Q493" i="6"/>
  <c r="K493" i="6"/>
  <c r="I493" i="6"/>
  <c r="H493" i="6"/>
  <c r="J493" i="6" s="1"/>
  <c r="F493" i="6"/>
  <c r="K492" i="6"/>
  <c r="I492" i="6"/>
  <c r="H492" i="6"/>
  <c r="J492" i="6" s="1"/>
  <c r="F492" i="6"/>
  <c r="Q491" i="6"/>
  <c r="K491" i="6"/>
  <c r="I491" i="6"/>
  <c r="H491" i="6"/>
  <c r="J491" i="6" s="1"/>
  <c r="F491" i="6"/>
  <c r="Q490" i="6"/>
  <c r="K490" i="6"/>
  <c r="I490" i="6"/>
  <c r="H490" i="6"/>
  <c r="J490" i="6" s="1"/>
  <c r="F490" i="6"/>
  <c r="Q489" i="6"/>
  <c r="K489" i="6"/>
  <c r="I489" i="6"/>
  <c r="H489" i="6"/>
  <c r="J489" i="6" s="1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J485" i="6" s="1"/>
  <c r="F485" i="6"/>
  <c r="Q484" i="6"/>
  <c r="K484" i="6"/>
  <c r="I484" i="6"/>
  <c r="H484" i="6"/>
  <c r="J484" i="6" s="1"/>
  <c r="F484" i="6"/>
  <c r="Q483" i="6"/>
  <c r="K483" i="6"/>
  <c r="I483" i="6"/>
  <c r="H483" i="6"/>
  <c r="J483" i="6" s="1"/>
  <c r="F483" i="6"/>
  <c r="Q482" i="6"/>
  <c r="K482" i="6"/>
  <c r="I482" i="6"/>
  <c r="H482" i="6"/>
  <c r="J482" i="6" s="1"/>
  <c r="F482" i="6"/>
  <c r="Q481" i="6"/>
  <c r="K481" i="6"/>
  <c r="I481" i="6"/>
  <c r="H481" i="6"/>
  <c r="J481" i="6" s="1"/>
  <c r="F481" i="6"/>
  <c r="Q480" i="6"/>
  <c r="K480" i="6"/>
  <c r="I480" i="6"/>
  <c r="H480" i="6"/>
  <c r="J480" i="6" s="1"/>
  <c r="F480" i="6"/>
  <c r="Q479" i="6"/>
  <c r="K479" i="6"/>
  <c r="I479" i="6"/>
  <c r="H479" i="6"/>
  <c r="J479" i="6" s="1"/>
  <c r="F479" i="6"/>
  <c r="Q478" i="6"/>
  <c r="K478" i="6"/>
  <c r="I478" i="6"/>
  <c r="H478" i="6"/>
  <c r="J478" i="6" s="1"/>
  <c r="F478" i="6"/>
  <c r="Q477" i="6"/>
  <c r="K477" i="6"/>
  <c r="I477" i="6"/>
  <c r="H477" i="6"/>
  <c r="J477" i="6" s="1"/>
  <c r="F477" i="6"/>
  <c r="Q476" i="6"/>
  <c r="K476" i="6"/>
  <c r="I476" i="6"/>
  <c r="H476" i="6"/>
  <c r="J476" i="6" s="1"/>
  <c r="F476" i="6"/>
  <c r="Q475" i="6"/>
  <c r="K475" i="6"/>
  <c r="I475" i="6"/>
  <c r="H475" i="6"/>
  <c r="J475" i="6" s="1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J472" i="6" s="1"/>
  <c r="F472" i="6"/>
  <c r="Q471" i="6"/>
  <c r="K471" i="6"/>
  <c r="I471" i="6"/>
  <c r="H471" i="6"/>
  <c r="J471" i="6" s="1"/>
  <c r="F471" i="6"/>
  <c r="Q470" i="6"/>
  <c r="K470" i="6"/>
  <c r="I470" i="6"/>
  <c r="H470" i="6"/>
  <c r="J470" i="6" s="1"/>
  <c r="F470" i="6"/>
  <c r="Q469" i="6"/>
  <c r="K469" i="6"/>
  <c r="I469" i="6"/>
  <c r="H469" i="6"/>
  <c r="J469" i="6" s="1"/>
  <c r="F469" i="6"/>
  <c r="Q468" i="6"/>
  <c r="K468" i="6"/>
  <c r="I468" i="6"/>
  <c r="H468" i="6"/>
  <c r="J468" i="6" s="1"/>
  <c r="F468" i="6"/>
  <c r="Q467" i="6"/>
  <c r="K467" i="6"/>
  <c r="I467" i="6"/>
  <c r="H467" i="6"/>
  <c r="J467" i="6" s="1"/>
  <c r="F467" i="6"/>
  <c r="Q466" i="6"/>
  <c r="K466" i="6"/>
  <c r="I466" i="6"/>
  <c r="H466" i="6"/>
  <c r="J466" i="6" s="1"/>
  <c r="F466" i="6"/>
  <c r="Q465" i="6"/>
  <c r="K465" i="6"/>
  <c r="I465" i="6"/>
  <c r="H465" i="6"/>
  <c r="J465" i="6" s="1"/>
  <c r="F465" i="6"/>
  <c r="Q464" i="6"/>
  <c r="K464" i="6"/>
  <c r="I464" i="6"/>
  <c r="H464" i="6"/>
  <c r="J464" i="6" s="1"/>
  <c r="F464" i="6"/>
  <c r="Q463" i="6"/>
  <c r="K463" i="6"/>
  <c r="I463" i="6"/>
  <c r="H463" i="6"/>
  <c r="J463" i="6" s="1"/>
  <c r="F463" i="6"/>
  <c r="Q462" i="6"/>
  <c r="K462" i="6"/>
  <c r="I462" i="6"/>
  <c r="H462" i="6"/>
  <c r="J462" i="6" s="1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J458" i="6" s="1"/>
  <c r="F458" i="6"/>
  <c r="Q457" i="6"/>
  <c r="K457" i="6"/>
  <c r="I457" i="6"/>
  <c r="H457" i="6"/>
  <c r="J457" i="6" s="1"/>
  <c r="F457" i="6"/>
  <c r="Q456" i="6"/>
  <c r="K456" i="6"/>
  <c r="I456" i="6"/>
  <c r="H456" i="6"/>
  <c r="J456" i="6" s="1"/>
  <c r="F456" i="6"/>
  <c r="Q455" i="6"/>
  <c r="K455" i="6"/>
  <c r="I455" i="6"/>
  <c r="H455" i="6"/>
  <c r="J455" i="6" s="1"/>
  <c r="F455" i="6"/>
  <c r="Q454" i="6"/>
  <c r="K454" i="6"/>
  <c r="I454" i="6"/>
  <c r="H454" i="6"/>
  <c r="J454" i="6" s="1"/>
  <c r="F454" i="6"/>
  <c r="Q453" i="6"/>
  <c r="K453" i="6"/>
  <c r="I453" i="6"/>
  <c r="H453" i="6"/>
  <c r="J453" i="6" s="1"/>
  <c r="F453" i="6"/>
  <c r="Q452" i="6"/>
  <c r="K452" i="6"/>
  <c r="I452" i="6"/>
  <c r="H452" i="6"/>
  <c r="J452" i="6" s="1"/>
  <c r="F452" i="6"/>
  <c r="Q451" i="6"/>
  <c r="K451" i="6"/>
  <c r="I451" i="6"/>
  <c r="H451" i="6"/>
  <c r="J451" i="6" s="1"/>
  <c r="F451" i="6"/>
  <c r="Q450" i="6"/>
  <c r="K450" i="6"/>
  <c r="I450" i="6"/>
  <c r="H450" i="6"/>
  <c r="J450" i="6" s="1"/>
  <c r="F450" i="6"/>
  <c r="Q449" i="6"/>
  <c r="K449" i="6"/>
  <c r="I449" i="6"/>
  <c r="H449" i="6"/>
  <c r="J449" i="6" s="1"/>
  <c r="F449" i="6"/>
  <c r="Q448" i="6"/>
  <c r="K448" i="6"/>
  <c r="I448" i="6"/>
  <c r="H448" i="6"/>
  <c r="J448" i="6" s="1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J445" i="6" s="1"/>
  <c r="F445" i="6"/>
  <c r="Q444" i="6"/>
  <c r="K444" i="6"/>
  <c r="I444" i="6"/>
  <c r="H444" i="6"/>
  <c r="J444" i="6" s="1"/>
  <c r="F444" i="6"/>
  <c r="Q443" i="6"/>
  <c r="K443" i="6"/>
  <c r="I443" i="6"/>
  <c r="H443" i="6"/>
  <c r="J443" i="6" s="1"/>
  <c r="F443" i="6"/>
  <c r="Q442" i="6"/>
  <c r="K442" i="6"/>
  <c r="I442" i="6"/>
  <c r="H442" i="6"/>
  <c r="J442" i="6" s="1"/>
  <c r="F442" i="6"/>
  <c r="Q441" i="6"/>
  <c r="K441" i="6"/>
  <c r="I441" i="6"/>
  <c r="H441" i="6"/>
  <c r="J441" i="6" s="1"/>
  <c r="F441" i="6"/>
  <c r="Q440" i="6"/>
  <c r="K440" i="6"/>
  <c r="I440" i="6"/>
  <c r="H440" i="6"/>
  <c r="J440" i="6" s="1"/>
  <c r="F440" i="6"/>
  <c r="Q439" i="6"/>
  <c r="K439" i="6"/>
  <c r="I439" i="6"/>
  <c r="H439" i="6"/>
  <c r="J439" i="6" s="1"/>
  <c r="F439" i="6"/>
  <c r="Q438" i="6"/>
  <c r="K438" i="6"/>
  <c r="I438" i="6"/>
  <c r="H438" i="6"/>
  <c r="J438" i="6" s="1"/>
  <c r="F438" i="6"/>
  <c r="Q437" i="6"/>
  <c r="K437" i="6"/>
  <c r="I437" i="6"/>
  <c r="H437" i="6"/>
  <c r="J437" i="6" s="1"/>
  <c r="F437" i="6"/>
  <c r="Q436" i="6"/>
  <c r="K436" i="6"/>
  <c r="I436" i="6"/>
  <c r="H436" i="6"/>
  <c r="J436" i="6" s="1"/>
  <c r="F436" i="6"/>
  <c r="Q435" i="6"/>
  <c r="K435" i="6"/>
  <c r="K446" i="6" s="1"/>
  <c r="K460" i="6" s="1"/>
  <c r="I435" i="6"/>
  <c r="H435" i="6"/>
  <c r="J435" i="6" s="1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J431" i="6" s="1"/>
  <c r="F431" i="6"/>
  <c r="Q430" i="6"/>
  <c r="K430" i="6"/>
  <c r="I430" i="6"/>
  <c r="H430" i="6"/>
  <c r="J430" i="6" s="1"/>
  <c r="F430" i="6"/>
  <c r="Q429" i="6"/>
  <c r="K429" i="6"/>
  <c r="I429" i="6"/>
  <c r="H429" i="6"/>
  <c r="J429" i="6" s="1"/>
  <c r="F429" i="6"/>
  <c r="Q428" i="6"/>
  <c r="K428" i="6"/>
  <c r="I428" i="6"/>
  <c r="H428" i="6"/>
  <c r="J428" i="6" s="1"/>
  <c r="F428" i="6"/>
  <c r="Q427" i="6"/>
  <c r="K427" i="6"/>
  <c r="I427" i="6"/>
  <c r="H427" i="6"/>
  <c r="J427" i="6" s="1"/>
  <c r="F427" i="6"/>
  <c r="Q426" i="6"/>
  <c r="K426" i="6"/>
  <c r="I426" i="6"/>
  <c r="H426" i="6"/>
  <c r="J426" i="6" s="1"/>
  <c r="F426" i="6"/>
  <c r="Q425" i="6"/>
  <c r="K425" i="6"/>
  <c r="I425" i="6"/>
  <c r="H425" i="6"/>
  <c r="J425" i="6" s="1"/>
  <c r="F425" i="6"/>
  <c r="Q424" i="6"/>
  <c r="K424" i="6"/>
  <c r="I424" i="6"/>
  <c r="H424" i="6"/>
  <c r="J424" i="6" s="1"/>
  <c r="F424" i="6"/>
  <c r="Q423" i="6"/>
  <c r="K423" i="6"/>
  <c r="I423" i="6"/>
  <c r="H423" i="6"/>
  <c r="J423" i="6" s="1"/>
  <c r="F423" i="6"/>
  <c r="Q422" i="6"/>
  <c r="K422" i="6"/>
  <c r="I422" i="6"/>
  <c r="H422" i="6"/>
  <c r="J422" i="6" s="1"/>
  <c r="F422" i="6"/>
  <c r="Q421" i="6"/>
  <c r="K421" i="6"/>
  <c r="I421" i="6"/>
  <c r="H421" i="6"/>
  <c r="J421" i="6" s="1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J418" i="6" s="1"/>
  <c r="F418" i="6"/>
  <c r="Q417" i="6"/>
  <c r="K417" i="6"/>
  <c r="I417" i="6"/>
  <c r="H417" i="6"/>
  <c r="J417" i="6" s="1"/>
  <c r="F417" i="6"/>
  <c r="Q416" i="6"/>
  <c r="K416" i="6"/>
  <c r="I416" i="6"/>
  <c r="H416" i="6"/>
  <c r="J416" i="6" s="1"/>
  <c r="F416" i="6"/>
  <c r="Q415" i="6"/>
  <c r="K415" i="6"/>
  <c r="I415" i="6"/>
  <c r="H415" i="6"/>
  <c r="J415" i="6" s="1"/>
  <c r="F415" i="6"/>
  <c r="Q414" i="6"/>
  <c r="K414" i="6"/>
  <c r="I414" i="6"/>
  <c r="H414" i="6"/>
  <c r="J414" i="6" s="1"/>
  <c r="F414" i="6"/>
  <c r="Q413" i="6"/>
  <c r="K413" i="6"/>
  <c r="I413" i="6"/>
  <c r="H413" i="6"/>
  <c r="J413" i="6" s="1"/>
  <c r="F413" i="6"/>
  <c r="Q412" i="6"/>
  <c r="K412" i="6"/>
  <c r="I412" i="6"/>
  <c r="H412" i="6"/>
  <c r="J412" i="6" s="1"/>
  <c r="F412" i="6"/>
  <c r="Q411" i="6"/>
  <c r="K411" i="6"/>
  <c r="I411" i="6"/>
  <c r="H411" i="6"/>
  <c r="J411" i="6" s="1"/>
  <c r="F411" i="6"/>
  <c r="Q410" i="6"/>
  <c r="K410" i="6"/>
  <c r="I410" i="6"/>
  <c r="H410" i="6"/>
  <c r="J410" i="6" s="1"/>
  <c r="F410" i="6"/>
  <c r="Q409" i="6"/>
  <c r="K409" i="6"/>
  <c r="I409" i="6"/>
  <c r="H409" i="6"/>
  <c r="J409" i="6" s="1"/>
  <c r="F409" i="6"/>
  <c r="Q408" i="6"/>
  <c r="K408" i="6"/>
  <c r="I408" i="6"/>
  <c r="H408" i="6"/>
  <c r="J408" i="6" s="1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J404" i="6" s="1"/>
  <c r="F404" i="6"/>
  <c r="Q403" i="6"/>
  <c r="K403" i="6"/>
  <c r="I403" i="6"/>
  <c r="H403" i="6"/>
  <c r="J403" i="6" s="1"/>
  <c r="F403" i="6"/>
  <c r="Q402" i="6"/>
  <c r="K402" i="6"/>
  <c r="I402" i="6"/>
  <c r="H402" i="6"/>
  <c r="J402" i="6" s="1"/>
  <c r="F402" i="6"/>
  <c r="Q401" i="6"/>
  <c r="K401" i="6"/>
  <c r="I401" i="6"/>
  <c r="H401" i="6"/>
  <c r="J401" i="6" s="1"/>
  <c r="F401" i="6"/>
  <c r="Q400" i="6"/>
  <c r="K400" i="6"/>
  <c r="I400" i="6"/>
  <c r="H400" i="6"/>
  <c r="J400" i="6" s="1"/>
  <c r="F400" i="6"/>
  <c r="Q399" i="6"/>
  <c r="K399" i="6"/>
  <c r="I399" i="6"/>
  <c r="H399" i="6"/>
  <c r="J399" i="6" s="1"/>
  <c r="F399" i="6"/>
  <c r="Q398" i="6"/>
  <c r="K398" i="6"/>
  <c r="I398" i="6"/>
  <c r="H398" i="6"/>
  <c r="J398" i="6" s="1"/>
  <c r="F398" i="6"/>
  <c r="Q397" i="6"/>
  <c r="K397" i="6"/>
  <c r="I397" i="6"/>
  <c r="H397" i="6"/>
  <c r="J397" i="6" s="1"/>
  <c r="F397" i="6"/>
  <c r="Q396" i="6"/>
  <c r="K396" i="6"/>
  <c r="I396" i="6"/>
  <c r="H396" i="6"/>
  <c r="J396" i="6" s="1"/>
  <c r="F396" i="6"/>
  <c r="Q395" i="6"/>
  <c r="K395" i="6"/>
  <c r="I395" i="6"/>
  <c r="H395" i="6"/>
  <c r="J395" i="6" s="1"/>
  <c r="F395" i="6"/>
  <c r="Q394" i="6"/>
  <c r="K394" i="6"/>
  <c r="I394" i="6"/>
  <c r="H394" i="6"/>
  <c r="J394" i="6" s="1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J391" i="6" s="1"/>
  <c r="F391" i="6"/>
  <c r="Q390" i="6"/>
  <c r="K390" i="6"/>
  <c r="I390" i="6"/>
  <c r="H390" i="6"/>
  <c r="J390" i="6" s="1"/>
  <c r="F390" i="6"/>
  <c r="Q389" i="6"/>
  <c r="K389" i="6"/>
  <c r="I389" i="6"/>
  <c r="H389" i="6"/>
  <c r="J389" i="6" s="1"/>
  <c r="F389" i="6"/>
  <c r="Q388" i="6"/>
  <c r="K388" i="6"/>
  <c r="I388" i="6"/>
  <c r="H388" i="6"/>
  <c r="J388" i="6" s="1"/>
  <c r="F388" i="6"/>
  <c r="Q387" i="6"/>
  <c r="K387" i="6"/>
  <c r="I387" i="6"/>
  <c r="H387" i="6"/>
  <c r="J387" i="6" s="1"/>
  <c r="F387" i="6"/>
  <c r="Q386" i="6"/>
  <c r="K386" i="6"/>
  <c r="I386" i="6"/>
  <c r="H386" i="6"/>
  <c r="J386" i="6" s="1"/>
  <c r="F386" i="6"/>
  <c r="Q385" i="6"/>
  <c r="K385" i="6"/>
  <c r="I385" i="6"/>
  <c r="H385" i="6"/>
  <c r="J385" i="6" s="1"/>
  <c r="F385" i="6"/>
  <c r="Q384" i="6"/>
  <c r="K384" i="6"/>
  <c r="I384" i="6"/>
  <c r="H384" i="6"/>
  <c r="J384" i="6" s="1"/>
  <c r="F384" i="6"/>
  <c r="Q383" i="6"/>
  <c r="K383" i="6"/>
  <c r="I383" i="6"/>
  <c r="H383" i="6"/>
  <c r="J383" i="6" s="1"/>
  <c r="F383" i="6"/>
  <c r="Q382" i="6"/>
  <c r="K382" i="6"/>
  <c r="I382" i="6"/>
  <c r="H382" i="6"/>
  <c r="J382" i="6" s="1"/>
  <c r="F382" i="6"/>
  <c r="Q381" i="6"/>
  <c r="K381" i="6"/>
  <c r="I381" i="6"/>
  <c r="H381" i="6"/>
  <c r="J381" i="6" s="1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J377" i="6" s="1"/>
  <c r="F377" i="6"/>
  <c r="Q376" i="6"/>
  <c r="K376" i="6"/>
  <c r="I376" i="6"/>
  <c r="H376" i="6"/>
  <c r="J376" i="6" s="1"/>
  <c r="F376" i="6"/>
  <c r="Q375" i="6"/>
  <c r="K375" i="6"/>
  <c r="I375" i="6"/>
  <c r="H375" i="6"/>
  <c r="J375" i="6" s="1"/>
  <c r="F375" i="6"/>
  <c r="Q374" i="6"/>
  <c r="K374" i="6"/>
  <c r="I374" i="6"/>
  <c r="H374" i="6"/>
  <c r="J374" i="6" s="1"/>
  <c r="F374" i="6"/>
  <c r="Q373" i="6"/>
  <c r="K373" i="6"/>
  <c r="I373" i="6"/>
  <c r="H373" i="6"/>
  <c r="J373" i="6" s="1"/>
  <c r="F373" i="6"/>
  <c r="Q372" i="6"/>
  <c r="K372" i="6"/>
  <c r="I372" i="6"/>
  <c r="H372" i="6"/>
  <c r="J372" i="6" s="1"/>
  <c r="F372" i="6"/>
  <c r="Q371" i="6"/>
  <c r="K371" i="6"/>
  <c r="I371" i="6"/>
  <c r="H371" i="6"/>
  <c r="J371" i="6" s="1"/>
  <c r="F371" i="6"/>
  <c r="Q370" i="6"/>
  <c r="K370" i="6"/>
  <c r="I370" i="6"/>
  <c r="H370" i="6"/>
  <c r="J370" i="6" s="1"/>
  <c r="F370" i="6"/>
  <c r="Q369" i="6"/>
  <c r="K369" i="6"/>
  <c r="I369" i="6"/>
  <c r="H369" i="6"/>
  <c r="J369" i="6" s="1"/>
  <c r="F369" i="6"/>
  <c r="Q368" i="6"/>
  <c r="K368" i="6"/>
  <c r="I368" i="6"/>
  <c r="H368" i="6"/>
  <c r="J368" i="6" s="1"/>
  <c r="F368" i="6"/>
  <c r="Q367" i="6"/>
  <c r="K367" i="6"/>
  <c r="I367" i="6"/>
  <c r="H367" i="6"/>
  <c r="J367" i="6" s="1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J364" i="6" s="1"/>
  <c r="F364" i="6"/>
  <c r="Q363" i="6"/>
  <c r="K363" i="6"/>
  <c r="I363" i="6"/>
  <c r="H363" i="6"/>
  <c r="J363" i="6" s="1"/>
  <c r="F363" i="6"/>
  <c r="Q362" i="6"/>
  <c r="K362" i="6"/>
  <c r="I362" i="6"/>
  <c r="H362" i="6"/>
  <c r="J362" i="6" s="1"/>
  <c r="F362" i="6"/>
  <c r="Q361" i="6"/>
  <c r="K361" i="6"/>
  <c r="I361" i="6"/>
  <c r="H361" i="6"/>
  <c r="J361" i="6" s="1"/>
  <c r="F361" i="6"/>
  <c r="Q360" i="6"/>
  <c r="K360" i="6"/>
  <c r="I360" i="6"/>
  <c r="H360" i="6"/>
  <c r="J360" i="6" s="1"/>
  <c r="F360" i="6"/>
  <c r="Q359" i="6"/>
  <c r="K359" i="6"/>
  <c r="I359" i="6"/>
  <c r="H359" i="6"/>
  <c r="J359" i="6" s="1"/>
  <c r="F359" i="6"/>
  <c r="Q358" i="6"/>
  <c r="K358" i="6"/>
  <c r="I358" i="6"/>
  <c r="H358" i="6"/>
  <c r="J358" i="6" s="1"/>
  <c r="F358" i="6"/>
  <c r="Q357" i="6"/>
  <c r="K357" i="6"/>
  <c r="I357" i="6"/>
  <c r="H357" i="6"/>
  <c r="J357" i="6" s="1"/>
  <c r="F357" i="6"/>
  <c r="Q356" i="6"/>
  <c r="K356" i="6"/>
  <c r="I356" i="6"/>
  <c r="H356" i="6"/>
  <c r="J356" i="6" s="1"/>
  <c r="F356" i="6"/>
  <c r="Q355" i="6"/>
  <c r="K355" i="6"/>
  <c r="I355" i="6"/>
  <c r="H355" i="6"/>
  <c r="J355" i="6" s="1"/>
  <c r="F355" i="6"/>
  <c r="Q354" i="6"/>
  <c r="K354" i="6"/>
  <c r="I354" i="6"/>
  <c r="H354" i="6"/>
  <c r="J354" i="6" s="1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J350" i="6" s="1"/>
  <c r="F350" i="6"/>
  <c r="Q349" i="6"/>
  <c r="K349" i="6"/>
  <c r="I349" i="6"/>
  <c r="H349" i="6"/>
  <c r="J349" i="6" s="1"/>
  <c r="F349" i="6"/>
  <c r="Q348" i="6"/>
  <c r="K348" i="6"/>
  <c r="I348" i="6"/>
  <c r="H348" i="6"/>
  <c r="J348" i="6" s="1"/>
  <c r="F348" i="6"/>
  <c r="Q347" i="6"/>
  <c r="K347" i="6"/>
  <c r="I347" i="6"/>
  <c r="H347" i="6"/>
  <c r="J347" i="6" s="1"/>
  <c r="F347" i="6"/>
  <c r="Q346" i="6"/>
  <c r="K346" i="6"/>
  <c r="I346" i="6"/>
  <c r="H346" i="6"/>
  <c r="J346" i="6" s="1"/>
  <c r="F346" i="6"/>
  <c r="Q345" i="6"/>
  <c r="K345" i="6"/>
  <c r="I345" i="6"/>
  <c r="H345" i="6"/>
  <c r="J345" i="6" s="1"/>
  <c r="F345" i="6"/>
  <c r="Q344" i="6"/>
  <c r="K344" i="6"/>
  <c r="I344" i="6"/>
  <c r="H344" i="6"/>
  <c r="J344" i="6" s="1"/>
  <c r="F344" i="6"/>
  <c r="Q343" i="6"/>
  <c r="K343" i="6"/>
  <c r="I343" i="6"/>
  <c r="H343" i="6"/>
  <c r="J343" i="6" s="1"/>
  <c r="F343" i="6"/>
  <c r="Q342" i="6"/>
  <c r="K342" i="6"/>
  <c r="I342" i="6"/>
  <c r="H342" i="6"/>
  <c r="J342" i="6" s="1"/>
  <c r="F342" i="6"/>
  <c r="Q341" i="6"/>
  <c r="K341" i="6"/>
  <c r="I341" i="6"/>
  <c r="H341" i="6"/>
  <c r="J341" i="6" s="1"/>
  <c r="F341" i="6"/>
  <c r="Q340" i="6"/>
  <c r="K340" i="6"/>
  <c r="I340" i="6"/>
  <c r="H340" i="6"/>
  <c r="J340" i="6" s="1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J337" i="6" s="1"/>
  <c r="F337" i="6"/>
  <c r="Q336" i="6"/>
  <c r="K336" i="6"/>
  <c r="I336" i="6"/>
  <c r="H336" i="6"/>
  <c r="J336" i="6" s="1"/>
  <c r="F336" i="6"/>
  <c r="Q335" i="6"/>
  <c r="K335" i="6"/>
  <c r="I335" i="6"/>
  <c r="H335" i="6"/>
  <c r="J335" i="6" s="1"/>
  <c r="F335" i="6"/>
  <c r="Q334" i="6"/>
  <c r="K334" i="6"/>
  <c r="I334" i="6"/>
  <c r="H334" i="6"/>
  <c r="J334" i="6" s="1"/>
  <c r="F334" i="6"/>
  <c r="Q333" i="6"/>
  <c r="K333" i="6"/>
  <c r="I333" i="6"/>
  <c r="H333" i="6"/>
  <c r="J333" i="6" s="1"/>
  <c r="F333" i="6"/>
  <c r="Q332" i="6"/>
  <c r="K332" i="6"/>
  <c r="I332" i="6"/>
  <c r="H332" i="6"/>
  <c r="J332" i="6" s="1"/>
  <c r="F332" i="6"/>
  <c r="Q331" i="6"/>
  <c r="K331" i="6"/>
  <c r="I331" i="6"/>
  <c r="H331" i="6"/>
  <c r="J331" i="6" s="1"/>
  <c r="F331" i="6"/>
  <c r="Q330" i="6"/>
  <c r="K330" i="6"/>
  <c r="I330" i="6"/>
  <c r="H330" i="6"/>
  <c r="J330" i="6" s="1"/>
  <c r="F330" i="6"/>
  <c r="Q329" i="6"/>
  <c r="K329" i="6"/>
  <c r="I329" i="6"/>
  <c r="H329" i="6"/>
  <c r="J329" i="6" s="1"/>
  <c r="F329" i="6"/>
  <c r="Q328" i="6"/>
  <c r="K328" i="6"/>
  <c r="I328" i="6"/>
  <c r="H328" i="6"/>
  <c r="J328" i="6" s="1"/>
  <c r="F328" i="6"/>
  <c r="Q327" i="6"/>
  <c r="K327" i="6"/>
  <c r="I327" i="6"/>
  <c r="H327" i="6"/>
  <c r="J327" i="6" s="1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5" i="6"/>
  <c r="K324" i="6"/>
  <c r="G324" i="6"/>
  <c r="Q323" i="6"/>
  <c r="K323" i="6"/>
  <c r="I323" i="6"/>
  <c r="H323" i="6"/>
  <c r="J323" i="6" s="1"/>
  <c r="F323" i="6"/>
  <c r="Q322" i="6"/>
  <c r="K322" i="6"/>
  <c r="I322" i="6"/>
  <c r="H322" i="6"/>
  <c r="J322" i="6" s="1"/>
  <c r="F322" i="6"/>
  <c r="Q321" i="6"/>
  <c r="K321" i="6"/>
  <c r="I321" i="6"/>
  <c r="H321" i="6"/>
  <c r="J321" i="6" s="1"/>
  <c r="F321" i="6"/>
  <c r="Q320" i="6"/>
  <c r="K320" i="6"/>
  <c r="I320" i="6"/>
  <c r="H320" i="6"/>
  <c r="J320" i="6" s="1"/>
  <c r="F320" i="6"/>
  <c r="Q319" i="6"/>
  <c r="K319" i="6"/>
  <c r="I319" i="6"/>
  <c r="H319" i="6"/>
  <c r="J319" i="6" s="1"/>
  <c r="F319" i="6"/>
  <c r="Q318" i="6"/>
  <c r="K318" i="6"/>
  <c r="I318" i="6"/>
  <c r="H318" i="6"/>
  <c r="J318" i="6" s="1"/>
  <c r="F318" i="6"/>
  <c r="Q317" i="6"/>
  <c r="K317" i="6"/>
  <c r="I317" i="6"/>
  <c r="H317" i="6"/>
  <c r="J317" i="6" s="1"/>
  <c r="F317" i="6"/>
  <c r="Q316" i="6"/>
  <c r="K316" i="6"/>
  <c r="I316" i="6"/>
  <c r="H316" i="6"/>
  <c r="J316" i="6" s="1"/>
  <c r="F316" i="6"/>
  <c r="Q315" i="6"/>
  <c r="K315" i="6"/>
  <c r="I315" i="6"/>
  <c r="H315" i="6"/>
  <c r="J315" i="6" s="1"/>
  <c r="F315" i="6"/>
  <c r="Q314" i="6"/>
  <c r="K314" i="6"/>
  <c r="I314" i="6"/>
  <c r="H314" i="6"/>
  <c r="J314" i="6" s="1"/>
  <c r="F314" i="6"/>
  <c r="Q313" i="6"/>
  <c r="K313" i="6"/>
  <c r="I313" i="6"/>
  <c r="H313" i="6"/>
  <c r="J313" i="6" s="1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I312" i="6"/>
  <c r="H312" i="6"/>
  <c r="F312" i="6"/>
  <c r="G311" i="6"/>
  <c r="Q310" i="6"/>
  <c r="K310" i="6"/>
  <c r="I310" i="6"/>
  <c r="H310" i="6"/>
  <c r="J310" i="6" s="1"/>
  <c r="F310" i="6"/>
  <c r="Q309" i="6"/>
  <c r="K309" i="6"/>
  <c r="I309" i="6"/>
  <c r="H309" i="6"/>
  <c r="J309" i="6" s="1"/>
  <c r="F309" i="6"/>
  <c r="Q308" i="6"/>
  <c r="K308" i="6"/>
  <c r="I308" i="6"/>
  <c r="H308" i="6"/>
  <c r="J308" i="6" s="1"/>
  <c r="F308" i="6"/>
  <c r="Q307" i="6"/>
  <c r="K307" i="6"/>
  <c r="I307" i="6"/>
  <c r="H307" i="6"/>
  <c r="J307" i="6" s="1"/>
  <c r="F307" i="6"/>
  <c r="Q306" i="6"/>
  <c r="K306" i="6"/>
  <c r="I306" i="6"/>
  <c r="H306" i="6"/>
  <c r="J306" i="6" s="1"/>
  <c r="F306" i="6"/>
  <c r="Q305" i="6"/>
  <c r="K305" i="6"/>
  <c r="I305" i="6"/>
  <c r="H305" i="6"/>
  <c r="J305" i="6" s="1"/>
  <c r="F305" i="6"/>
  <c r="Q304" i="6"/>
  <c r="K304" i="6"/>
  <c r="I304" i="6"/>
  <c r="H304" i="6"/>
  <c r="J304" i="6" s="1"/>
  <c r="F304" i="6"/>
  <c r="Q303" i="6"/>
  <c r="K303" i="6"/>
  <c r="I303" i="6"/>
  <c r="H303" i="6"/>
  <c r="J303" i="6" s="1"/>
  <c r="F303" i="6"/>
  <c r="Q302" i="6"/>
  <c r="K302" i="6"/>
  <c r="I302" i="6"/>
  <c r="H302" i="6"/>
  <c r="J302" i="6" s="1"/>
  <c r="F302" i="6"/>
  <c r="Q301" i="6"/>
  <c r="K301" i="6"/>
  <c r="I301" i="6"/>
  <c r="H301" i="6"/>
  <c r="J301" i="6" s="1"/>
  <c r="F301" i="6"/>
  <c r="Q300" i="6"/>
  <c r="K300" i="6"/>
  <c r="I300" i="6"/>
  <c r="H300" i="6"/>
  <c r="J300" i="6" s="1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J511" i="5" s="1"/>
  <c r="F511" i="5"/>
  <c r="Q510" i="5"/>
  <c r="K510" i="5"/>
  <c r="I510" i="5"/>
  <c r="H510" i="5"/>
  <c r="J510" i="5" s="1"/>
  <c r="F510" i="5"/>
  <c r="Q509" i="5"/>
  <c r="K509" i="5"/>
  <c r="I509" i="5"/>
  <c r="H509" i="5"/>
  <c r="J509" i="5" s="1"/>
  <c r="F509" i="5"/>
  <c r="Q508" i="5"/>
  <c r="K508" i="5"/>
  <c r="I508" i="5"/>
  <c r="H508" i="5"/>
  <c r="J508" i="5" s="1"/>
  <c r="F508" i="5"/>
  <c r="Q507" i="5"/>
  <c r="K507" i="5"/>
  <c r="I507" i="5"/>
  <c r="H507" i="5"/>
  <c r="J507" i="5" s="1"/>
  <c r="F507" i="5"/>
  <c r="Q506" i="5"/>
  <c r="K506" i="5"/>
  <c r="I506" i="5"/>
  <c r="H506" i="5"/>
  <c r="J506" i="5" s="1"/>
  <c r="F506" i="5"/>
  <c r="Q505" i="5"/>
  <c r="K505" i="5"/>
  <c r="I505" i="5"/>
  <c r="H505" i="5"/>
  <c r="J505" i="5" s="1"/>
  <c r="F505" i="5"/>
  <c r="Q504" i="5"/>
  <c r="K504" i="5"/>
  <c r="I504" i="5"/>
  <c r="H504" i="5"/>
  <c r="J504" i="5" s="1"/>
  <c r="F504" i="5"/>
  <c r="Q503" i="5"/>
  <c r="K503" i="5"/>
  <c r="I503" i="5"/>
  <c r="H503" i="5"/>
  <c r="J503" i="5" s="1"/>
  <c r="F503" i="5"/>
  <c r="Q502" i="5"/>
  <c r="K502" i="5"/>
  <c r="I502" i="5"/>
  <c r="H502" i="5"/>
  <c r="J502" i="5" s="1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J499" i="5" s="1"/>
  <c r="F499" i="5"/>
  <c r="Q498" i="5"/>
  <c r="K498" i="5"/>
  <c r="I498" i="5"/>
  <c r="H498" i="5"/>
  <c r="J498" i="5" s="1"/>
  <c r="F498" i="5"/>
  <c r="Q497" i="5"/>
  <c r="K497" i="5"/>
  <c r="I497" i="5"/>
  <c r="H497" i="5"/>
  <c r="J497" i="5" s="1"/>
  <c r="F497" i="5"/>
  <c r="Q496" i="5"/>
  <c r="K496" i="5"/>
  <c r="I496" i="5"/>
  <c r="H496" i="5"/>
  <c r="J496" i="5" s="1"/>
  <c r="F496" i="5"/>
  <c r="Q495" i="5"/>
  <c r="K495" i="5"/>
  <c r="I495" i="5"/>
  <c r="H495" i="5"/>
  <c r="J495" i="5" s="1"/>
  <c r="F495" i="5"/>
  <c r="Q494" i="5"/>
  <c r="K494" i="5"/>
  <c r="I494" i="5"/>
  <c r="H494" i="5"/>
  <c r="J494" i="5" s="1"/>
  <c r="F494" i="5"/>
  <c r="Q493" i="5"/>
  <c r="K493" i="5"/>
  <c r="I493" i="5"/>
  <c r="H493" i="5"/>
  <c r="J493" i="5" s="1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J485" i="5" s="1"/>
  <c r="F485" i="5"/>
  <c r="Q484" i="5"/>
  <c r="K484" i="5"/>
  <c r="I484" i="5"/>
  <c r="H484" i="5"/>
  <c r="J484" i="5" s="1"/>
  <c r="F484" i="5"/>
  <c r="Q483" i="5"/>
  <c r="K483" i="5"/>
  <c r="I483" i="5"/>
  <c r="H483" i="5"/>
  <c r="J483" i="5" s="1"/>
  <c r="F483" i="5"/>
  <c r="Q482" i="5"/>
  <c r="K482" i="5"/>
  <c r="I482" i="5"/>
  <c r="H482" i="5"/>
  <c r="J482" i="5" s="1"/>
  <c r="F482" i="5"/>
  <c r="Q481" i="5"/>
  <c r="K481" i="5"/>
  <c r="I481" i="5"/>
  <c r="H481" i="5"/>
  <c r="J481" i="5" s="1"/>
  <c r="F481" i="5"/>
  <c r="Q480" i="5"/>
  <c r="K480" i="5"/>
  <c r="I480" i="5"/>
  <c r="H480" i="5"/>
  <c r="J480" i="5" s="1"/>
  <c r="F480" i="5"/>
  <c r="Q479" i="5"/>
  <c r="K479" i="5"/>
  <c r="I479" i="5"/>
  <c r="H479" i="5"/>
  <c r="J479" i="5" s="1"/>
  <c r="F479" i="5"/>
  <c r="Q478" i="5"/>
  <c r="K478" i="5"/>
  <c r="I478" i="5"/>
  <c r="H478" i="5"/>
  <c r="J478" i="5" s="1"/>
  <c r="F478" i="5"/>
  <c r="Q477" i="5"/>
  <c r="K477" i="5"/>
  <c r="I477" i="5"/>
  <c r="H477" i="5"/>
  <c r="J477" i="5" s="1"/>
  <c r="F477" i="5"/>
  <c r="Q476" i="5"/>
  <c r="K476" i="5"/>
  <c r="I476" i="5"/>
  <c r="H476" i="5"/>
  <c r="J476" i="5" s="1"/>
  <c r="F476" i="5"/>
  <c r="Q475" i="5"/>
  <c r="K475" i="5"/>
  <c r="I475" i="5"/>
  <c r="H475" i="5"/>
  <c r="J475" i="5" s="1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J472" i="5" s="1"/>
  <c r="F472" i="5"/>
  <c r="Q471" i="5"/>
  <c r="K471" i="5"/>
  <c r="I471" i="5"/>
  <c r="H471" i="5"/>
  <c r="J471" i="5" s="1"/>
  <c r="F471" i="5"/>
  <c r="Q470" i="5"/>
  <c r="K470" i="5"/>
  <c r="I470" i="5"/>
  <c r="H470" i="5"/>
  <c r="J470" i="5" s="1"/>
  <c r="F470" i="5"/>
  <c r="Q469" i="5"/>
  <c r="K469" i="5"/>
  <c r="I469" i="5"/>
  <c r="H469" i="5"/>
  <c r="J469" i="5" s="1"/>
  <c r="F469" i="5"/>
  <c r="Q468" i="5"/>
  <c r="K468" i="5"/>
  <c r="I468" i="5"/>
  <c r="H468" i="5"/>
  <c r="J468" i="5" s="1"/>
  <c r="F468" i="5"/>
  <c r="Q467" i="5"/>
  <c r="K467" i="5"/>
  <c r="I467" i="5"/>
  <c r="H467" i="5"/>
  <c r="J467" i="5" s="1"/>
  <c r="F467" i="5"/>
  <c r="Q466" i="5"/>
  <c r="K466" i="5"/>
  <c r="I466" i="5"/>
  <c r="H466" i="5"/>
  <c r="J466" i="5" s="1"/>
  <c r="F466" i="5"/>
  <c r="Q465" i="5"/>
  <c r="K465" i="5"/>
  <c r="I465" i="5"/>
  <c r="H465" i="5"/>
  <c r="J465" i="5" s="1"/>
  <c r="F465" i="5"/>
  <c r="Q464" i="5"/>
  <c r="K464" i="5"/>
  <c r="I464" i="5"/>
  <c r="H464" i="5"/>
  <c r="J464" i="5" s="1"/>
  <c r="F464" i="5"/>
  <c r="Q463" i="5"/>
  <c r="K463" i="5"/>
  <c r="I463" i="5"/>
  <c r="H463" i="5"/>
  <c r="J463" i="5" s="1"/>
  <c r="F463" i="5"/>
  <c r="Q462" i="5"/>
  <c r="K462" i="5"/>
  <c r="I462" i="5"/>
  <c r="H462" i="5"/>
  <c r="J462" i="5" s="1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J458" i="5" s="1"/>
  <c r="F458" i="5"/>
  <c r="Q457" i="5"/>
  <c r="K457" i="5"/>
  <c r="I457" i="5"/>
  <c r="H457" i="5"/>
  <c r="J457" i="5" s="1"/>
  <c r="F457" i="5"/>
  <c r="Q456" i="5"/>
  <c r="K456" i="5"/>
  <c r="I456" i="5"/>
  <c r="H456" i="5"/>
  <c r="J456" i="5" s="1"/>
  <c r="F456" i="5"/>
  <c r="Q455" i="5"/>
  <c r="K455" i="5"/>
  <c r="I455" i="5"/>
  <c r="H455" i="5"/>
  <c r="J455" i="5" s="1"/>
  <c r="F455" i="5"/>
  <c r="Q454" i="5"/>
  <c r="K454" i="5"/>
  <c r="I454" i="5"/>
  <c r="H454" i="5"/>
  <c r="J454" i="5" s="1"/>
  <c r="F454" i="5"/>
  <c r="Q453" i="5"/>
  <c r="K453" i="5"/>
  <c r="I453" i="5"/>
  <c r="H453" i="5"/>
  <c r="J453" i="5" s="1"/>
  <c r="F453" i="5"/>
  <c r="Q452" i="5"/>
  <c r="K452" i="5"/>
  <c r="I452" i="5"/>
  <c r="H452" i="5"/>
  <c r="J452" i="5" s="1"/>
  <c r="F452" i="5"/>
  <c r="Q451" i="5"/>
  <c r="K451" i="5"/>
  <c r="I451" i="5"/>
  <c r="H451" i="5"/>
  <c r="J451" i="5" s="1"/>
  <c r="F451" i="5"/>
  <c r="Q450" i="5"/>
  <c r="K450" i="5"/>
  <c r="I450" i="5"/>
  <c r="H450" i="5"/>
  <c r="J450" i="5" s="1"/>
  <c r="F450" i="5"/>
  <c r="Q449" i="5"/>
  <c r="K449" i="5"/>
  <c r="I449" i="5"/>
  <c r="H449" i="5"/>
  <c r="J449" i="5" s="1"/>
  <c r="F449" i="5"/>
  <c r="Q448" i="5"/>
  <c r="K448" i="5"/>
  <c r="I448" i="5"/>
  <c r="H448" i="5"/>
  <c r="J448" i="5" s="1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J445" i="5" s="1"/>
  <c r="F445" i="5"/>
  <c r="Q444" i="5"/>
  <c r="K444" i="5"/>
  <c r="I444" i="5"/>
  <c r="H444" i="5"/>
  <c r="J444" i="5" s="1"/>
  <c r="F444" i="5"/>
  <c r="Q443" i="5"/>
  <c r="K443" i="5"/>
  <c r="J443" i="5"/>
  <c r="I443" i="5"/>
  <c r="H443" i="5"/>
  <c r="F443" i="5"/>
  <c r="Q442" i="5"/>
  <c r="K442" i="5"/>
  <c r="I442" i="5"/>
  <c r="H442" i="5"/>
  <c r="J442" i="5" s="1"/>
  <c r="F442" i="5"/>
  <c r="Q441" i="5"/>
  <c r="K441" i="5"/>
  <c r="I441" i="5"/>
  <c r="H441" i="5"/>
  <c r="J441" i="5" s="1"/>
  <c r="F441" i="5"/>
  <c r="Q440" i="5"/>
  <c r="K440" i="5"/>
  <c r="I440" i="5"/>
  <c r="H440" i="5"/>
  <c r="J440" i="5" s="1"/>
  <c r="F440" i="5"/>
  <c r="Q439" i="5"/>
  <c r="K439" i="5"/>
  <c r="I439" i="5"/>
  <c r="H439" i="5"/>
  <c r="J439" i="5" s="1"/>
  <c r="F439" i="5"/>
  <c r="Q438" i="5"/>
  <c r="K438" i="5"/>
  <c r="I438" i="5"/>
  <c r="H438" i="5"/>
  <c r="J438" i="5" s="1"/>
  <c r="F438" i="5"/>
  <c r="Q437" i="5"/>
  <c r="K437" i="5"/>
  <c r="I437" i="5"/>
  <c r="H437" i="5"/>
  <c r="J437" i="5" s="1"/>
  <c r="F437" i="5"/>
  <c r="Q436" i="5"/>
  <c r="K436" i="5"/>
  <c r="I436" i="5"/>
  <c r="H436" i="5"/>
  <c r="J436" i="5" s="1"/>
  <c r="F436" i="5"/>
  <c r="Q435" i="5"/>
  <c r="K435" i="5"/>
  <c r="I435" i="5"/>
  <c r="H435" i="5"/>
  <c r="J435" i="5" s="1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J431" i="5" s="1"/>
  <c r="F431" i="5"/>
  <c r="Q430" i="5"/>
  <c r="K430" i="5"/>
  <c r="I430" i="5"/>
  <c r="H430" i="5"/>
  <c r="J430" i="5" s="1"/>
  <c r="F430" i="5"/>
  <c r="Q429" i="5"/>
  <c r="K429" i="5"/>
  <c r="I429" i="5"/>
  <c r="H429" i="5"/>
  <c r="J429" i="5" s="1"/>
  <c r="F429" i="5"/>
  <c r="Q428" i="5"/>
  <c r="K428" i="5"/>
  <c r="I428" i="5"/>
  <c r="H428" i="5"/>
  <c r="J428" i="5" s="1"/>
  <c r="F428" i="5"/>
  <c r="Q427" i="5"/>
  <c r="K427" i="5"/>
  <c r="I427" i="5"/>
  <c r="H427" i="5"/>
  <c r="J427" i="5" s="1"/>
  <c r="F427" i="5"/>
  <c r="Q426" i="5"/>
  <c r="K426" i="5"/>
  <c r="I426" i="5"/>
  <c r="H426" i="5"/>
  <c r="J426" i="5" s="1"/>
  <c r="F426" i="5"/>
  <c r="Q425" i="5"/>
  <c r="K425" i="5"/>
  <c r="I425" i="5"/>
  <c r="H425" i="5"/>
  <c r="J425" i="5" s="1"/>
  <c r="F425" i="5"/>
  <c r="Q424" i="5"/>
  <c r="K424" i="5"/>
  <c r="I424" i="5"/>
  <c r="H424" i="5"/>
  <c r="J424" i="5" s="1"/>
  <c r="F424" i="5"/>
  <c r="Q423" i="5"/>
  <c r="K423" i="5"/>
  <c r="I423" i="5"/>
  <c r="H423" i="5"/>
  <c r="J423" i="5" s="1"/>
  <c r="F423" i="5"/>
  <c r="Q422" i="5"/>
  <c r="K422" i="5"/>
  <c r="I422" i="5"/>
  <c r="H422" i="5"/>
  <c r="J422" i="5" s="1"/>
  <c r="F422" i="5"/>
  <c r="Q421" i="5"/>
  <c r="K421" i="5"/>
  <c r="I421" i="5"/>
  <c r="H421" i="5"/>
  <c r="J421" i="5" s="1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J418" i="5" s="1"/>
  <c r="F418" i="5"/>
  <c r="Q417" i="5"/>
  <c r="K417" i="5"/>
  <c r="I417" i="5"/>
  <c r="H417" i="5"/>
  <c r="J417" i="5" s="1"/>
  <c r="F417" i="5"/>
  <c r="Q416" i="5"/>
  <c r="K416" i="5"/>
  <c r="I416" i="5"/>
  <c r="H416" i="5"/>
  <c r="J416" i="5" s="1"/>
  <c r="F416" i="5"/>
  <c r="Q415" i="5"/>
  <c r="K415" i="5"/>
  <c r="J415" i="5"/>
  <c r="I415" i="5"/>
  <c r="H415" i="5"/>
  <c r="F415" i="5"/>
  <c r="Q414" i="5"/>
  <c r="K414" i="5"/>
  <c r="I414" i="5"/>
  <c r="H414" i="5"/>
  <c r="J414" i="5" s="1"/>
  <c r="F414" i="5"/>
  <c r="Q413" i="5"/>
  <c r="K413" i="5"/>
  <c r="I413" i="5"/>
  <c r="H413" i="5"/>
  <c r="J413" i="5" s="1"/>
  <c r="F413" i="5"/>
  <c r="Q412" i="5"/>
  <c r="K412" i="5"/>
  <c r="I412" i="5"/>
  <c r="H412" i="5"/>
  <c r="J412" i="5" s="1"/>
  <c r="F412" i="5"/>
  <c r="Q411" i="5"/>
  <c r="K411" i="5"/>
  <c r="I411" i="5"/>
  <c r="H411" i="5"/>
  <c r="J411" i="5" s="1"/>
  <c r="F411" i="5"/>
  <c r="Q410" i="5"/>
  <c r="K410" i="5"/>
  <c r="I410" i="5"/>
  <c r="H410" i="5"/>
  <c r="J410" i="5" s="1"/>
  <c r="F410" i="5"/>
  <c r="Q409" i="5"/>
  <c r="K409" i="5"/>
  <c r="I409" i="5"/>
  <c r="H409" i="5"/>
  <c r="J409" i="5" s="1"/>
  <c r="F409" i="5"/>
  <c r="Q408" i="5"/>
  <c r="K408" i="5"/>
  <c r="I408" i="5"/>
  <c r="H408" i="5"/>
  <c r="J408" i="5" s="1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J404" i="5" s="1"/>
  <c r="F404" i="5"/>
  <c r="Q403" i="5"/>
  <c r="K403" i="5"/>
  <c r="I403" i="5"/>
  <c r="H403" i="5"/>
  <c r="J403" i="5" s="1"/>
  <c r="F403" i="5"/>
  <c r="Q402" i="5"/>
  <c r="K402" i="5"/>
  <c r="I402" i="5"/>
  <c r="H402" i="5"/>
  <c r="J402" i="5" s="1"/>
  <c r="F402" i="5"/>
  <c r="Q401" i="5"/>
  <c r="K401" i="5"/>
  <c r="I401" i="5"/>
  <c r="H401" i="5"/>
  <c r="J401" i="5" s="1"/>
  <c r="F401" i="5"/>
  <c r="Q400" i="5"/>
  <c r="K400" i="5"/>
  <c r="I400" i="5"/>
  <c r="H400" i="5"/>
  <c r="J400" i="5" s="1"/>
  <c r="F400" i="5"/>
  <c r="Q399" i="5"/>
  <c r="K399" i="5"/>
  <c r="I399" i="5"/>
  <c r="H399" i="5"/>
  <c r="J399" i="5" s="1"/>
  <c r="F399" i="5"/>
  <c r="Q398" i="5"/>
  <c r="K398" i="5"/>
  <c r="I398" i="5"/>
  <c r="H398" i="5"/>
  <c r="J398" i="5" s="1"/>
  <c r="F398" i="5"/>
  <c r="Q397" i="5"/>
  <c r="K397" i="5"/>
  <c r="I397" i="5"/>
  <c r="H397" i="5"/>
  <c r="J397" i="5" s="1"/>
  <c r="F397" i="5"/>
  <c r="Q396" i="5"/>
  <c r="K396" i="5"/>
  <c r="I396" i="5"/>
  <c r="H396" i="5"/>
  <c r="J396" i="5" s="1"/>
  <c r="F396" i="5"/>
  <c r="Q395" i="5"/>
  <c r="K395" i="5"/>
  <c r="I395" i="5"/>
  <c r="H395" i="5"/>
  <c r="J395" i="5" s="1"/>
  <c r="F395" i="5"/>
  <c r="Q394" i="5"/>
  <c r="K394" i="5"/>
  <c r="I394" i="5"/>
  <c r="H394" i="5"/>
  <c r="J394" i="5" s="1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J391" i="5" s="1"/>
  <c r="F391" i="5"/>
  <c r="Q390" i="5"/>
  <c r="K390" i="5"/>
  <c r="I390" i="5"/>
  <c r="H390" i="5"/>
  <c r="J390" i="5" s="1"/>
  <c r="F390" i="5"/>
  <c r="Q389" i="5"/>
  <c r="K389" i="5"/>
  <c r="I389" i="5"/>
  <c r="H389" i="5"/>
  <c r="J389" i="5" s="1"/>
  <c r="F389" i="5"/>
  <c r="Q388" i="5"/>
  <c r="K388" i="5"/>
  <c r="I388" i="5"/>
  <c r="H388" i="5"/>
  <c r="J388" i="5" s="1"/>
  <c r="F388" i="5"/>
  <c r="Q387" i="5"/>
  <c r="K387" i="5"/>
  <c r="I387" i="5"/>
  <c r="H387" i="5"/>
  <c r="J387" i="5" s="1"/>
  <c r="F387" i="5"/>
  <c r="Q386" i="5"/>
  <c r="K386" i="5"/>
  <c r="I386" i="5"/>
  <c r="H386" i="5"/>
  <c r="J386" i="5" s="1"/>
  <c r="F386" i="5"/>
  <c r="Q385" i="5"/>
  <c r="K385" i="5"/>
  <c r="I385" i="5"/>
  <c r="H385" i="5"/>
  <c r="J385" i="5" s="1"/>
  <c r="F385" i="5"/>
  <c r="Q384" i="5"/>
  <c r="K384" i="5"/>
  <c r="I384" i="5"/>
  <c r="H384" i="5"/>
  <c r="J384" i="5" s="1"/>
  <c r="F384" i="5"/>
  <c r="Q383" i="5"/>
  <c r="K383" i="5"/>
  <c r="I383" i="5"/>
  <c r="H383" i="5"/>
  <c r="J383" i="5" s="1"/>
  <c r="F383" i="5"/>
  <c r="Q382" i="5"/>
  <c r="I382" i="5"/>
  <c r="H382" i="5"/>
  <c r="J382" i="5" s="1"/>
  <c r="F382" i="5"/>
  <c r="Q381" i="5"/>
  <c r="K381" i="5"/>
  <c r="I381" i="5"/>
  <c r="H381" i="5"/>
  <c r="J381" i="5" s="1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J377" i="5" s="1"/>
  <c r="F377" i="5"/>
  <c r="Q376" i="5"/>
  <c r="K376" i="5"/>
  <c r="I376" i="5"/>
  <c r="H376" i="5"/>
  <c r="J376" i="5" s="1"/>
  <c r="F376" i="5"/>
  <c r="Q375" i="5"/>
  <c r="K375" i="5"/>
  <c r="I375" i="5"/>
  <c r="H375" i="5"/>
  <c r="J375" i="5" s="1"/>
  <c r="F375" i="5"/>
  <c r="Q374" i="5"/>
  <c r="K374" i="5"/>
  <c r="I374" i="5"/>
  <c r="H374" i="5"/>
  <c r="J374" i="5" s="1"/>
  <c r="F374" i="5"/>
  <c r="Q373" i="5"/>
  <c r="K373" i="5"/>
  <c r="I373" i="5"/>
  <c r="H373" i="5"/>
  <c r="J373" i="5" s="1"/>
  <c r="F373" i="5"/>
  <c r="Q372" i="5"/>
  <c r="K372" i="5"/>
  <c r="I372" i="5"/>
  <c r="H372" i="5"/>
  <c r="J372" i="5" s="1"/>
  <c r="F372" i="5"/>
  <c r="Q371" i="5"/>
  <c r="K371" i="5"/>
  <c r="I371" i="5"/>
  <c r="H371" i="5"/>
  <c r="J371" i="5" s="1"/>
  <c r="F371" i="5"/>
  <c r="Q370" i="5"/>
  <c r="K370" i="5"/>
  <c r="I370" i="5"/>
  <c r="H370" i="5"/>
  <c r="J370" i="5" s="1"/>
  <c r="F370" i="5"/>
  <c r="Q369" i="5"/>
  <c r="K369" i="5"/>
  <c r="I369" i="5"/>
  <c r="H369" i="5"/>
  <c r="J369" i="5" s="1"/>
  <c r="F369" i="5"/>
  <c r="Q368" i="5"/>
  <c r="K368" i="5"/>
  <c r="I368" i="5"/>
  <c r="H368" i="5"/>
  <c r="J368" i="5" s="1"/>
  <c r="F368" i="5"/>
  <c r="Q367" i="5"/>
  <c r="K367" i="5"/>
  <c r="I367" i="5"/>
  <c r="H367" i="5"/>
  <c r="J367" i="5" s="1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J364" i="5" s="1"/>
  <c r="F364" i="5"/>
  <c r="Q363" i="5"/>
  <c r="K363" i="5"/>
  <c r="I363" i="5"/>
  <c r="H363" i="5"/>
  <c r="J363" i="5" s="1"/>
  <c r="F363" i="5"/>
  <c r="Q362" i="5"/>
  <c r="K362" i="5"/>
  <c r="I362" i="5"/>
  <c r="H362" i="5"/>
  <c r="J362" i="5" s="1"/>
  <c r="F362" i="5"/>
  <c r="Q361" i="5"/>
  <c r="K361" i="5"/>
  <c r="I361" i="5"/>
  <c r="H361" i="5"/>
  <c r="J361" i="5" s="1"/>
  <c r="F361" i="5"/>
  <c r="Q360" i="5"/>
  <c r="K360" i="5"/>
  <c r="I360" i="5"/>
  <c r="H360" i="5"/>
  <c r="J360" i="5" s="1"/>
  <c r="F360" i="5"/>
  <c r="Q359" i="5"/>
  <c r="K359" i="5"/>
  <c r="I359" i="5"/>
  <c r="H359" i="5"/>
  <c r="J359" i="5" s="1"/>
  <c r="F359" i="5"/>
  <c r="Q358" i="5"/>
  <c r="K358" i="5"/>
  <c r="I358" i="5"/>
  <c r="H358" i="5"/>
  <c r="J358" i="5" s="1"/>
  <c r="F358" i="5"/>
  <c r="Q357" i="5"/>
  <c r="K357" i="5"/>
  <c r="I357" i="5"/>
  <c r="H357" i="5"/>
  <c r="J357" i="5" s="1"/>
  <c r="F357" i="5"/>
  <c r="Q356" i="5"/>
  <c r="K356" i="5"/>
  <c r="I356" i="5"/>
  <c r="H356" i="5"/>
  <c r="J356" i="5" s="1"/>
  <c r="F356" i="5"/>
  <c r="Q355" i="5"/>
  <c r="K355" i="5"/>
  <c r="I355" i="5"/>
  <c r="H355" i="5"/>
  <c r="J355" i="5" s="1"/>
  <c r="F355" i="5"/>
  <c r="Q354" i="5"/>
  <c r="K354" i="5"/>
  <c r="I354" i="5"/>
  <c r="H354" i="5"/>
  <c r="J354" i="5" s="1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J350" i="5" s="1"/>
  <c r="F350" i="5"/>
  <c r="Q349" i="5"/>
  <c r="K349" i="5"/>
  <c r="I349" i="5"/>
  <c r="H349" i="5"/>
  <c r="J349" i="5" s="1"/>
  <c r="F349" i="5"/>
  <c r="Q348" i="5"/>
  <c r="K348" i="5"/>
  <c r="I348" i="5"/>
  <c r="H348" i="5"/>
  <c r="J348" i="5" s="1"/>
  <c r="F348" i="5"/>
  <c r="Q347" i="5"/>
  <c r="K347" i="5"/>
  <c r="I347" i="5"/>
  <c r="H347" i="5"/>
  <c r="J347" i="5" s="1"/>
  <c r="F347" i="5"/>
  <c r="Q346" i="5"/>
  <c r="K346" i="5"/>
  <c r="I346" i="5"/>
  <c r="H346" i="5"/>
  <c r="J346" i="5" s="1"/>
  <c r="F346" i="5"/>
  <c r="Q345" i="5"/>
  <c r="K345" i="5"/>
  <c r="I345" i="5"/>
  <c r="H345" i="5"/>
  <c r="J345" i="5" s="1"/>
  <c r="F345" i="5"/>
  <c r="Q344" i="5"/>
  <c r="K344" i="5"/>
  <c r="I344" i="5"/>
  <c r="H344" i="5"/>
  <c r="J344" i="5" s="1"/>
  <c r="F344" i="5"/>
  <c r="Q343" i="5"/>
  <c r="K343" i="5"/>
  <c r="I343" i="5"/>
  <c r="H343" i="5"/>
  <c r="J343" i="5" s="1"/>
  <c r="F343" i="5"/>
  <c r="Q342" i="5"/>
  <c r="K342" i="5"/>
  <c r="I342" i="5"/>
  <c r="H342" i="5"/>
  <c r="J342" i="5" s="1"/>
  <c r="F342" i="5"/>
  <c r="Q341" i="5"/>
  <c r="K341" i="5"/>
  <c r="I341" i="5"/>
  <c r="H341" i="5"/>
  <c r="J341" i="5" s="1"/>
  <c r="F341" i="5"/>
  <c r="Q340" i="5"/>
  <c r="K340" i="5"/>
  <c r="I340" i="5"/>
  <c r="H340" i="5"/>
  <c r="J340" i="5" s="1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J337" i="5" s="1"/>
  <c r="F337" i="5"/>
  <c r="Q336" i="5"/>
  <c r="K336" i="5"/>
  <c r="I336" i="5"/>
  <c r="H336" i="5"/>
  <c r="J336" i="5" s="1"/>
  <c r="F336" i="5"/>
  <c r="Q335" i="5"/>
  <c r="K335" i="5"/>
  <c r="I335" i="5"/>
  <c r="H335" i="5"/>
  <c r="J335" i="5" s="1"/>
  <c r="F335" i="5"/>
  <c r="Q334" i="5"/>
  <c r="K334" i="5"/>
  <c r="I334" i="5"/>
  <c r="H334" i="5"/>
  <c r="J334" i="5" s="1"/>
  <c r="F334" i="5"/>
  <c r="Q333" i="5"/>
  <c r="K333" i="5"/>
  <c r="I333" i="5"/>
  <c r="H333" i="5"/>
  <c r="J333" i="5" s="1"/>
  <c r="F333" i="5"/>
  <c r="Q332" i="5"/>
  <c r="K332" i="5"/>
  <c r="I332" i="5"/>
  <c r="H332" i="5"/>
  <c r="J332" i="5" s="1"/>
  <c r="F332" i="5"/>
  <c r="Q331" i="5"/>
  <c r="K331" i="5"/>
  <c r="I331" i="5"/>
  <c r="H331" i="5"/>
  <c r="J331" i="5" s="1"/>
  <c r="F331" i="5"/>
  <c r="Q330" i="5"/>
  <c r="K330" i="5"/>
  <c r="I330" i="5"/>
  <c r="H330" i="5"/>
  <c r="J330" i="5" s="1"/>
  <c r="F330" i="5"/>
  <c r="Q329" i="5"/>
  <c r="K329" i="5"/>
  <c r="I329" i="5"/>
  <c r="H329" i="5"/>
  <c r="J329" i="5" s="1"/>
  <c r="F329" i="5"/>
  <c r="Q328" i="5"/>
  <c r="K328" i="5"/>
  <c r="I328" i="5"/>
  <c r="H328" i="5"/>
  <c r="J328" i="5" s="1"/>
  <c r="F328" i="5"/>
  <c r="Q327" i="5"/>
  <c r="K327" i="5"/>
  <c r="I327" i="5"/>
  <c r="H327" i="5"/>
  <c r="J327" i="5" s="1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J323" i="5" s="1"/>
  <c r="F323" i="5"/>
  <c r="Q322" i="5"/>
  <c r="I322" i="5"/>
  <c r="H322" i="5"/>
  <c r="J322" i="5" s="1"/>
  <c r="F322" i="5"/>
  <c r="Q321" i="5"/>
  <c r="I321" i="5"/>
  <c r="H321" i="5"/>
  <c r="J321" i="5" s="1"/>
  <c r="F321" i="5"/>
  <c r="Q320" i="5"/>
  <c r="I320" i="5"/>
  <c r="H320" i="5"/>
  <c r="J320" i="5" s="1"/>
  <c r="F320" i="5"/>
  <c r="Q319" i="5"/>
  <c r="I319" i="5"/>
  <c r="H319" i="5"/>
  <c r="J319" i="5" s="1"/>
  <c r="F319" i="5"/>
  <c r="Q318" i="5"/>
  <c r="I318" i="5"/>
  <c r="H318" i="5"/>
  <c r="J318" i="5" s="1"/>
  <c r="F318" i="5"/>
  <c r="Q317" i="5"/>
  <c r="I317" i="5"/>
  <c r="H317" i="5"/>
  <c r="J317" i="5" s="1"/>
  <c r="F317" i="5"/>
  <c r="Q316" i="5"/>
  <c r="I316" i="5"/>
  <c r="H316" i="5"/>
  <c r="J316" i="5" s="1"/>
  <c r="F316" i="5"/>
  <c r="Q315" i="5"/>
  <c r="I315" i="5"/>
  <c r="H315" i="5"/>
  <c r="J315" i="5" s="1"/>
  <c r="F315" i="5"/>
  <c r="Q314" i="5"/>
  <c r="I314" i="5"/>
  <c r="H314" i="5"/>
  <c r="J314" i="5" s="1"/>
  <c r="F314" i="5"/>
  <c r="Q313" i="5"/>
  <c r="I313" i="5"/>
  <c r="H313" i="5"/>
  <c r="J313" i="5" s="1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J310" i="5" s="1"/>
  <c r="F310" i="5"/>
  <c r="Q309" i="5"/>
  <c r="K309" i="5"/>
  <c r="I309" i="5"/>
  <c r="H309" i="5"/>
  <c r="J309" i="5" s="1"/>
  <c r="F309" i="5"/>
  <c r="Q308" i="5"/>
  <c r="K308" i="5"/>
  <c r="I308" i="5"/>
  <c r="H308" i="5"/>
  <c r="J308" i="5" s="1"/>
  <c r="F308" i="5"/>
  <c r="Q307" i="5"/>
  <c r="K307" i="5"/>
  <c r="I307" i="5"/>
  <c r="H307" i="5"/>
  <c r="J307" i="5" s="1"/>
  <c r="F307" i="5"/>
  <c r="Q306" i="5"/>
  <c r="K306" i="5"/>
  <c r="I306" i="5"/>
  <c r="H306" i="5"/>
  <c r="J306" i="5" s="1"/>
  <c r="F306" i="5"/>
  <c r="Q305" i="5"/>
  <c r="K305" i="5"/>
  <c r="I305" i="5"/>
  <c r="H305" i="5"/>
  <c r="J305" i="5" s="1"/>
  <c r="F305" i="5"/>
  <c r="Q304" i="5"/>
  <c r="K304" i="5"/>
  <c r="I304" i="5"/>
  <c r="H304" i="5"/>
  <c r="J304" i="5" s="1"/>
  <c r="F304" i="5"/>
  <c r="Q303" i="5"/>
  <c r="K303" i="5"/>
  <c r="I303" i="5"/>
  <c r="H303" i="5"/>
  <c r="J303" i="5" s="1"/>
  <c r="F303" i="5"/>
  <c r="Q302" i="5"/>
  <c r="K302" i="5"/>
  <c r="I302" i="5"/>
  <c r="H302" i="5"/>
  <c r="J302" i="5" s="1"/>
  <c r="F302" i="5"/>
  <c r="Q301" i="5"/>
  <c r="K301" i="5"/>
  <c r="I301" i="5"/>
  <c r="H301" i="5"/>
  <c r="J301" i="5" s="1"/>
  <c r="F301" i="5"/>
  <c r="Q300" i="5"/>
  <c r="K300" i="5"/>
  <c r="I300" i="5"/>
  <c r="H300" i="5"/>
  <c r="J300" i="5" s="1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J537" i="4" s="1"/>
  <c r="F537" i="4"/>
  <c r="Q536" i="4"/>
  <c r="K536" i="4"/>
  <c r="I536" i="4"/>
  <c r="H536" i="4"/>
  <c r="J536" i="4" s="1"/>
  <c r="F536" i="4"/>
  <c r="Q535" i="4"/>
  <c r="K535" i="4"/>
  <c r="I535" i="4"/>
  <c r="H535" i="4"/>
  <c r="J535" i="4" s="1"/>
  <c r="F535" i="4"/>
  <c r="Q534" i="4"/>
  <c r="K534" i="4"/>
  <c r="I534" i="4"/>
  <c r="H534" i="4"/>
  <c r="J534" i="4" s="1"/>
  <c r="F534" i="4"/>
  <c r="Q533" i="4"/>
  <c r="K533" i="4"/>
  <c r="J533" i="4"/>
  <c r="I533" i="4"/>
  <c r="H533" i="4"/>
  <c r="F533" i="4"/>
  <c r="Q532" i="4"/>
  <c r="K532" i="4"/>
  <c r="I532" i="4"/>
  <c r="H532" i="4"/>
  <c r="J532" i="4" s="1"/>
  <c r="F532" i="4"/>
  <c r="Q531" i="4"/>
  <c r="K531" i="4"/>
  <c r="I531" i="4"/>
  <c r="H531" i="4"/>
  <c r="J531" i="4" s="1"/>
  <c r="F531" i="4"/>
  <c r="Q530" i="4"/>
  <c r="K530" i="4"/>
  <c r="I530" i="4"/>
  <c r="H530" i="4"/>
  <c r="J530" i="4" s="1"/>
  <c r="F530" i="4"/>
  <c r="Q529" i="4"/>
  <c r="K529" i="4"/>
  <c r="I529" i="4"/>
  <c r="H529" i="4"/>
  <c r="J529" i="4" s="1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J526" i="4" s="1"/>
  <c r="F526" i="4"/>
  <c r="Q525" i="4"/>
  <c r="K525" i="4"/>
  <c r="I525" i="4"/>
  <c r="H525" i="4"/>
  <c r="J525" i="4" s="1"/>
  <c r="F525" i="4"/>
  <c r="Q524" i="4"/>
  <c r="K524" i="4"/>
  <c r="I524" i="4"/>
  <c r="H524" i="4"/>
  <c r="J524" i="4" s="1"/>
  <c r="F524" i="4"/>
  <c r="Q523" i="4"/>
  <c r="K523" i="4"/>
  <c r="I523" i="4"/>
  <c r="H523" i="4"/>
  <c r="J523" i="4" s="1"/>
  <c r="F523" i="4"/>
  <c r="Q522" i="4"/>
  <c r="K522" i="4"/>
  <c r="I522" i="4"/>
  <c r="H522" i="4"/>
  <c r="J522" i="4" s="1"/>
  <c r="F522" i="4"/>
  <c r="Q521" i="4"/>
  <c r="K521" i="4"/>
  <c r="I521" i="4"/>
  <c r="H521" i="4"/>
  <c r="J521" i="4" s="1"/>
  <c r="F521" i="4"/>
  <c r="Q520" i="4"/>
  <c r="K520" i="4"/>
  <c r="I520" i="4"/>
  <c r="H520" i="4"/>
  <c r="J520" i="4" s="1"/>
  <c r="F520" i="4"/>
  <c r="Q519" i="4"/>
  <c r="K519" i="4"/>
  <c r="I519" i="4"/>
  <c r="H519" i="4"/>
  <c r="J519" i="4" s="1"/>
  <c r="F519" i="4"/>
  <c r="Q518" i="4"/>
  <c r="K518" i="4"/>
  <c r="I518" i="4"/>
  <c r="H518" i="4"/>
  <c r="J518" i="4" s="1"/>
  <c r="F518" i="4"/>
  <c r="Q517" i="4"/>
  <c r="K517" i="4"/>
  <c r="I517" i="4"/>
  <c r="H517" i="4"/>
  <c r="J517" i="4" s="1"/>
  <c r="F517" i="4"/>
  <c r="Q516" i="4"/>
  <c r="K516" i="4"/>
  <c r="I516" i="4"/>
  <c r="H516" i="4"/>
  <c r="J516" i="4" s="1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J512" i="4" s="1"/>
  <c r="F512" i="4"/>
  <c r="Q511" i="4"/>
  <c r="K511" i="4"/>
  <c r="I511" i="4"/>
  <c r="H511" i="4"/>
  <c r="J511" i="4" s="1"/>
  <c r="F511" i="4"/>
  <c r="Q510" i="4"/>
  <c r="K510" i="4"/>
  <c r="I510" i="4"/>
  <c r="H510" i="4"/>
  <c r="J510" i="4" s="1"/>
  <c r="F510" i="4"/>
  <c r="Q509" i="4"/>
  <c r="K509" i="4"/>
  <c r="I509" i="4"/>
  <c r="H509" i="4"/>
  <c r="J509" i="4" s="1"/>
  <c r="F509" i="4"/>
  <c r="Q508" i="4"/>
  <c r="K508" i="4"/>
  <c r="I508" i="4"/>
  <c r="H508" i="4"/>
  <c r="J508" i="4" s="1"/>
  <c r="F508" i="4"/>
  <c r="Q507" i="4"/>
  <c r="K507" i="4"/>
  <c r="I507" i="4"/>
  <c r="H507" i="4"/>
  <c r="J507" i="4" s="1"/>
  <c r="F507" i="4"/>
  <c r="Q506" i="4"/>
  <c r="K506" i="4"/>
  <c r="I506" i="4"/>
  <c r="H506" i="4"/>
  <c r="J506" i="4" s="1"/>
  <c r="F506" i="4"/>
  <c r="Q505" i="4"/>
  <c r="K505" i="4"/>
  <c r="I505" i="4"/>
  <c r="H505" i="4"/>
  <c r="J505" i="4" s="1"/>
  <c r="F505" i="4"/>
  <c r="Q504" i="4"/>
  <c r="K504" i="4"/>
  <c r="I504" i="4"/>
  <c r="H504" i="4"/>
  <c r="J504" i="4" s="1"/>
  <c r="F504" i="4"/>
  <c r="Q503" i="4"/>
  <c r="K503" i="4"/>
  <c r="I503" i="4"/>
  <c r="H503" i="4"/>
  <c r="J503" i="4" s="1"/>
  <c r="F503" i="4"/>
  <c r="Q502" i="4"/>
  <c r="K502" i="4"/>
  <c r="I502" i="4"/>
  <c r="H502" i="4"/>
  <c r="J502" i="4" s="1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J499" i="4" s="1"/>
  <c r="F499" i="4"/>
  <c r="Q498" i="4"/>
  <c r="K498" i="4"/>
  <c r="I498" i="4"/>
  <c r="H498" i="4"/>
  <c r="J498" i="4" s="1"/>
  <c r="F498" i="4"/>
  <c r="Q497" i="4"/>
  <c r="K497" i="4"/>
  <c r="I497" i="4"/>
  <c r="H497" i="4"/>
  <c r="J497" i="4" s="1"/>
  <c r="F497" i="4"/>
  <c r="Q496" i="4"/>
  <c r="K496" i="4"/>
  <c r="I496" i="4"/>
  <c r="H496" i="4"/>
  <c r="J496" i="4" s="1"/>
  <c r="F496" i="4"/>
  <c r="Q495" i="4"/>
  <c r="K495" i="4"/>
  <c r="I495" i="4"/>
  <c r="H495" i="4"/>
  <c r="J495" i="4" s="1"/>
  <c r="F495" i="4"/>
  <c r="Q494" i="4"/>
  <c r="K494" i="4"/>
  <c r="I494" i="4"/>
  <c r="H494" i="4"/>
  <c r="J494" i="4" s="1"/>
  <c r="F494" i="4"/>
  <c r="Q493" i="4"/>
  <c r="K493" i="4"/>
  <c r="I493" i="4"/>
  <c r="H493" i="4"/>
  <c r="J493" i="4" s="1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J485" i="4" s="1"/>
  <c r="F485" i="4"/>
  <c r="Q484" i="4"/>
  <c r="K484" i="4"/>
  <c r="I484" i="4"/>
  <c r="H484" i="4"/>
  <c r="J484" i="4" s="1"/>
  <c r="F484" i="4"/>
  <c r="Q483" i="4"/>
  <c r="K483" i="4"/>
  <c r="I483" i="4"/>
  <c r="H483" i="4"/>
  <c r="J483" i="4" s="1"/>
  <c r="F483" i="4"/>
  <c r="Q482" i="4"/>
  <c r="K482" i="4"/>
  <c r="I482" i="4"/>
  <c r="H482" i="4"/>
  <c r="J482" i="4" s="1"/>
  <c r="F482" i="4"/>
  <c r="Q481" i="4"/>
  <c r="K481" i="4"/>
  <c r="I481" i="4"/>
  <c r="H481" i="4"/>
  <c r="J481" i="4" s="1"/>
  <c r="F481" i="4"/>
  <c r="Q480" i="4"/>
  <c r="K480" i="4"/>
  <c r="I480" i="4"/>
  <c r="H480" i="4"/>
  <c r="J480" i="4" s="1"/>
  <c r="F480" i="4"/>
  <c r="Q479" i="4"/>
  <c r="K479" i="4"/>
  <c r="I479" i="4"/>
  <c r="H479" i="4"/>
  <c r="J479" i="4" s="1"/>
  <c r="F479" i="4"/>
  <c r="Q478" i="4"/>
  <c r="K478" i="4"/>
  <c r="I478" i="4"/>
  <c r="H478" i="4"/>
  <c r="J478" i="4" s="1"/>
  <c r="F478" i="4"/>
  <c r="Q477" i="4"/>
  <c r="K477" i="4"/>
  <c r="I477" i="4"/>
  <c r="H477" i="4"/>
  <c r="J477" i="4" s="1"/>
  <c r="F477" i="4"/>
  <c r="Q476" i="4"/>
  <c r="K476" i="4"/>
  <c r="I476" i="4"/>
  <c r="H476" i="4"/>
  <c r="J476" i="4" s="1"/>
  <c r="F476" i="4"/>
  <c r="Q475" i="4"/>
  <c r="K475" i="4"/>
  <c r="I475" i="4"/>
  <c r="H475" i="4"/>
  <c r="J475" i="4" s="1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J472" i="4" s="1"/>
  <c r="F472" i="4"/>
  <c r="Q471" i="4"/>
  <c r="K471" i="4"/>
  <c r="I471" i="4"/>
  <c r="H471" i="4"/>
  <c r="J471" i="4" s="1"/>
  <c r="F471" i="4"/>
  <c r="Q470" i="4"/>
  <c r="K470" i="4"/>
  <c r="I470" i="4"/>
  <c r="H470" i="4"/>
  <c r="J470" i="4" s="1"/>
  <c r="F470" i="4"/>
  <c r="Q469" i="4"/>
  <c r="K469" i="4"/>
  <c r="I469" i="4"/>
  <c r="H469" i="4"/>
  <c r="J469" i="4" s="1"/>
  <c r="F469" i="4"/>
  <c r="Q468" i="4"/>
  <c r="K468" i="4"/>
  <c r="I468" i="4"/>
  <c r="H468" i="4"/>
  <c r="J468" i="4" s="1"/>
  <c r="F468" i="4"/>
  <c r="Q467" i="4"/>
  <c r="K467" i="4"/>
  <c r="I467" i="4"/>
  <c r="H467" i="4"/>
  <c r="J467" i="4" s="1"/>
  <c r="F467" i="4"/>
  <c r="Q466" i="4"/>
  <c r="K466" i="4"/>
  <c r="I466" i="4"/>
  <c r="H466" i="4"/>
  <c r="J466" i="4" s="1"/>
  <c r="F466" i="4"/>
  <c r="Q465" i="4"/>
  <c r="K465" i="4"/>
  <c r="I465" i="4"/>
  <c r="H465" i="4"/>
  <c r="J465" i="4" s="1"/>
  <c r="F465" i="4"/>
  <c r="Q464" i="4"/>
  <c r="K464" i="4"/>
  <c r="I464" i="4"/>
  <c r="H464" i="4"/>
  <c r="J464" i="4" s="1"/>
  <c r="F464" i="4"/>
  <c r="Q463" i="4"/>
  <c r="K463" i="4"/>
  <c r="I463" i="4"/>
  <c r="H463" i="4"/>
  <c r="J463" i="4" s="1"/>
  <c r="F463" i="4"/>
  <c r="Q462" i="4"/>
  <c r="K462" i="4"/>
  <c r="I462" i="4"/>
  <c r="H462" i="4"/>
  <c r="J462" i="4" s="1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J458" i="4" s="1"/>
  <c r="F458" i="4"/>
  <c r="Q457" i="4"/>
  <c r="K457" i="4"/>
  <c r="I457" i="4"/>
  <c r="H457" i="4"/>
  <c r="J457" i="4" s="1"/>
  <c r="F457" i="4"/>
  <c r="Q456" i="4"/>
  <c r="K456" i="4"/>
  <c r="I456" i="4"/>
  <c r="H456" i="4"/>
  <c r="J456" i="4" s="1"/>
  <c r="F456" i="4"/>
  <c r="Q455" i="4"/>
  <c r="K455" i="4"/>
  <c r="I455" i="4"/>
  <c r="H455" i="4"/>
  <c r="J455" i="4" s="1"/>
  <c r="F455" i="4"/>
  <c r="Q454" i="4"/>
  <c r="K454" i="4"/>
  <c r="I454" i="4"/>
  <c r="H454" i="4"/>
  <c r="J454" i="4" s="1"/>
  <c r="F454" i="4"/>
  <c r="Q453" i="4"/>
  <c r="K453" i="4"/>
  <c r="I453" i="4"/>
  <c r="H453" i="4"/>
  <c r="J453" i="4" s="1"/>
  <c r="F453" i="4"/>
  <c r="Q452" i="4"/>
  <c r="K452" i="4"/>
  <c r="I452" i="4"/>
  <c r="H452" i="4"/>
  <c r="J452" i="4" s="1"/>
  <c r="F452" i="4"/>
  <c r="Q451" i="4"/>
  <c r="K451" i="4"/>
  <c r="I451" i="4"/>
  <c r="H451" i="4"/>
  <c r="J451" i="4" s="1"/>
  <c r="F451" i="4"/>
  <c r="Q450" i="4"/>
  <c r="K450" i="4"/>
  <c r="I450" i="4"/>
  <c r="H450" i="4"/>
  <c r="J450" i="4" s="1"/>
  <c r="F450" i="4"/>
  <c r="Q449" i="4"/>
  <c r="K449" i="4"/>
  <c r="I449" i="4"/>
  <c r="H449" i="4"/>
  <c r="J449" i="4" s="1"/>
  <c r="F449" i="4"/>
  <c r="Q448" i="4"/>
  <c r="K448" i="4"/>
  <c r="I448" i="4"/>
  <c r="H448" i="4"/>
  <c r="J448" i="4" s="1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J445" i="4" s="1"/>
  <c r="F445" i="4"/>
  <c r="Q444" i="4"/>
  <c r="K444" i="4"/>
  <c r="I444" i="4"/>
  <c r="H444" i="4"/>
  <c r="J444" i="4" s="1"/>
  <c r="F444" i="4"/>
  <c r="Q443" i="4"/>
  <c r="K443" i="4"/>
  <c r="I443" i="4"/>
  <c r="H443" i="4"/>
  <c r="J443" i="4" s="1"/>
  <c r="F443" i="4"/>
  <c r="Q442" i="4"/>
  <c r="K442" i="4"/>
  <c r="I442" i="4"/>
  <c r="H442" i="4"/>
  <c r="J442" i="4" s="1"/>
  <c r="F442" i="4"/>
  <c r="Q441" i="4"/>
  <c r="K441" i="4"/>
  <c r="I441" i="4"/>
  <c r="H441" i="4"/>
  <c r="J441" i="4" s="1"/>
  <c r="F441" i="4"/>
  <c r="Q440" i="4"/>
  <c r="K440" i="4"/>
  <c r="I440" i="4"/>
  <c r="H440" i="4"/>
  <c r="J440" i="4" s="1"/>
  <c r="F440" i="4"/>
  <c r="Q439" i="4"/>
  <c r="K439" i="4"/>
  <c r="I439" i="4"/>
  <c r="H439" i="4"/>
  <c r="J439" i="4" s="1"/>
  <c r="F439" i="4"/>
  <c r="Q438" i="4"/>
  <c r="K438" i="4"/>
  <c r="I438" i="4"/>
  <c r="H438" i="4"/>
  <c r="J438" i="4" s="1"/>
  <c r="F438" i="4"/>
  <c r="Q437" i="4"/>
  <c r="K437" i="4"/>
  <c r="I437" i="4"/>
  <c r="H437" i="4"/>
  <c r="J437" i="4" s="1"/>
  <c r="F437" i="4"/>
  <c r="Q436" i="4"/>
  <c r="K436" i="4"/>
  <c r="I436" i="4"/>
  <c r="H436" i="4"/>
  <c r="J436" i="4" s="1"/>
  <c r="F436" i="4"/>
  <c r="Q435" i="4"/>
  <c r="K435" i="4"/>
  <c r="I435" i="4"/>
  <c r="H435" i="4"/>
  <c r="J435" i="4" s="1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J431" i="4" s="1"/>
  <c r="F431" i="4"/>
  <c r="Q430" i="4"/>
  <c r="K430" i="4"/>
  <c r="I430" i="4"/>
  <c r="H430" i="4"/>
  <c r="J430" i="4" s="1"/>
  <c r="F430" i="4"/>
  <c r="Q429" i="4"/>
  <c r="K429" i="4"/>
  <c r="I429" i="4"/>
  <c r="H429" i="4"/>
  <c r="J429" i="4" s="1"/>
  <c r="F429" i="4"/>
  <c r="Q428" i="4"/>
  <c r="K428" i="4"/>
  <c r="I428" i="4"/>
  <c r="H428" i="4"/>
  <c r="J428" i="4" s="1"/>
  <c r="F428" i="4"/>
  <c r="Q427" i="4"/>
  <c r="K427" i="4"/>
  <c r="I427" i="4"/>
  <c r="H427" i="4"/>
  <c r="J427" i="4" s="1"/>
  <c r="F427" i="4"/>
  <c r="Q426" i="4"/>
  <c r="K426" i="4"/>
  <c r="I426" i="4"/>
  <c r="H426" i="4"/>
  <c r="J426" i="4" s="1"/>
  <c r="F426" i="4"/>
  <c r="Q425" i="4"/>
  <c r="K425" i="4"/>
  <c r="I425" i="4"/>
  <c r="H425" i="4"/>
  <c r="J425" i="4" s="1"/>
  <c r="F425" i="4"/>
  <c r="Q424" i="4"/>
  <c r="K424" i="4"/>
  <c r="I424" i="4"/>
  <c r="H424" i="4"/>
  <c r="J424" i="4" s="1"/>
  <c r="F424" i="4"/>
  <c r="Q423" i="4"/>
  <c r="K423" i="4"/>
  <c r="I423" i="4"/>
  <c r="H423" i="4"/>
  <c r="J423" i="4" s="1"/>
  <c r="F423" i="4"/>
  <c r="Q422" i="4"/>
  <c r="K422" i="4"/>
  <c r="I422" i="4"/>
  <c r="H422" i="4"/>
  <c r="J422" i="4" s="1"/>
  <c r="F422" i="4"/>
  <c r="Q421" i="4"/>
  <c r="K421" i="4"/>
  <c r="I421" i="4"/>
  <c r="H421" i="4"/>
  <c r="J421" i="4" s="1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J418" i="4" s="1"/>
  <c r="F418" i="4"/>
  <c r="Q417" i="4"/>
  <c r="K417" i="4"/>
  <c r="I417" i="4"/>
  <c r="H417" i="4"/>
  <c r="J417" i="4" s="1"/>
  <c r="F417" i="4"/>
  <c r="Q416" i="4"/>
  <c r="K416" i="4"/>
  <c r="I416" i="4"/>
  <c r="H416" i="4"/>
  <c r="J416" i="4" s="1"/>
  <c r="F416" i="4"/>
  <c r="Q415" i="4"/>
  <c r="K415" i="4"/>
  <c r="I415" i="4"/>
  <c r="H415" i="4"/>
  <c r="J415" i="4" s="1"/>
  <c r="F415" i="4"/>
  <c r="Q414" i="4"/>
  <c r="K414" i="4"/>
  <c r="I414" i="4"/>
  <c r="H414" i="4"/>
  <c r="J414" i="4" s="1"/>
  <c r="F414" i="4"/>
  <c r="Q413" i="4"/>
  <c r="K413" i="4"/>
  <c r="I413" i="4"/>
  <c r="H413" i="4"/>
  <c r="J413" i="4" s="1"/>
  <c r="F413" i="4"/>
  <c r="Q412" i="4"/>
  <c r="K412" i="4"/>
  <c r="I412" i="4"/>
  <c r="H412" i="4"/>
  <c r="J412" i="4" s="1"/>
  <c r="F412" i="4"/>
  <c r="Q411" i="4"/>
  <c r="K411" i="4"/>
  <c r="I411" i="4"/>
  <c r="H411" i="4"/>
  <c r="J411" i="4" s="1"/>
  <c r="F411" i="4"/>
  <c r="Q410" i="4"/>
  <c r="K410" i="4"/>
  <c r="I410" i="4"/>
  <c r="H410" i="4"/>
  <c r="J410" i="4" s="1"/>
  <c r="F410" i="4"/>
  <c r="Q409" i="4"/>
  <c r="K409" i="4"/>
  <c r="I409" i="4"/>
  <c r="H409" i="4"/>
  <c r="J409" i="4" s="1"/>
  <c r="F409" i="4"/>
  <c r="Q408" i="4"/>
  <c r="K408" i="4"/>
  <c r="I408" i="4"/>
  <c r="H408" i="4"/>
  <c r="J408" i="4" s="1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J404" i="4" s="1"/>
  <c r="F404" i="4"/>
  <c r="Q403" i="4"/>
  <c r="K403" i="4"/>
  <c r="I403" i="4"/>
  <c r="H403" i="4"/>
  <c r="J403" i="4" s="1"/>
  <c r="F403" i="4"/>
  <c r="Q402" i="4"/>
  <c r="K402" i="4"/>
  <c r="I402" i="4"/>
  <c r="H402" i="4"/>
  <c r="J402" i="4" s="1"/>
  <c r="F402" i="4"/>
  <c r="Q401" i="4"/>
  <c r="K401" i="4"/>
  <c r="I401" i="4"/>
  <c r="H401" i="4"/>
  <c r="J401" i="4" s="1"/>
  <c r="F401" i="4"/>
  <c r="Q400" i="4"/>
  <c r="K400" i="4"/>
  <c r="I400" i="4"/>
  <c r="H400" i="4"/>
  <c r="J400" i="4" s="1"/>
  <c r="F400" i="4"/>
  <c r="Q399" i="4"/>
  <c r="K399" i="4"/>
  <c r="I399" i="4"/>
  <c r="H399" i="4"/>
  <c r="J399" i="4" s="1"/>
  <c r="F399" i="4"/>
  <c r="Q398" i="4"/>
  <c r="K398" i="4"/>
  <c r="I398" i="4"/>
  <c r="H398" i="4"/>
  <c r="J398" i="4" s="1"/>
  <c r="F398" i="4"/>
  <c r="Q397" i="4"/>
  <c r="K397" i="4"/>
  <c r="I397" i="4"/>
  <c r="H397" i="4"/>
  <c r="J397" i="4" s="1"/>
  <c r="F397" i="4"/>
  <c r="Q396" i="4"/>
  <c r="K396" i="4"/>
  <c r="I396" i="4"/>
  <c r="H396" i="4"/>
  <c r="J396" i="4" s="1"/>
  <c r="F396" i="4"/>
  <c r="Q395" i="4"/>
  <c r="K395" i="4"/>
  <c r="I395" i="4"/>
  <c r="H395" i="4"/>
  <c r="J395" i="4" s="1"/>
  <c r="F395" i="4"/>
  <c r="Q394" i="4"/>
  <c r="K394" i="4"/>
  <c r="I394" i="4"/>
  <c r="H394" i="4"/>
  <c r="J394" i="4" s="1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J391" i="4" s="1"/>
  <c r="F391" i="4"/>
  <c r="Q390" i="4"/>
  <c r="K390" i="4"/>
  <c r="I390" i="4"/>
  <c r="H390" i="4"/>
  <c r="J390" i="4" s="1"/>
  <c r="F390" i="4"/>
  <c r="Q389" i="4"/>
  <c r="K389" i="4"/>
  <c r="I389" i="4"/>
  <c r="H389" i="4"/>
  <c r="J389" i="4" s="1"/>
  <c r="F389" i="4"/>
  <c r="Q388" i="4"/>
  <c r="K388" i="4"/>
  <c r="I388" i="4"/>
  <c r="H388" i="4"/>
  <c r="J388" i="4" s="1"/>
  <c r="F388" i="4"/>
  <c r="Q387" i="4"/>
  <c r="K387" i="4"/>
  <c r="I387" i="4"/>
  <c r="H387" i="4"/>
  <c r="J387" i="4" s="1"/>
  <c r="F387" i="4"/>
  <c r="Q386" i="4"/>
  <c r="K386" i="4"/>
  <c r="I386" i="4"/>
  <c r="H386" i="4"/>
  <c r="J386" i="4" s="1"/>
  <c r="F386" i="4"/>
  <c r="Q385" i="4"/>
  <c r="K385" i="4"/>
  <c r="I385" i="4"/>
  <c r="H385" i="4"/>
  <c r="J385" i="4" s="1"/>
  <c r="F385" i="4"/>
  <c r="Q384" i="4"/>
  <c r="K384" i="4"/>
  <c r="I384" i="4"/>
  <c r="H384" i="4"/>
  <c r="J384" i="4" s="1"/>
  <c r="F384" i="4"/>
  <c r="Q383" i="4"/>
  <c r="K383" i="4"/>
  <c r="I383" i="4"/>
  <c r="H383" i="4"/>
  <c r="J383" i="4" s="1"/>
  <c r="F383" i="4"/>
  <c r="Q382" i="4"/>
  <c r="K382" i="4"/>
  <c r="I382" i="4"/>
  <c r="H382" i="4"/>
  <c r="J382" i="4" s="1"/>
  <c r="F382" i="4"/>
  <c r="Q381" i="4"/>
  <c r="K381" i="4"/>
  <c r="I381" i="4"/>
  <c r="H381" i="4"/>
  <c r="J381" i="4" s="1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J377" i="4" s="1"/>
  <c r="F377" i="4"/>
  <c r="Q376" i="4"/>
  <c r="K376" i="4"/>
  <c r="I376" i="4"/>
  <c r="H376" i="4"/>
  <c r="J376" i="4" s="1"/>
  <c r="F376" i="4"/>
  <c r="Q375" i="4"/>
  <c r="K375" i="4"/>
  <c r="I375" i="4"/>
  <c r="H375" i="4"/>
  <c r="J375" i="4" s="1"/>
  <c r="F375" i="4"/>
  <c r="Q374" i="4"/>
  <c r="K374" i="4"/>
  <c r="I374" i="4"/>
  <c r="H374" i="4"/>
  <c r="J374" i="4" s="1"/>
  <c r="F374" i="4"/>
  <c r="Q373" i="4"/>
  <c r="K373" i="4"/>
  <c r="I373" i="4"/>
  <c r="H373" i="4"/>
  <c r="J373" i="4" s="1"/>
  <c r="F373" i="4"/>
  <c r="Q372" i="4"/>
  <c r="K372" i="4"/>
  <c r="I372" i="4"/>
  <c r="H372" i="4"/>
  <c r="J372" i="4" s="1"/>
  <c r="F372" i="4"/>
  <c r="Q371" i="4"/>
  <c r="K371" i="4"/>
  <c r="I371" i="4"/>
  <c r="H371" i="4"/>
  <c r="J371" i="4" s="1"/>
  <c r="F371" i="4"/>
  <c r="Q370" i="4"/>
  <c r="K370" i="4"/>
  <c r="I370" i="4"/>
  <c r="H370" i="4"/>
  <c r="J370" i="4" s="1"/>
  <c r="F370" i="4"/>
  <c r="Q369" i="4"/>
  <c r="K369" i="4"/>
  <c r="I369" i="4"/>
  <c r="H369" i="4"/>
  <c r="J369" i="4" s="1"/>
  <c r="F369" i="4"/>
  <c r="Q368" i="4"/>
  <c r="K368" i="4"/>
  <c r="I368" i="4"/>
  <c r="H368" i="4"/>
  <c r="J368" i="4" s="1"/>
  <c r="F368" i="4"/>
  <c r="Q367" i="4"/>
  <c r="K367" i="4"/>
  <c r="I367" i="4"/>
  <c r="H367" i="4"/>
  <c r="J367" i="4" s="1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J364" i="4" s="1"/>
  <c r="F364" i="4"/>
  <c r="Q363" i="4"/>
  <c r="K363" i="4"/>
  <c r="I363" i="4"/>
  <c r="H363" i="4"/>
  <c r="J363" i="4" s="1"/>
  <c r="F363" i="4"/>
  <c r="Q362" i="4"/>
  <c r="K362" i="4"/>
  <c r="I362" i="4"/>
  <c r="H362" i="4"/>
  <c r="J362" i="4" s="1"/>
  <c r="F362" i="4"/>
  <c r="Q361" i="4"/>
  <c r="K361" i="4"/>
  <c r="I361" i="4"/>
  <c r="H361" i="4"/>
  <c r="J361" i="4" s="1"/>
  <c r="F361" i="4"/>
  <c r="Q360" i="4"/>
  <c r="K360" i="4"/>
  <c r="I360" i="4"/>
  <c r="H360" i="4"/>
  <c r="J360" i="4" s="1"/>
  <c r="F360" i="4"/>
  <c r="Q359" i="4"/>
  <c r="K359" i="4"/>
  <c r="I359" i="4"/>
  <c r="H359" i="4"/>
  <c r="J359" i="4" s="1"/>
  <c r="F359" i="4"/>
  <c r="Q358" i="4"/>
  <c r="K358" i="4"/>
  <c r="I358" i="4"/>
  <c r="H358" i="4"/>
  <c r="J358" i="4" s="1"/>
  <c r="F358" i="4"/>
  <c r="Q357" i="4"/>
  <c r="K357" i="4"/>
  <c r="I357" i="4"/>
  <c r="H357" i="4"/>
  <c r="J357" i="4" s="1"/>
  <c r="F357" i="4"/>
  <c r="Q356" i="4"/>
  <c r="K356" i="4"/>
  <c r="I356" i="4"/>
  <c r="H356" i="4"/>
  <c r="J356" i="4" s="1"/>
  <c r="F356" i="4"/>
  <c r="Q355" i="4"/>
  <c r="K355" i="4"/>
  <c r="I355" i="4"/>
  <c r="H355" i="4"/>
  <c r="J355" i="4" s="1"/>
  <c r="F355" i="4"/>
  <c r="Q354" i="4"/>
  <c r="K354" i="4"/>
  <c r="I354" i="4"/>
  <c r="H354" i="4"/>
  <c r="J354" i="4" s="1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J350" i="4" s="1"/>
  <c r="F350" i="4"/>
  <c r="Q349" i="4"/>
  <c r="K349" i="4"/>
  <c r="I349" i="4"/>
  <c r="H349" i="4"/>
  <c r="J349" i="4" s="1"/>
  <c r="F349" i="4"/>
  <c r="Q348" i="4"/>
  <c r="K348" i="4"/>
  <c r="I348" i="4"/>
  <c r="H348" i="4"/>
  <c r="J348" i="4" s="1"/>
  <c r="F348" i="4"/>
  <c r="Q347" i="4"/>
  <c r="K347" i="4"/>
  <c r="I347" i="4"/>
  <c r="H347" i="4"/>
  <c r="J347" i="4" s="1"/>
  <c r="F347" i="4"/>
  <c r="Q346" i="4"/>
  <c r="K346" i="4"/>
  <c r="I346" i="4"/>
  <c r="H346" i="4"/>
  <c r="J346" i="4" s="1"/>
  <c r="F346" i="4"/>
  <c r="Q345" i="4"/>
  <c r="K345" i="4"/>
  <c r="I345" i="4"/>
  <c r="H345" i="4"/>
  <c r="J345" i="4" s="1"/>
  <c r="F345" i="4"/>
  <c r="Q344" i="4"/>
  <c r="K344" i="4"/>
  <c r="I344" i="4"/>
  <c r="H344" i="4"/>
  <c r="J344" i="4" s="1"/>
  <c r="F344" i="4"/>
  <c r="Q343" i="4"/>
  <c r="K343" i="4"/>
  <c r="I343" i="4"/>
  <c r="H343" i="4"/>
  <c r="J343" i="4" s="1"/>
  <c r="F343" i="4"/>
  <c r="Q342" i="4"/>
  <c r="K342" i="4"/>
  <c r="I342" i="4"/>
  <c r="H342" i="4"/>
  <c r="J342" i="4" s="1"/>
  <c r="F342" i="4"/>
  <c r="Q341" i="4"/>
  <c r="K341" i="4"/>
  <c r="I341" i="4"/>
  <c r="H341" i="4"/>
  <c r="J341" i="4" s="1"/>
  <c r="F341" i="4"/>
  <c r="Q340" i="4"/>
  <c r="K340" i="4"/>
  <c r="I340" i="4"/>
  <c r="H340" i="4"/>
  <c r="J340" i="4" s="1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J337" i="4" s="1"/>
  <c r="F337" i="4"/>
  <c r="Q336" i="4"/>
  <c r="K336" i="4"/>
  <c r="I336" i="4"/>
  <c r="H336" i="4"/>
  <c r="J336" i="4" s="1"/>
  <c r="F336" i="4"/>
  <c r="Q335" i="4"/>
  <c r="K335" i="4"/>
  <c r="I335" i="4"/>
  <c r="H335" i="4"/>
  <c r="J335" i="4" s="1"/>
  <c r="F335" i="4"/>
  <c r="Q334" i="4"/>
  <c r="K334" i="4"/>
  <c r="I334" i="4"/>
  <c r="H334" i="4"/>
  <c r="J334" i="4" s="1"/>
  <c r="F334" i="4"/>
  <c r="Q333" i="4"/>
  <c r="K333" i="4"/>
  <c r="I333" i="4"/>
  <c r="H333" i="4"/>
  <c r="J333" i="4" s="1"/>
  <c r="F333" i="4"/>
  <c r="Q332" i="4"/>
  <c r="K332" i="4"/>
  <c r="I332" i="4"/>
  <c r="H332" i="4"/>
  <c r="J332" i="4" s="1"/>
  <c r="F332" i="4"/>
  <c r="Q331" i="4"/>
  <c r="K331" i="4"/>
  <c r="I331" i="4"/>
  <c r="H331" i="4"/>
  <c r="J331" i="4" s="1"/>
  <c r="F331" i="4"/>
  <c r="Q330" i="4"/>
  <c r="K330" i="4"/>
  <c r="I330" i="4"/>
  <c r="H330" i="4"/>
  <c r="J330" i="4" s="1"/>
  <c r="F330" i="4"/>
  <c r="Q329" i="4"/>
  <c r="K329" i="4"/>
  <c r="I329" i="4"/>
  <c r="H329" i="4"/>
  <c r="J329" i="4" s="1"/>
  <c r="F329" i="4"/>
  <c r="Q328" i="4"/>
  <c r="K328" i="4"/>
  <c r="I328" i="4"/>
  <c r="H328" i="4"/>
  <c r="J328" i="4" s="1"/>
  <c r="F328" i="4"/>
  <c r="Q327" i="4"/>
  <c r="K327" i="4"/>
  <c r="I327" i="4"/>
  <c r="H327" i="4"/>
  <c r="J327" i="4" s="1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J323" i="4" s="1"/>
  <c r="F323" i="4"/>
  <c r="Q322" i="4"/>
  <c r="K322" i="4"/>
  <c r="I322" i="4"/>
  <c r="H322" i="4"/>
  <c r="J322" i="4" s="1"/>
  <c r="F322" i="4"/>
  <c r="Q321" i="4"/>
  <c r="K321" i="4"/>
  <c r="I321" i="4"/>
  <c r="H321" i="4"/>
  <c r="J321" i="4" s="1"/>
  <c r="F321" i="4"/>
  <c r="Q320" i="4"/>
  <c r="K320" i="4"/>
  <c r="I320" i="4"/>
  <c r="H320" i="4"/>
  <c r="J320" i="4" s="1"/>
  <c r="F320" i="4"/>
  <c r="Q319" i="4"/>
  <c r="K319" i="4"/>
  <c r="I319" i="4"/>
  <c r="H319" i="4"/>
  <c r="J319" i="4" s="1"/>
  <c r="F319" i="4"/>
  <c r="Q318" i="4"/>
  <c r="K318" i="4"/>
  <c r="I318" i="4"/>
  <c r="H318" i="4"/>
  <c r="J318" i="4" s="1"/>
  <c r="F318" i="4"/>
  <c r="Q317" i="4"/>
  <c r="K317" i="4"/>
  <c r="I317" i="4"/>
  <c r="H317" i="4"/>
  <c r="J317" i="4" s="1"/>
  <c r="F317" i="4"/>
  <c r="Q316" i="4"/>
  <c r="K316" i="4"/>
  <c r="I316" i="4"/>
  <c r="H316" i="4"/>
  <c r="J316" i="4" s="1"/>
  <c r="F316" i="4"/>
  <c r="Q315" i="4"/>
  <c r="K315" i="4"/>
  <c r="I315" i="4"/>
  <c r="H315" i="4"/>
  <c r="J315" i="4" s="1"/>
  <c r="F315" i="4"/>
  <c r="Q314" i="4"/>
  <c r="K314" i="4"/>
  <c r="I314" i="4"/>
  <c r="H314" i="4"/>
  <c r="J314" i="4" s="1"/>
  <c r="F314" i="4"/>
  <c r="Q313" i="4"/>
  <c r="K313" i="4"/>
  <c r="I313" i="4"/>
  <c r="H313" i="4"/>
  <c r="J313" i="4" s="1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J310" i="4" s="1"/>
  <c r="F310" i="4"/>
  <c r="Q309" i="4"/>
  <c r="K309" i="4"/>
  <c r="I309" i="4"/>
  <c r="H309" i="4"/>
  <c r="J309" i="4" s="1"/>
  <c r="F309" i="4"/>
  <c r="Q308" i="4"/>
  <c r="K308" i="4"/>
  <c r="I308" i="4"/>
  <c r="H308" i="4"/>
  <c r="J308" i="4" s="1"/>
  <c r="F308" i="4"/>
  <c r="Q307" i="4"/>
  <c r="K307" i="4"/>
  <c r="I307" i="4"/>
  <c r="H307" i="4"/>
  <c r="J307" i="4" s="1"/>
  <c r="F307" i="4"/>
  <c r="Q306" i="4"/>
  <c r="K306" i="4"/>
  <c r="I306" i="4"/>
  <c r="H306" i="4"/>
  <c r="J306" i="4" s="1"/>
  <c r="F306" i="4"/>
  <c r="Q305" i="4"/>
  <c r="K305" i="4"/>
  <c r="I305" i="4"/>
  <c r="H305" i="4"/>
  <c r="J305" i="4" s="1"/>
  <c r="F305" i="4"/>
  <c r="Q304" i="4"/>
  <c r="K304" i="4"/>
  <c r="I304" i="4"/>
  <c r="H304" i="4"/>
  <c r="J304" i="4" s="1"/>
  <c r="F304" i="4"/>
  <c r="Q303" i="4"/>
  <c r="K303" i="4"/>
  <c r="I303" i="4"/>
  <c r="H303" i="4"/>
  <c r="J303" i="4" s="1"/>
  <c r="F303" i="4"/>
  <c r="Q302" i="4"/>
  <c r="K302" i="4"/>
  <c r="I302" i="4"/>
  <c r="H302" i="4"/>
  <c r="J302" i="4" s="1"/>
  <c r="F302" i="4"/>
  <c r="Q301" i="4"/>
  <c r="K301" i="4"/>
  <c r="I301" i="4"/>
  <c r="H301" i="4"/>
  <c r="J301" i="4" s="1"/>
  <c r="F301" i="4"/>
  <c r="Q300" i="4"/>
  <c r="K300" i="4"/>
  <c r="I300" i="4"/>
  <c r="H300" i="4"/>
  <c r="J300" i="4" s="1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492" i="4" l="1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<sst xmlns="http://schemas.openxmlformats.org/spreadsheetml/2006/main" count="8437" uniqueCount="394">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</sst>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4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2" sqref="G2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7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23" customWidth="1"/>
  </cols>
  <sheetData>
    <row r="1" spans="1:12" ht="31.5" customHeight="1">
      <c r="A1" s="155" t="s">
        <v>0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</row>
    <row r="2" spans="1:12" ht="30" customHeight="1">
      <c r="A2" s="156"/>
      <c r="B2" s="156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/>
      <c r="J21" s="22">
        <f t="shared" si="1"/>
        <v>0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>-</v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46254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21"/>
      <c r="J23" s="22" t="str">
        <f t="shared" si="1"/>
        <v>-</v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57" t="s">
        <v>16</v>
      </c>
      <c r="B35" s="157"/>
      <c r="C35" s="30">
        <f t="shared" ref="C35:I35" si="2">IFERROR(SUM(C4:C34),"")</f>
        <v>67918850</v>
      </c>
      <c r="D35" s="30">
        <f t="shared" si="2"/>
        <v>22167400</v>
      </c>
      <c r="E35" s="30">
        <f t="shared" si="2"/>
        <v>11538670</v>
      </c>
      <c r="F35" s="30">
        <f t="shared" si="2"/>
        <v>28115430</v>
      </c>
      <c r="G35" s="30">
        <f t="shared" si="2"/>
        <v>61821500</v>
      </c>
      <c r="H35" s="31">
        <f t="shared" si="2"/>
        <v>4945.4941650601886</v>
      </c>
      <c r="I35" s="31">
        <f t="shared" si="2"/>
        <v>4326.08</v>
      </c>
      <c r="J35" s="32">
        <f>IFERROR(AVERAGE(J4:J34),"-")</f>
        <v>0.74921162731186064</v>
      </c>
      <c r="K35" s="33">
        <f>SUM(K4:K34)</f>
        <v>450.78</v>
      </c>
      <c r="L35" s="34">
        <f>IFERROR(SUM(L4:L34),"")</f>
        <v>3105</v>
      </c>
    </row>
    <row r="36" spans="1:12" ht="15" customHeight="1">
      <c r="J36" s="35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58" t="s">
        <v>17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  <c r="M1" s="159"/>
      <c r="N1" s="160" t="s">
        <v>18</v>
      </c>
      <c r="O1" s="160"/>
      <c r="P1" s="160"/>
      <c r="Q1" s="160"/>
      <c r="R1" s="160"/>
    </row>
    <row r="2" spans="1:18" ht="4.5" customHeight="1">
      <c r="M2" s="159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59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59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59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59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59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59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59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59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59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59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59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59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59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59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59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59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59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59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59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59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59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59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59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59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59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59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59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59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59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59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59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59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59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59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59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59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59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59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59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59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59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59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59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59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59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59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59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59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59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59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59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59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59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59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59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59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59"/>
      <c r="N59" s="40"/>
      <c r="O59" s="40"/>
      <c r="P59" s="40" t="s">
        <v>222</v>
      </c>
      <c r="Q59" s="40"/>
      <c r="R59" s="40"/>
    </row>
    <row r="60" spans="1:18" ht="15" customHeight="1">
      <c r="M60" s="159"/>
      <c r="N60" s="37"/>
      <c r="O60" s="37"/>
      <c r="P60" s="53" t="s">
        <v>114</v>
      </c>
      <c r="Q60" s="37"/>
      <c r="R60" s="37"/>
    </row>
    <row r="61" spans="1:18" ht="15" customHeight="1">
      <c r="M61" s="159"/>
      <c r="N61" s="40"/>
      <c r="O61" s="40"/>
      <c r="P61" s="40" t="s">
        <v>223</v>
      </c>
      <c r="Q61" s="40"/>
      <c r="R61" s="40"/>
    </row>
    <row r="62" spans="1:18" ht="15" customHeight="1">
      <c r="M62" s="159"/>
      <c r="N62" s="37"/>
      <c r="O62" s="37"/>
      <c r="P62" s="37" t="s">
        <v>224</v>
      </c>
      <c r="Q62" s="37"/>
      <c r="R62" s="37"/>
    </row>
    <row r="63" spans="1:18" ht="15" customHeight="1">
      <c r="M63" s="159"/>
      <c r="N63" s="40"/>
      <c r="O63" s="40"/>
      <c r="P63" s="40" t="s">
        <v>225</v>
      </c>
      <c r="Q63" s="40"/>
      <c r="R63" s="40"/>
    </row>
    <row r="64" spans="1:18" ht="15" customHeight="1">
      <c r="M64" s="159"/>
      <c r="N64" s="37"/>
      <c r="O64" s="37"/>
      <c r="P64" s="37" t="s">
        <v>226</v>
      </c>
      <c r="Q64" s="37"/>
      <c r="R64" s="37"/>
    </row>
    <row r="65" spans="13:18" ht="15" customHeight="1">
      <c r="M65" s="159"/>
      <c r="N65" s="40"/>
      <c r="O65" s="40"/>
      <c r="P65" s="40" t="s">
        <v>227</v>
      </c>
      <c r="Q65" s="40"/>
      <c r="R65" s="40"/>
    </row>
    <row r="66" spans="13:18" ht="15" customHeight="1">
      <c r="M66" s="159"/>
      <c r="N66" s="37"/>
      <c r="O66" s="37"/>
      <c r="P66" s="37" t="s">
        <v>228</v>
      </c>
      <c r="Q66" s="37"/>
      <c r="R66" s="37"/>
    </row>
    <row r="67" spans="13:18" ht="15" customHeight="1">
      <c r="M67" s="159"/>
      <c r="N67" s="40"/>
      <c r="O67" s="40"/>
      <c r="P67" s="40" t="s">
        <v>229</v>
      </c>
      <c r="Q67" s="40"/>
      <c r="R67" s="40"/>
    </row>
    <row r="68" spans="13:18" ht="15" customHeight="1">
      <c r="M68" s="159"/>
      <c r="N68" s="37"/>
      <c r="O68" s="37"/>
      <c r="P68" s="37" t="s">
        <v>230</v>
      </c>
      <c r="Q68" s="37"/>
      <c r="R68" s="37"/>
    </row>
    <row r="69" spans="13:18" ht="15" customHeight="1">
      <c r="M69" s="159"/>
      <c r="N69" s="40"/>
      <c r="O69" s="40"/>
      <c r="P69" s="40" t="s">
        <v>231</v>
      </c>
      <c r="Q69" s="40"/>
      <c r="R69" s="40"/>
    </row>
    <row r="70" spans="13:18" ht="15" customHeight="1">
      <c r="M70" s="159"/>
      <c r="N70" s="37"/>
      <c r="O70" s="37"/>
      <c r="P70" s="37" t="s">
        <v>232</v>
      </c>
      <c r="Q70" s="37"/>
      <c r="R70" s="37"/>
    </row>
    <row r="71" spans="13:18" ht="15" customHeight="1">
      <c r="M71" s="159"/>
      <c r="N71" s="40"/>
      <c r="O71" s="40"/>
      <c r="P71" s="40" t="s">
        <v>233</v>
      </c>
      <c r="Q71" s="40"/>
      <c r="R71" s="40"/>
    </row>
    <row r="72" spans="13:18" ht="15" customHeight="1">
      <c r="M72" s="159"/>
      <c r="N72" s="37"/>
      <c r="O72" s="37"/>
      <c r="P72" s="37" t="s">
        <v>234</v>
      </c>
      <c r="Q72" s="37"/>
      <c r="R72" s="37"/>
    </row>
    <row r="73" spans="13:18" ht="15" customHeight="1">
      <c r="M73" s="159"/>
      <c r="N73" s="40"/>
      <c r="O73" s="40"/>
      <c r="P73" s="40" t="s">
        <v>235</v>
      </c>
      <c r="Q73" s="40"/>
      <c r="R73" s="40"/>
    </row>
    <row r="74" spans="13:18" ht="15" customHeight="1">
      <c r="M74" s="159"/>
      <c r="N74" s="37"/>
      <c r="O74" s="37"/>
      <c r="P74" s="37" t="s">
        <v>236</v>
      </c>
      <c r="Q74" s="37"/>
      <c r="R74" s="37"/>
    </row>
    <row r="75" spans="13:18" ht="15" customHeight="1">
      <c r="M75" s="159"/>
      <c r="N75" s="40"/>
      <c r="O75" s="40"/>
      <c r="P75" s="40" t="s">
        <v>237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34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1" t="s">
        <v>249</v>
      </c>
      <c r="B4" s="161"/>
      <c r="C4" s="161"/>
      <c r="D4" s="161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1" t="s">
        <v>249</v>
      </c>
      <c r="B7" s="161"/>
      <c r="C7" s="161"/>
      <c r="D7" s="161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1" t="s">
        <v>249</v>
      </c>
      <c r="B10" s="161"/>
      <c r="C10" s="161"/>
      <c r="D10" s="161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1" t="s">
        <v>249</v>
      </c>
      <c r="B13" s="161"/>
      <c r="C13" s="161"/>
      <c r="D13" s="161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1" t="s">
        <v>249</v>
      </c>
      <c r="B16" s="161"/>
      <c r="C16" s="161"/>
      <c r="D16" s="161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1" t="s">
        <v>249</v>
      </c>
      <c r="B19" s="161"/>
      <c r="C19" s="161"/>
      <c r="D19" s="161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1" t="s">
        <v>249</v>
      </c>
      <c r="B22" s="161"/>
      <c r="C22" s="161"/>
      <c r="D22" s="161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1" t="s">
        <v>249</v>
      </c>
      <c r="B25" s="161"/>
      <c r="C25" s="161"/>
      <c r="D25" s="161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1" t="s">
        <v>249</v>
      </c>
      <c r="B28" s="161"/>
      <c r="C28" s="161"/>
      <c r="D28" s="161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1" t="s">
        <v>249</v>
      </c>
      <c r="B31" s="161"/>
      <c r="C31" s="161"/>
      <c r="D31" s="161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1" t="s">
        <v>249</v>
      </c>
      <c r="B34" s="161"/>
      <c r="C34" s="161"/>
      <c r="D34" s="161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1" t="s">
        <v>249</v>
      </c>
      <c r="B37" s="161"/>
      <c r="C37" s="161"/>
      <c r="D37" s="161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1" t="s">
        <v>249</v>
      </c>
      <c r="B40" s="161"/>
      <c r="C40" s="161"/>
      <c r="D40" s="161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1" t="s">
        <v>249</v>
      </c>
      <c r="B43" s="161"/>
      <c r="C43" s="161"/>
      <c r="D43" s="161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1" t="s">
        <v>249</v>
      </c>
      <c r="B46" s="161"/>
      <c r="C46" s="161"/>
      <c r="D46" s="161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1" t="s">
        <v>249</v>
      </c>
      <c r="B49" s="161"/>
      <c r="C49" s="161"/>
      <c r="D49" s="161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1" t="s">
        <v>249</v>
      </c>
      <c r="B52" s="161"/>
      <c r="C52" s="161"/>
      <c r="D52" s="161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1" t="s">
        <v>249</v>
      </c>
      <c r="B55" s="161"/>
      <c r="C55" s="161"/>
      <c r="D55" s="161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247</v>
      </c>
      <c r="C56" s="141">
        <v>0.79166666666666696</v>
      </c>
      <c r="D56" s="140"/>
      <c r="E56" s="140"/>
      <c r="F56" s="142" t="str">
        <f>IF(E56="","",E56*1.5*1.8)</f>
        <v/>
      </c>
      <c r="G56" s="140"/>
      <c r="H56" s="140"/>
      <c r="I56" s="143" t="str">
        <f>IFERROR(IF(G56="","",F56/G56),"")</f>
        <v/>
      </c>
      <c r="J56" s="140"/>
      <c r="K56" s="140"/>
    </row>
    <row r="57" spans="1:11" ht="15.75" customHeight="1">
      <c r="A57" s="144">
        <v>46253</v>
      </c>
      <c r="B57" s="145" t="s">
        <v>248</v>
      </c>
      <c r="C57" s="146">
        <v>0.29166666666666702</v>
      </c>
      <c r="D57" s="145"/>
      <c r="E57" s="145"/>
      <c r="F57" s="147" t="str">
        <f>IF(E57="","",E57*1.5*1.8)</f>
        <v/>
      </c>
      <c r="G57" s="145"/>
      <c r="H57" s="145"/>
      <c r="I57" s="148" t="str">
        <f>IFERROR(IF(G57="","",F57/G57),"")</f>
        <v/>
      </c>
      <c r="J57" s="145"/>
      <c r="K57" s="145"/>
    </row>
    <row r="58" spans="1:11" ht="18" customHeight="1">
      <c r="A58" s="161" t="s">
        <v>249</v>
      </c>
      <c r="B58" s="161"/>
      <c r="C58" s="161"/>
      <c r="D58" s="161"/>
      <c r="E58" s="149">
        <f>SUM(E56:E57)</f>
        <v>0</v>
      </c>
      <c r="F58" s="150">
        <f>IFERROR(SUM(F56:F57),"")</f>
        <v>0</v>
      </c>
      <c r="G58" s="150">
        <f>SUM(G56:G57)</f>
        <v>0</v>
      </c>
      <c r="H58" s="150">
        <f>SUM(H56:H57)</f>
        <v>0</v>
      </c>
      <c r="I58" s="151" t="str">
        <f>IFERROR(IF(G58=0,"",F58/G58),"")</f>
        <v/>
      </c>
      <c r="J58" s="152"/>
      <c r="K58" s="152"/>
    </row>
    <row r="59" spans="1:11" ht="15.75" customHeight="1">
      <c r="A59" s="139">
        <v>46254</v>
      </c>
      <c r="B59" s="140" t="s">
        <v>247</v>
      </c>
      <c r="C59" s="141">
        <v>0.79166666666666696</v>
      </c>
      <c r="D59" s="140"/>
      <c r="E59" s="140"/>
      <c r="F59" s="142" t="str">
        <f>IF(E59="","",E59*1.5*1.8)</f>
        <v/>
      </c>
      <c r="G59" s="140"/>
      <c r="H59" s="140"/>
      <c r="I59" s="143" t="str">
        <f>IFERROR(IF(G59="","",F59/G59),"")</f>
        <v/>
      </c>
      <c r="J59" s="140"/>
      <c r="K59" s="140"/>
    </row>
    <row r="60" spans="1:11" ht="15.75" customHeight="1">
      <c r="A60" s="144">
        <v>46254</v>
      </c>
      <c r="B60" s="145" t="s">
        <v>248</v>
      </c>
      <c r="C60" s="146">
        <v>0.29166666666666702</v>
      </c>
      <c r="D60" s="145"/>
      <c r="E60" s="145"/>
      <c r="F60" s="147" t="str">
        <f>IF(E60="","",E60*1.5*1.8)</f>
        <v/>
      </c>
      <c r="G60" s="145"/>
      <c r="H60" s="145"/>
      <c r="I60" s="148" t="str">
        <f>IFERROR(IF(G60="","",F60/G60),"")</f>
        <v/>
      </c>
      <c r="J60" s="145"/>
      <c r="K60" s="145"/>
    </row>
    <row r="61" spans="1:11" ht="18" customHeight="1">
      <c r="A61" s="161" t="s">
        <v>249</v>
      </c>
      <c r="B61" s="161"/>
      <c r="C61" s="161"/>
      <c r="D61" s="161"/>
      <c r="E61" s="149">
        <f>SUM(E59:E60)</f>
        <v>0</v>
      </c>
      <c r="F61" s="150">
        <f>IFERROR(SUM(F59:F60),"")</f>
        <v>0</v>
      </c>
      <c r="G61" s="150">
        <f>SUM(G59:G60)</f>
        <v>0</v>
      </c>
      <c r="H61" s="150">
        <f>SUM(H59:H60)</f>
        <v>0</v>
      </c>
      <c r="I61" s="151" t="str">
        <f>IFERROR(IF(G61=0,"",F61/G61),"")</f>
        <v/>
      </c>
      <c r="J61" s="152"/>
      <c r="K61" s="152"/>
    </row>
    <row r="62" spans="1:11" ht="15.75" customHeight="1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1" t="s">
        <v>249</v>
      </c>
      <c r="B64" s="161"/>
      <c r="C64" s="161"/>
      <c r="D64" s="161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1" t="s">
        <v>249</v>
      </c>
      <c r="B67" s="161"/>
      <c r="C67" s="161"/>
      <c r="D67" s="161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1" t="s">
        <v>249</v>
      </c>
      <c r="B70" s="161"/>
      <c r="C70" s="161"/>
      <c r="D70" s="161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1" t="s">
        <v>249</v>
      </c>
      <c r="B73" s="161"/>
      <c r="C73" s="161"/>
      <c r="D73" s="161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1" t="s">
        <v>249</v>
      </c>
      <c r="B76" s="161"/>
      <c r="C76" s="161"/>
      <c r="D76" s="161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1" t="s">
        <v>249</v>
      </c>
      <c r="B79" s="161"/>
      <c r="C79" s="161"/>
      <c r="D79" s="161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1" t="s">
        <v>249</v>
      </c>
      <c r="B82" s="161"/>
      <c r="C82" s="161"/>
      <c r="D82" s="161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1" t="s">
        <v>249</v>
      </c>
      <c r="B85" s="161"/>
      <c r="C85" s="161"/>
      <c r="D85" s="161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1" t="s">
        <v>249</v>
      </c>
      <c r="B88" s="161"/>
      <c r="C88" s="161"/>
      <c r="D88" s="161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1" t="s">
        <v>249</v>
      </c>
      <c r="B91" s="161"/>
      <c r="C91" s="161"/>
      <c r="D91" s="161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1" t="s">
        <v>249</v>
      </c>
      <c r="B94" s="161"/>
      <c r="C94" s="161"/>
      <c r="D94" s="161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72" activePane="bottomLeft" state="frozen"/>
      <selection pane="bottomLeft" activeCell="F496" sqref="F496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2" t="s">
        <v>260</v>
      </c>
      <c r="B14" s="162"/>
      <c r="C14" s="162"/>
      <c r="D14" s="162"/>
      <c r="E14" s="162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2" t="s">
        <v>263</v>
      </c>
      <c r="B27" s="162"/>
      <c r="C27" s="162"/>
      <c r="D27" s="162"/>
      <c r="E27" s="162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>
      <c r="A28" s="163" t="s">
        <v>249</v>
      </c>
      <c r="B28" s="163"/>
      <c r="C28" s="163"/>
      <c r="D28" s="163"/>
      <c r="E28" s="163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2" t="s">
        <v>260</v>
      </c>
      <c r="B41" s="162"/>
      <c r="C41" s="162"/>
      <c r="D41" s="162"/>
      <c r="E41" s="162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2" t="s">
        <v>263</v>
      </c>
      <c r="B54" s="162"/>
      <c r="C54" s="162"/>
      <c r="D54" s="162"/>
      <c r="E54" s="162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>
      <c r="A55" s="163" t="s">
        <v>249</v>
      </c>
      <c r="B55" s="163"/>
      <c r="C55" s="163"/>
      <c r="D55" s="163"/>
      <c r="E55" s="163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2" t="s">
        <v>260</v>
      </c>
      <c r="B68" s="162"/>
      <c r="C68" s="162"/>
      <c r="D68" s="162"/>
      <c r="E68" s="162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2" t="s">
        <v>263</v>
      </c>
      <c r="B81" s="162"/>
      <c r="C81" s="162"/>
      <c r="D81" s="162"/>
      <c r="E81" s="162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>
      <c r="A82" s="163" t="s">
        <v>249</v>
      </c>
      <c r="B82" s="163"/>
      <c r="C82" s="163"/>
      <c r="D82" s="163"/>
      <c r="E82" s="163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2" t="s">
        <v>260</v>
      </c>
      <c r="B95" s="162"/>
      <c r="C95" s="162"/>
      <c r="D95" s="162"/>
      <c r="E95" s="162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2" t="s">
        <v>263</v>
      </c>
      <c r="B108" s="162"/>
      <c r="C108" s="162"/>
      <c r="D108" s="162"/>
      <c r="E108" s="162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>
      <c r="A109" s="163" t="s">
        <v>249</v>
      </c>
      <c r="B109" s="163"/>
      <c r="C109" s="163"/>
      <c r="D109" s="163"/>
      <c r="E109" s="163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2" t="s">
        <v>260</v>
      </c>
      <c r="B122" s="162"/>
      <c r="C122" s="162"/>
      <c r="D122" s="162"/>
      <c r="E122" s="162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2" t="s">
        <v>263</v>
      </c>
      <c r="B135" s="162"/>
      <c r="C135" s="162"/>
      <c r="D135" s="162"/>
      <c r="E135" s="162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>
      <c r="A136" s="163" t="s">
        <v>249</v>
      </c>
      <c r="B136" s="163"/>
      <c r="C136" s="163"/>
      <c r="D136" s="163"/>
      <c r="E136" s="163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2" t="s">
        <v>260</v>
      </c>
      <c r="B149" s="162"/>
      <c r="C149" s="162"/>
      <c r="D149" s="162"/>
      <c r="E149" s="162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2" t="s">
        <v>263</v>
      </c>
      <c r="B162" s="162"/>
      <c r="C162" s="162"/>
      <c r="D162" s="162"/>
      <c r="E162" s="162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>
      <c r="A163" s="163" t="s">
        <v>249</v>
      </c>
      <c r="B163" s="163"/>
      <c r="C163" s="163"/>
      <c r="D163" s="163"/>
      <c r="E163" s="163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2" t="s">
        <v>260</v>
      </c>
      <c r="B176" s="162"/>
      <c r="C176" s="162"/>
      <c r="D176" s="162"/>
      <c r="E176" s="162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2" t="s">
        <v>263</v>
      </c>
      <c r="B189" s="162"/>
      <c r="C189" s="162"/>
      <c r="D189" s="162"/>
      <c r="E189" s="162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>
      <c r="A190" s="163" t="s">
        <v>249</v>
      </c>
      <c r="B190" s="163"/>
      <c r="C190" s="163"/>
      <c r="D190" s="163"/>
      <c r="E190" s="163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2" t="s">
        <v>260</v>
      </c>
      <c r="B203" s="162"/>
      <c r="C203" s="162"/>
      <c r="D203" s="162"/>
      <c r="E203" s="162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2" t="s">
        <v>263</v>
      </c>
      <c r="B216" s="162"/>
      <c r="C216" s="162"/>
      <c r="D216" s="162"/>
      <c r="E216" s="162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>
      <c r="A217" s="163" t="s">
        <v>249</v>
      </c>
      <c r="B217" s="163"/>
      <c r="C217" s="163"/>
      <c r="D217" s="163"/>
      <c r="E217" s="163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2" t="s">
        <v>260</v>
      </c>
      <c r="B230" s="162"/>
      <c r="C230" s="162"/>
      <c r="D230" s="162"/>
      <c r="E230" s="162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2" t="s">
        <v>263</v>
      </c>
      <c r="B243" s="162"/>
      <c r="C243" s="162"/>
      <c r="D243" s="162"/>
      <c r="E243" s="162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>
      <c r="A244" s="163" t="s">
        <v>249</v>
      </c>
      <c r="B244" s="163"/>
      <c r="C244" s="163"/>
      <c r="D244" s="163"/>
      <c r="E244" s="163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2" t="s">
        <v>260</v>
      </c>
      <c r="B257" s="162"/>
      <c r="C257" s="162"/>
      <c r="D257" s="162"/>
      <c r="E257" s="162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2" t="s">
        <v>263</v>
      </c>
      <c r="B270" s="162"/>
      <c r="C270" s="162"/>
      <c r="D270" s="162"/>
      <c r="E270" s="162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>
      <c r="A271" s="163" t="s">
        <v>249</v>
      </c>
      <c r="B271" s="163"/>
      <c r="C271" s="163"/>
      <c r="D271" s="163"/>
      <c r="E271" s="163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2" t="s">
        <v>260</v>
      </c>
      <c r="B284" s="162"/>
      <c r="C284" s="162"/>
      <c r="D284" s="162"/>
      <c r="E284" s="162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2" t="s">
        <v>263</v>
      </c>
      <c r="B297" s="162"/>
      <c r="C297" s="162"/>
      <c r="D297" s="162"/>
      <c r="E297" s="162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>
      <c r="A298" s="163" t="s">
        <v>249</v>
      </c>
      <c r="B298" s="163"/>
      <c r="C298" s="163"/>
      <c r="D298" s="163"/>
      <c r="E298" s="163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2" t="s">
        <v>260</v>
      </c>
      <c r="B311" s="162"/>
      <c r="C311" s="162"/>
      <c r="D311" s="162"/>
      <c r="E311" s="162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2" t="s">
        <v>263</v>
      </c>
      <c r="B324" s="162"/>
      <c r="C324" s="162"/>
      <c r="D324" s="162"/>
      <c r="E324" s="162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>
      <c r="A325" s="163" t="s">
        <v>249</v>
      </c>
      <c r="B325" s="163"/>
      <c r="C325" s="163"/>
      <c r="D325" s="163"/>
      <c r="E325" s="163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2" t="s">
        <v>260</v>
      </c>
      <c r="B338" s="162"/>
      <c r="C338" s="162"/>
      <c r="D338" s="162"/>
      <c r="E338" s="162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2" t="s">
        <v>263</v>
      </c>
      <c r="B351" s="162"/>
      <c r="C351" s="162"/>
      <c r="D351" s="162"/>
      <c r="E351" s="162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>
      <c r="A352" s="163" t="s">
        <v>249</v>
      </c>
      <c r="B352" s="163"/>
      <c r="C352" s="163"/>
      <c r="D352" s="163"/>
      <c r="E352" s="163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2" t="s">
        <v>260</v>
      </c>
      <c r="B365" s="162"/>
      <c r="C365" s="162"/>
      <c r="D365" s="162"/>
      <c r="E365" s="162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2" t="s">
        <v>263</v>
      </c>
      <c r="B378" s="162"/>
      <c r="C378" s="162"/>
      <c r="D378" s="162"/>
      <c r="E378" s="162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>
      <c r="A379" s="163" t="s">
        <v>249</v>
      </c>
      <c r="B379" s="163"/>
      <c r="C379" s="163"/>
      <c r="D379" s="163"/>
      <c r="E379" s="163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2" t="s">
        <v>260</v>
      </c>
      <c r="B392" s="162"/>
      <c r="C392" s="162"/>
      <c r="D392" s="162"/>
      <c r="E392" s="162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2" t="s">
        <v>263</v>
      </c>
      <c r="B405" s="162"/>
      <c r="C405" s="162"/>
      <c r="D405" s="162"/>
      <c r="E405" s="162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>
      <c r="A406" s="163" t="s">
        <v>249</v>
      </c>
      <c r="B406" s="163"/>
      <c r="C406" s="163"/>
      <c r="D406" s="163"/>
      <c r="E406" s="163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2" t="s">
        <v>260</v>
      </c>
      <c r="B419" s="162"/>
      <c r="C419" s="162"/>
      <c r="D419" s="162"/>
      <c r="E419" s="162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2" t="s">
        <v>263</v>
      </c>
      <c r="B432" s="162"/>
      <c r="C432" s="162"/>
      <c r="D432" s="162"/>
      <c r="E432" s="162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>
      <c r="A433" s="163" t="s">
        <v>249</v>
      </c>
      <c r="B433" s="163"/>
      <c r="C433" s="163"/>
      <c r="D433" s="163"/>
      <c r="E433" s="163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2" t="s">
        <v>260</v>
      </c>
      <c r="B446" s="162"/>
      <c r="C446" s="162"/>
      <c r="D446" s="162"/>
      <c r="E446" s="162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2" t="s">
        <v>263</v>
      </c>
      <c r="B459" s="162"/>
      <c r="C459" s="162"/>
      <c r="D459" s="162"/>
      <c r="E459" s="162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>
      <c r="A460" s="163" t="s">
        <v>249</v>
      </c>
      <c r="B460" s="163"/>
      <c r="C460" s="163"/>
      <c r="D460" s="163"/>
      <c r="E460" s="163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2" t="s">
        <v>260</v>
      </c>
      <c r="B473" s="162"/>
      <c r="C473" s="162"/>
      <c r="D473" s="162"/>
      <c r="E473" s="162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2" t="s">
        <v>263</v>
      </c>
      <c r="B486" s="162"/>
      <c r="C486" s="162"/>
      <c r="D486" s="162"/>
      <c r="E486" s="162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>
      <c r="A487" s="163" t="s">
        <v>249</v>
      </c>
      <c r="B487" s="163"/>
      <c r="C487" s="163"/>
      <c r="D487" s="163"/>
      <c r="E487" s="163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31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31</v>
      </c>
      <c r="E489" s="62" t="s">
        <v>259</v>
      </c>
      <c r="F489" s="63">
        <v>0</v>
      </c>
      <c r="G489" s="69">
        <f t="shared" si="103"/>
        <v>0</v>
      </c>
      <c r="H489" s="70"/>
      <c r="I489" s="70"/>
      <c r="J489" s="70"/>
      <c r="K489" s="65"/>
      <c r="L489" s="65"/>
      <c r="M489" s="71" t="str">
        <f t="shared" ca="1" si="104"/>
        <v/>
      </c>
      <c r="N489" s="80"/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31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31</v>
      </c>
      <c r="E491" s="62" t="s">
        <v>259</v>
      </c>
      <c r="F491" s="63">
        <v>30</v>
      </c>
      <c r="G491" s="69">
        <f t="shared" si="103"/>
        <v>150</v>
      </c>
      <c r="H491" s="70"/>
      <c r="I491" s="70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31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31</v>
      </c>
      <c r="E493" s="62" t="s">
        <v>259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31</v>
      </c>
      <c r="E494" s="62" t="s">
        <v>259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31</v>
      </c>
      <c r="E495" s="62" t="s">
        <v>259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31</v>
      </c>
      <c r="E496" s="62" t="s">
        <v>259</v>
      </c>
      <c r="F496" s="63"/>
      <c r="G496" s="64" t="str">
        <f t="shared" si="106"/>
        <v/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31</v>
      </c>
      <c r="E497" s="62" t="s">
        <v>259</v>
      </c>
      <c r="F497" s="63"/>
      <c r="G497" s="69" t="str">
        <f t="shared" si="106"/>
        <v/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31</v>
      </c>
      <c r="E498" s="62" t="s">
        <v>259</v>
      </c>
      <c r="F498" s="63"/>
      <c r="G498" s="64" t="str">
        <f t="shared" si="106"/>
        <v/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31</v>
      </c>
      <c r="E499" s="62" t="s">
        <v>259</v>
      </c>
      <c r="F499" s="63"/>
      <c r="G499" s="69" t="str">
        <f t="shared" si="106"/>
        <v/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2" t="s">
        <v>260</v>
      </c>
      <c r="B500" s="162"/>
      <c r="C500" s="162"/>
      <c r="D500" s="162"/>
      <c r="E500" s="162"/>
      <c r="F500" s="2">
        <f>SUM(F488:F499)</f>
        <v>175</v>
      </c>
      <c r="G500" s="2">
        <f>SUM(G488:G499)</f>
        <v>875</v>
      </c>
      <c r="H500" s="72"/>
      <c r="I500" s="72"/>
      <c r="J500" s="72"/>
      <c r="K500" s="72"/>
      <c r="L500" s="72"/>
      <c r="M500" s="73">
        <f ca="1">IFERROR(SUM(M488:M499),"")</f>
        <v>0.10555555555555568</v>
      </c>
      <c r="N500" s="2" t="s">
        <v>261</v>
      </c>
      <c r="O500" s="74"/>
    </row>
    <row r="501" spans="1:15" ht="15" customHeight="1">
      <c r="A501" s="18">
        <v>46253</v>
      </c>
      <c r="B501" s="68">
        <v>0.83333333333333304</v>
      </c>
      <c r="C501" s="70"/>
      <c r="D501" s="75"/>
      <c r="E501" s="75"/>
      <c r="F501" s="63"/>
      <c r="G501" s="69" t="str">
        <f t="shared" ref="G501:G512" si="107">IF(F501="","",IF(E501="PC 17",F501*4.2,IF(E501="PC 19",F501*5,IF(E501="CB",F501*35,""))))</f>
        <v/>
      </c>
      <c r="H501" s="70"/>
      <c r="I501" s="70"/>
      <c r="J501" s="70"/>
      <c r="K501" s="65"/>
      <c r="L501" s="65"/>
      <c r="M501" s="71" t="str">
        <f t="shared" ref="M501:M512" ca="1" si="108">IFERROR(IF(K501="","",IF(L501="",MOD(NOW()-K501,1),IF(L501&gt;=K501,L501-K501,L501+1-K501))),"")</f>
        <v/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/>
      <c r="D502" s="75"/>
      <c r="E502" s="75"/>
      <c r="F502" s="63"/>
      <c r="G502" s="64" t="str">
        <f t="shared" si="107"/>
        <v/>
      </c>
      <c r="H502" s="61"/>
      <c r="I502" s="61"/>
      <c r="J502" s="61"/>
      <c r="K502" s="65"/>
      <c r="L502" s="65"/>
      <c r="M502" s="66" t="str">
        <f t="shared" ca="1" si="108"/>
        <v/>
      </c>
      <c r="N502" s="80"/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/>
      <c r="D503" s="75"/>
      <c r="E503" s="75"/>
      <c r="F503" s="63"/>
      <c r="G503" s="69" t="str">
        <f t="shared" si="107"/>
        <v/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/>
      <c r="D504" s="75"/>
      <c r="E504" s="75"/>
      <c r="F504" s="63"/>
      <c r="G504" s="64" t="str">
        <f t="shared" si="107"/>
        <v/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/>
      <c r="D505" s="75"/>
      <c r="E505" s="75"/>
      <c r="F505" s="63"/>
      <c r="G505" s="69" t="str">
        <f t="shared" si="107"/>
        <v/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/>
      <c r="D506" s="75"/>
      <c r="E506" s="75"/>
      <c r="F506" s="63"/>
      <c r="G506" s="64" t="str">
        <f t="shared" si="107"/>
        <v/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/>
      <c r="D507" s="75"/>
      <c r="E507" s="75"/>
      <c r="F507" s="63"/>
      <c r="G507" s="69" t="str">
        <f t="shared" si="107"/>
        <v/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/>
      <c r="D508" s="75"/>
      <c r="E508" s="75"/>
      <c r="F508" s="63"/>
      <c r="G508" s="64" t="str">
        <f t="shared" si="107"/>
        <v/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/>
      <c r="D509" s="75"/>
      <c r="E509" s="75"/>
      <c r="F509" s="63"/>
      <c r="G509" s="69" t="str">
        <f t="shared" si="107"/>
        <v/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/>
      <c r="D510" s="75"/>
      <c r="E510" s="75"/>
      <c r="F510" s="63"/>
      <c r="G510" s="64" t="str">
        <f t="shared" si="107"/>
        <v/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/>
      <c r="D511" s="75"/>
      <c r="E511" s="75"/>
      <c r="F511" s="63"/>
      <c r="G511" s="69" t="str">
        <f t="shared" si="107"/>
        <v/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/>
      <c r="D512" s="75"/>
      <c r="E512" s="75"/>
      <c r="F512" s="63"/>
      <c r="G512" s="64" t="str">
        <f t="shared" si="107"/>
        <v/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2" t="s">
        <v>263</v>
      </c>
      <c r="B513" s="162"/>
      <c r="C513" s="162"/>
      <c r="D513" s="162"/>
      <c r="E513" s="162"/>
      <c r="F513" s="2">
        <f>SUM(F501:F512)</f>
        <v>0</v>
      </c>
      <c r="G513" s="2">
        <f>SUM(G501:G512)</f>
        <v>0</v>
      </c>
      <c r="H513" s="72"/>
      <c r="I513" s="72"/>
      <c r="J513" s="72"/>
      <c r="K513" s="72"/>
      <c r="L513" s="72"/>
      <c r="M513" s="73">
        <f ca="1">IFERROR(SUM(M501:M512),"")</f>
        <v>0</v>
      </c>
      <c r="N513" s="2" t="s">
        <v>261</v>
      </c>
      <c r="O513" s="74"/>
    </row>
    <row r="514" spans="1:15" ht="18" customHeight="1">
      <c r="A514" s="163" t="s">
        <v>249</v>
      </c>
      <c r="B514" s="163"/>
      <c r="C514" s="163"/>
      <c r="D514" s="163"/>
      <c r="E514" s="163"/>
      <c r="F514" s="1">
        <f>F500+F513</f>
        <v>175</v>
      </c>
      <c r="G514" s="1">
        <f>G500+G513</f>
        <v>875</v>
      </c>
      <c r="H514" s="76"/>
      <c r="I514" s="76"/>
      <c r="J514" s="76"/>
      <c r="K514" s="76"/>
      <c r="L514" s="76"/>
      <c r="M514" s="77">
        <f ca="1">IFERROR(M500+M513,"")</f>
        <v>0.10555555555555568</v>
      </c>
      <c r="N514" s="1" t="s">
        <v>264</v>
      </c>
      <c r="O514" s="82">
        <f>IFERROR(O500+O513,"")</f>
        <v>0</v>
      </c>
    </row>
    <row r="515" spans="1:15" ht="15" customHeight="1">
      <c r="A515" s="18">
        <v>46254</v>
      </c>
      <c r="B515" s="68">
        <v>0.33333333333333298</v>
      </c>
      <c r="C515" s="70"/>
      <c r="D515" s="75"/>
      <c r="E515" s="75"/>
      <c r="F515" s="63"/>
      <c r="G515" s="69" t="str">
        <f t="shared" ref="G515:G526" si="110">IF(F515="","",IF(E515="PC 17",F515*4.2,IF(E515="PC 19",F515*5,IF(E515="CB",F515*35,""))))</f>
        <v/>
      </c>
      <c r="H515" s="70"/>
      <c r="I515" s="70"/>
      <c r="J515" s="70"/>
      <c r="K515" s="65"/>
      <c r="L515" s="65"/>
      <c r="M515" s="71" t="str">
        <f t="shared" ref="M515:M526" ca="1" si="111">IFERROR(IF(K515="","",IF(L515="",MOD(NOW()-K515,1),IF(L515&gt;=K515,L515-K515,L515+1-K515))),"")</f>
        <v/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/>
      <c r="D516" s="75"/>
      <c r="E516" s="75"/>
      <c r="F516" s="63"/>
      <c r="G516" s="64" t="str">
        <f t="shared" si="110"/>
        <v/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/>
      <c r="D517" s="75"/>
      <c r="E517" s="75"/>
      <c r="F517" s="63"/>
      <c r="G517" s="69" t="str">
        <f t="shared" si="110"/>
        <v/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/>
      <c r="D518" s="75"/>
      <c r="E518" s="75"/>
      <c r="F518" s="63"/>
      <c r="G518" s="64" t="str">
        <f t="shared" si="110"/>
        <v/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/>
      <c r="D519" s="75"/>
      <c r="E519" s="75"/>
      <c r="F519" s="63"/>
      <c r="G519" s="69" t="str">
        <f t="shared" si="110"/>
        <v/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/>
      <c r="D520" s="75"/>
      <c r="E520" s="75"/>
      <c r="F520" s="63"/>
      <c r="G520" s="64" t="str">
        <f t="shared" si="110"/>
        <v/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/>
      <c r="D521" s="75"/>
      <c r="E521" s="75"/>
      <c r="F521" s="63"/>
      <c r="G521" s="69" t="str">
        <f t="shared" si="110"/>
        <v/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/>
      <c r="D522" s="75"/>
      <c r="E522" s="75"/>
      <c r="F522" s="63"/>
      <c r="G522" s="64" t="str">
        <f t="shared" si="110"/>
        <v/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/>
      <c r="D523" s="75"/>
      <c r="E523" s="75"/>
      <c r="F523" s="63"/>
      <c r="G523" s="69" t="str">
        <f t="shared" si="110"/>
        <v/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/>
      <c r="D524" s="75"/>
      <c r="E524" s="75"/>
      <c r="F524" s="63"/>
      <c r="G524" s="64" t="str">
        <f t="shared" si="110"/>
        <v/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/>
      <c r="D525" s="75"/>
      <c r="E525" s="75"/>
      <c r="F525" s="63"/>
      <c r="G525" s="69" t="str">
        <f t="shared" si="110"/>
        <v/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/>
      <c r="D526" s="75"/>
      <c r="E526" s="75"/>
      <c r="F526" s="63"/>
      <c r="G526" s="64" t="str">
        <f t="shared" si="110"/>
        <v/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2" t="s">
        <v>260</v>
      </c>
      <c r="B527" s="162"/>
      <c r="C527" s="162"/>
      <c r="D527" s="162"/>
      <c r="E527" s="162"/>
      <c r="F527" s="2">
        <f>SUM(F515:F526)</f>
        <v>0</v>
      </c>
      <c r="G527" s="2">
        <f>SUM(G515:G526)</f>
        <v>0</v>
      </c>
      <c r="H527" s="72"/>
      <c r="I527" s="72"/>
      <c r="J527" s="72"/>
      <c r="K527" s="72"/>
      <c r="L527" s="72"/>
      <c r="M527" s="73">
        <f ca="1">IFERROR(SUM(M515:M526),"")</f>
        <v>0</v>
      </c>
      <c r="N527" s="2" t="s">
        <v>261</v>
      </c>
      <c r="O527" s="74"/>
    </row>
    <row r="528" spans="1:15" ht="15" customHeight="1">
      <c r="A528" s="59">
        <v>46254</v>
      </c>
      <c r="B528" s="60">
        <v>0.83333333333333304</v>
      </c>
      <c r="C528" s="61"/>
      <c r="D528" s="62"/>
      <c r="E528" s="62"/>
      <c r="F528" s="63"/>
      <c r="G528" s="64" t="str">
        <f t="shared" ref="G528:G539" si="113">IF(F528="","",IF(E528="PC 17",F528*4.2,IF(E528="PC 19",F528*5,IF(E528="CB",F528*35,""))))</f>
        <v/>
      </c>
      <c r="H528" s="61"/>
      <c r="I528" s="61"/>
      <c r="J528" s="61"/>
      <c r="K528" s="65"/>
      <c r="L528" s="65"/>
      <c r="M528" s="66"/>
      <c r="N528" s="80"/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/>
      <c r="D529" s="62"/>
      <c r="E529" s="62"/>
      <c r="F529" s="63"/>
      <c r="G529" s="69" t="str">
        <f t="shared" si="113"/>
        <v/>
      </c>
      <c r="H529" s="70"/>
      <c r="I529" s="70"/>
      <c r="J529" s="70"/>
      <c r="K529" s="65"/>
      <c r="L529" s="65"/>
      <c r="M529" s="71" t="str">
        <f t="shared" ref="M529:M539" ca="1" si="115">IFERROR(IF(K529="","",IF(L529="",MOD(NOW()-K529,1),IF(L529&gt;=K529,L529-K529,L529+1-K529))),"")</f>
        <v/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/>
      <c r="D530" s="62"/>
      <c r="E530" s="62"/>
      <c r="F530" s="63"/>
      <c r="G530" s="64" t="str">
        <f t="shared" si="113"/>
        <v/>
      </c>
      <c r="H530" s="61"/>
      <c r="I530" s="61"/>
      <c r="J530" s="61"/>
      <c r="K530" s="65"/>
      <c r="L530" s="65"/>
      <c r="M530" s="66" t="str">
        <f t="shared" ca="1" si="115"/>
        <v/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/>
      <c r="D531" s="62"/>
      <c r="E531" s="62"/>
      <c r="F531" s="63"/>
      <c r="G531" s="69" t="str">
        <f t="shared" si="113"/>
        <v/>
      </c>
      <c r="H531" s="70"/>
      <c r="I531" s="70"/>
      <c r="J531" s="70"/>
      <c r="K531" s="65"/>
      <c r="L531" s="65"/>
      <c r="M531" s="71" t="str">
        <f t="shared" ca="1" si="115"/>
        <v/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/>
      <c r="D532" s="62"/>
      <c r="E532" s="62"/>
      <c r="F532" s="63"/>
      <c r="G532" s="64" t="str">
        <f t="shared" si="113"/>
        <v/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/>
      <c r="D533" s="62"/>
      <c r="E533" s="62"/>
      <c r="F533" s="63"/>
      <c r="G533" s="69" t="str">
        <f t="shared" si="113"/>
        <v/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/>
      <c r="D534" s="62"/>
      <c r="E534" s="62"/>
      <c r="F534" s="63"/>
      <c r="G534" s="64" t="str">
        <f t="shared" si="113"/>
        <v/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/>
      <c r="D535" s="62"/>
      <c r="E535" s="62"/>
      <c r="F535" s="63"/>
      <c r="G535" s="69" t="str">
        <f t="shared" si="113"/>
        <v/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/>
      <c r="D536" s="62"/>
      <c r="E536" s="62"/>
      <c r="F536" s="63"/>
      <c r="G536" s="64" t="str">
        <f t="shared" si="113"/>
        <v/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/>
      <c r="D537" s="62"/>
      <c r="E537" s="62"/>
      <c r="F537" s="63"/>
      <c r="G537" s="69" t="str">
        <f t="shared" si="113"/>
        <v/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/>
      <c r="D538" s="62"/>
      <c r="E538" s="62"/>
      <c r="F538" s="63"/>
      <c r="G538" s="64" t="str">
        <f t="shared" si="113"/>
        <v/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/>
      <c r="D539" s="62"/>
      <c r="E539" s="62"/>
      <c r="F539" s="63"/>
      <c r="G539" s="69" t="str">
        <f t="shared" si="113"/>
        <v/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2" t="s">
        <v>263</v>
      </c>
      <c r="B540" s="162"/>
      <c r="C540" s="162"/>
      <c r="D540" s="162"/>
      <c r="E540" s="162"/>
      <c r="F540" s="2">
        <f>SUM(F528:F539)</f>
        <v>0</v>
      </c>
      <c r="G540" s="2">
        <f>SUM(G528:G539)</f>
        <v>0</v>
      </c>
      <c r="H540" s="72"/>
      <c r="I540" s="72"/>
      <c r="J540" s="72"/>
      <c r="K540" s="72"/>
      <c r="L540" s="72"/>
      <c r="M540" s="73">
        <f ca="1">IFERROR(SUM(M528:M539),"")</f>
        <v>0</v>
      </c>
      <c r="N540" s="2" t="s">
        <v>261</v>
      </c>
      <c r="O540" s="74"/>
    </row>
    <row r="541" spans="1:15" ht="18" customHeight="1">
      <c r="A541" s="163" t="s">
        <v>249</v>
      </c>
      <c r="B541" s="163"/>
      <c r="C541" s="163"/>
      <c r="D541" s="163"/>
      <c r="E541" s="163"/>
      <c r="F541" s="1">
        <f>F527+F540</f>
        <v>0</v>
      </c>
      <c r="G541" s="1">
        <f>G527+G540</f>
        <v>0</v>
      </c>
      <c r="H541" s="76"/>
      <c r="I541" s="76"/>
      <c r="J541" s="76"/>
      <c r="K541" s="76"/>
      <c r="L541" s="76"/>
      <c r="M541" s="77">
        <f ca="1">IFERROR(M527+M540,"")</f>
        <v>0</v>
      </c>
      <c r="N541" s="1" t="s">
        <v>264</v>
      </c>
      <c r="O541" s="82">
        <f>IFERROR(O527+O540,"")</f>
        <v>0</v>
      </c>
    </row>
    <row r="542" spans="1:15" ht="15" customHeight="1">
      <c r="A542" s="59">
        <v>46255</v>
      </c>
      <c r="B542" s="60">
        <v>0.33333333333333298</v>
      </c>
      <c r="C542" s="61"/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/>
      <c r="I542" s="61"/>
      <c r="J542" s="61"/>
      <c r="K542" s="65"/>
      <c r="L542" s="65"/>
      <c r="M542" s="66" t="str">
        <f t="shared" ref="M542:M553" ca="1" si="117">IFERROR(IF(K542="","",IF(L542="",MOD(NOW()-K542,1),IF(L542&gt;=K542,L542-K542,L542+1-K542))),"")</f>
        <v/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/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/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/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/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/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/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/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/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/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/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/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2" t="s">
        <v>260</v>
      </c>
      <c r="B554" s="162"/>
      <c r="C554" s="162"/>
      <c r="D554" s="162"/>
      <c r="E554" s="162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</v>
      </c>
      <c r="N554" s="2" t="s">
        <v>261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2" t="s">
        <v>263</v>
      </c>
      <c r="B567" s="162"/>
      <c r="C567" s="162"/>
      <c r="D567" s="162"/>
      <c r="E567" s="162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>
      <c r="A568" s="163" t="s">
        <v>249</v>
      </c>
      <c r="B568" s="163"/>
      <c r="C568" s="163"/>
      <c r="D568" s="163"/>
      <c r="E568" s="163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</v>
      </c>
      <c r="N568" s="1" t="s">
        <v>264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2" t="s">
        <v>260</v>
      </c>
      <c r="B581" s="162"/>
      <c r="C581" s="162"/>
      <c r="D581" s="162"/>
      <c r="E581" s="162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2" t="s">
        <v>263</v>
      </c>
      <c r="B594" s="162"/>
      <c r="C594" s="162"/>
      <c r="D594" s="162"/>
      <c r="E594" s="162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>
      <c r="A595" s="163" t="s">
        <v>249</v>
      </c>
      <c r="B595" s="163"/>
      <c r="C595" s="163"/>
      <c r="D595" s="163"/>
      <c r="E595" s="163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2" t="s">
        <v>260</v>
      </c>
      <c r="B608" s="162"/>
      <c r="C608" s="162"/>
      <c r="D608" s="162"/>
      <c r="E608" s="162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2" t="s">
        <v>263</v>
      </c>
      <c r="B621" s="162"/>
      <c r="C621" s="162"/>
      <c r="D621" s="162"/>
      <c r="E621" s="162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>
      <c r="A622" s="163" t="s">
        <v>249</v>
      </c>
      <c r="B622" s="163"/>
      <c r="C622" s="163"/>
      <c r="D622" s="163"/>
      <c r="E622" s="163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2" t="s">
        <v>260</v>
      </c>
      <c r="B635" s="162"/>
      <c r="C635" s="162"/>
      <c r="D635" s="162"/>
      <c r="E635" s="162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2" t="s">
        <v>263</v>
      </c>
      <c r="B648" s="162"/>
      <c r="C648" s="162"/>
      <c r="D648" s="162"/>
      <c r="E648" s="162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>
      <c r="A649" s="163" t="s">
        <v>249</v>
      </c>
      <c r="B649" s="163"/>
      <c r="C649" s="163"/>
      <c r="D649" s="163"/>
      <c r="E649" s="163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2" t="s">
        <v>260</v>
      </c>
      <c r="B662" s="162"/>
      <c r="C662" s="162"/>
      <c r="D662" s="162"/>
      <c r="E662" s="162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2" t="s">
        <v>263</v>
      </c>
      <c r="B675" s="162"/>
      <c r="C675" s="162"/>
      <c r="D675" s="162"/>
      <c r="E675" s="162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>
      <c r="A676" s="163" t="s">
        <v>249</v>
      </c>
      <c r="B676" s="163"/>
      <c r="C676" s="163"/>
      <c r="D676" s="163"/>
      <c r="E676" s="163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2" t="s">
        <v>260</v>
      </c>
      <c r="B689" s="162"/>
      <c r="C689" s="162"/>
      <c r="D689" s="162"/>
      <c r="E689" s="162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2" t="s">
        <v>263</v>
      </c>
      <c r="B702" s="162"/>
      <c r="C702" s="162"/>
      <c r="D702" s="162"/>
      <c r="E702" s="162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>
      <c r="A703" s="163" t="s">
        <v>249</v>
      </c>
      <c r="B703" s="163"/>
      <c r="C703" s="163"/>
      <c r="D703" s="163"/>
      <c r="E703" s="163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2" t="s">
        <v>260</v>
      </c>
      <c r="B716" s="162"/>
      <c r="C716" s="162"/>
      <c r="D716" s="162"/>
      <c r="E716" s="162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2" t="s">
        <v>263</v>
      </c>
      <c r="B729" s="162"/>
      <c r="C729" s="162"/>
      <c r="D729" s="162"/>
      <c r="E729" s="162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>
      <c r="A730" s="163" t="s">
        <v>249</v>
      </c>
      <c r="B730" s="163"/>
      <c r="C730" s="163"/>
      <c r="D730" s="163"/>
      <c r="E730" s="163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2" t="s">
        <v>260</v>
      </c>
      <c r="B743" s="162"/>
      <c r="C743" s="162"/>
      <c r="D743" s="162"/>
      <c r="E743" s="162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2" t="s">
        <v>263</v>
      </c>
      <c r="B756" s="162"/>
      <c r="C756" s="162"/>
      <c r="D756" s="162"/>
      <c r="E756" s="162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>
      <c r="A757" s="163" t="s">
        <v>249</v>
      </c>
      <c r="B757" s="163"/>
      <c r="C757" s="163"/>
      <c r="D757" s="163"/>
      <c r="E757" s="163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2" t="s">
        <v>260</v>
      </c>
      <c r="B770" s="162"/>
      <c r="C770" s="162"/>
      <c r="D770" s="162"/>
      <c r="E770" s="162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2" t="s">
        <v>263</v>
      </c>
      <c r="B783" s="162"/>
      <c r="C783" s="162"/>
      <c r="D783" s="162"/>
      <c r="E783" s="162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>
      <c r="A784" s="163" t="s">
        <v>249</v>
      </c>
      <c r="B784" s="163"/>
      <c r="C784" s="163"/>
      <c r="D784" s="163"/>
      <c r="E784" s="163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2" t="s">
        <v>260</v>
      </c>
      <c r="B797" s="162"/>
      <c r="C797" s="162"/>
      <c r="D797" s="162"/>
      <c r="E797" s="162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2" t="s">
        <v>263</v>
      </c>
      <c r="B810" s="162"/>
      <c r="C810" s="162"/>
      <c r="D810" s="162"/>
      <c r="E810" s="162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>
      <c r="A811" s="163" t="s">
        <v>249</v>
      </c>
      <c r="B811" s="163"/>
      <c r="C811" s="163"/>
      <c r="D811" s="163"/>
      <c r="E811" s="163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2" t="s">
        <v>260</v>
      </c>
      <c r="B824" s="162"/>
      <c r="C824" s="162"/>
      <c r="D824" s="162"/>
      <c r="E824" s="162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2" t="s">
        <v>263</v>
      </c>
      <c r="B837" s="162"/>
      <c r="C837" s="162"/>
      <c r="D837" s="162"/>
      <c r="E837" s="162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>
      <c r="A838" s="163" t="s">
        <v>249</v>
      </c>
      <c r="B838" s="163"/>
      <c r="C838" s="163"/>
      <c r="D838" s="163"/>
      <c r="E838" s="163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H492:H900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I492:I900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tabSelected="1" zoomScale="80" zoomScaleNormal="80" workbookViewId="0">
      <pane ySplit="1" topLeftCell="A468" activePane="bottomLeft" state="frozen"/>
      <selection pane="bottomLeft" activeCell="N491" sqref="N491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293</v>
      </c>
      <c r="I1" s="86" t="s">
        <v>22</v>
      </c>
      <c r="J1" s="86" t="s">
        <v>294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294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295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296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297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4" t="s">
        <v>260</v>
      </c>
      <c r="B14" s="154"/>
      <c r="C14" s="154"/>
      <c r="D14" s="154"/>
      <c r="E14" s="154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298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299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4" t="s">
        <v>263</v>
      </c>
      <c r="B27" s="154"/>
      <c r="C27" s="154"/>
      <c r="D27" s="154"/>
      <c r="E27" s="154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>
      <c r="A28" s="153" t="s">
        <v>249</v>
      </c>
      <c r="B28" s="153"/>
      <c r="C28" s="153"/>
      <c r="D28" s="153"/>
      <c r="E28" s="153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4" t="s">
        <v>260</v>
      </c>
      <c r="B41" s="154"/>
      <c r="C41" s="154"/>
      <c r="D41" s="154"/>
      <c r="E41" s="154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300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301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302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0.54627986110426718</v>
      </c>
      <c r="R53" s="80" t="s">
        <v>303</v>
      </c>
      <c r="S53" s="67"/>
    </row>
    <row r="54" spans="1:20" ht="15.75" customHeight="1">
      <c r="A54" s="154" t="s">
        <v>263</v>
      </c>
      <c r="B54" s="154"/>
      <c r="C54" s="154"/>
      <c r="D54" s="154"/>
      <c r="E54" s="154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0.68516874999315491</v>
      </c>
      <c r="R54" s="2" t="s">
        <v>261</v>
      </c>
      <c r="S54" s="113">
        <v>352430</v>
      </c>
      <c r="T54" s="114"/>
    </row>
    <row r="55" spans="1:20" ht="18" customHeight="1">
      <c r="A55" s="153" t="s">
        <v>249</v>
      </c>
      <c r="B55" s="153"/>
      <c r="C55" s="153"/>
      <c r="D55" s="153"/>
      <c r="E55" s="153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0.76989097221537772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295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4" t="s">
        <v>260</v>
      </c>
      <c r="B68" s="154"/>
      <c r="C68" s="154"/>
      <c r="D68" s="154"/>
      <c r="E68" s="154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304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4" t="s">
        <v>263</v>
      </c>
      <c r="B81" s="154"/>
      <c r="C81" s="154"/>
      <c r="D81" s="154"/>
      <c r="E81" s="154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>
      <c r="A82" s="153" t="s">
        <v>249</v>
      </c>
      <c r="B82" s="153"/>
      <c r="C82" s="153"/>
      <c r="D82" s="153"/>
      <c r="E82" s="153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4" t="s">
        <v>260</v>
      </c>
      <c r="B95" s="154"/>
      <c r="C95" s="154"/>
      <c r="D95" s="154"/>
      <c r="E95" s="154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305</v>
      </c>
      <c r="Q96" s="66" t="str">
        <f t="shared" ref="Q96:Q107" ca="1" si="22">IFERROR(IF(O96="","",IF(P96="",MOD(NOW()-O96,1),IF(P96&gt;=O96,P96-O96,P96+1-O96))),"")</f>
        <v/>
      </c>
      <c r="R96" s="80" t="s">
        <v>306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307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308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4" t="s">
        <v>263</v>
      </c>
      <c r="B108" s="154"/>
      <c r="C108" s="154"/>
      <c r="D108" s="154"/>
      <c r="E108" s="154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>
      <c r="A109" s="153" t="s">
        <v>249</v>
      </c>
      <c r="B109" s="153"/>
      <c r="C109" s="153"/>
      <c r="D109" s="153"/>
      <c r="E109" s="153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309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4" t="s">
        <v>260</v>
      </c>
      <c r="B122" s="154"/>
      <c r="C122" s="154"/>
      <c r="D122" s="154"/>
      <c r="E122" s="154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4" t="s">
        <v>263</v>
      </c>
      <c r="B135" s="154"/>
      <c r="C135" s="154"/>
      <c r="D135" s="154"/>
      <c r="E135" s="154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>
      <c r="A136" s="153" t="s">
        <v>249</v>
      </c>
      <c r="B136" s="153"/>
      <c r="C136" s="153"/>
      <c r="D136" s="153"/>
      <c r="E136" s="153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310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311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312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4" t="s">
        <v>260</v>
      </c>
      <c r="B149" s="154"/>
      <c r="C149" s="154"/>
      <c r="D149" s="154"/>
      <c r="E149" s="154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313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4" t="s">
        <v>263</v>
      </c>
      <c r="B162" s="154"/>
      <c r="C162" s="154"/>
      <c r="D162" s="154"/>
      <c r="E162" s="154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>
      <c r="A163" s="153" t="s">
        <v>249</v>
      </c>
      <c r="B163" s="153"/>
      <c r="C163" s="153"/>
      <c r="D163" s="153"/>
      <c r="E163" s="153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4" t="s">
        <v>260</v>
      </c>
      <c r="B176" s="154"/>
      <c r="C176" s="154"/>
      <c r="D176" s="154"/>
      <c r="E176" s="154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314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311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315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4" t="s">
        <v>263</v>
      </c>
      <c r="B189" s="154"/>
      <c r="C189" s="154"/>
      <c r="D189" s="154"/>
      <c r="E189" s="154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>
      <c r="A190" s="153" t="s">
        <v>249</v>
      </c>
      <c r="B190" s="153"/>
      <c r="C190" s="153"/>
      <c r="D190" s="153"/>
      <c r="E190" s="153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316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309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4" t="s">
        <v>260</v>
      </c>
      <c r="B203" s="154"/>
      <c r="C203" s="154"/>
      <c r="D203" s="154"/>
      <c r="E203" s="154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4" t="s">
        <v>263</v>
      </c>
      <c r="B216" s="154"/>
      <c r="C216" s="154"/>
      <c r="D216" s="154"/>
      <c r="E216" s="154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>
      <c r="A217" s="153" t="s">
        <v>249</v>
      </c>
      <c r="B217" s="153"/>
      <c r="C217" s="153"/>
      <c r="D217" s="153"/>
      <c r="E217" s="153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304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317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318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319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4" t="s">
        <v>260</v>
      </c>
      <c r="B230" s="154"/>
      <c r="C230" s="154"/>
      <c r="D230" s="154"/>
      <c r="E230" s="154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4" t="s">
        <v>263</v>
      </c>
      <c r="B243" s="154"/>
      <c r="C243" s="154"/>
      <c r="D243" s="154"/>
      <c r="E243" s="154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>
      <c r="A244" s="153" t="s">
        <v>249</v>
      </c>
      <c r="B244" s="153"/>
      <c r="C244" s="153"/>
      <c r="D244" s="153"/>
      <c r="E244" s="153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4" t="s">
        <v>260</v>
      </c>
      <c r="B257" s="154"/>
      <c r="C257" s="154"/>
      <c r="D257" s="154"/>
      <c r="E257" s="154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4" t="s">
        <v>263</v>
      </c>
      <c r="B270" s="154"/>
      <c r="C270" s="154"/>
      <c r="D270" s="154"/>
      <c r="E270" s="154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>
      <c r="A271" s="153" t="s">
        <v>249</v>
      </c>
      <c r="B271" s="153"/>
      <c r="C271" s="153"/>
      <c r="D271" s="153"/>
      <c r="E271" s="153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4" t="s">
        <v>260</v>
      </c>
      <c r="B284" s="154"/>
      <c r="C284" s="154"/>
      <c r="D284" s="154"/>
      <c r="E284" s="154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4" t="s">
        <v>263</v>
      </c>
      <c r="B297" s="154"/>
      <c r="C297" s="154"/>
      <c r="D297" s="154"/>
      <c r="E297" s="154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>
      <c r="A298" s="153" t="s">
        <v>249</v>
      </c>
      <c r="B298" s="153"/>
      <c r="C298" s="153"/>
      <c r="D298" s="153"/>
      <c r="E298" s="153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4" t="s">
        <v>260</v>
      </c>
      <c r="B311" s="154"/>
      <c r="C311" s="154"/>
      <c r="D311" s="154"/>
      <c r="E311" s="154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4" t="s">
        <v>263</v>
      </c>
      <c r="B324" s="154"/>
      <c r="C324" s="154"/>
      <c r="D324" s="154"/>
      <c r="E324" s="154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>
      <c r="A325" s="153" t="s">
        <v>249</v>
      </c>
      <c r="B325" s="153"/>
      <c r="C325" s="153"/>
      <c r="D325" s="153"/>
      <c r="E325" s="153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320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321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322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323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324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4" t="s">
        <v>260</v>
      </c>
      <c r="B338" s="154"/>
      <c r="C338" s="154"/>
      <c r="D338" s="154"/>
      <c r="E338" s="154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316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311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4" t="s">
        <v>263</v>
      </c>
      <c r="B351" s="154"/>
      <c r="C351" s="154"/>
      <c r="D351" s="154"/>
      <c r="E351" s="154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>
      <c r="A352" s="153" t="s">
        <v>249</v>
      </c>
      <c r="B352" s="153"/>
      <c r="C352" s="153"/>
      <c r="D352" s="153"/>
      <c r="E352" s="153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304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4" t="s">
        <v>260</v>
      </c>
      <c r="B365" s="154"/>
      <c r="C365" s="154"/>
      <c r="D365" s="154"/>
      <c r="E365" s="154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325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4" t="s">
        <v>263</v>
      </c>
      <c r="B378" s="154"/>
      <c r="C378" s="154"/>
      <c r="D378" s="154"/>
      <c r="E378" s="154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>
      <c r="A379" s="153" t="s">
        <v>249</v>
      </c>
      <c r="B379" s="153"/>
      <c r="C379" s="153"/>
      <c r="D379" s="153"/>
      <c r="E379" s="153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326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4" t="s">
        <v>260</v>
      </c>
      <c r="B392" s="154"/>
      <c r="C392" s="154"/>
      <c r="D392" s="154"/>
      <c r="E392" s="154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327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4" t="s">
        <v>263</v>
      </c>
      <c r="B405" s="154"/>
      <c r="C405" s="154"/>
      <c r="D405" s="154"/>
      <c r="E405" s="154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>
      <c r="A406" s="153" t="s">
        <v>249</v>
      </c>
      <c r="B406" s="153"/>
      <c r="C406" s="153"/>
      <c r="D406" s="153"/>
      <c r="E406" s="153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4" t="s">
        <v>260</v>
      </c>
      <c r="B419" s="154"/>
      <c r="C419" s="154"/>
      <c r="D419" s="154"/>
      <c r="E419" s="154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328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329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330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4" t="s">
        <v>260</v>
      </c>
      <c r="B446" s="154"/>
      <c r="C446" s="154"/>
      <c r="D446" s="154"/>
      <c r="E446" s="154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331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332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4" t="s">
        <v>263</v>
      </c>
      <c r="B459" s="154"/>
      <c r="C459" s="154"/>
      <c r="D459" s="154"/>
      <c r="E459" s="154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>
      <c r="A460" s="153" t="s">
        <v>249</v>
      </c>
      <c r="B460" s="153"/>
      <c r="C460" s="153"/>
      <c r="D460" s="153"/>
      <c r="E460" s="153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333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4" t="s">
        <v>260</v>
      </c>
      <c r="B473" s="154"/>
      <c r="C473" s="154"/>
      <c r="D473" s="154"/>
      <c r="E473" s="154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334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335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4" t="s">
        <v>263</v>
      </c>
      <c r="B486" s="154"/>
      <c r="C486" s="154"/>
      <c r="D486" s="154"/>
      <c r="E486" s="154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>
      <c r="A487" s="153" t="s">
        <v>249</v>
      </c>
      <c r="B487" s="153"/>
      <c r="C487" s="153"/>
      <c r="D487" s="153"/>
      <c r="E487" s="153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0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0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311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0</v>
      </c>
      <c r="I489" s="90">
        <f>IFERROR(IF($D489="","",VLOOKUP($D489,Cadastro!$C$4:$G$7,5,FALSE())),"")</f>
        <v>0.6</v>
      </c>
      <c r="J489" s="91">
        <f t="shared" si="122"/>
        <v>0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0</v>
      </c>
      <c r="I490" s="90">
        <f>IFERROR(IF($D490="","",VLOOKUP($D490,Cadastro!$C$4:$G$7,5,FALSE())),"")</f>
        <v>0.6</v>
      </c>
      <c r="J490" s="91">
        <f t="shared" si="122"/>
        <v>0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0</v>
      </c>
      <c r="I491" s="90">
        <f>IFERROR(IF($D491="","",VLOOKUP($D491,Cadastro!$C$4:$G$7,5,FALSE())),"")</f>
        <v>0.6</v>
      </c>
      <c r="J491" s="91">
        <f t="shared" si="122"/>
        <v>0</v>
      </c>
      <c r="K491" s="69">
        <f t="shared" si="123"/>
        <v>16.8</v>
      </c>
      <c r="L491" s="70" t="s">
        <v>29</v>
      </c>
      <c r="M491" s="70"/>
      <c r="N491" s="70" t="s">
        <v>83</v>
      </c>
      <c r="O491" s="65"/>
      <c r="P491" s="65"/>
      <c r="Q491" s="71" t="str">
        <f t="shared" ca="1" si="124"/>
        <v/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0</v>
      </c>
      <c r="I492" s="90">
        <f>IFERROR(IF($D492="","",VLOOKUP($D492,Cadastro!$C$4:$G$7,5,FALSE())),"")</f>
        <v>0.6</v>
      </c>
      <c r="J492" s="91">
        <f t="shared" si="122"/>
        <v>0</v>
      </c>
      <c r="K492" s="64">
        <f t="shared" si="123"/>
        <v>55</v>
      </c>
      <c r="L492" s="61"/>
      <c r="M492" s="61"/>
      <c r="N492" s="61"/>
      <c r="O492" s="65"/>
      <c r="P492" s="65"/>
      <c r="Q492" s="66" t="str">
        <f t="shared" ca="1" si="124"/>
        <v/>
      </c>
      <c r="R492" s="80"/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0</v>
      </c>
      <c r="I493" s="90">
        <f>IFERROR(IF($D493="","",VLOOKUP($D493,Cadastro!$C$4:$G$7,5,FALSE())),"")</f>
        <v>0.6</v>
      </c>
      <c r="J493" s="91">
        <f t="shared" si="122"/>
        <v>0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0</v>
      </c>
      <c r="I494" s="90">
        <f>IFERROR(IF($D494="","",VLOOKUP($D494,Cadastro!$C$4:$G$7,5,FALSE())),"")</f>
        <v>0.6</v>
      </c>
      <c r="J494" s="91">
        <f t="shared" si="122"/>
        <v>0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0</v>
      </c>
      <c r="I495" s="90">
        <f>IFERROR(IF($D495="","",VLOOKUP($D495,Cadastro!$C$4:$G$7,5,FALSE())),"")</f>
        <v>0.6</v>
      </c>
      <c r="J495" s="91">
        <f t="shared" si="122"/>
        <v>0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0</v>
      </c>
      <c r="I496" s="90">
        <f>IFERROR(IF($D496="","",VLOOKUP($D496,Cadastro!$C$4:$G$7,5,FALSE())),"")</f>
        <v>0.6</v>
      </c>
      <c r="J496" s="91">
        <f t="shared" si="122"/>
        <v>0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/>
      <c r="H497" s="88" t="str">
        <f>IFERROR(IF($G497="","",$G497*$S$500/$G$500/Cadastro!$E$33),"")</f>
        <v/>
      </c>
      <c r="I497" s="90">
        <f>IFERROR(IF($D497="","",VLOOKUP($D497,Cadastro!$C$4:$G$7,5,FALSE())),"")</f>
        <v>0.6</v>
      </c>
      <c r="J497" s="91" t="str">
        <f t="shared" si="122"/>
        <v/>
      </c>
      <c r="K497" s="69" t="str">
        <f t="shared" si="123"/>
        <v/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/>
      <c r="H498" s="88" t="str">
        <f>IFERROR(IF($G498="","",$G498*$S$500/$G$500/Cadastro!$E$33),"")</f>
        <v/>
      </c>
      <c r="I498" s="90">
        <f>IFERROR(IF($D498="","",VLOOKUP($D498,Cadastro!$C$4:$G$7,5,FALSE())),"")</f>
        <v>0.6</v>
      </c>
      <c r="J498" s="91" t="str">
        <f t="shared" si="122"/>
        <v/>
      </c>
      <c r="K498" s="64" t="str">
        <f t="shared" si="123"/>
        <v/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/>
      <c r="H499" s="92" t="str">
        <f>IFERROR(IF($G499="","",$G499*$S$500/$G$500/Cadastro!$E$33),"")</f>
        <v/>
      </c>
      <c r="I499" s="93">
        <f>IFERROR(IF($D499="","",VLOOKUP($D499,Cadastro!$C$4:$G$7,5,FALSE())),"")</f>
        <v>0.6</v>
      </c>
      <c r="J499" s="94" t="str">
        <f t="shared" si="122"/>
        <v/>
      </c>
      <c r="K499" s="69" t="str">
        <f t="shared" si="123"/>
        <v/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4" t="s">
        <v>260</v>
      </c>
      <c r="B500" s="154"/>
      <c r="C500" s="154"/>
      <c r="D500" s="154"/>
      <c r="E500" s="154"/>
      <c r="F500" s="95"/>
      <c r="G500" s="96">
        <f>SUM(G488:G499)</f>
        <v>110</v>
      </c>
      <c r="H500" s="95">
        <f>IFERROR(SUM(H488:H499),"")</f>
        <v>0</v>
      </c>
      <c r="I500" s="97"/>
      <c r="J500" s="98">
        <f>IFERROR(SUM(J488:J499),"")</f>
        <v>0</v>
      </c>
      <c r="K500" s="83">
        <f>SUM(K488:K499)</f>
        <v>470.80000000000007</v>
      </c>
      <c r="L500" s="72"/>
      <c r="M500" s="72"/>
      <c r="N500" s="72"/>
      <c r="O500" s="72"/>
      <c r="P500" s="72"/>
      <c r="Q500" s="73">
        <f ca="1">IFERROR(SUM(Q488:Q499),"")</f>
        <v>5.763888888888874E-2</v>
      </c>
      <c r="R500" s="2" t="s">
        <v>261</v>
      </c>
      <c r="S500" s="74"/>
      <c r="T500" s="99">
        <f>IFERROR(J500,"")</f>
        <v>0</v>
      </c>
    </row>
    <row r="501" spans="1:20" ht="15" customHeight="1">
      <c r="A501" s="18">
        <v>46253</v>
      </c>
      <c r="B501" s="68">
        <v>0.83333333333333304</v>
      </c>
      <c r="C501" s="70"/>
      <c r="D501" s="75"/>
      <c r="E501" s="100"/>
      <c r="F501" s="101" t="str">
        <f>IFERROR(IF($D501="","",VLOOKUP($D501,Cadastro!$C$4:$E$7,3,FALSE())),"")</f>
        <v/>
      </c>
      <c r="G501" s="89"/>
      <c r="H501" s="101" t="str">
        <f>IFERROR(IF($G501="","",$G501*$S$513/$G$513/Cadastro!$E$33),"")</f>
        <v/>
      </c>
      <c r="I501" s="102" t="str">
        <f>IFERROR(IF($D501="","",VLOOKUP($D501,Cadastro!$C$4:$G$7,5,FALSE())),"")</f>
        <v/>
      </c>
      <c r="J501" s="103" t="str">
        <f t="shared" ref="J501:J512" si="126">IFERROR(IF($H501="","",$H501*$F501*$I501),"")</f>
        <v/>
      </c>
      <c r="K501" s="69" t="str">
        <f t="shared" ref="K501:K512" si="127">IF(G501="","",IF(E501="PC 17",G501*4.2,IF(E501="PC 19",G501*5,IF(E501="CB",G501*24,""))))</f>
        <v/>
      </c>
      <c r="L501" s="70"/>
      <c r="M501" s="70"/>
      <c r="N501" s="70"/>
      <c r="O501" s="65"/>
      <c r="P501" s="65"/>
      <c r="Q501" s="71" t="str">
        <f t="shared" ref="Q501:Q512" ca="1" si="128">IFERROR(IF(O501="","",IF(P501="",MOD(NOW()-O501,1),IF(P501&gt;=O501,P501-O501,P501+1-O501))),"")</f>
        <v/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/>
      <c r="D502" s="75"/>
      <c r="E502" s="100"/>
      <c r="F502" s="88" t="str">
        <f>IFERROR(IF($D502="","",VLOOKUP($D502,Cadastro!$C$4:$E$7,3,FALSE())),"")</f>
        <v/>
      </c>
      <c r="G502" s="89"/>
      <c r="H502" s="88" t="str">
        <f>IFERROR(IF($G502="","",$G502*$S$513/$G$513/Cadastro!$E$33),"")</f>
        <v/>
      </c>
      <c r="I502" s="90" t="str">
        <f>IFERROR(IF($D502="","",VLOOKUP($D502,Cadastro!$C$4:$G$7,5,FALSE())),"")</f>
        <v/>
      </c>
      <c r="J502" s="91" t="str">
        <f t="shared" si="126"/>
        <v/>
      </c>
      <c r="K502" s="64" t="str">
        <f t="shared" si="127"/>
        <v/>
      </c>
      <c r="L502" s="61"/>
      <c r="M502" s="61"/>
      <c r="N502" s="61"/>
      <c r="O502" s="65"/>
      <c r="P502" s="65"/>
      <c r="Q502" s="66" t="str">
        <f t="shared" ca="1" si="128"/>
        <v/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/>
      <c r="D503" s="75"/>
      <c r="E503" s="100"/>
      <c r="F503" s="88" t="str">
        <f>IFERROR(IF($D503="","",VLOOKUP($D503,Cadastro!$C$4:$E$7,3,FALSE())),"")</f>
        <v/>
      </c>
      <c r="G503" s="89"/>
      <c r="H503" s="88" t="str">
        <f>IFERROR(IF($G503="","",$G503*$S$513/$G$513/Cadastro!$E$33),"")</f>
        <v/>
      </c>
      <c r="I503" s="90" t="str">
        <f>IFERROR(IF($D503="","",VLOOKUP($D503,Cadastro!$C$4:$G$7,5,FALSE())),"")</f>
        <v/>
      </c>
      <c r="J503" s="91" t="str">
        <f t="shared" si="126"/>
        <v/>
      </c>
      <c r="K503" s="69" t="str">
        <f t="shared" si="127"/>
        <v/>
      </c>
      <c r="L503" s="70"/>
      <c r="M503" s="70"/>
      <c r="N503" s="70"/>
      <c r="O503" s="65"/>
      <c r="P503" s="65"/>
      <c r="Q503" s="71" t="str">
        <f t="shared" ca="1" si="128"/>
        <v/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/>
      <c r="D504" s="75"/>
      <c r="E504" s="100"/>
      <c r="F504" s="88" t="str">
        <f>IFERROR(IF($D504="","",VLOOKUP($D504,Cadastro!$C$4:$E$7,3,FALSE())),"")</f>
        <v/>
      </c>
      <c r="G504" s="89"/>
      <c r="H504" s="88" t="str">
        <f>IFERROR(IF($G504="","",$G504*$S$513/$G$513/Cadastro!$E$33),"")</f>
        <v/>
      </c>
      <c r="I504" s="90" t="str">
        <f>IFERROR(IF($D504="","",VLOOKUP($D504,Cadastro!$C$4:$G$7,5,FALSE())),"")</f>
        <v/>
      </c>
      <c r="J504" s="91" t="str">
        <f t="shared" si="126"/>
        <v/>
      </c>
      <c r="K504" s="64" t="str">
        <f t="shared" si="127"/>
        <v/>
      </c>
      <c r="L504" s="61"/>
      <c r="M504" s="61"/>
      <c r="N504" s="61"/>
      <c r="O504" s="65"/>
      <c r="P504" s="65"/>
      <c r="Q504" s="66" t="str">
        <f t="shared" ca="1" si="128"/>
        <v/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/>
      <c r="D505" s="75"/>
      <c r="E505" s="100"/>
      <c r="F505" s="88" t="str">
        <f>IFERROR(IF($D505="","",VLOOKUP($D505,Cadastro!$C$4:$E$7,3,FALSE())),"")</f>
        <v/>
      </c>
      <c r="G505" s="89"/>
      <c r="H505" s="88" t="str">
        <f>IFERROR(IF($G505="","",$G505*$S$513/$G$513/Cadastro!$E$33),"")</f>
        <v/>
      </c>
      <c r="I505" s="90" t="str">
        <f>IFERROR(IF($D505="","",VLOOKUP($D505,Cadastro!$C$4:$G$7,5,FALSE())),"")</f>
        <v/>
      </c>
      <c r="J505" s="91" t="str">
        <f t="shared" si="126"/>
        <v/>
      </c>
      <c r="K505" s="69" t="str">
        <f t="shared" si="127"/>
        <v/>
      </c>
      <c r="L505" s="70"/>
      <c r="M505" s="70"/>
      <c r="N505" s="70"/>
      <c r="O505" s="65"/>
      <c r="P505" s="65"/>
      <c r="Q505" s="71" t="str">
        <f t="shared" ca="1" si="128"/>
        <v/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/>
      <c r="D506" s="75"/>
      <c r="E506" s="100"/>
      <c r="F506" s="88" t="str">
        <f>IFERROR(IF($D506="","",VLOOKUP($D506,Cadastro!$C$4:$E$7,3,FALSE())),"")</f>
        <v/>
      </c>
      <c r="G506" s="89"/>
      <c r="H506" s="88" t="str">
        <f>IFERROR(IF($G506="","",$G506*$S$513/$G$513/Cadastro!$E$33),"")</f>
        <v/>
      </c>
      <c r="I506" s="90" t="str">
        <f>IFERROR(IF($D506="","",VLOOKUP($D506,Cadastro!$C$4:$G$7,5,FALSE())),"")</f>
        <v/>
      </c>
      <c r="J506" s="91" t="str">
        <f t="shared" si="126"/>
        <v/>
      </c>
      <c r="K506" s="64" t="str">
        <f t="shared" si="127"/>
        <v/>
      </c>
      <c r="L506" s="61"/>
      <c r="M506" s="61"/>
      <c r="N506" s="61"/>
      <c r="O506" s="65"/>
      <c r="P506" s="65"/>
      <c r="Q506" s="66" t="str">
        <f t="shared" ca="1" si="128"/>
        <v/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/>
      <c r="D507" s="75"/>
      <c r="E507" s="100"/>
      <c r="F507" s="88" t="str">
        <f>IFERROR(IF($D507="","",VLOOKUP($D507,Cadastro!$C$4:$E$7,3,FALSE())),"")</f>
        <v/>
      </c>
      <c r="G507" s="89"/>
      <c r="H507" s="88" t="str">
        <f>IFERROR(IF($G507="","",$G507*$S$513/$G$513/Cadastro!$E$33),"")</f>
        <v/>
      </c>
      <c r="I507" s="90" t="str">
        <f>IFERROR(IF($D507="","",VLOOKUP($D507,Cadastro!$C$4:$G$7,5,FALSE())),"")</f>
        <v/>
      </c>
      <c r="J507" s="91" t="str">
        <f t="shared" si="126"/>
        <v/>
      </c>
      <c r="K507" s="69" t="str">
        <f t="shared" si="127"/>
        <v/>
      </c>
      <c r="L507" s="70"/>
      <c r="M507" s="70"/>
      <c r="N507" s="70"/>
      <c r="O507" s="65"/>
      <c r="P507" s="65"/>
      <c r="Q507" s="71" t="str">
        <f t="shared" ca="1" si="128"/>
        <v/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/>
      <c r="D508" s="75"/>
      <c r="E508" s="100"/>
      <c r="F508" s="88" t="str">
        <f>IFERROR(IF($D508="","",VLOOKUP($D508,Cadastro!$C$4:$E$7,3,FALSE())),"")</f>
        <v/>
      </c>
      <c r="G508" s="89"/>
      <c r="H508" s="88" t="str">
        <f>IFERROR(IF($G508="","",$G508*$S$513/$G$513/Cadastro!$E$33),"")</f>
        <v/>
      </c>
      <c r="I508" s="90" t="str">
        <f>IFERROR(IF($D508="","",VLOOKUP($D508,Cadastro!$C$4:$G$7,5,FALSE())),"")</f>
        <v/>
      </c>
      <c r="J508" s="91" t="str">
        <f t="shared" si="126"/>
        <v/>
      </c>
      <c r="K508" s="64" t="str">
        <f t="shared" si="127"/>
        <v/>
      </c>
      <c r="L508" s="61"/>
      <c r="M508" s="61"/>
      <c r="N508" s="61"/>
      <c r="O508" s="65"/>
      <c r="P508" s="65"/>
      <c r="Q508" s="66" t="str">
        <f t="shared" ca="1" si="128"/>
        <v/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/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6"/>
        <v/>
      </c>
      <c r="K509" s="69" t="str">
        <f t="shared" si="127"/>
        <v/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/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6"/>
        <v/>
      </c>
      <c r="K510" s="64" t="str">
        <f t="shared" si="127"/>
        <v/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/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6"/>
        <v/>
      </c>
      <c r="K511" s="69" t="str">
        <f t="shared" si="127"/>
        <v/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/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6"/>
        <v/>
      </c>
      <c r="K512" s="64" t="str">
        <f t="shared" si="127"/>
        <v/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263</v>
      </c>
      <c r="B513" s="121"/>
      <c r="C513" s="121"/>
      <c r="D513" s="121"/>
      <c r="E513" s="121"/>
      <c r="F513" s="105"/>
      <c r="G513" s="96">
        <f>SUM(G501:G512)</f>
        <v>0</v>
      </c>
      <c r="H513" s="105">
        <f>IFERROR(SUM(H501:H512),"")</f>
        <v>0</v>
      </c>
      <c r="I513" s="106"/>
      <c r="J513" s="107">
        <f>IFERROR(SUM(J501:J512),"")</f>
        <v>0</v>
      </c>
      <c r="K513" s="83">
        <f>SUM(K501:K512)</f>
        <v>0</v>
      </c>
      <c r="L513" s="72"/>
      <c r="M513" s="72"/>
      <c r="N513" s="72"/>
      <c r="O513" s="72"/>
      <c r="P513" s="72"/>
      <c r="Q513" s="73">
        <f ca="1">IFERROR(SUM(Q501:Q512),"")</f>
        <v>0</v>
      </c>
      <c r="R513" s="2" t="s">
        <v>261</v>
      </c>
      <c r="S513" s="74"/>
      <c r="T513" s="99">
        <f>IFERROR(J513,"")</f>
        <v>0</v>
      </c>
    </row>
    <row r="514" spans="1:20" ht="18" customHeight="1">
      <c r="A514" s="122" t="s">
        <v>249</v>
      </c>
      <c r="B514" s="123"/>
      <c r="C514" s="123"/>
      <c r="D514" s="123"/>
      <c r="E514" s="123"/>
      <c r="F514" s="108"/>
      <c r="G514" s="109">
        <f>G500+G513</f>
        <v>110</v>
      </c>
      <c r="H514" s="108">
        <f>IFERROR(H500+H513,"")</f>
        <v>0</v>
      </c>
      <c r="I514" s="110"/>
      <c r="J514" s="111">
        <f>IFERROR(J500+J513,"")</f>
        <v>0</v>
      </c>
      <c r="K514" s="125">
        <f>K500+K513</f>
        <v>470.80000000000007</v>
      </c>
      <c r="L514" s="76"/>
      <c r="M514" s="76"/>
      <c r="N514" s="76"/>
      <c r="O514" s="76"/>
      <c r="P514" s="76"/>
      <c r="Q514" s="77">
        <f ca="1">IFERROR(Q500+Q513,"")</f>
        <v>5.763888888888874E-2</v>
      </c>
      <c r="R514" s="1" t="s">
        <v>264</v>
      </c>
      <c r="S514" s="82">
        <f>IFERROR(S500+S513,"")</f>
        <v>0</v>
      </c>
      <c r="T514" s="118">
        <f>IFERROR(J514,"")</f>
        <v>0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30">IFERROR(IF($H515="","",$H515*$F515*$I515),"")</f>
        <v/>
      </c>
      <c r="K515" s="69" t="str">
        <f t="shared" ref="K515:K526" si="131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32">IFERROR(IF(O515="","",IF(P515="",MOD(NOW()-O515,1),IF(P515&gt;=O515,P515-O515,P515+1-O515))),"")</f>
        <v/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30"/>
        <v/>
      </c>
      <c r="K516" s="64" t="str">
        <f t="shared" si="131"/>
        <v/>
      </c>
      <c r="L516" s="70"/>
      <c r="M516" s="61"/>
      <c r="N516" s="70"/>
      <c r="O516" s="65"/>
      <c r="P516" s="65"/>
      <c r="Q516" s="66" t="str">
        <f t="shared" ca="1" si="132"/>
        <v/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30"/>
        <v/>
      </c>
      <c r="K517" s="69" t="str">
        <f t="shared" si="131"/>
        <v/>
      </c>
      <c r="L517" s="70"/>
      <c r="M517" s="70"/>
      <c r="N517" s="70"/>
      <c r="O517" s="65"/>
      <c r="P517" s="65"/>
      <c r="Q517" s="71" t="str">
        <f t="shared" ca="1" si="132"/>
        <v/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30"/>
        <v/>
      </c>
      <c r="K518" s="64" t="str">
        <f t="shared" si="131"/>
        <v/>
      </c>
      <c r="L518" s="70"/>
      <c r="M518" s="61"/>
      <c r="N518" s="61"/>
      <c r="O518" s="65"/>
      <c r="P518" s="65"/>
      <c r="Q518" s="66" t="str">
        <f t="shared" ca="1" si="132"/>
        <v/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30"/>
        <v/>
      </c>
      <c r="K519" s="69" t="str">
        <f t="shared" si="131"/>
        <v/>
      </c>
      <c r="L519" s="70"/>
      <c r="M519" s="70"/>
      <c r="N519" s="70"/>
      <c r="O519" s="65"/>
      <c r="P519" s="65"/>
      <c r="Q519" s="71" t="str">
        <f t="shared" ca="1" si="132"/>
        <v/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4" t="s">
        <v>260</v>
      </c>
      <c r="B527" s="154"/>
      <c r="C527" s="154"/>
      <c r="D527" s="154"/>
      <c r="E527" s="154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83">
        <f>SUM(K515:K526)</f>
        <v>0</v>
      </c>
      <c r="L527" s="72"/>
      <c r="M527" s="72"/>
      <c r="N527" s="72"/>
      <c r="O527" s="72"/>
      <c r="P527" s="72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80"/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80"/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4" t="s">
        <v>263</v>
      </c>
      <c r="B540" s="154"/>
      <c r="C540" s="154"/>
      <c r="D540" s="154"/>
      <c r="E540" s="154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3" t="s">
        <v>249</v>
      </c>
      <c r="B541" s="153"/>
      <c r="C541" s="153"/>
      <c r="D541" s="153"/>
      <c r="E541" s="153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76"/>
      <c r="P541" s="76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4" t="s">
        <v>260</v>
      </c>
      <c r="B554" s="154"/>
      <c r="C554" s="154"/>
      <c r="D554" s="154"/>
      <c r="E554" s="154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4" t="s">
        <v>263</v>
      </c>
      <c r="B567" s="154"/>
      <c r="C567" s="154"/>
      <c r="D567" s="154"/>
      <c r="E567" s="154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3" t="s">
        <v>249</v>
      </c>
      <c r="B568" s="153"/>
      <c r="C568" s="153"/>
      <c r="D568" s="153"/>
      <c r="E568" s="153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4" t="s">
        <v>260</v>
      </c>
      <c r="B581" s="154"/>
      <c r="C581" s="154"/>
      <c r="D581" s="154"/>
      <c r="E581" s="154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4" t="s">
        <v>263</v>
      </c>
      <c r="B594" s="154"/>
      <c r="C594" s="154"/>
      <c r="D594" s="154"/>
      <c r="E594" s="154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3" t="s">
        <v>249</v>
      </c>
      <c r="B595" s="153"/>
      <c r="C595" s="153"/>
      <c r="D595" s="153"/>
      <c r="E595" s="153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4" t="s">
        <v>260</v>
      </c>
      <c r="B608" s="154"/>
      <c r="C608" s="154"/>
      <c r="D608" s="154"/>
      <c r="E608" s="154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4" t="s">
        <v>263</v>
      </c>
      <c r="B621" s="154"/>
      <c r="C621" s="154"/>
      <c r="D621" s="154"/>
      <c r="E621" s="154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3" t="s">
        <v>249</v>
      </c>
      <c r="B622" s="153"/>
      <c r="C622" s="153"/>
      <c r="D622" s="153"/>
      <c r="E622" s="153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4" t="s">
        <v>260</v>
      </c>
      <c r="B635" s="154"/>
      <c r="C635" s="154"/>
      <c r="D635" s="154"/>
      <c r="E635" s="154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4" t="s">
        <v>263</v>
      </c>
      <c r="B648" s="154"/>
      <c r="C648" s="154"/>
      <c r="D648" s="154"/>
      <c r="E648" s="154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3" t="s">
        <v>249</v>
      </c>
      <c r="B649" s="153"/>
      <c r="C649" s="153"/>
      <c r="D649" s="153"/>
      <c r="E649" s="153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4" t="s">
        <v>260</v>
      </c>
      <c r="B662" s="154"/>
      <c r="C662" s="154"/>
      <c r="D662" s="154"/>
      <c r="E662" s="154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4" t="s">
        <v>263</v>
      </c>
      <c r="B675" s="154"/>
      <c r="C675" s="154"/>
      <c r="D675" s="154"/>
      <c r="E675" s="154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3" t="s">
        <v>249</v>
      </c>
      <c r="B676" s="153"/>
      <c r="C676" s="153"/>
      <c r="D676" s="153"/>
      <c r="E676" s="153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4" t="s">
        <v>260</v>
      </c>
      <c r="B689" s="154"/>
      <c r="C689" s="154"/>
      <c r="D689" s="154"/>
      <c r="E689" s="154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4" t="s">
        <v>263</v>
      </c>
      <c r="B702" s="154"/>
      <c r="C702" s="154"/>
      <c r="D702" s="154"/>
      <c r="E702" s="154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3" t="s">
        <v>249</v>
      </c>
      <c r="B703" s="153"/>
      <c r="C703" s="153"/>
      <c r="D703" s="153"/>
      <c r="E703" s="153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4" t="s">
        <v>260</v>
      </c>
      <c r="B716" s="154"/>
      <c r="C716" s="154"/>
      <c r="D716" s="154"/>
      <c r="E716" s="154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4" t="s">
        <v>263</v>
      </c>
      <c r="B729" s="154"/>
      <c r="C729" s="154"/>
      <c r="D729" s="154"/>
      <c r="E729" s="154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3" t="s">
        <v>249</v>
      </c>
      <c r="B730" s="153"/>
      <c r="C730" s="153"/>
      <c r="D730" s="153"/>
      <c r="E730" s="153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4" t="s">
        <v>260</v>
      </c>
      <c r="B743" s="154"/>
      <c r="C743" s="154"/>
      <c r="D743" s="154"/>
      <c r="E743" s="154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4" t="s">
        <v>263</v>
      </c>
      <c r="B756" s="154"/>
      <c r="C756" s="154"/>
      <c r="D756" s="154"/>
      <c r="E756" s="154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3" t="s">
        <v>249</v>
      </c>
      <c r="B757" s="153"/>
      <c r="C757" s="153"/>
      <c r="D757" s="153"/>
      <c r="E757" s="153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4" t="s">
        <v>260</v>
      </c>
      <c r="B770" s="154"/>
      <c r="C770" s="154"/>
      <c r="D770" s="154"/>
      <c r="E770" s="154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4" t="s">
        <v>263</v>
      </c>
      <c r="B783" s="154"/>
      <c r="C783" s="154"/>
      <c r="D783" s="154"/>
      <c r="E783" s="154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3" t="s">
        <v>249</v>
      </c>
      <c r="B784" s="153"/>
      <c r="C784" s="153"/>
      <c r="D784" s="153"/>
      <c r="E784" s="153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4" t="s">
        <v>260</v>
      </c>
      <c r="B797" s="154"/>
      <c r="C797" s="154"/>
      <c r="D797" s="154"/>
      <c r="E797" s="154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4" t="s">
        <v>263</v>
      </c>
      <c r="B810" s="154"/>
      <c r="C810" s="154"/>
      <c r="D810" s="154"/>
      <c r="E810" s="154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3" t="s">
        <v>249</v>
      </c>
      <c r="B811" s="153"/>
      <c r="C811" s="153"/>
      <c r="D811" s="153"/>
      <c r="E811" s="153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4" t="s">
        <v>260</v>
      </c>
      <c r="B824" s="154"/>
      <c r="C824" s="154"/>
      <c r="D824" s="154"/>
      <c r="E824" s="154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4" t="s">
        <v>263</v>
      </c>
      <c r="B837" s="154"/>
      <c r="C837" s="154"/>
      <c r="D837" s="154"/>
      <c r="E837" s="154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>
      <c r="A838" s="153" t="s">
        <v>249</v>
      </c>
      <c r="B838" s="153"/>
      <c r="C838" s="153"/>
      <c r="D838" s="153"/>
      <c r="E838" s="153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471" activePane="bottomLeft" state="frozen"/>
      <selection pane="bottomLeft" activeCell="G497" sqref="G497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293</v>
      </c>
      <c r="I1" s="86" t="s">
        <v>22</v>
      </c>
      <c r="J1" s="86" t="s">
        <v>294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294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4" t="s">
        <v>260</v>
      </c>
      <c r="B14" s="154"/>
      <c r="C14" s="154"/>
      <c r="D14" s="154"/>
      <c r="E14" s="154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336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298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337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4" t="s">
        <v>263</v>
      </c>
      <c r="B27" s="154"/>
      <c r="C27" s="154"/>
      <c r="D27" s="154"/>
      <c r="E27" s="154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>
      <c r="A28" s="153" t="s">
        <v>249</v>
      </c>
      <c r="B28" s="153"/>
      <c r="C28" s="153"/>
      <c r="D28" s="153"/>
      <c r="E28" s="153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4" t="s">
        <v>260</v>
      </c>
      <c r="B41" s="154"/>
      <c r="C41" s="154"/>
      <c r="D41" s="154"/>
      <c r="E41" s="154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304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336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336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4" t="s">
        <v>263</v>
      </c>
      <c r="B54" s="154"/>
      <c r="C54" s="154"/>
      <c r="D54" s="154"/>
      <c r="E54" s="154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>
      <c r="A55" s="153" t="s">
        <v>249</v>
      </c>
      <c r="B55" s="153"/>
      <c r="C55" s="153"/>
      <c r="D55" s="153"/>
      <c r="E55" s="153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338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4" t="s">
        <v>260</v>
      </c>
      <c r="B68" s="154"/>
      <c r="C68" s="154"/>
      <c r="D68" s="154"/>
      <c r="E68" s="154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339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4" t="s">
        <v>263</v>
      </c>
      <c r="B81" s="154"/>
      <c r="C81" s="154"/>
      <c r="D81" s="154"/>
      <c r="E81" s="154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>
      <c r="A82" s="153" t="s">
        <v>249</v>
      </c>
      <c r="B82" s="153"/>
      <c r="C82" s="153"/>
      <c r="D82" s="153"/>
      <c r="E82" s="153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340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341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4" t="s">
        <v>260</v>
      </c>
      <c r="B95" s="154"/>
      <c r="C95" s="154"/>
      <c r="D95" s="154"/>
      <c r="E95" s="154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4" t="s">
        <v>263</v>
      </c>
      <c r="B108" s="154"/>
      <c r="C108" s="154"/>
      <c r="D108" s="154"/>
      <c r="E108" s="154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>
      <c r="A109" s="153" t="s">
        <v>249</v>
      </c>
      <c r="B109" s="153"/>
      <c r="C109" s="153"/>
      <c r="D109" s="153"/>
      <c r="E109" s="153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4" t="s">
        <v>260</v>
      </c>
      <c r="B122" s="154"/>
      <c r="C122" s="154"/>
      <c r="D122" s="154"/>
      <c r="E122" s="154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343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4" t="s">
        <v>263</v>
      </c>
      <c r="B135" s="154"/>
      <c r="C135" s="154"/>
      <c r="D135" s="154"/>
      <c r="E135" s="154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>
      <c r="A136" s="153" t="s">
        <v>249</v>
      </c>
      <c r="B136" s="153"/>
      <c r="C136" s="153"/>
      <c r="D136" s="153"/>
      <c r="E136" s="153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344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312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4" t="s">
        <v>260</v>
      </c>
      <c r="B149" s="154"/>
      <c r="C149" s="154"/>
      <c r="D149" s="154"/>
      <c r="E149" s="154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304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4" t="s">
        <v>263</v>
      </c>
      <c r="B162" s="154"/>
      <c r="C162" s="154"/>
      <c r="D162" s="154"/>
      <c r="E162" s="154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>
      <c r="A163" s="153" t="s">
        <v>249</v>
      </c>
      <c r="B163" s="153"/>
      <c r="C163" s="153"/>
      <c r="D163" s="153"/>
      <c r="E163" s="153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345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4" t="s">
        <v>260</v>
      </c>
      <c r="B176" s="154"/>
      <c r="C176" s="154"/>
      <c r="D176" s="154"/>
      <c r="E176" s="154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346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315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315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4" t="s">
        <v>263</v>
      </c>
      <c r="B189" s="154"/>
      <c r="C189" s="154"/>
      <c r="D189" s="154"/>
      <c r="E189" s="154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>
      <c r="A190" s="153" t="s">
        <v>249</v>
      </c>
      <c r="B190" s="153"/>
      <c r="C190" s="153"/>
      <c r="D190" s="153"/>
      <c r="E190" s="153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4" t="s">
        <v>260</v>
      </c>
      <c r="B203" s="154"/>
      <c r="C203" s="154"/>
      <c r="D203" s="154"/>
      <c r="E203" s="154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347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4" t="s">
        <v>263</v>
      </c>
      <c r="B216" s="154"/>
      <c r="C216" s="154"/>
      <c r="D216" s="154"/>
      <c r="E216" s="154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>
      <c r="A217" s="153" t="s">
        <v>249</v>
      </c>
      <c r="B217" s="153"/>
      <c r="C217" s="153"/>
      <c r="D217" s="153"/>
      <c r="E217" s="153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348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349</v>
      </c>
      <c r="Q222" s="66" t="str">
        <f t="shared" ca="1" si="49"/>
        <v/>
      </c>
      <c r="R222" s="63" t="s">
        <v>350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4" t="s">
        <v>260</v>
      </c>
      <c r="B230" s="154"/>
      <c r="C230" s="154"/>
      <c r="D230" s="154"/>
      <c r="E230" s="154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4" t="s">
        <v>263</v>
      </c>
      <c r="B243" s="154"/>
      <c r="C243" s="154"/>
      <c r="D243" s="154"/>
      <c r="E243" s="154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>
      <c r="A244" s="153" t="s">
        <v>249</v>
      </c>
      <c r="B244" s="153"/>
      <c r="C244" s="153"/>
      <c r="D244" s="153"/>
      <c r="E244" s="153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351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4" t="s">
        <v>260</v>
      </c>
      <c r="B257" s="154"/>
      <c r="C257" s="154"/>
      <c r="D257" s="154"/>
      <c r="E257" s="154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4" t="s">
        <v>263</v>
      </c>
      <c r="B270" s="154"/>
      <c r="C270" s="154"/>
      <c r="D270" s="154"/>
      <c r="E270" s="154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>
      <c r="A271" s="153" t="s">
        <v>249</v>
      </c>
      <c r="B271" s="153"/>
      <c r="C271" s="153"/>
      <c r="D271" s="153"/>
      <c r="E271" s="153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4" t="s">
        <v>260</v>
      </c>
      <c r="B284" s="154"/>
      <c r="C284" s="154"/>
      <c r="D284" s="154"/>
      <c r="E284" s="154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4" t="s">
        <v>263</v>
      </c>
      <c r="B297" s="154"/>
      <c r="C297" s="154"/>
      <c r="D297" s="154"/>
      <c r="E297" s="154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>
      <c r="A298" s="153" t="s">
        <v>249</v>
      </c>
      <c r="B298" s="153"/>
      <c r="C298" s="153"/>
      <c r="D298" s="153"/>
      <c r="E298" s="153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4" t="s">
        <v>260</v>
      </c>
      <c r="B311" s="154"/>
      <c r="C311" s="154"/>
      <c r="D311" s="154"/>
      <c r="E311" s="154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4" t="s">
        <v>263</v>
      </c>
      <c r="B324" s="154"/>
      <c r="C324" s="154"/>
      <c r="D324" s="154"/>
      <c r="E324" s="154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>
      <c r="A325" s="153" t="s">
        <v>249</v>
      </c>
      <c r="B325" s="153"/>
      <c r="C325" s="153"/>
      <c r="D325" s="153"/>
      <c r="E325" s="153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322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352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323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4" t="s">
        <v>260</v>
      </c>
      <c r="B338" s="154"/>
      <c r="C338" s="154"/>
      <c r="D338" s="154"/>
      <c r="E338" s="154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4" t="s">
        <v>263</v>
      </c>
      <c r="B351" s="154"/>
      <c r="C351" s="154"/>
      <c r="D351" s="154"/>
      <c r="E351" s="154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>
      <c r="A352" s="153" t="s">
        <v>249</v>
      </c>
      <c r="B352" s="153"/>
      <c r="C352" s="153"/>
      <c r="D352" s="153"/>
      <c r="E352" s="153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304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4" t="s">
        <v>260</v>
      </c>
      <c r="B365" s="154"/>
      <c r="C365" s="154"/>
      <c r="D365" s="154"/>
      <c r="E365" s="154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4" t="s">
        <v>263</v>
      </c>
      <c r="B378" s="154"/>
      <c r="C378" s="154"/>
      <c r="D378" s="154"/>
      <c r="E378" s="154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>
      <c r="A379" s="153" t="s">
        <v>249</v>
      </c>
      <c r="B379" s="153"/>
      <c r="C379" s="153"/>
      <c r="D379" s="153"/>
      <c r="E379" s="153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353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326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4" t="s">
        <v>260</v>
      </c>
      <c r="B392" s="154"/>
      <c r="C392" s="154"/>
      <c r="D392" s="154"/>
      <c r="E392" s="154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4" t="s">
        <v>263</v>
      </c>
      <c r="B405" s="154"/>
      <c r="C405" s="154"/>
      <c r="D405" s="154"/>
      <c r="E405" s="154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>
      <c r="A406" s="153" t="s">
        <v>249</v>
      </c>
      <c r="B406" s="153"/>
      <c r="C406" s="153"/>
      <c r="D406" s="153"/>
      <c r="E406" s="153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354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4" t="s">
        <v>260</v>
      </c>
      <c r="B419" s="154"/>
      <c r="C419" s="154"/>
      <c r="D419" s="154"/>
      <c r="E419" s="154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355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4" t="s">
        <v>263</v>
      </c>
      <c r="B432" s="154"/>
      <c r="C432" s="154"/>
      <c r="D432" s="154"/>
      <c r="E432" s="154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>
      <c r="A433" s="153" t="s">
        <v>249</v>
      </c>
      <c r="B433" s="153"/>
      <c r="C433" s="153"/>
      <c r="D433" s="153"/>
      <c r="E433" s="153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356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356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4" t="s">
        <v>260</v>
      </c>
      <c r="B446" s="154"/>
      <c r="C446" s="154"/>
      <c r="D446" s="154"/>
      <c r="E446" s="154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357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4" t="s">
        <v>263</v>
      </c>
      <c r="B459" s="154"/>
      <c r="C459" s="154"/>
      <c r="D459" s="154"/>
      <c r="E459" s="154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>
      <c r="A460" s="153" t="s">
        <v>249</v>
      </c>
      <c r="B460" s="153"/>
      <c r="C460" s="153"/>
      <c r="D460" s="153"/>
      <c r="E460" s="153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4" t="s">
        <v>260</v>
      </c>
      <c r="B473" s="154"/>
      <c r="C473" s="154"/>
      <c r="D473" s="154"/>
      <c r="E473" s="154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304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358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4" t="s">
        <v>263</v>
      </c>
      <c r="B486" s="154"/>
      <c r="C486" s="154"/>
      <c r="D486" s="154"/>
      <c r="E486" s="154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>
      <c r="A487" s="153" t="s">
        <v>249</v>
      </c>
      <c r="B487" s="153"/>
      <c r="C487" s="153"/>
      <c r="D487" s="153"/>
      <c r="E487" s="153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0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0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0</v>
      </c>
      <c r="I489" s="90">
        <f>IFERROR(IF($D489="","",VLOOKUP($D489,Cadastro!$C$4:$G$7,5,FALSE())),"")</f>
        <v>0.6</v>
      </c>
      <c r="J489" s="91">
        <f t="shared" si="120"/>
        <v>0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0</v>
      </c>
      <c r="I490" s="90">
        <f>IFERROR(IF($D490="","",VLOOKUP($D490,Cadastro!$C$4:$G$7,5,FALSE())),"")</f>
        <v>0.6</v>
      </c>
      <c r="J490" s="91">
        <f t="shared" si="120"/>
        <v>0</v>
      </c>
      <c r="K490" s="64">
        <f>IF(G490="","",IF(E490="PC 17",G490*4.2,IF(E490="PC 19",G490*5,IF(E490="CB",G490*24,""))))</f>
        <v>21</v>
      </c>
      <c r="L490" s="61"/>
      <c r="M490" s="61"/>
      <c r="N490" s="61"/>
      <c r="O490" s="65"/>
      <c r="P490" s="65"/>
      <c r="Q490" s="66" t="str">
        <f t="shared" ca="1" si="121"/>
        <v/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0</v>
      </c>
      <c r="I491" s="90">
        <f>IFERROR(IF($D491="","",VLOOKUP($D491,Cadastro!$C$4:$G$7,5,FALSE())),"")</f>
        <v>0.6</v>
      </c>
      <c r="J491" s="91">
        <f t="shared" si="120"/>
        <v>0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0</v>
      </c>
      <c r="I492" s="90">
        <f>IFERROR(IF($D492="","",VLOOKUP($D492,Cadastro!$C$4:$G$7,5,FALSE())),"")</f>
        <v>0.6</v>
      </c>
      <c r="J492" s="91">
        <f t="shared" si="120"/>
        <v>0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0</v>
      </c>
      <c r="I493" s="90">
        <f>IFERROR(IF($D493="","",VLOOKUP($D493,Cadastro!$C$4:$G$7,5,FALSE())),"")</f>
        <v>0.6</v>
      </c>
      <c r="J493" s="91">
        <f t="shared" si="120"/>
        <v>0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0</v>
      </c>
      <c r="I495" s="90">
        <f>IFERROR(IF($D495="","",VLOOKUP($D495,Cadastro!$C$4:$G$7,5,FALSE())),"")</f>
        <v>0.6</v>
      </c>
      <c r="J495" s="91">
        <f t="shared" si="120"/>
        <v>0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0</v>
      </c>
      <c r="I496" s="90">
        <f>IFERROR(IF($D496="","",VLOOKUP($D496,Cadastro!$C$4:$G$7,5,FALSE())),"")</f>
        <v>0.6</v>
      </c>
      <c r="J496" s="91">
        <f t="shared" si="120"/>
        <v>0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/>
      <c r="H497" s="88" t="str">
        <f>IFERROR(IF($G497="","",$G497*$S$500/$G$500/Cadastro!$E$33),"")</f>
        <v/>
      </c>
      <c r="I497" s="90">
        <f>IFERROR(IF($D497="","",VLOOKUP($D497,Cadastro!$C$4:$G$7,5,FALSE())),"")</f>
        <v>0.6</v>
      </c>
      <c r="J497" s="91" t="str">
        <f t="shared" si="120"/>
        <v/>
      </c>
      <c r="K497" s="69" t="str">
        <f>IF(G497="","",IF(E497="PC 17",G497*4.2,IF(E497="PC 19",G497*5,IF(E497="CB",G497*24,""))))</f>
        <v/>
      </c>
      <c r="L497" s="70"/>
      <c r="M497" s="70"/>
      <c r="N497" s="70"/>
      <c r="O497" s="65"/>
      <c r="P497" s="65"/>
      <c r="Q497" s="71" t="str">
        <f t="shared" ca="1" si="121"/>
        <v/>
      </c>
      <c r="R497" s="63"/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/>
      <c r="H498" s="88" t="str">
        <f>IFERROR(IF($G498="","",$G498*$S$500/$G$500/Cadastro!$E$33),"")</f>
        <v/>
      </c>
      <c r="I498" s="90">
        <f>IFERROR(IF($D498="","",VLOOKUP($D498,Cadastro!$C$4:$G$7,5,FALSE())),"")</f>
        <v>0.6</v>
      </c>
      <c r="J498" s="91" t="str">
        <f t="shared" si="120"/>
        <v/>
      </c>
      <c r="K498" s="64" t="str">
        <f>IF(G498="","",IF(E498="PC 17",G498*4.2,IF(E498="PC 19",G498*5,IF(E498="CB",G498*24,""))))</f>
        <v/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/>
      <c r="H499" s="92" t="str">
        <f>IFERROR(IF($G499="","",$G499*$S$500/$G$500/Cadastro!$E$33),"")</f>
        <v/>
      </c>
      <c r="I499" s="93">
        <f>IFERROR(IF($D499="","",VLOOKUP($D499,Cadastro!$C$4:$G$7,5,FALSE())),"")</f>
        <v>0.6</v>
      </c>
      <c r="J499" s="94" t="str">
        <f t="shared" si="120"/>
        <v/>
      </c>
      <c r="K499" s="69" t="str">
        <f>IF(G499="","",IF(E499="PC 17",G499*4.2,IF(E499="PC 19",G499*5,IF(E499="CB",G499*24,""))))</f>
        <v/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4" t="s">
        <v>260</v>
      </c>
      <c r="B500" s="154"/>
      <c r="C500" s="154"/>
      <c r="D500" s="154"/>
      <c r="E500" s="154"/>
      <c r="F500" s="95"/>
      <c r="G500" s="96">
        <f>SUM(G488:G499)</f>
        <v>49</v>
      </c>
      <c r="H500" s="95">
        <f>IFERROR(SUM(H488:H499),"")</f>
        <v>0</v>
      </c>
      <c r="I500" s="97"/>
      <c r="J500" s="98">
        <f>IFERROR(SUM(J488:J499),"")</f>
        <v>0</v>
      </c>
      <c r="K500" s="2">
        <f>SUM(K488:K499)</f>
        <v>209.8</v>
      </c>
      <c r="L500" s="72"/>
      <c r="M500" s="72"/>
      <c r="N500" s="72"/>
      <c r="O500" s="72"/>
      <c r="P500" s="72"/>
      <c r="Q500" s="73">
        <f ca="1">IFERROR(SUM(Q488:Q499),"")</f>
        <v>8.8194444444444464E-2</v>
      </c>
      <c r="R500" s="2" t="s">
        <v>261</v>
      </c>
      <c r="S500" s="74"/>
      <c r="T500" s="99">
        <f>IFERROR(J500,"")</f>
        <v>0</v>
      </c>
    </row>
    <row r="501" spans="1:20" ht="15" customHeight="1">
      <c r="A501" s="18">
        <v>46253</v>
      </c>
      <c r="B501" s="68">
        <v>0.83333333333333304</v>
      </c>
      <c r="C501" s="70"/>
      <c r="D501" s="75"/>
      <c r="E501" s="100"/>
      <c r="F501" s="101" t="str">
        <f>IFERROR(IF($D501="","",VLOOKUP($D501,Cadastro!$C$4:$E$7,3,FALSE())),"")</f>
        <v/>
      </c>
      <c r="G501" s="89"/>
      <c r="H501" s="101" t="str">
        <f>IFERROR(IF($G501="","",$G501*$S$513/$G$513/Cadastro!$E$33),"")</f>
        <v/>
      </c>
      <c r="I501" s="102" t="str">
        <f>IFERROR(IF($D501="","",VLOOKUP($D501,Cadastro!$C$4:$G$7,5,FALSE())),"")</f>
        <v/>
      </c>
      <c r="J501" s="103" t="str">
        <f t="shared" ref="J501:J512" si="123">IFERROR(IF($H501="","",$H501*$F501*$I501),"")</f>
        <v/>
      </c>
      <c r="K501" s="69" t="str">
        <f t="shared" ref="K501:K512" si="124">IF(G501="","",IF(E501="PC 17",G501*4.2,IF(E501="PC 19",G501*5,IF(E501="CB",G501*24,""))))</f>
        <v/>
      </c>
      <c r="L501" s="70"/>
      <c r="M501" s="70"/>
      <c r="N501" s="70"/>
      <c r="O501" s="65"/>
      <c r="P501" s="65"/>
      <c r="Q501" s="71" t="str">
        <f t="shared" ref="Q501:Q512" ca="1" si="125">IFERROR(IF(O501="","",IF(P501="",MOD(NOW()-O501,1),IF(P501&gt;=O501,P501-O501,P501+1-O501))),"")</f>
        <v/>
      </c>
      <c r="R501" s="63"/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/>
      <c r="D502" s="75"/>
      <c r="E502" s="100"/>
      <c r="F502" s="88" t="str">
        <f>IFERROR(IF($D502="","",VLOOKUP($D502,Cadastro!$C$4:$E$7,3,FALSE())),"")</f>
        <v/>
      </c>
      <c r="G502" s="89"/>
      <c r="H502" s="88" t="str">
        <f>IFERROR(IF($G502="","",$G502*$S$513/$G$513/Cadastro!$E$33),"")</f>
        <v/>
      </c>
      <c r="I502" s="90" t="str">
        <f>IFERROR(IF($D502="","",VLOOKUP($D502,Cadastro!$C$4:$G$7,5,FALSE())),"")</f>
        <v/>
      </c>
      <c r="J502" s="91" t="str">
        <f t="shared" si="123"/>
        <v/>
      </c>
      <c r="K502" s="64" t="str">
        <f t="shared" si="124"/>
        <v/>
      </c>
      <c r="L502" s="61"/>
      <c r="M502" s="61"/>
      <c r="N502" s="61"/>
      <c r="O502" s="65"/>
      <c r="P502" s="65"/>
      <c r="Q502" s="66" t="str">
        <f t="shared" ca="1" si="125"/>
        <v/>
      </c>
      <c r="R502" s="63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/>
      <c r="D503" s="75"/>
      <c r="E503" s="100"/>
      <c r="F503" s="88" t="str">
        <f>IFERROR(IF($D503="","",VLOOKUP($D503,Cadastro!$C$4:$E$7,3,FALSE())),"")</f>
        <v/>
      </c>
      <c r="G503" s="89"/>
      <c r="H503" s="88" t="str">
        <f>IFERROR(IF($G503="","",$G503*$S$513/$G$513/Cadastro!$E$33),"")</f>
        <v/>
      </c>
      <c r="I503" s="90" t="str">
        <f>IFERROR(IF($D503="","",VLOOKUP($D503,Cadastro!$C$4:$G$7,5,FALSE())),"")</f>
        <v/>
      </c>
      <c r="J503" s="91" t="str">
        <f t="shared" si="123"/>
        <v/>
      </c>
      <c r="K503" s="69" t="str">
        <f t="shared" si="124"/>
        <v/>
      </c>
      <c r="L503" s="70"/>
      <c r="M503" s="70"/>
      <c r="N503" s="70"/>
      <c r="O503" s="65"/>
      <c r="P503" s="65"/>
      <c r="Q503" s="71" t="str">
        <f t="shared" ca="1" si="125"/>
        <v/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/>
      <c r="D504" s="75"/>
      <c r="E504" s="100"/>
      <c r="F504" s="88" t="str">
        <f>IFERROR(IF($D504="","",VLOOKUP($D504,Cadastro!$C$4:$E$7,3,FALSE())),"")</f>
        <v/>
      </c>
      <c r="G504" s="89"/>
      <c r="H504" s="88" t="str">
        <f>IFERROR(IF($G504="","",$G504*$S$513/$G$513/Cadastro!$E$33),"")</f>
        <v/>
      </c>
      <c r="I504" s="90" t="str">
        <f>IFERROR(IF($D504="","",VLOOKUP($D504,Cadastro!$C$4:$G$7,5,FALSE())),"")</f>
        <v/>
      </c>
      <c r="J504" s="91" t="str">
        <f t="shared" si="123"/>
        <v/>
      </c>
      <c r="K504" s="64" t="str">
        <f t="shared" si="124"/>
        <v/>
      </c>
      <c r="L504" s="61"/>
      <c r="M504" s="61"/>
      <c r="N504" s="61"/>
      <c r="O504" s="65"/>
      <c r="P504" s="65"/>
      <c r="Q504" s="66" t="str">
        <f t="shared" ca="1" si="125"/>
        <v/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/>
      <c r="D505" s="75"/>
      <c r="E505" s="100"/>
      <c r="F505" s="88" t="str">
        <f>IFERROR(IF($D505="","",VLOOKUP($D505,Cadastro!$C$4:$E$7,3,FALSE())),"")</f>
        <v/>
      </c>
      <c r="G505" s="89"/>
      <c r="H505" s="88" t="str">
        <f>IFERROR(IF($G505="","",$G505*$S$513/$G$513/Cadastro!$E$33),"")</f>
        <v/>
      </c>
      <c r="I505" s="90" t="str">
        <f>IFERROR(IF($D505="","",VLOOKUP($D505,Cadastro!$C$4:$G$7,5,FALSE())),"")</f>
        <v/>
      </c>
      <c r="J505" s="91" t="str">
        <f t="shared" si="123"/>
        <v/>
      </c>
      <c r="K505" s="69" t="str">
        <f t="shared" si="124"/>
        <v/>
      </c>
      <c r="L505" s="70"/>
      <c r="M505" s="70"/>
      <c r="N505" s="70"/>
      <c r="O505" s="65"/>
      <c r="P505" s="65"/>
      <c r="Q505" s="71" t="str">
        <f t="shared" ca="1" si="125"/>
        <v/>
      </c>
      <c r="R505" s="63"/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/>
      <c r="D506" s="75"/>
      <c r="E506" s="100"/>
      <c r="F506" s="88" t="str">
        <f>IFERROR(IF($D506="","",VLOOKUP($D506,Cadastro!$C$4:$E$7,3,FALSE())),"")</f>
        <v/>
      </c>
      <c r="G506" s="89"/>
      <c r="H506" s="88" t="str">
        <f>IFERROR(IF($G506="","",$G506*$S$513/$G$513/Cadastro!$E$33),"")</f>
        <v/>
      </c>
      <c r="I506" s="90" t="str">
        <f>IFERROR(IF($D506="","",VLOOKUP($D506,Cadastro!$C$4:$G$7,5,FALSE())),"")</f>
        <v/>
      </c>
      <c r="J506" s="91" t="str">
        <f t="shared" si="123"/>
        <v/>
      </c>
      <c r="K506" s="64" t="str">
        <f t="shared" si="124"/>
        <v/>
      </c>
      <c r="L506" s="61"/>
      <c r="M506" s="61"/>
      <c r="N506" s="61"/>
      <c r="O506" s="65"/>
      <c r="P506" s="65"/>
      <c r="Q506" s="66" t="str">
        <f t="shared" ca="1" si="125"/>
        <v/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/>
      <c r="D507" s="75"/>
      <c r="E507" s="100"/>
      <c r="F507" s="88" t="str">
        <f>IFERROR(IF($D507="","",VLOOKUP($D507,Cadastro!$C$4:$E$7,3,FALSE())),"")</f>
        <v/>
      </c>
      <c r="G507" s="89"/>
      <c r="H507" s="88" t="str">
        <f>IFERROR(IF($G507="","",$G507*$S$513/$G$513/Cadastro!$E$33),"")</f>
        <v/>
      </c>
      <c r="I507" s="90" t="str">
        <f>IFERROR(IF($D507="","",VLOOKUP($D507,Cadastro!$C$4:$G$7,5,FALSE())),"")</f>
        <v/>
      </c>
      <c r="J507" s="91" t="str">
        <f t="shared" si="123"/>
        <v/>
      </c>
      <c r="K507" s="69" t="str">
        <f t="shared" si="124"/>
        <v/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/>
      <c r="D508" s="75"/>
      <c r="E508" s="100"/>
      <c r="F508" s="88" t="str">
        <f>IFERROR(IF($D508="","",VLOOKUP($D508,Cadastro!$C$4:$E$7,3,FALSE())),"")</f>
        <v/>
      </c>
      <c r="G508" s="89"/>
      <c r="H508" s="88" t="str">
        <f>IFERROR(IF($G508="","",$G508*$S$513/$G$513/Cadastro!$E$33),"")</f>
        <v/>
      </c>
      <c r="I508" s="90" t="str">
        <f>IFERROR(IF($D508="","",VLOOKUP($D508,Cadastro!$C$4:$G$7,5,FALSE())),"")</f>
        <v/>
      </c>
      <c r="J508" s="91" t="str">
        <f t="shared" si="123"/>
        <v/>
      </c>
      <c r="K508" s="64" t="str">
        <f t="shared" si="124"/>
        <v/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/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3"/>
        <v/>
      </c>
      <c r="K509" s="69" t="str">
        <f t="shared" si="124"/>
        <v/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/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3"/>
        <v/>
      </c>
      <c r="K510" s="64" t="str">
        <f t="shared" si="124"/>
        <v/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/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3"/>
        <v/>
      </c>
      <c r="K511" s="69" t="str">
        <f t="shared" si="124"/>
        <v/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/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3"/>
        <v/>
      </c>
      <c r="K512" s="64" t="str">
        <f t="shared" si="124"/>
        <v/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4" t="s">
        <v>263</v>
      </c>
      <c r="B513" s="154"/>
      <c r="C513" s="154"/>
      <c r="D513" s="154"/>
      <c r="E513" s="154"/>
      <c r="F513" s="105"/>
      <c r="G513" s="96">
        <f>SUM(G501:G512)</f>
        <v>0</v>
      </c>
      <c r="H513" s="105">
        <f>IFERROR(SUM(H501:H512),"")</f>
        <v>0</v>
      </c>
      <c r="I513" s="106"/>
      <c r="J513" s="107">
        <f>IFERROR(SUM(J501:J512),"")</f>
        <v>0</v>
      </c>
      <c r="K513" s="2">
        <f>SUM(K501:K512)</f>
        <v>0</v>
      </c>
      <c r="L513" s="72"/>
      <c r="M513" s="72"/>
      <c r="N513" s="72"/>
      <c r="O513" s="72"/>
      <c r="P513" s="72"/>
      <c r="Q513" s="73">
        <f ca="1">IFERROR(SUM(Q501:Q512),"")</f>
        <v>0</v>
      </c>
      <c r="R513" s="2" t="s">
        <v>261</v>
      </c>
      <c r="S513" s="74"/>
      <c r="T513" s="99">
        <f>IFERROR(J513,"")</f>
        <v>0</v>
      </c>
    </row>
    <row r="514" spans="1:20" ht="18" customHeight="1">
      <c r="A514" s="153" t="s">
        <v>249</v>
      </c>
      <c r="B514" s="153"/>
      <c r="C514" s="153"/>
      <c r="D514" s="153"/>
      <c r="E514" s="153"/>
      <c r="F514" s="108"/>
      <c r="G514" s="109">
        <f>G500+G513</f>
        <v>49</v>
      </c>
      <c r="H514" s="108">
        <f>IFERROR(H500+H513,"")</f>
        <v>0</v>
      </c>
      <c r="I514" s="110"/>
      <c r="J514" s="111">
        <f>IFERROR(J500+J513,"")</f>
        <v>0</v>
      </c>
      <c r="K514" s="1">
        <f>K500+K513</f>
        <v>209.8</v>
      </c>
      <c r="L514" s="76"/>
      <c r="M514" s="76"/>
      <c r="N514" s="76"/>
      <c r="O514" s="76"/>
      <c r="P514" s="76"/>
      <c r="Q514" s="77">
        <f ca="1">IFERROR(Q500+Q513,"")</f>
        <v>8.8194444444444464E-2</v>
      </c>
      <c r="R514" s="1" t="s">
        <v>264</v>
      </c>
      <c r="S514" s="82">
        <f>IFERROR(S500+S513,"")</f>
        <v>0</v>
      </c>
      <c r="T514" s="118">
        <f>IFERROR(J514,"")</f>
        <v>0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27">IFERROR(IF($H515="","",$H515*$F515*$I515),"")</f>
        <v/>
      </c>
      <c r="K515" s="69" t="str">
        <f t="shared" ref="K515:K526" si="128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29">IFERROR(IF(O515="","",IF(P515="",MOD(NOW()-O515,1),IF(P515&gt;=O515,P515-O515,P515+1-O515))),"")</f>
        <v/>
      </c>
      <c r="R515" s="63"/>
      <c r="S515" s="81"/>
    </row>
    <row r="516" spans="1:20" ht="15" customHeight="1">
      <c r="A516" s="59">
        <v>46254</v>
      </c>
      <c r="B516" s="60">
        <f t="shared" ref="B516:B526" si="130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27"/>
        <v/>
      </c>
      <c r="K516" s="64" t="str">
        <f t="shared" si="128"/>
        <v/>
      </c>
      <c r="L516" s="70"/>
      <c r="M516" s="61"/>
      <c r="N516" s="70"/>
      <c r="O516" s="65"/>
      <c r="P516" s="65"/>
      <c r="Q516" s="66" t="str">
        <f t="shared" ca="1" si="129"/>
        <v/>
      </c>
      <c r="R516" s="63"/>
      <c r="S516" s="81"/>
    </row>
    <row r="517" spans="1:20" ht="15" customHeight="1">
      <c r="A517" s="18">
        <v>46254</v>
      </c>
      <c r="B517" s="68">
        <f t="shared" si="130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27"/>
        <v/>
      </c>
      <c r="K517" s="69" t="str">
        <f t="shared" si="128"/>
        <v/>
      </c>
      <c r="L517" s="70"/>
      <c r="M517" s="70"/>
      <c r="N517" s="70"/>
      <c r="O517" s="65"/>
      <c r="P517" s="65"/>
      <c r="Q517" s="71" t="str">
        <f t="shared" ca="1" si="129"/>
        <v/>
      </c>
      <c r="R517" s="63"/>
      <c r="S517" s="81"/>
    </row>
    <row r="518" spans="1:20" ht="15" customHeight="1">
      <c r="A518" s="59">
        <v>46254</v>
      </c>
      <c r="B518" s="60">
        <f t="shared" si="130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27"/>
        <v/>
      </c>
      <c r="K518" s="64" t="str">
        <f t="shared" si="128"/>
        <v/>
      </c>
      <c r="L518" s="70"/>
      <c r="M518" s="61"/>
      <c r="N518" s="61"/>
      <c r="O518" s="65"/>
      <c r="P518" s="65"/>
      <c r="Q518" s="66" t="str">
        <f t="shared" ca="1" si="129"/>
        <v/>
      </c>
      <c r="R518" s="63"/>
      <c r="S518" s="81"/>
    </row>
    <row r="519" spans="1:20" ht="15" customHeight="1">
      <c r="A519" s="18">
        <v>46254</v>
      </c>
      <c r="B519" s="68">
        <f t="shared" si="130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27"/>
        <v/>
      </c>
      <c r="K519" s="69" t="str">
        <f t="shared" si="128"/>
        <v/>
      </c>
      <c r="L519" s="70"/>
      <c r="M519" s="70"/>
      <c r="N519" s="70"/>
      <c r="O519" s="65"/>
      <c r="P519" s="65"/>
      <c r="Q519" s="71" t="str">
        <f t="shared" ca="1" si="129"/>
        <v/>
      </c>
      <c r="R519" s="63"/>
      <c r="S519" s="81"/>
    </row>
    <row r="520" spans="1:20" ht="15" customHeight="1">
      <c r="A520" s="59">
        <v>46254</v>
      </c>
      <c r="B520" s="60">
        <f t="shared" si="130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27"/>
        <v/>
      </c>
      <c r="K520" s="64" t="str">
        <f t="shared" si="128"/>
        <v/>
      </c>
      <c r="L520" s="61"/>
      <c r="M520" s="61"/>
      <c r="N520" s="61"/>
      <c r="O520" s="65"/>
      <c r="P520" s="65"/>
      <c r="Q520" s="66" t="str">
        <f t="shared" ca="1" si="129"/>
        <v/>
      </c>
      <c r="R520" s="63"/>
      <c r="S520" s="81"/>
    </row>
    <row r="521" spans="1:20" ht="15" customHeight="1">
      <c r="A521" s="18">
        <v>46254</v>
      </c>
      <c r="B521" s="68">
        <f t="shared" si="130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27"/>
        <v/>
      </c>
      <c r="K521" s="69" t="str">
        <f t="shared" si="128"/>
        <v/>
      </c>
      <c r="L521" s="70"/>
      <c r="M521" s="70"/>
      <c r="N521" s="70"/>
      <c r="O521" s="65"/>
      <c r="P521" s="65"/>
      <c r="Q521" s="71" t="str">
        <f t="shared" ca="1" si="129"/>
        <v/>
      </c>
      <c r="R521" s="63"/>
      <c r="S521" s="81"/>
    </row>
    <row r="522" spans="1:20" ht="15" customHeight="1">
      <c r="A522" s="59">
        <v>46254</v>
      </c>
      <c r="B522" s="60">
        <f t="shared" si="130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27"/>
        <v/>
      </c>
      <c r="K522" s="64" t="str">
        <f t="shared" si="128"/>
        <v/>
      </c>
      <c r="L522" s="61"/>
      <c r="M522" s="61"/>
      <c r="N522" s="61"/>
      <c r="O522" s="65"/>
      <c r="P522" s="65"/>
      <c r="Q522" s="66" t="str">
        <f t="shared" ca="1" si="129"/>
        <v/>
      </c>
      <c r="R522" s="63"/>
      <c r="S522" s="81"/>
    </row>
    <row r="523" spans="1:20" ht="15" customHeight="1">
      <c r="A523" s="18">
        <v>46254</v>
      </c>
      <c r="B523" s="68">
        <f t="shared" si="130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27"/>
        <v/>
      </c>
      <c r="K523" s="69" t="str">
        <f t="shared" si="128"/>
        <v/>
      </c>
      <c r="L523" s="70"/>
      <c r="M523" s="70"/>
      <c r="N523" s="70"/>
      <c r="O523" s="65"/>
      <c r="P523" s="65"/>
      <c r="Q523" s="71" t="str">
        <f t="shared" ca="1" si="129"/>
        <v/>
      </c>
      <c r="R523" s="63"/>
      <c r="S523" s="81"/>
    </row>
    <row r="524" spans="1:20" ht="15" customHeight="1">
      <c r="A524" s="59">
        <v>46254</v>
      </c>
      <c r="B524" s="60">
        <f t="shared" si="130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27"/>
        <v/>
      </c>
      <c r="K524" s="64" t="str">
        <f t="shared" si="128"/>
        <v/>
      </c>
      <c r="L524" s="61"/>
      <c r="M524" s="61"/>
      <c r="N524" s="61"/>
      <c r="O524" s="65"/>
      <c r="P524" s="65"/>
      <c r="Q524" s="66" t="str">
        <f t="shared" ca="1" si="129"/>
        <v/>
      </c>
      <c r="R524" s="63"/>
      <c r="S524" s="81"/>
    </row>
    <row r="525" spans="1:20" ht="15" customHeight="1">
      <c r="A525" s="18">
        <v>46254</v>
      </c>
      <c r="B525" s="68">
        <f t="shared" si="130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27"/>
        <v/>
      </c>
      <c r="K525" s="69" t="str">
        <f t="shared" si="128"/>
        <v/>
      </c>
      <c r="L525" s="70"/>
      <c r="M525" s="70"/>
      <c r="N525" s="70"/>
      <c r="O525" s="65"/>
      <c r="P525" s="65"/>
      <c r="Q525" s="71" t="str">
        <f t="shared" ca="1" si="129"/>
        <v/>
      </c>
      <c r="R525" s="63"/>
      <c r="S525" s="81"/>
    </row>
    <row r="526" spans="1:20" ht="15" customHeight="1">
      <c r="A526" s="59">
        <v>46254</v>
      </c>
      <c r="B526" s="60">
        <f t="shared" si="130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27"/>
        <v/>
      </c>
      <c r="K526" s="64" t="str">
        <f t="shared" si="128"/>
        <v/>
      </c>
      <c r="L526" s="61"/>
      <c r="M526" s="61"/>
      <c r="N526" s="61"/>
      <c r="O526" s="65"/>
      <c r="P526" s="65"/>
      <c r="Q526" s="66" t="str">
        <f t="shared" ca="1" si="129"/>
        <v/>
      </c>
      <c r="R526" s="63"/>
      <c r="S526" s="81"/>
    </row>
    <row r="527" spans="1:20" ht="15.75" customHeight="1">
      <c r="A527" s="154" t="s">
        <v>260</v>
      </c>
      <c r="B527" s="154"/>
      <c r="C527" s="154"/>
      <c r="D527" s="154"/>
      <c r="E527" s="154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0</v>
      </c>
      <c r="L527" s="72"/>
      <c r="M527" s="72"/>
      <c r="N527" s="72"/>
      <c r="O527" s="72"/>
      <c r="P527" s="72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1">IFERROR(IF($H528="","",$H528*$F528*$I528),"")</f>
        <v/>
      </c>
      <c r="K528" s="64" t="str">
        <f t="shared" ref="K528:K539" si="132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3">IFERROR(IF(O528="","",IF(P528="",MOD(NOW()-O528,1),IF(P528&gt;=O528,P528-O528,P528+1-O528))),"")</f>
        <v/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1"/>
        <v/>
      </c>
      <c r="K529" s="69" t="str">
        <f t="shared" si="132"/>
        <v/>
      </c>
      <c r="L529" s="70"/>
      <c r="M529" s="70"/>
      <c r="N529" s="70"/>
      <c r="O529" s="65"/>
      <c r="P529" s="65"/>
      <c r="Q529" s="71" t="str">
        <f t="shared" ca="1" si="133"/>
        <v/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1"/>
        <v/>
      </c>
      <c r="K530" s="64" t="str">
        <f t="shared" si="132"/>
        <v/>
      </c>
      <c r="L530" s="61"/>
      <c r="M530" s="61"/>
      <c r="N530" s="61"/>
      <c r="O530" s="65"/>
      <c r="P530" s="65"/>
      <c r="Q530" s="66" t="str">
        <f t="shared" ca="1" si="133"/>
        <v/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1"/>
        <v/>
      </c>
      <c r="K531" s="69" t="str">
        <f t="shared" si="132"/>
        <v/>
      </c>
      <c r="L531" s="70"/>
      <c r="M531" s="70"/>
      <c r="N531" s="70"/>
      <c r="O531" s="65"/>
      <c r="P531" s="65"/>
      <c r="Q531" s="71" t="str">
        <f t="shared" ca="1" si="133"/>
        <v/>
      </c>
      <c r="R531" s="63"/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1"/>
        <v/>
      </c>
      <c r="K532" s="64" t="str">
        <f t="shared" si="132"/>
        <v/>
      </c>
      <c r="L532" s="61"/>
      <c r="M532" s="61"/>
      <c r="N532" s="61"/>
      <c r="O532" s="65"/>
      <c r="P532" s="65"/>
      <c r="Q532" s="66" t="str">
        <f t="shared" ca="1" si="133"/>
        <v/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1"/>
        <v/>
      </c>
      <c r="K533" s="69" t="str">
        <f t="shared" si="132"/>
        <v/>
      </c>
      <c r="L533" s="70"/>
      <c r="M533" s="70"/>
      <c r="N533" s="70"/>
      <c r="O533" s="65"/>
      <c r="P533" s="65"/>
      <c r="Q533" s="71" t="str">
        <f t="shared" ca="1" si="133"/>
        <v/>
      </c>
      <c r="R533" s="63"/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1"/>
        <v/>
      </c>
      <c r="K534" s="64" t="str">
        <f t="shared" si="132"/>
        <v/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1"/>
        <v/>
      </c>
      <c r="K535" s="69" t="str">
        <f t="shared" si="132"/>
        <v/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1"/>
        <v/>
      </c>
      <c r="K536" s="64" t="str">
        <f t="shared" si="132"/>
        <v/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1"/>
        <v/>
      </c>
      <c r="K537" s="69" t="str">
        <f t="shared" si="132"/>
        <v/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1"/>
        <v/>
      </c>
      <c r="K538" s="64" t="str">
        <f t="shared" si="132"/>
        <v/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1"/>
        <v/>
      </c>
      <c r="K539" s="69" t="str">
        <f t="shared" si="132"/>
        <v/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4" t="s">
        <v>263</v>
      </c>
      <c r="B540" s="154"/>
      <c r="C540" s="154"/>
      <c r="D540" s="154"/>
      <c r="E540" s="154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3" t="s">
        <v>249</v>
      </c>
      <c r="B541" s="153"/>
      <c r="C541" s="153"/>
      <c r="D541" s="153"/>
      <c r="E541" s="153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76"/>
      <c r="P541" s="76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5">IFERROR(IF($H542="","",$H542*$F542*$I542),"")</f>
        <v/>
      </c>
      <c r="K542" s="64" t="str">
        <f t="shared" ref="K542:K553" si="136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37">IFERROR(IF(O542="","",IF(P542="",MOD(NOW()-O542,1),IF(P542&gt;=O542,P542-O542,P542+1-O542))),"")</f>
        <v/>
      </c>
      <c r="R542" s="63"/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5"/>
        <v/>
      </c>
      <c r="K543" s="69" t="str">
        <f t="shared" si="136"/>
        <v/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5"/>
        <v/>
      </c>
      <c r="K544" s="64" t="str">
        <f t="shared" si="136"/>
        <v/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5"/>
        <v/>
      </c>
      <c r="K545" s="69" t="str">
        <f t="shared" si="136"/>
        <v/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4" t="s">
        <v>260</v>
      </c>
      <c r="B554" s="154"/>
      <c r="C554" s="154"/>
      <c r="D554" s="154"/>
      <c r="E554" s="154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4" t="s">
        <v>263</v>
      </c>
      <c r="B567" s="154"/>
      <c r="C567" s="154"/>
      <c r="D567" s="154"/>
      <c r="E567" s="154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3" t="s">
        <v>249</v>
      </c>
      <c r="B568" s="153"/>
      <c r="C568" s="153"/>
      <c r="D568" s="153"/>
      <c r="E568" s="153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4" t="s">
        <v>260</v>
      </c>
      <c r="B581" s="154"/>
      <c r="C581" s="154"/>
      <c r="D581" s="154"/>
      <c r="E581" s="154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4" t="s">
        <v>263</v>
      </c>
      <c r="B594" s="154"/>
      <c r="C594" s="154"/>
      <c r="D594" s="154"/>
      <c r="E594" s="154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3" t="s">
        <v>249</v>
      </c>
      <c r="B595" s="153"/>
      <c r="C595" s="153"/>
      <c r="D595" s="153"/>
      <c r="E595" s="153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4" t="s">
        <v>260</v>
      </c>
      <c r="B608" s="154"/>
      <c r="C608" s="154"/>
      <c r="D608" s="154"/>
      <c r="E608" s="154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4" t="s">
        <v>263</v>
      </c>
      <c r="B621" s="154"/>
      <c r="C621" s="154"/>
      <c r="D621" s="154"/>
      <c r="E621" s="154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3" t="s">
        <v>249</v>
      </c>
      <c r="B622" s="153"/>
      <c r="C622" s="153"/>
      <c r="D622" s="153"/>
      <c r="E622" s="153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4" t="s">
        <v>260</v>
      </c>
      <c r="B635" s="154"/>
      <c r="C635" s="154"/>
      <c r="D635" s="154"/>
      <c r="E635" s="154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4" t="s">
        <v>263</v>
      </c>
      <c r="B648" s="154"/>
      <c r="C648" s="154"/>
      <c r="D648" s="154"/>
      <c r="E648" s="154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3" t="s">
        <v>249</v>
      </c>
      <c r="B649" s="153"/>
      <c r="C649" s="153"/>
      <c r="D649" s="153"/>
      <c r="E649" s="153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4" t="s">
        <v>260</v>
      </c>
      <c r="B662" s="154"/>
      <c r="C662" s="154"/>
      <c r="D662" s="154"/>
      <c r="E662" s="154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4" t="s">
        <v>263</v>
      </c>
      <c r="B675" s="154"/>
      <c r="C675" s="154"/>
      <c r="D675" s="154"/>
      <c r="E675" s="154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3" t="s">
        <v>249</v>
      </c>
      <c r="B676" s="153"/>
      <c r="C676" s="153"/>
      <c r="D676" s="153"/>
      <c r="E676" s="153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4" t="s">
        <v>260</v>
      </c>
      <c r="B689" s="154"/>
      <c r="C689" s="154"/>
      <c r="D689" s="154"/>
      <c r="E689" s="154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4" t="s">
        <v>263</v>
      </c>
      <c r="B702" s="154"/>
      <c r="C702" s="154"/>
      <c r="D702" s="154"/>
      <c r="E702" s="154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3" t="s">
        <v>249</v>
      </c>
      <c r="B703" s="153"/>
      <c r="C703" s="153"/>
      <c r="D703" s="153"/>
      <c r="E703" s="153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4" t="s">
        <v>260</v>
      </c>
      <c r="B716" s="154"/>
      <c r="C716" s="154"/>
      <c r="D716" s="154"/>
      <c r="E716" s="154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4" t="s">
        <v>263</v>
      </c>
      <c r="B729" s="154"/>
      <c r="C729" s="154"/>
      <c r="D729" s="154"/>
      <c r="E729" s="154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3" t="s">
        <v>249</v>
      </c>
      <c r="B730" s="153"/>
      <c r="C730" s="153"/>
      <c r="D730" s="153"/>
      <c r="E730" s="153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4" t="s">
        <v>260</v>
      </c>
      <c r="B743" s="154"/>
      <c r="C743" s="154"/>
      <c r="D743" s="154"/>
      <c r="E743" s="154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4" t="s">
        <v>263</v>
      </c>
      <c r="B756" s="154"/>
      <c r="C756" s="154"/>
      <c r="D756" s="154"/>
      <c r="E756" s="154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3" t="s">
        <v>249</v>
      </c>
      <c r="B757" s="153"/>
      <c r="C757" s="153"/>
      <c r="D757" s="153"/>
      <c r="E757" s="153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4" t="s">
        <v>260</v>
      </c>
      <c r="B770" s="154"/>
      <c r="C770" s="154"/>
      <c r="D770" s="154"/>
      <c r="E770" s="154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4" t="s">
        <v>263</v>
      </c>
      <c r="B783" s="154"/>
      <c r="C783" s="154"/>
      <c r="D783" s="154"/>
      <c r="E783" s="154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3" t="s">
        <v>249</v>
      </c>
      <c r="B784" s="153"/>
      <c r="C784" s="153"/>
      <c r="D784" s="153"/>
      <c r="E784" s="153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4" t="s">
        <v>260</v>
      </c>
      <c r="B797" s="154"/>
      <c r="C797" s="154"/>
      <c r="D797" s="154"/>
      <c r="E797" s="154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4" t="s">
        <v>263</v>
      </c>
      <c r="B810" s="154"/>
      <c r="C810" s="154"/>
      <c r="D810" s="154"/>
      <c r="E810" s="154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3" t="s">
        <v>249</v>
      </c>
      <c r="B811" s="153"/>
      <c r="C811" s="153"/>
      <c r="D811" s="153"/>
      <c r="E811" s="153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4" t="s">
        <v>260</v>
      </c>
      <c r="B824" s="154"/>
      <c r="C824" s="154"/>
      <c r="D824" s="154"/>
      <c r="E824" s="154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4" t="s">
        <v>263</v>
      </c>
      <c r="B837" s="154"/>
      <c r="C837" s="154"/>
      <c r="D837" s="154"/>
      <c r="E837" s="154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3" t="s">
        <v>249</v>
      </c>
      <c r="B838" s="153"/>
      <c r="C838" s="153"/>
      <c r="D838" s="153"/>
      <c r="E838" s="153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3hmlhIcUQV7Y6ENVl+tFI7NIhDBthph4zxvmVh6MTWWMhnR4Eb53YRgxkPHZd5tz5f68fercbK+rQBiJRqvCwQ==" saltValue="vb34SkKuNHTnGQz24y/YF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514 E516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00000000-0002-0000-0400-000002000000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472" activePane="bottomLeft" state="frozen"/>
      <selection pane="bottomLeft" activeCell="G497" sqref="G497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293</v>
      </c>
      <c r="I1" s="86" t="s">
        <v>22</v>
      </c>
      <c r="J1" s="86" t="s">
        <v>294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294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4" t="s">
        <v>260</v>
      </c>
      <c r="B14" s="154"/>
      <c r="C14" s="154"/>
      <c r="D14" s="154"/>
      <c r="E14" s="154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359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301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336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360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361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4" t="s">
        <v>263</v>
      </c>
      <c r="B27" s="154"/>
      <c r="C27" s="154"/>
      <c r="D27" s="154"/>
      <c r="E27" s="154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>
      <c r="A28" s="153" t="s">
        <v>249</v>
      </c>
      <c r="B28" s="153"/>
      <c r="C28" s="153"/>
      <c r="D28" s="153"/>
      <c r="E28" s="153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4" t="s">
        <v>260</v>
      </c>
      <c r="B41" s="154"/>
      <c r="C41" s="154"/>
      <c r="D41" s="154"/>
      <c r="E41" s="154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362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4" t="s">
        <v>263</v>
      </c>
      <c r="B54" s="154"/>
      <c r="C54" s="154"/>
      <c r="D54" s="154"/>
      <c r="E54" s="154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>
      <c r="A55" s="153" t="s">
        <v>249</v>
      </c>
      <c r="B55" s="153"/>
      <c r="C55" s="153"/>
      <c r="D55" s="153"/>
      <c r="E55" s="153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363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364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4" t="s">
        <v>260</v>
      </c>
      <c r="B68" s="154"/>
      <c r="C68" s="154"/>
      <c r="D68" s="154"/>
      <c r="E68" s="154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365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336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4" t="s">
        <v>263</v>
      </c>
      <c r="B81" s="154"/>
      <c r="C81" s="154"/>
      <c r="D81" s="154"/>
      <c r="E81" s="154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>
      <c r="A82" s="153" t="s">
        <v>249</v>
      </c>
      <c r="B82" s="153"/>
      <c r="C82" s="153"/>
      <c r="D82" s="153"/>
      <c r="E82" s="153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4" t="s">
        <v>260</v>
      </c>
      <c r="B95" s="154"/>
      <c r="C95" s="154"/>
      <c r="D95" s="154"/>
      <c r="E95" s="154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336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4" t="s">
        <v>263</v>
      </c>
      <c r="B108" s="154"/>
      <c r="C108" s="154"/>
      <c r="D108" s="154"/>
      <c r="E108" s="154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>
      <c r="A109" s="153" t="s">
        <v>249</v>
      </c>
      <c r="B109" s="153"/>
      <c r="C109" s="153"/>
      <c r="D109" s="153"/>
      <c r="E109" s="153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366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4" t="s">
        <v>260</v>
      </c>
      <c r="B122" s="154"/>
      <c r="C122" s="154"/>
      <c r="D122" s="154"/>
      <c r="E122" s="154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367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304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336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4" t="s">
        <v>263</v>
      </c>
      <c r="B135" s="154"/>
      <c r="C135" s="154"/>
      <c r="D135" s="154"/>
      <c r="E135" s="154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>
      <c r="A136" s="153" t="s">
        <v>249</v>
      </c>
      <c r="B136" s="153"/>
      <c r="C136" s="153"/>
      <c r="D136" s="153"/>
      <c r="E136" s="153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368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369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312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370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371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4" t="s">
        <v>263</v>
      </c>
      <c r="B162" s="154"/>
      <c r="C162" s="154"/>
      <c r="D162" s="154"/>
      <c r="E162" s="154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>
      <c r="A163" s="153" t="s">
        <v>249</v>
      </c>
      <c r="B163" s="153"/>
      <c r="C163" s="153"/>
      <c r="D163" s="153"/>
      <c r="E163" s="153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372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4" t="s">
        <v>260</v>
      </c>
      <c r="B176" s="154"/>
      <c r="C176" s="154"/>
      <c r="D176" s="154"/>
      <c r="E176" s="154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373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4" t="s">
        <v>263</v>
      </c>
      <c r="B189" s="154"/>
      <c r="C189" s="154"/>
      <c r="D189" s="154"/>
      <c r="E189" s="154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>
      <c r="A190" s="153" t="s">
        <v>249</v>
      </c>
      <c r="B190" s="153"/>
      <c r="C190" s="153"/>
      <c r="D190" s="153"/>
      <c r="E190" s="153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374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4" t="s">
        <v>260</v>
      </c>
      <c r="B203" s="154"/>
      <c r="C203" s="154"/>
      <c r="D203" s="154"/>
      <c r="E203" s="154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375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376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377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4" t="s">
        <v>263</v>
      </c>
      <c r="B216" s="154"/>
      <c r="C216" s="154"/>
      <c r="D216" s="154"/>
      <c r="E216" s="154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>
      <c r="A217" s="153" t="s">
        <v>249</v>
      </c>
      <c r="B217" s="153"/>
      <c r="C217" s="153"/>
      <c r="D217" s="153"/>
      <c r="E217" s="153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378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379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4" t="s">
        <v>260</v>
      </c>
      <c r="B230" s="154"/>
      <c r="C230" s="154"/>
      <c r="D230" s="154"/>
      <c r="E230" s="154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380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381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4" t="s">
        <v>263</v>
      </c>
      <c r="B243" s="154"/>
      <c r="C243" s="154"/>
      <c r="D243" s="154"/>
      <c r="E243" s="154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>
      <c r="A244" s="153" t="s">
        <v>249</v>
      </c>
      <c r="B244" s="153"/>
      <c r="C244" s="153"/>
      <c r="D244" s="153"/>
      <c r="E244" s="153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382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4" t="s">
        <v>260</v>
      </c>
      <c r="B257" s="154"/>
      <c r="C257" s="154"/>
      <c r="D257" s="154"/>
      <c r="E257" s="154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4" t="s">
        <v>263</v>
      </c>
      <c r="B270" s="154"/>
      <c r="C270" s="154"/>
      <c r="D270" s="154"/>
      <c r="E270" s="154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>
      <c r="A271" s="153" t="s">
        <v>249</v>
      </c>
      <c r="B271" s="153"/>
      <c r="C271" s="153"/>
      <c r="D271" s="153"/>
      <c r="E271" s="153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4" t="s">
        <v>260</v>
      </c>
      <c r="B284" s="154"/>
      <c r="C284" s="154"/>
      <c r="D284" s="154"/>
      <c r="E284" s="154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4" t="s">
        <v>263</v>
      </c>
      <c r="B297" s="154"/>
      <c r="C297" s="154"/>
      <c r="D297" s="154"/>
      <c r="E297" s="154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>
      <c r="A298" s="153" t="s">
        <v>249</v>
      </c>
      <c r="B298" s="153"/>
      <c r="C298" s="153"/>
      <c r="D298" s="153"/>
      <c r="E298" s="153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4" t="s">
        <v>260</v>
      </c>
      <c r="B311" s="154"/>
      <c r="C311" s="154"/>
      <c r="D311" s="154"/>
      <c r="E311" s="154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4" t="s">
        <v>263</v>
      </c>
      <c r="B324" s="154"/>
      <c r="C324" s="154"/>
      <c r="D324" s="154"/>
      <c r="E324" s="154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>
      <c r="A325" s="153" t="s">
        <v>249</v>
      </c>
      <c r="B325" s="153"/>
      <c r="C325" s="153"/>
      <c r="D325" s="153"/>
      <c r="E325" s="153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4" t="s">
        <v>260</v>
      </c>
      <c r="B338" s="154"/>
      <c r="C338" s="154"/>
      <c r="D338" s="154"/>
      <c r="E338" s="154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383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384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4" t="s">
        <v>263</v>
      </c>
      <c r="B351" s="154"/>
      <c r="C351" s="154"/>
      <c r="D351" s="154"/>
      <c r="E351" s="154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>
      <c r="A352" s="153" t="s">
        <v>249</v>
      </c>
      <c r="B352" s="153"/>
      <c r="C352" s="153"/>
      <c r="D352" s="153"/>
      <c r="E352" s="153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385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386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387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4" t="s">
        <v>263</v>
      </c>
      <c r="B378" s="154"/>
      <c r="C378" s="154"/>
      <c r="D378" s="154"/>
      <c r="E378" s="154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>
      <c r="A379" s="153" t="s">
        <v>249</v>
      </c>
      <c r="B379" s="153"/>
      <c r="C379" s="153"/>
      <c r="D379" s="153"/>
      <c r="E379" s="153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326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388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4" t="s">
        <v>260</v>
      </c>
      <c r="B392" s="154"/>
      <c r="C392" s="154"/>
      <c r="D392" s="154"/>
      <c r="E392" s="154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389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4" t="s">
        <v>263</v>
      </c>
      <c r="B405" s="154"/>
      <c r="C405" s="154"/>
      <c r="D405" s="154"/>
      <c r="E405" s="154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>
      <c r="A406" s="153" t="s">
        <v>249</v>
      </c>
      <c r="B406" s="153"/>
      <c r="C406" s="153"/>
      <c r="D406" s="153"/>
      <c r="E406" s="153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390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4" t="s">
        <v>260</v>
      </c>
      <c r="B419" s="154"/>
      <c r="C419" s="154"/>
      <c r="D419" s="154"/>
      <c r="E419" s="154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391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4" t="s">
        <v>263</v>
      </c>
      <c r="B432" s="154"/>
      <c r="C432" s="154"/>
      <c r="D432" s="154"/>
      <c r="E432" s="154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>
      <c r="A433" s="153" t="s">
        <v>249</v>
      </c>
      <c r="B433" s="153"/>
      <c r="C433" s="153"/>
      <c r="D433" s="153"/>
      <c r="E433" s="153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4" t="s">
        <v>260</v>
      </c>
      <c r="B446" s="154"/>
      <c r="C446" s="154"/>
      <c r="D446" s="154"/>
      <c r="E446" s="154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392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386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4" t="s">
        <v>263</v>
      </c>
      <c r="B459" s="154"/>
      <c r="C459" s="154"/>
      <c r="D459" s="154"/>
      <c r="E459" s="154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>
      <c r="A460" s="153" t="s">
        <v>249</v>
      </c>
      <c r="B460" s="153"/>
      <c r="C460" s="153"/>
      <c r="D460" s="153"/>
      <c r="E460" s="153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4" t="s">
        <v>260</v>
      </c>
      <c r="B473" s="154"/>
      <c r="C473" s="154"/>
      <c r="D473" s="154"/>
      <c r="E473" s="154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393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358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4" t="s">
        <v>263</v>
      </c>
      <c r="B486" s="154"/>
      <c r="C486" s="154"/>
      <c r="D486" s="154"/>
      <c r="E486" s="154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>
      <c r="A487" s="153" t="s">
        <v>249</v>
      </c>
      <c r="B487" s="153"/>
      <c r="C487" s="153"/>
      <c r="D487" s="153"/>
      <c r="E487" s="153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0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0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0</v>
      </c>
      <c r="I489" s="90">
        <f>IFERROR(IF($D489="","",VLOOKUP($D489,Cadastro!$C$4:$G$7,5,FALSE())),"")</f>
        <v>0.6</v>
      </c>
      <c r="J489" s="91">
        <f t="shared" si="122"/>
        <v>0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0</v>
      </c>
      <c r="I490" s="90">
        <f>IFERROR(IF($D490="","",VLOOKUP($D490,Cadastro!$C$4:$G$7,5,FALSE())),"")</f>
        <v>0.6</v>
      </c>
      <c r="J490" s="91">
        <f t="shared" si="122"/>
        <v>0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/>
      <c r="Q490" s="66">
        <f ca="1">IFERROR(IF(O490="","",IF(P490="",MOD(NOW()-O490,1),IF(P490&gt;=O490,P490-O490,P490+1-O490))),"")</f>
        <v>1.2946527771418914E-2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0</v>
      </c>
      <c r="I491" s="90">
        <f>IFERROR(IF($D491="","",VLOOKUP($D491,Cadastro!$C$4:$G$7,5,FALSE())),"")</f>
        <v>0.6</v>
      </c>
      <c r="J491" s="91">
        <f t="shared" si="122"/>
        <v>0</v>
      </c>
      <c r="K491" s="69">
        <f t="shared" si="123"/>
        <v>67.2</v>
      </c>
      <c r="L491" s="70"/>
      <c r="M491" s="70"/>
      <c r="N491" s="70"/>
      <c r="O491" s="65"/>
      <c r="P491" s="65"/>
      <c r="Q491" s="71" t="str">
        <f ca="1">IFERROR(IF(O491="","",IF(P491="",MOD(NOW()-O491,1),IF(P491&gt;=O491,P491-O491,P491+1-O491))),"")</f>
        <v/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0</v>
      </c>
      <c r="I492" s="90">
        <f>IFERROR(IF($D492="","",VLOOKUP($D492,Cadastro!$C$4:$G$7,5,FALSE())),"")</f>
        <v>0.6</v>
      </c>
      <c r="J492" s="91">
        <f t="shared" si="122"/>
        <v>0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0</v>
      </c>
      <c r="I493" s="90">
        <f>IFERROR(IF($D493="","",VLOOKUP($D493,Cadastro!$C$4:$G$7,5,FALSE())),"")</f>
        <v>0.6</v>
      </c>
      <c r="J493" s="91">
        <f t="shared" si="122"/>
        <v>0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0</v>
      </c>
      <c r="I494" s="90">
        <f>IFERROR(IF($D494="","",VLOOKUP($D494,Cadastro!$C$4:$G$7,5,FALSE())),"")</f>
        <v>0.6</v>
      </c>
      <c r="J494" s="91">
        <f t="shared" si="122"/>
        <v>0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0</v>
      </c>
      <c r="I495" s="90">
        <f>IFERROR(IF($D495="","",VLOOKUP($D495,Cadastro!$C$4:$G$7,5,FALSE())),"")</f>
        <v>0.6</v>
      </c>
      <c r="J495" s="91">
        <f t="shared" si="122"/>
        <v>0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0</v>
      </c>
      <c r="I496" s="90">
        <f>IFERROR(IF($D496="","",VLOOKUP($D496,Cadastro!$C$4:$G$7,5,FALSE())),"")</f>
        <v>0.6</v>
      </c>
      <c r="J496" s="91">
        <f t="shared" si="122"/>
        <v>0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/>
      <c r="H497" s="88" t="str">
        <f>IFERROR(IF($G497="","",$G497*$S$500/$G$500/Cadastro!$E$33),"")</f>
        <v/>
      </c>
      <c r="I497" s="90">
        <f>IFERROR(IF($D497="","",VLOOKUP($D497,Cadastro!$C$4:$G$7,5,FALSE())),"")</f>
        <v>0.6</v>
      </c>
      <c r="J497" s="91" t="str">
        <f t="shared" si="122"/>
        <v/>
      </c>
      <c r="K497" s="69" t="str">
        <f t="shared" si="123"/>
        <v/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/>
      <c r="H498" s="88" t="str">
        <f>IFERROR(IF($G498="","",$G498*$S$500/$G$500/Cadastro!$E$33),"")</f>
        <v/>
      </c>
      <c r="I498" s="90">
        <f>IFERROR(IF($D498="","",VLOOKUP($D498,Cadastro!$C$4:$G$7,5,FALSE())),"")</f>
        <v>0.6</v>
      </c>
      <c r="J498" s="91" t="str">
        <f t="shared" si="122"/>
        <v/>
      </c>
      <c r="K498" s="64" t="str">
        <f t="shared" si="123"/>
        <v/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/>
      <c r="H499" s="92" t="str">
        <f>IFERROR(IF($G499="","",$G499*$S$500/$G$500/Cadastro!$E$33),"")</f>
        <v/>
      </c>
      <c r="I499" s="93">
        <f>IFERROR(IF($D499="","",VLOOKUP($D499,Cadastro!$C$4:$G$7,5,FALSE())),"")</f>
        <v>0.6</v>
      </c>
      <c r="J499" s="94" t="str">
        <f t="shared" si="122"/>
        <v/>
      </c>
      <c r="K499" s="69" t="str">
        <f t="shared" si="123"/>
        <v/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4" t="s">
        <v>260</v>
      </c>
      <c r="B500" s="154"/>
      <c r="C500" s="154"/>
      <c r="D500" s="154"/>
      <c r="E500" s="154"/>
      <c r="F500" s="95"/>
      <c r="G500" s="96">
        <f>SUM(G488:G499)</f>
        <v>157</v>
      </c>
      <c r="H500" s="95">
        <f>IFERROR(SUM(H488:H499),"")</f>
        <v>0</v>
      </c>
      <c r="I500" s="97"/>
      <c r="J500" s="98">
        <f>IFERROR(SUM(J488:J499),"")</f>
        <v>0</v>
      </c>
      <c r="K500" s="2">
        <f>SUM(K488:K499)</f>
        <v>665</v>
      </c>
      <c r="L500" s="72"/>
      <c r="M500" s="72"/>
      <c r="N500" s="72"/>
      <c r="O500" s="134"/>
      <c r="P500" s="134"/>
      <c r="Q500" s="73">
        <f ca="1">IFERROR(SUM(Q488:Q499),"")</f>
        <v>5.2529861104751607E-2</v>
      </c>
      <c r="R500" s="2" t="s">
        <v>261</v>
      </c>
      <c r="S500" s="74"/>
      <c r="T500" s="99">
        <f>IFERROR(J500,"")</f>
        <v>0</v>
      </c>
    </row>
    <row r="501" spans="1:20" ht="15" customHeight="1">
      <c r="A501" s="18">
        <v>46253</v>
      </c>
      <c r="B501" s="68">
        <v>0.83333333333333304</v>
      </c>
      <c r="C501" s="70"/>
      <c r="D501" s="75"/>
      <c r="E501" s="100"/>
      <c r="F501" s="101" t="str">
        <f>IFERROR(IF($D501="","",VLOOKUP($D501,Cadastro!$C$4:$E$7,3,FALSE())),"")</f>
        <v/>
      </c>
      <c r="G501" s="89"/>
      <c r="H501" s="101" t="str">
        <f>IFERROR(IF($G501="","",$G501*$S$513/$G$513/Cadastro!$E$33),"")</f>
        <v/>
      </c>
      <c r="I501" s="102" t="str">
        <f>IFERROR(IF($D501="","",VLOOKUP($D501,Cadastro!$C$4:$G$7,5,FALSE())),"")</f>
        <v/>
      </c>
      <c r="J501" s="103" t="str">
        <f t="shared" ref="J501:J512" si="126">IFERROR(IF($H501="","",$H501*$F501*$I501),"")</f>
        <v/>
      </c>
      <c r="K501" s="69" t="str">
        <f t="shared" ref="K501:K512" si="127">IF(G501="","",IF(E501="PC 17",G501*4.2,IF(E501="PC 19",G501*5,IF(E501="CB",G501*24,""))))</f>
        <v/>
      </c>
      <c r="L501" s="70"/>
      <c r="M501" s="70"/>
      <c r="N501" s="70"/>
      <c r="O501" s="65"/>
      <c r="P501" s="65"/>
      <c r="Q501" s="71" t="str">
        <f t="shared" ref="Q501:Q512" ca="1" si="128">IFERROR(IF(O501="","",IF(P501="",MOD(NOW()-O501,1),IF(P501&gt;=O501,P501-O501,P501+1-O501))),"")</f>
        <v/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/>
      <c r="D502" s="75"/>
      <c r="E502" s="100"/>
      <c r="F502" s="88" t="str">
        <f>IFERROR(IF($D502="","",VLOOKUP($D502,Cadastro!$C$4:$E$7,3,FALSE())),"")</f>
        <v/>
      </c>
      <c r="G502" s="89"/>
      <c r="H502" s="88" t="str">
        <f>IFERROR(IF($G502="","",$G502*$S$513/$G$513/Cadastro!$E$33),"")</f>
        <v/>
      </c>
      <c r="I502" s="90" t="str">
        <f>IFERROR(IF($D502="","",VLOOKUP($D502,Cadastro!$C$4:$G$7,5,FALSE())),"")</f>
        <v/>
      </c>
      <c r="J502" s="91" t="str">
        <f t="shared" si="126"/>
        <v/>
      </c>
      <c r="K502" s="64" t="str">
        <f t="shared" si="127"/>
        <v/>
      </c>
      <c r="L502" s="61"/>
      <c r="M502" s="61"/>
      <c r="N502" s="61"/>
      <c r="O502" s="65"/>
      <c r="P502" s="65"/>
      <c r="Q502" s="66" t="str">
        <f t="shared" ca="1" si="128"/>
        <v/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/>
      <c r="D503" s="75"/>
      <c r="E503" s="100"/>
      <c r="F503" s="88" t="str">
        <f>IFERROR(IF($D503="","",VLOOKUP($D503,Cadastro!$C$4:$E$7,3,FALSE())),"")</f>
        <v/>
      </c>
      <c r="G503" s="89"/>
      <c r="H503" s="88" t="str">
        <f>IFERROR(IF($G503="","",$G503*$S$513/$G$513/Cadastro!$E$33),"")</f>
        <v/>
      </c>
      <c r="I503" s="90" t="str">
        <f>IFERROR(IF($D503="","",VLOOKUP($D503,Cadastro!$C$4:$G$7,5,FALSE())),"")</f>
        <v/>
      </c>
      <c r="J503" s="91" t="str">
        <f t="shared" si="126"/>
        <v/>
      </c>
      <c r="K503" s="69" t="str">
        <f t="shared" si="127"/>
        <v/>
      </c>
      <c r="L503" s="70"/>
      <c r="M503" s="70"/>
      <c r="N503" s="70"/>
      <c r="O503" s="65"/>
      <c r="P503" s="65"/>
      <c r="Q503" s="71" t="str">
        <f t="shared" ca="1" si="128"/>
        <v/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/>
      <c r="D504" s="75"/>
      <c r="E504" s="100"/>
      <c r="F504" s="88" t="str">
        <f>IFERROR(IF($D504="","",VLOOKUP($D504,Cadastro!$C$4:$E$7,3,FALSE())),"")</f>
        <v/>
      </c>
      <c r="G504" s="89"/>
      <c r="H504" s="88" t="str">
        <f>IFERROR(IF($G504="","",$G504*$S$513/$G$513/Cadastro!$E$33),"")</f>
        <v/>
      </c>
      <c r="I504" s="90" t="str">
        <f>IFERROR(IF($D504="","",VLOOKUP($D504,Cadastro!$C$4:$G$7,5,FALSE())),"")</f>
        <v/>
      </c>
      <c r="J504" s="91" t="str">
        <f t="shared" si="126"/>
        <v/>
      </c>
      <c r="K504" s="64" t="str">
        <f t="shared" si="127"/>
        <v/>
      </c>
      <c r="L504" s="61"/>
      <c r="M504" s="61"/>
      <c r="N504" s="61"/>
      <c r="O504" s="65"/>
      <c r="P504" s="65"/>
      <c r="Q504" s="66" t="str">
        <f t="shared" ca="1" si="128"/>
        <v/>
      </c>
      <c r="R504" s="63"/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/>
      <c r="D505" s="75"/>
      <c r="E505" s="100"/>
      <c r="F505" s="88" t="str">
        <f>IFERROR(IF($D505="","",VLOOKUP($D505,Cadastro!$C$4:$E$7,3,FALSE())),"")</f>
        <v/>
      </c>
      <c r="G505" s="89"/>
      <c r="H505" s="88" t="str">
        <f>IFERROR(IF($G505="","",$G505*$S$513/$G$513/Cadastro!$E$33),"")</f>
        <v/>
      </c>
      <c r="I505" s="90" t="str">
        <f>IFERROR(IF($D505="","",VLOOKUP($D505,Cadastro!$C$4:$G$7,5,FALSE())),"")</f>
        <v/>
      </c>
      <c r="J505" s="91" t="str">
        <f t="shared" si="126"/>
        <v/>
      </c>
      <c r="K505" s="69" t="str">
        <f t="shared" si="127"/>
        <v/>
      </c>
      <c r="L505" s="70"/>
      <c r="M505" s="70"/>
      <c r="N505" s="70"/>
      <c r="O505" s="65"/>
      <c r="P505" s="65"/>
      <c r="Q505" s="71" t="str">
        <f t="shared" ca="1" si="128"/>
        <v/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/>
      <c r="D506" s="75"/>
      <c r="E506" s="100"/>
      <c r="F506" s="88" t="str">
        <f>IFERROR(IF($D506="","",VLOOKUP($D506,Cadastro!$C$4:$E$7,3,FALSE())),"")</f>
        <v/>
      </c>
      <c r="G506" s="89"/>
      <c r="H506" s="88" t="str">
        <f>IFERROR(IF($G506="","",$G506*$S$513/$G$513/Cadastro!$E$33),"")</f>
        <v/>
      </c>
      <c r="I506" s="90" t="str">
        <f>IFERROR(IF($D506="","",VLOOKUP($D506,Cadastro!$C$4:$G$7,5,FALSE())),"")</f>
        <v/>
      </c>
      <c r="J506" s="91" t="str">
        <f t="shared" si="126"/>
        <v/>
      </c>
      <c r="K506" s="64" t="str">
        <f t="shared" si="127"/>
        <v/>
      </c>
      <c r="L506" s="61"/>
      <c r="M506" s="61"/>
      <c r="N506" s="61"/>
      <c r="O506" s="65"/>
      <c r="P506" s="65"/>
      <c r="Q506" s="66" t="str">
        <f t="shared" ca="1" si="128"/>
        <v/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/>
      <c r="D507" s="75"/>
      <c r="E507" s="100"/>
      <c r="F507" s="88" t="str">
        <f>IFERROR(IF($D507="","",VLOOKUP($D507,Cadastro!$C$4:$E$7,3,FALSE())),"")</f>
        <v/>
      </c>
      <c r="G507" s="89"/>
      <c r="H507" s="88" t="str">
        <f>IFERROR(IF($G507="","",$G507*$S$513/$G$513/Cadastro!$E$33),"")</f>
        <v/>
      </c>
      <c r="I507" s="90" t="str">
        <f>IFERROR(IF($D507="","",VLOOKUP($D507,Cadastro!$C$4:$G$7,5,FALSE())),"")</f>
        <v/>
      </c>
      <c r="J507" s="91" t="str">
        <f t="shared" si="126"/>
        <v/>
      </c>
      <c r="K507" s="69" t="str">
        <f t="shared" si="127"/>
        <v/>
      </c>
      <c r="L507" s="70"/>
      <c r="M507" s="70"/>
      <c r="N507" s="70"/>
      <c r="O507" s="65"/>
      <c r="P507" s="65"/>
      <c r="Q507" s="71" t="str">
        <f t="shared" ca="1" si="128"/>
        <v/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/>
      <c r="D508" s="75"/>
      <c r="E508" s="100"/>
      <c r="F508" s="88" t="str">
        <f>IFERROR(IF($D508="","",VLOOKUP($D508,Cadastro!$C$4:$E$7,3,FALSE())),"")</f>
        <v/>
      </c>
      <c r="G508" s="89"/>
      <c r="H508" s="88" t="str">
        <f>IFERROR(IF($G508="","",$G508*$S$513/$G$513/Cadastro!$E$33),"")</f>
        <v/>
      </c>
      <c r="I508" s="90" t="str">
        <f>IFERROR(IF($D508="","",VLOOKUP($D508,Cadastro!$C$4:$G$7,5,FALSE())),"")</f>
        <v/>
      </c>
      <c r="J508" s="91" t="str">
        <f t="shared" si="126"/>
        <v/>
      </c>
      <c r="K508" s="64" t="str">
        <f t="shared" si="127"/>
        <v/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/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6"/>
        <v/>
      </c>
      <c r="K509" s="69" t="str">
        <f t="shared" si="127"/>
        <v/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/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6"/>
        <v/>
      </c>
      <c r="K510" s="64" t="str">
        <f t="shared" si="127"/>
        <v/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/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6"/>
        <v/>
      </c>
      <c r="K511" s="69" t="str">
        <f t="shared" si="127"/>
        <v/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/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6"/>
        <v/>
      </c>
      <c r="K512" s="64" t="str">
        <f t="shared" si="127"/>
        <v/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4" t="s">
        <v>263</v>
      </c>
      <c r="B513" s="154"/>
      <c r="C513" s="154"/>
      <c r="D513" s="154"/>
      <c r="E513" s="154"/>
      <c r="F513" s="105"/>
      <c r="G513" s="96">
        <f>SUM(G501:G512)</f>
        <v>0</v>
      </c>
      <c r="H513" s="105">
        <f>IFERROR(SUM(H501:H512),"")</f>
        <v>0</v>
      </c>
      <c r="I513" s="106"/>
      <c r="J513" s="107">
        <f>IFERROR(SUM(J501:J512),"")</f>
        <v>0</v>
      </c>
      <c r="K513" s="2">
        <f>SUM(K501:K512)</f>
        <v>0</v>
      </c>
      <c r="L513" s="72"/>
      <c r="M513" s="72"/>
      <c r="N513" s="72"/>
      <c r="O513" s="134"/>
      <c r="P513" s="134"/>
      <c r="Q513" s="73">
        <f ca="1">IFERROR(SUM(Q501:Q512),"")</f>
        <v>0</v>
      </c>
      <c r="R513" s="2" t="s">
        <v>261</v>
      </c>
      <c r="S513" s="74"/>
      <c r="T513" s="99">
        <f>IFERROR(J513,"")</f>
        <v>0</v>
      </c>
    </row>
    <row r="514" spans="1:20" ht="18" customHeight="1">
      <c r="A514" s="153" t="s">
        <v>249</v>
      </c>
      <c r="B514" s="153"/>
      <c r="C514" s="153"/>
      <c r="D514" s="153"/>
      <c r="E514" s="153"/>
      <c r="F514" s="108"/>
      <c r="G514" s="109">
        <f>G500+G513</f>
        <v>157</v>
      </c>
      <c r="H514" s="108">
        <f>IFERROR(H500+H513,"")</f>
        <v>0</v>
      </c>
      <c r="I514" s="110"/>
      <c r="J514" s="111">
        <f>IFERROR(J500+J513,"")</f>
        <v>0</v>
      </c>
      <c r="K514" s="1">
        <f>K500+K513</f>
        <v>665</v>
      </c>
      <c r="L514" s="76"/>
      <c r="M514" s="76"/>
      <c r="N514" s="76"/>
      <c r="O514" s="135"/>
      <c r="P514" s="135"/>
      <c r="Q514" s="77">
        <f ca="1">IFERROR(Q500+Q513,"")</f>
        <v>5.2529861104751607E-2</v>
      </c>
      <c r="R514" s="1" t="s">
        <v>264</v>
      </c>
      <c r="S514" s="82">
        <f>IFERROR(S500+S513,"")</f>
        <v>0</v>
      </c>
      <c r="T514" s="118">
        <f>IFERROR(J514,"")</f>
        <v>0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30">IFERROR(IF($H515="","",$H515*$F515*$I515),"")</f>
        <v/>
      </c>
      <c r="K515" s="69" t="str">
        <f t="shared" ref="K515:K526" si="131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32">IFERROR(IF(O515="","",IF(P515="",MOD(NOW()-O515,1),IF(P515&gt;=O515,P515-O515,P515+1-O515))),"")</f>
        <v/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30"/>
        <v/>
      </c>
      <c r="K516" s="64" t="str">
        <f t="shared" si="131"/>
        <v/>
      </c>
      <c r="L516" s="70"/>
      <c r="M516" s="61"/>
      <c r="N516" s="70"/>
      <c r="O516" s="65"/>
      <c r="P516" s="65"/>
      <c r="Q516" s="66" t="str">
        <f t="shared" ca="1" si="132"/>
        <v/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30"/>
        <v/>
      </c>
      <c r="K517" s="69" t="str">
        <f t="shared" si="131"/>
        <v/>
      </c>
      <c r="L517" s="70"/>
      <c r="M517" s="70"/>
      <c r="N517" s="70"/>
      <c r="O517" s="65"/>
      <c r="P517" s="65"/>
      <c r="Q517" s="71" t="str">
        <f t="shared" ca="1" si="132"/>
        <v/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30"/>
        <v/>
      </c>
      <c r="K518" s="64" t="str">
        <f t="shared" si="131"/>
        <v/>
      </c>
      <c r="L518" s="70"/>
      <c r="M518" s="61"/>
      <c r="N518" s="61"/>
      <c r="O518" s="65"/>
      <c r="P518" s="65"/>
      <c r="Q518" s="66" t="str">
        <f t="shared" ca="1" si="132"/>
        <v/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30"/>
        <v/>
      </c>
      <c r="K519" s="69" t="str">
        <f t="shared" si="131"/>
        <v/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4" t="s">
        <v>260</v>
      </c>
      <c r="B527" s="154"/>
      <c r="C527" s="154"/>
      <c r="D527" s="154"/>
      <c r="E527" s="154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0</v>
      </c>
      <c r="L527" s="72"/>
      <c r="M527" s="72"/>
      <c r="N527" s="72"/>
      <c r="O527" s="134"/>
      <c r="P527" s="134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4" t="s">
        <v>263</v>
      </c>
      <c r="B540" s="154"/>
      <c r="C540" s="154"/>
      <c r="D540" s="154"/>
      <c r="E540" s="154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134"/>
      <c r="P540" s="134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3" t="s">
        <v>249</v>
      </c>
      <c r="B541" s="153"/>
      <c r="C541" s="153"/>
      <c r="D541" s="153"/>
      <c r="E541" s="153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135"/>
      <c r="P541" s="135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63"/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>
      <c r="A554" s="154" t="s">
        <v>260</v>
      </c>
      <c r="B554" s="154"/>
      <c r="C554" s="154"/>
      <c r="D554" s="154"/>
      <c r="E554" s="154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134"/>
      <c r="P554" s="134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4" t="s">
        <v>263</v>
      </c>
      <c r="B567" s="154"/>
      <c r="C567" s="154"/>
      <c r="D567" s="154"/>
      <c r="E567" s="154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3" t="s">
        <v>249</v>
      </c>
      <c r="B568" s="153"/>
      <c r="C568" s="153"/>
      <c r="D568" s="153"/>
      <c r="E568" s="153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135"/>
      <c r="P568" s="135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4" t="s">
        <v>260</v>
      </c>
      <c r="B581" s="154"/>
      <c r="C581" s="154"/>
      <c r="D581" s="154"/>
      <c r="E581" s="154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4" t="s">
        <v>263</v>
      </c>
      <c r="B594" s="154"/>
      <c r="C594" s="154"/>
      <c r="D594" s="154"/>
      <c r="E594" s="154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3" t="s">
        <v>249</v>
      </c>
      <c r="B595" s="153"/>
      <c r="C595" s="153"/>
      <c r="D595" s="153"/>
      <c r="E595" s="153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4" t="s">
        <v>260</v>
      </c>
      <c r="B608" s="154"/>
      <c r="C608" s="154"/>
      <c r="D608" s="154"/>
      <c r="E608" s="154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4" t="s">
        <v>263</v>
      </c>
      <c r="B621" s="154"/>
      <c r="C621" s="154"/>
      <c r="D621" s="154"/>
      <c r="E621" s="154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3" t="s">
        <v>249</v>
      </c>
      <c r="B622" s="153"/>
      <c r="C622" s="153"/>
      <c r="D622" s="153"/>
      <c r="E622" s="153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4" t="s">
        <v>260</v>
      </c>
      <c r="B635" s="154"/>
      <c r="C635" s="154"/>
      <c r="D635" s="154"/>
      <c r="E635" s="154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4" t="s">
        <v>263</v>
      </c>
      <c r="B648" s="154"/>
      <c r="C648" s="154"/>
      <c r="D648" s="154"/>
      <c r="E648" s="154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3" t="s">
        <v>249</v>
      </c>
      <c r="B649" s="153"/>
      <c r="C649" s="153"/>
      <c r="D649" s="153"/>
      <c r="E649" s="153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4" t="s">
        <v>260</v>
      </c>
      <c r="B662" s="154"/>
      <c r="C662" s="154"/>
      <c r="D662" s="154"/>
      <c r="E662" s="154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4" t="s">
        <v>263</v>
      </c>
      <c r="B675" s="154"/>
      <c r="C675" s="154"/>
      <c r="D675" s="154"/>
      <c r="E675" s="154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3" t="s">
        <v>249</v>
      </c>
      <c r="B676" s="153"/>
      <c r="C676" s="153"/>
      <c r="D676" s="153"/>
      <c r="E676" s="153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4" t="s">
        <v>260</v>
      </c>
      <c r="B689" s="154"/>
      <c r="C689" s="154"/>
      <c r="D689" s="154"/>
      <c r="E689" s="154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4" t="s">
        <v>263</v>
      </c>
      <c r="B702" s="154"/>
      <c r="C702" s="154"/>
      <c r="D702" s="154"/>
      <c r="E702" s="154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3" t="s">
        <v>249</v>
      </c>
      <c r="B703" s="153"/>
      <c r="C703" s="153"/>
      <c r="D703" s="153"/>
      <c r="E703" s="153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4" t="s">
        <v>260</v>
      </c>
      <c r="B716" s="154"/>
      <c r="C716" s="154"/>
      <c r="D716" s="154"/>
      <c r="E716" s="154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4" t="s">
        <v>263</v>
      </c>
      <c r="B729" s="154"/>
      <c r="C729" s="154"/>
      <c r="D729" s="154"/>
      <c r="E729" s="154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3" t="s">
        <v>249</v>
      </c>
      <c r="B730" s="153"/>
      <c r="C730" s="153"/>
      <c r="D730" s="153"/>
      <c r="E730" s="153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4" t="s">
        <v>260</v>
      </c>
      <c r="B743" s="154"/>
      <c r="C743" s="154"/>
      <c r="D743" s="154"/>
      <c r="E743" s="154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4" t="s">
        <v>263</v>
      </c>
      <c r="B756" s="154"/>
      <c r="C756" s="154"/>
      <c r="D756" s="154"/>
      <c r="E756" s="154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3" t="s">
        <v>249</v>
      </c>
      <c r="B757" s="153"/>
      <c r="C757" s="153"/>
      <c r="D757" s="153"/>
      <c r="E757" s="153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4" t="s">
        <v>260</v>
      </c>
      <c r="B770" s="154"/>
      <c r="C770" s="154"/>
      <c r="D770" s="154"/>
      <c r="E770" s="154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4" t="s">
        <v>263</v>
      </c>
      <c r="B783" s="154"/>
      <c r="C783" s="154"/>
      <c r="D783" s="154"/>
      <c r="E783" s="154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3" t="s">
        <v>249</v>
      </c>
      <c r="B784" s="153"/>
      <c r="C784" s="153"/>
      <c r="D784" s="153"/>
      <c r="E784" s="153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4" t="s">
        <v>260</v>
      </c>
      <c r="B797" s="154"/>
      <c r="C797" s="154"/>
      <c r="D797" s="154"/>
      <c r="E797" s="154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4" t="s">
        <v>263</v>
      </c>
      <c r="B810" s="154"/>
      <c r="C810" s="154"/>
      <c r="D810" s="154"/>
      <c r="E810" s="154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3" t="s">
        <v>249</v>
      </c>
      <c r="B811" s="153"/>
      <c r="C811" s="153"/>
      <c r="D811" s="153"/>
      <c r="E811" s="153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4" t="s">
        <v>260</v>
      </c>
      <c r="B824" s="154"/>
      <c r="C824" s="154"/>
      <c r="D824" s="154"/>
      <c r="E824" s="154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4" t="s">
        <v>263</v>
      </c>
      <c r="B837" s="154"/>
      <c r="C837" s="154"/>
      <c r="D837" s="154"/>
      <c r="E837" s="154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3" t="s">
        <v>249</v>
      </c>
      <c r="B838" s="153"/>
      <c r="C838" s="153"/>
      <c r="D838" s="153"/>
      <c r="E838" s="153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dfRPgXhTQwsFGwHGTBGCfrGej3jH2dpuWbMlNWIVOIidfYQ287ObjJ2finMWh23loXamaW1R3AISQcwSy5UzcA==" saltValue="w5BbqAfU/RjRcT0QW6msh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4B32959-3F17-4606-A7DA-57182556EC1F}"/>
</file>

<file path=customXml/itemProps2.xml><?xml version="1.0" encoding="utf-8"?>
<ds:datastoreItem xmlns:ds="http://schemas.openxmlformats.org/officeDocument/2006/customXml" ds:itemID="{32B1A3CF-5FC7-4FEA-8536-053612F4F612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2026-08-19T20:01:53Z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