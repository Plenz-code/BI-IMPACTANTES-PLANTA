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02" documentId="13_ncr:1_{0A10D8D4-8450-4366-8075-B53B08E6B7EA}" xr6:coauthVersionLast="47" xr6:coauthVersionMax="47" xr10:uidLastSave="{B8F1BE8E-FBFC-4808-98CA-BA7FFDB6E8CD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7" i="6" l="1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<sst xmlns="http://schemas.openxmlformats.org/spreadsheetml/2006/main" count="6136" uniqueCount="340">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</sst>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240</v>
      </c>
      <c r="G351" s="36">
        <f>SUM(G339:G350)</f>
        <v>1200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472</v>
      </c>
      <c r="G352" s="40">
        <f>G338+G351</f>
        <v>2360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G349" sqref="G3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9.0682175919937436E-2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0.22957106480882633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0.31429328703104864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144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604.79999999999995</v>
      </c>
      <c r="L351" s="37"/>
      <c r="M351" s="37"/>
      <c r="N351" s="37"/>
      <c r="O351" s="37"/>
      <c r="P351" s="37"/>
      <c r="Q351" s="38">
        <f ca="1">IFERROR(SUM(Q339:Q350),"")</f>
        <v>0.12152777777777793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181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777.8</v>
      </c>
      <c r="L352" s="41"/>
      <c r="M352" s="41"/>
      <c r="N352" s="41"/>
      <c r="O352" s="41"/>
      <c r="P352" s="41"/>
      <c r="Q352" s="42">
        <f ca="1">IFERROR(Q338+Q351,"")</f>
        <v>0.46388888888888891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0" activePane="bottomLeft" state="frozen"/>
      <selection pane="bottomLeft" activeCell="G349" sqref="G3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6"/>
        <v>0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52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218.40000000000003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113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515.40000000000009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15" activePane="bottomLeft" state="frozen"/>
      <selection pane="bottomLeft" activeCell="G349" sqref="G34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/>
      <c r="Q346" s="30">
        <f t="shared" ca="1" si="80"/>
        <v>1.8459953702404164E-2</v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213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894.6</v>
      </c>
      <c r="L351" s="37"/>
      <c r="M351" s="37"/>
      <c r="N351" s="37"/>
      <c r="O351" s="61"/>
      <c r="P351" s="61"/>
      <c r="Q351" s="38">
        <f ca="1">IFERROR(SUM(Q339:Q350),"")</f>
        <v>6.220995370240414E-2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430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1862.8000000000002</v>
      </c>
      <c r="L352" s="41"/>
      <c r="M352" s="41"/>
      <c r="N352" s="41"/>
      <c r="O352" s="63"/>
      <c r="P352" s="63"/>
      <c r="Q352" s="42">
        <f ca="1">IFERROR(Q338+Q351,"")</f>
        <v>0.10318217592462628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2026-08-14T09:05:54Z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