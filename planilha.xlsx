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54" documentId="8_{AF585B22-221D-4780-BB9C-493D365A6A02}" xr6:coauthVersionLast="47" xr6:coauthVersionMax="47" xr10:uidLastSave="{CB07B165-06C8-4896-960B-6738A75A793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<sst xmlns="http://schemas.openxmlformats.org/spreadsheetml/2006/main" count="4702" uniqueCount="288">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</sst>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4" sqref="F2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135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135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4.5833333333333337E-2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4.5833333333333337E-2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J272" sqref="J2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0.14644386574218515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0.34574942129774078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0.7131105324088518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/>
      <c r="M272" s="30">
        <f t="shared" ref="M272:M277" ca="1" si="61">IFERROR(IF(K272="","",IF(L272="",MOD(NOW()-K272,1),IF(L272&gt;=K272,L272-K272,L272+1-K272))),"")</f>
        <v>1.3110532403516117E-2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41</v>
      </c>
      <c r="G284" s="36">
        <f>SUM(G272:G283)</f>
        <v>172.2</v>
      </c>
      <c r="H284" s="37"/>
      <c r="I284" s="37"/>
      <c r="J284" s="37"/>
      <c r="K284" s="61"/>
      <c r="L284" s="61"/>
      <c r="M284" s="38">
        <f ca="1">IFERROR(SUM(M272:M283),"")</f>
        <v>1.3110532403516117E-2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41</v>
      </c>
      <c r="G298" s="40">
        <f>G284+G297</f>
        <v>172.2</v>
      </c>
      <c r="H298" s="41"/>
      <c r="I298" s="41"/>
      <c r="J298" s="41"/>
      <c r="K298" s="63"/>
      <c r="L298" s="63"/>
      <c r="M298" s="42">
        <f ca="1">IFERROR(M284+M297,"")</f>
        <v>1.3110532403516117E-2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