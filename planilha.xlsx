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38" documentId="8_{C51EB6CB-002B-4D6B-B68F-DDEBDB4460C0}" xr6:coauthVersionLast="47" xr6:coauthVersionMax="47" xr10:uidLastSave="{8C2A00E9-8B32-4D71-8FE2-A2DA952AD6DC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<sst xmlns="http://schemas.openxmlformats.org/spreadsheetml/2006/main" count="2045" uniqueCount="259">
  <si>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</si>
  <si>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</si>
  <si>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</si>
  <si>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</si>
  <si>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</si>
  <si>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</si>
  <si>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</si>
  <si>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</si>
  <si>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</si>
  <si>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</si>
  <si>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</si>
  <si>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</si>
  <si>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</si>
  <si>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</si>
  <si>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</si>
  <si>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</si>
  <si>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</si>
  <si>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</si>
  <si>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</si>
  <si>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</si>
  <si>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</si>
  <si>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</si>
  <si>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</si>
  <si>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</si>
  <si>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</si>
  <si>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</si>
  <si>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</si>
  <si>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</si>
  <si>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</si>
  <si>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</si>
  <si>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</si>
  <si>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</si>
  <si>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</si>
  <si>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</si>
  <si>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</si>
  <si>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</si>
  <si>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</si>
  <si>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</si>
  <si>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</si>
  <si>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</si>
  <si>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</si>
  <si>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</si>
  <si>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</si>
  <si>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</si>
  <si>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</si>
  <si>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</si>
  <si>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</si>
  <si>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</si>
  <si>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</si>
  <si>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</si>
  <si>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</si>
  <si>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</si>
  <si>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</si>
  <si>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</si>
  <si>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</si>
  <si>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</si>
  <si>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</si>
  <si>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</si>
  <si>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</si>
  <si>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</si>
  <si>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</si>
  <si>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</si>
  <si>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</si>
  <si>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</si>
  <si>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</si>
  <si>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</si>
  <si>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</si>
  <si>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</si>
  <si>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</si>
  <si>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</si>
  <si>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</si>
  <si>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</si>
  <si>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</si>
  <si>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</si>
  <si>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</si>
  <si>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</si>
  <si>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</si>
  <si>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</si>
  <si>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</si>
  <si>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</si>
  <si>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</si>
  <si>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</si>
  <si>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</si>
  <si>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</si>
  <si>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</si>
  <si>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</si>
  <si>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</si>
  <si>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</si>
  <si>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</si>
  <si>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</si>
  <si>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</si>
  <si>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</si>
  <si>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</si>
  <si>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</si>
  <si>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</si>
  <si>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</si>
  <si>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</si>
  <si>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</si>
  <si>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</si>
  <si>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</si>
  <si>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</si>
  <si>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</si>
  <si>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</si>
  <si>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</si>
  <si>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</si>
  <si>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</si>
  <si>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</si>
  <si>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</si>
  <si>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</si>
  <si>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</si>
  <si>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</si>
  <si>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</si>
  <si>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</si>
  <si>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</si>
  <si>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</si>
  <si>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</si>
  <si>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</si>
  <si>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</si>
  <si>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</si>
  <si>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</si>
  <si>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</si>
  <si>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</si>
  <si>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</si>
  <si>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</si>
  <si>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</si>
  <si>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</si>
  <si>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</si>
  <si>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</si>
  <si>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</si>
  <si>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</si>
  <si>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</si>
  <si>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</si>
  <si>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</si>
  <si>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</si>
  <si>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</si>
  <si>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</si>
  <si>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</si>
  <si>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</si>
  <si>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</si>
  <si>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</si>
  <si>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</si>
  <si>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</si>
  <si>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</si>
  <si>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</si>
  <si>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</si>
  <si>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</si>
  <si>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</si>
  <si>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</si>
  <si>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</si>
  <si>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</si>
  <si>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</si>
  <si>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</si>
  <si>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</si>
  <si>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</si>
  <si>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</si>
  <si>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</si>
  <si>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</si>
  <si>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</si>
  <si>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</si>
  <si>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</si>
  <si>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</si>
  <si>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</si>
  <si>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</si>
  <si>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</si>
  <si>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</si>
  <si>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</si>
  <si>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</si>
  <si>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</si>
  <si>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</si>
  <si>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</si>
  <si>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</si>
  <si>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</si>
  <si>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</si>
  <si>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</si>
  <si>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</si>
  <si>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</si>
  <si>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</si>
  <si>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</si>
  <si>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</si>
  <si>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</si>
  <si>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</si>
  <si>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</si>
  <si>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</si>
  <si>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</si>
  <si>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</si>
  <si>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</si>
  <si>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</si>
  <si>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</si>
  <si>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</si>
  <si>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</si>
  <si>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</si>
  <si>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</si>
  <si>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</si>
  <si>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</si>
  <si>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</si>
  <si>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</si>
  <si>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</si>
  <si>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</si>
  <si>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</si>
  <si>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</si>
  <si>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</si>
  <si>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</si>
  <si>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</si>
  <si>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</si>
  <si>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</si>
  <si>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</si>
  <si>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</si>
  <si>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</si>
  <si>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</si>
  <si>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</si>
  <si>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</si>
  <si>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</si>
  <si>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</si>
  <si>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</si>
  <si>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</si>
  <si>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</si>
  <si>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</si>
  <si>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</si>
  <si>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</si>
  <si>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</si>
  <si>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</si>
  <si>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</si>
  <si>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</si>
  <si>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</si>
  <si>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</si>
  <si>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</si>
  <si>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</si>
  <si>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</si>
  <si>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</si>
  <si>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</si>
  <si>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</si>
  <si>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</si>
  <si>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</si>
  <si>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</si>
  <si>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</si>
  <si>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</si>
  <si>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</si>
  <si>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</si>
  <si>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</si>
  <si>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</si>
  <si>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</si>
  <si>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</si>
  <si>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</si>
  <si>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</si>
  <si>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</si>
  <si>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</si>
  <si>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</si>
  <si>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</si>
  <si>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</si>
  <si>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</si>
  <si>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</si>
  <si>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</si>
  <si>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</si>
  <si>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</si>
  <si>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</si>
  <si>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colocar chapa na bica</t>
  </si>
  <si>
    <t>solda no queixo ,revestimento gasto</t>
  </si>
  <si>
    <t>troca de martelo mm 4\5</t>
  </si>
  <si>
    <t>processando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</si>
</sst>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54" activePane="bottomLeft" state="frozen"/>
      <selection pane="bottomLeft" activeCell="F60" sqref="F6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229</v>
      </c>
      <c r="O54" s="39">
        <v>981310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233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227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227</v>
      </c>
      <c r="F57" s="27">
        <v>16</v>
      </c>
      <c r="G57" s="34">
        <f t="shared" si="12"/>
        <v>80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227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227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227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227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227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227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227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227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227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227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116</v>
      </c>
      <c r="G68" s="36">
        <f>SUM(G56:G67)</f>
        <v>580</v>
      </c>
      <c r="H68" s="37"/>
      <c r="I68" s="37"/>
      <c r="J68" s="37"/>
      <c r="K68" s="37"/>
      <c r="L68" s="37"/>
      <c r="M68" s="38">
        <f ca="1">IFERROR(SUM(M56:M67),"")</f>
        <v>2.777777777777779E-2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116</v>
      </c>
      <c r="G82" s="40">
        <f>G68+G81</f>
        <v>580</v>
      </c>
      <c r="H82" s="41"/>
      <c r="I82" s="41"/>
      <c r="J82" s="41"/>
      <c r="K82" s="41"/>
      <c r="L82" s="41"/>
      <c r="M82" s="42">
        <f ca="1">IFERROR(M68+M81,"")</f>
        <v>2.777777777777779E-2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53" activePane="bottomLeft" state="frozen"/>
      <selection pane="bottomLeft" activeCell="H61" sqref="H6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0.33748437499889405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0.47637326388778295</v>
      </c>
      <c r="N54" s="36" t="s">
        <v>229</v>
      </c>
      <c r="O54" s="84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0.56109548611000526</v>
      </c>
      <c r="N55" s="40" t="s">
        <v>233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/>
      <c r="G59" s="34" t="str">
        <f t="shared" si="12"/>
        <v/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39</v>
      </c>
      <c r="G68" s="36">
        <f>SUM(G56:G67)</f>
        <v>163.80000000000001</v>
      </c>
      <c r="H68" s="37"/>
      <c r="I68" s="37"/>
      <c r="J68" s="37"/>
      <c r="K68" s="37"/>
      <c r="L68" s="37"/>
      <c r="M68" s="38">
        <f ca="1">IFERROR(SUM(M56:M67),"")</f>
        <v>3.6805555555555543E-2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26"/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39</v>
      </c>
      <c r="G82" s="40">
        <f>G68+G81</f>
        <v>163.80000000000001</v>
      </c>
      <c r="H82" s="41"/>
      <c r="I82" s="41"/>
      <c r="J82" s="41"/>
      <c r="K82" s="41"/>
      <c r="L82" s="41"/>
      <c r="M82" s="42">
        <f ca="1">IFERROR(M68+M81,"")</f>
        <v>3.6805555555555543E-2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2" zoomScale="50" zoomScaleNormal="50" workbookViewId="0">
      <selection activeCell="I63" sqref="I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229</v>
      </c>
      <c r="O54" s="39">
        <v>279980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233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242</v>
      </c>
      <c r="F57" s="27">
        <v>4</v>
      </c>
      <c r="G57" s="34">
        <f t="shared" si="12"/>
        <v>16.8</v>
      </c>
      <c r="H57" s="33"/>
      <c r="I57" s="33"/>
      <c r="J57" s="26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3</v>
      </c>
      <c r="G58" s="28">
        <f t="shared" si="12"/>
        <v>12.600000000000001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14</v>
      </c>
      <c r="G68" s="36">
        <f>SUM(G56:G67)</f>
        <v>58.800000000000004</v>
      </c>
      <c r="H68" s="37"/>
      <c r="I68" s="37"/>
      <c r="J68" s="37"/>
      <c r="K68" s="37"/>
      <c r="L68" s="37"/>
      <c r="M68" s="38">
        <f ca="1">IFERROR(SUM(M56:M67),"")</f>
        <v>5.5555555555555358E-3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14</v>
      </c>
      <c r="G82" s="40">
        <f>G68+G81</f>
        <v>58.800000000000004</v>
      </c>
      <c r="H82" s="41"/>
      <c r="I82" s="41"/>
      <c r="J82" s="41"/>
      <c r="K82" s="41"/>
      <c r="L82" s="41"/>
      <c r="M82" s="42">
        <f ca="1">IFERROR(M68+M81,"")</f>
        <v>5.5555555555555358E-3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6" activePane="bottomLeft" state="frozen"/>
      <selection pane="bottomLeft" activeCell="L57" sqref="L5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229</v>
      </c>
      <c r="O54" s="39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233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12</v>
      </c>
      <c r="G57" s="34">
        <f t="shared" si="12"/>
        <v>50.400000000000006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15</v>
      </c>
      <c r="G58" s="28">
        <f t="shared" si="12"/>
        <v>63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45</v>
      </c>
      <c r="G68" s="36">
        <f>SUM(G56:G67)</f>
        <v>189</v>
      </c>
      <c r="H68" s="37"/>
      <c r="I68" s="37"/>
      <c r="J68" s="37"/>
      <c r="K68" s="61"/>
      <c r="L68" s="61"/>
      <c r="M68" s="38">
        <f ca="1">IFERROR(SUM(M56:M67),"")</f>
        <v>5.5555555555555913E-3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45</v>
      </c>
      <c r="G82" s="40">
        <f>G68+G81</f>
        <v>189</v>
      </c>
      <c r="H82" s="41"/>
      <c r="I82" s="41"/>
      <c r="J82" s="41"/>
      <c r="K82" s="63"/>
      <c r="L82" s="63"/>
      <c r="M82" s="42">
        <f ca="1">IFERROR(M68+M81,"")</f>
        <v>5.5555555555555913E-3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2026-08-03T15:02:59Z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