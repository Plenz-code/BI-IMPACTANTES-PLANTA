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2934" documentId="8_{AF585B22-221D-4780-BB9C-493D365A6A02}" xr6:coauthVersionLast="47" xr6:coauthVersionMax="47" xr10:uidLastSave="{BC9123DF-CD15-4835-BA88-970CC1326A44}"/>
  <bookViews>
    <workbookView xWindow="-110" yWindow="-110" windowWidth="25820" windowHeight="15500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E689" i="4" l="1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<sst xmlns="http://schemas.openxmlformats.org/spreadsheetml/2006/main" count="11078" uniqueCount="410">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</sst>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4" sqref="G34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82242808</v>
      </c>
      <c r="D35" s="13">
        <f>IFERROR(SUM(D4:D34),"")</f>
        <v>33335390</v>
      </c>
      <c r="E35" s="13">
        <f>IFERROR(SUM(E4:E34),"")</f>
        <v>19278500</v>
      </c>
      <c r="F35" s="13">
        <f>IFERROR(SUM(F4:F34),"")</f>
        <v>34822210</v>
      </c>
      <c r="G35" s="13">
        <f>IFERROR(SUM(G4:G34),"")</f>
        <v>87436100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205</v>
      </c>
      <c r="L58" s="16"/>
      <c r="M58" s="16"/>
    </row>
    <row r="59" spans="1:13" ht="15" customHeight="1">
      <c r="H59" s="113"/>
      <c r="I59" s="17"/>
      <c r="J59" s="17"/>
      <c r="K59" s="17" t="s">
        <v>206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207</v>
      </c>
      <c r="L61" s="17"/>
      <c r="M61" s="17"/>
    </row>
    <row r="62" spans="1:13" ht="15" customHeight="1">
      <c r="H62" s="113"/>
      <c r="I62" s="16"/>
      <c r="J62" s="16"/>
      <c r="K62" s="16" t="s">
        <v>208</v>
      </c>
      <c r="L62" s="16"/>
      <c r="M62" s="16"/>
    </row>
    <row r="63" spans="1:13" ht="15" customHeight="1">
      <c r="H63" s="113"/>
      <c r="I63" s="17"/>
      <c r="J63" s="17"/>
      <c r="K63" s="17" t="s">
        <v>209</v>
      </c>
      <c r="L63" s="17"/>
      <c r="M63" s="17"/>
    </row>
    <row r="64" spans="1:13" ht="15" customHeight="1">
      <c r="H64" s="113"/>
      <c r="I64" s="16"/>
      <c r="J64" s="16"/>
      <c r="K64" s="16" t="s">
        <v>210</v>
      </c>
      <c r="L64" s="16"/>
      <c r="M64" s="16"/>
    </row>
    <row r="65" spans="8:13" ht="15" customHeight="1">
      <c r="H65" s="113"/>
      <c r="I65" s="17"/>
      <c r="J65" s="17"/>
      <c r="K65" s="17" t="s">
        <v>211</v>
      </c>
      <c r="L65" s="17"/>
      <c r="M65" s="17"/>
    </row>
    <row r="66" spans="8:13" ht="15" customHeight="1">
      <c r="H66" s="113"/>
      <c r="I66" s="16"/>
      <c r="J66" s="16"/>
      <c r="K66" s="16" t="s">
        <v>212</v>
      </c>
      <c r="L66" s="16"/>
      <c r="M66" s="16"/>
    </row>
    <row r="67" spans="8:13" ht="15" customHeight="1">
      <c r="H67" s="113"/>
      <c r="I67" s="17"/>
      <c r="J67" s="17"/>
      <c r="K67" s="17" t="s">
        <v>213</v>
      </c>
      <c r="L67" s="17"/>
      <c r="M67" s="17"/>
    </row>
    <row r="68" spans="8:13" ht="15" customHeight="1">
      <c r="H68" s="113"/>
      <c r="I68" s="16"/>
      <c r="J68" s="16"/>
      <c r="K68" s="16" t="s">
        <v>214</v>
      </c>
      <c r="L68" s="16"/>
      <c r="M68" s="16"/>
    </row>
    <row r="69" spans="8:13" ht="15" customHeight="1">
      <c r="H69" s="113"/>
      <c r="I69" s="17"/>
      <c r="J69" s="17"/>
      <c r="K69" s="17" t="s">
        <v>215</v>
      </c>
      <c r="L69" s="17"/>
      <c r="M69" s="17"/>
    </row>
    <row r="70" spans="8:13" ht="15" customHeight="1">
      <c r="H70" s="113"/>
      <c r="I70" s="16"/>
      <c r="J70" s="16"/>
      <c r="K70" s="16" t="s">
        <v>216</v>
      </c>
      <c r="L70" s="16"/>
      <c r="M70" s="16"/>
    </row>
    <row r="71" spans="8:13" ht="15" customHeight="1">
      <c r="H71" s="113"/>
      <c r="I71" s="17"/>
      <c r="J71" s="17"/>
      <c r="K71" s="17" t="s">
        <v>217</v>
      </c>
      <c r="L71" s="17"/>
      <c r="M71" s="17"/>
    </row>
    <row r="72" spans="8:13" ht="15" customHeight="1">
      <c r="H72" s="113"/>
      <c r="I72" s="16"/>
      <c r="J72" s="16"/>
      <c r="K72" s="16" t="s">
        <v>218</v>
      </c>
      <c r="L72" s="16"/>
      <c r="M72" s="16"/>
    </row>
    <row r="73" spans="8:13" ht="15" customHeight="1">
      <c r="H73" s="113"/>
      <c r="I73" s="17"/>
      <c r="J73" s="17"/>
      <c r="K73" s="17" t="s">
        <v>219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27" activePane="bottomLeft" state="frozen"/>
      <selection pane="bottomLeft" activeCell="D731" sqref="D731:D74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230</v>
      </c>
      <c r="E2" s="59" t="s">
        <v>231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232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231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231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231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231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231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231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231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231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231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231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231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234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231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231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231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231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231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231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231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231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231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231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231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231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234</v>
      </c>
      <c r="O27" s="39">
        <v>1183060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237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231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231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238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231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231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231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231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231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231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231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231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231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231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234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231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231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231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231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231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231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231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231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231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231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231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231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234</v>
      </c>
      <c r="O54" s="39">
        <v>959290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237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231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231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231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231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231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231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231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231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231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231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231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231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234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231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231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239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231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231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231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231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231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231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231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231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231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231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234</v>
      </c>
      <c r="O81" s="39">
        <v>878050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237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240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231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231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234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241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1700000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237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231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231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231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231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231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231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231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231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231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231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231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231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234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234</v>
      </c>
      <c r="O135" s="39">
        <v>862330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237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234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231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231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231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231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231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231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231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231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231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231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234</v>
      </c>
      <c r="O162" s="44">
        <v>1546080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237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231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231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231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231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231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231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231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231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231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231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231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231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234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231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231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231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231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231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231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231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231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231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231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231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231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>
        <v>2355810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237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231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231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231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231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231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231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231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231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231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231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231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231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234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231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231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231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231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231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231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231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231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231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231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231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234</v>
      </c>
      <c r="O216" s="45">
        <v>2013260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237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231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231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231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231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231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231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231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231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231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231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231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231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234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231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231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231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231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231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231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231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231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231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234</v>
      </c>
      <c r="O243" s="39">
        <v>1545480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237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231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243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231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231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231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231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231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231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231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231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231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231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231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234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231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231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231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231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231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231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231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231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231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231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231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>
        <v>1182690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237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231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231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231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231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231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231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231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231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231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231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231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231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234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231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244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231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231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231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245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231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245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231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245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231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245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231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245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231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245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231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245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231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245</v>
      </c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234</v>
      </c>
      <c r="O297" s="39">
        <v>1843460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237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231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246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231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231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247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231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231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231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231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231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231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231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231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234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248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231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248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248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248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231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248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>
        <v>1940000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237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231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249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231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231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231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231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231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231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231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231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231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231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234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231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231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231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231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231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231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231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231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231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231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231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231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234</v>
      </c>
      <c r="O351" s="39">
        <v>701874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237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231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250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231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231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231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231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231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231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231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231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231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231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231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234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231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231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231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231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231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231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231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231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231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231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231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231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234</v>
      </c>
      <c r="O378" s="39">
        <v>1088710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237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231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211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231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251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231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252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231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231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231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231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231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231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231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231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231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234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231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231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253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231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231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231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231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231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231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231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231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231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234</v>
      </c>
      <c r="O405" s="39">
        <v>1202270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237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231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254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231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231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255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231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231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231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231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231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256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256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231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234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231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231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231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231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231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231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231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231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231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231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231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>
        <v>1801910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237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231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215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231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231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231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231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231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231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231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231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231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231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231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234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258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216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258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258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258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258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258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258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258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258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258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258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258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234</v>
      </c>
      <c r="O459" s="39">
        <v>2675000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237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>
        <v>2310070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237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231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231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231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231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231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234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231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231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231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231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231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231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231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231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231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231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231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>
        <v>1298429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237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231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259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231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231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231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231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231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231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231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231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231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231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231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234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231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231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260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231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231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231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231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231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231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231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231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231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231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234</v>
      </c>
      <c r="O540" s="39">
        <v>1240140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237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231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208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231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231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231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231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231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231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231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231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231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231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231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234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231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231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231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231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231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231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231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231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231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231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231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231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234</v>
      </c>
      <c r="O567" s="39">
        <v>1482110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237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231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231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231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231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231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231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234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231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231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231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231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231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231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231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231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231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231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234</v>
      </c>
      <c r="O594" s="39">
        <v>1036800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237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231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231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231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231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231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231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231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231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231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231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231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231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234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262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231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231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231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231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231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231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231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231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231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234</v>
      </c>
      <c r="O621" s="39">
        <v>1295785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237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231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231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231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231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231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231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231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231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231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231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231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231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231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263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231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231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231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231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231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231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231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231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231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231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231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234</v>
      </c>
      <c r="O648" s="39">
        <v>1954490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237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231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231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231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231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231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231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231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231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231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231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231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231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234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231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264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231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231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231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231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231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231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231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231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231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231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231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234</v>
      </c>
      <c r="O675" s="39">
        <v>471180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237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231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265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231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231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231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231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231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231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231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231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231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231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231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234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231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267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231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231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231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231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231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231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231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231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231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234</v>
      </c>
      <c r="O702" s="39">
        <v>1620480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237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231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231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231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231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231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231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231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231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231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231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231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231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234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231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231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231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231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231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231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231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258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258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258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234</v>
      </c>
      <c r="O729" s="39">
        <v>1145450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237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59" t="s">
        <v>231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17" activePane="bottomLeft" state="frozen"/>
      <selection pane="bottomLeft" activeCell="D731" sqref="D731:D74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234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234</v>
      </c>
      <c r="O27" s="77">
        <v>393200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237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234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258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270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258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258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258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258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258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258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258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258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258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84">
        <v>276360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237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271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272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234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234</v>
      </c>
      <c r="O81" s="54">
        <v>787860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237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258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273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234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274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275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276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234</v>
      </c>
      <c r="O108" s="54">
        <v>1087080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237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277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234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278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249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279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234</v>
      </c>
      <c r="O135" s="54">
        <v>794480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237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281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234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283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206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234</v>
      </c>
      <c r="O162" s="54">
        <v>882280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237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258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258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258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234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234</v>
      </c>
      <c r="O189" s="77"/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237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234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285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286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234</v>
      </c>
      <c r="O216" s="77">
        <v>648410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237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287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288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233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234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206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289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283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258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234</v>
      </c>
      <c r="O243" s="77">
        <v>849060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237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290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234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231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234</v>
      </c>
      <c r="O270" s="77">
        <v>625070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237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291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292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234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293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234</v>
      </c>
      <c r="O297" s="77">
        <v>761660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237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294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234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295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296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234</v>
      </c>
      <c r="O324" s="77">
        <v>524410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237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258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231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258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258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258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258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258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258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258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234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298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299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234</v>
      </c>
      <c r="O351" s="77">
        <v>598420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237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234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7.2711458327830769E-2</v>
      </c>
      <c r="N377" s="46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0.23035034721671965</v>
      </c>
      <c r="N378" s="36" t="s">
        <v>234</v>
      </c>
      <c r="O378" s="77">
        <v>511980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0.34007256943894182</v>
      </c>
      <c r="N379" s="40" t="s">
        <v>237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212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283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300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234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258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301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249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234</v>
      </c>
      <c r="O405" s="77">
        <v>552440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237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231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258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234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5.1183680552639998E-2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235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0.22201701388597336</v>
      </c>
      <c r="N432" s="36" t="s">
        <v>234</v>
      </c>
      <c r="O432" s="77">
        <v>484540</v>
      </c>
    </row>
    <row r="433" spans="1:15" ht="18" customHeight="1">
      <c r="A433" s="93" t="s">
        <v>236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0.36715590277486221</v>
      </c>
      <c r="N433" s="40" t="s">
        <v>237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304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234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305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234</v>
      </c>
      <c r="O459" s="77">
        <v>631190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237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306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307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308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234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309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234</v>
      </c>
      <c r="O486" s="77">
        <v>969510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237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310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258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234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235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234</v>
      </c>
      <c r="O513" s="77">
        <v>556040</v>
      </c>
    </row>
    <row r="514" spans="1:15" ht="18" customHeight="1">
      <c r="A514" s="93" t="s">
        <v>236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237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311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234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234</v>
      </c>
      <c r="O540" s="77">
        <v>548610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237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312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234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313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234</v>
      </c>
      <c r="O567" s="77">
        <v>722660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237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314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234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234</v>
      </c>
      <c r="O594" s="77">
        <v>644900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237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315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234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316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234</v>
      </c>
      <c r="O621" s="77">
        <v>348050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237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258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258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258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258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258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258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258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234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234</v>
      </c>
      <c r="O648" s="77">
        <v>757160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237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318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319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320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234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234</v>
      </c>
      <c r="O675" s="77">
        <v>681950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237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207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321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258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322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233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234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323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324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234</v>
      </c>
      <c r="O702" s="77">
        <v>813880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237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325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326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327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234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258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328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231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258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258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258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329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258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258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258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231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231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258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234</v>
      </c>
      <c r="O729" s="77">
        <v>766420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237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237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714" zoomScale="50" zoomScaleNormal="50" workbookViewId="0">
      <selection activeCell="L732" sqref="L73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8.140625" style="20" customWidth="1"/>
    <col min="15" max="15" width="14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319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330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234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258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258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258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258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258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258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258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258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258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234</v>
      </c>
      <c r="O27" s="39">
        <v>308500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237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331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258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258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258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234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258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258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258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258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258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258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258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258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258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234</v>
      </c>
      <c r="O54" s="39">
        <v>124290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237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332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258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258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258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258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258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258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258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258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234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305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258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234</v>
      </c>
      <c r="O81" s="39">
        <v>396340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237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231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231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231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231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231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333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231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234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234</v>
      </c>
      <c r="O108" s="39">
        <v>41230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237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234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234</v>
      </c>
      <c r="O135" s="39">
        <v>381250</v>
      </c>
    </row>
    <row r="136" spans="1:15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237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334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282</v>
      </c>
      <c r="K141" s="29">
        <v>0.71597222222222223</v>
      </c>
      <c r="L141" s="29" t="s">
        <v>335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231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231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231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231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234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336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234</v>
      </c>
      <c r="O162" s="39">
        <v>337120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237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258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337</v>
      </c>
      <c r="N166" s="27" t="s">
        <v>338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258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258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258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258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258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258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258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258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234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234</v>
      </c>
      <c r="O189" s="39">
        <v>747210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237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339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234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234</v>
      </c>
      <c r="O216" s="39">
        <v>468430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237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258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258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258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258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258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234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258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234</v>
      </c>
      <c r="O243" s="39">
        <v>575930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237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208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258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258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258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258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258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234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340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341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234</v>
      </c>
      <c r="O270" s="39">
        <v>483510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237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234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342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258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343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258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234</v>
      </c>
      <c r="O297" s="39">
        <v>487980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237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344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231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234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258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345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346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234</v>
      </c>
      <c r="O324" s="39">
        <v>609460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237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258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347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258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258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258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305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231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258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334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258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258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258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258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258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258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233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234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234</v>
      </c>
      <c r="O351" s="39">
        <v>437940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237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258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258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233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234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258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258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258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234</v>
      </c>
      <c r="O378" s="39">
        <v>473310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237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258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258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258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258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258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258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258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258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258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234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234</v>
      </c>
      <c r="O405" s="39">
        <v>507450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237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258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258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258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258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258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258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258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231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231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258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258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234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231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302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234</v>
      </c>
      <c r="O432" s="39">
        <v>229150</v>
      </c>
    </row>
    <row r="433" spans="1:15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237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348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234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231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234</v>
      </c>
      <c r="O459" s="39">
        <v>409980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237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231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231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231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231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234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234</v>
      </c>
      <c r="O486" s="39">
        <v>341550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237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349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231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231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231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231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258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258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258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258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258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258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234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234</v>
      </c>
      <c r="O513" s="39">
        <v>276610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237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234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350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351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352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234</v>
      </c>
      <c r="O540" s="39">
        <v>194990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237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353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234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258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354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258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258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258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258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258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258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258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234</v>
      </c>
      <c r="O567" s="39">
        <v>315860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237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355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234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231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258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258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258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258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258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258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258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234</v>
      </c>
      <c r="O594" s="39">
        <v>424930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237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356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321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234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231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231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234</v>
      </c>
      <c r="O621" s="39">
        <v>377360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237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234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234</v>
      </c>
      <c r="O648" s="39">
        <v>319500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237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258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357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258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258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321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258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231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258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258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258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258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258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258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258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234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258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258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358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258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258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258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234</v>
      </c>
      <c r="O675" s="39">
        <v>323580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237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258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234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234</v>
      </c>
      <c r="O702" s="39">
        <v>349730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237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305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234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234</v>
      </c>
      <c r="O729" s="39">
        <v>175420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237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1.5277777777777779E-2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1.5277777777777779E-2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722" activePane="bottomLeft" state="frozen"/>
      <selection pane="bottomLeft" activeCell="J731" sqref="J731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220</v>
      </c>
      <c r="C1" s="23" t="s">
        <v>12</v>
      </c>
      <c r="D1" s="22" t="s">
        <v>13</v>
      </c>
      <c r="E1" s="22" t="s">
        <v>221</v>
      </c>
      <c r="F1" s="23" t="s">
        <v>222</v>
      </c>
      <c r="G1" s="23" t="s">
        <v>223</v>
      </c>
      <c r="H1" s="23" t="s">
        <v>14</v>
      </c>
      <c r="I1" s="23" t="s">
        <v>15</v>
      </c>
      <c r="J1" s="23" t="s">
        <v>224</v>
      </c>
      <c r="K1" s="23" t="s">
        <v>225</v>
      </c>
      <c r="L1" s="23" t="s">
        <v>226</v>
      </c>
      <c r="M1" s="24" t="s">
        <v>227</v>
      </c>
      <c r="N1" s="23" t="s">
        <v>228</v>
      </c>
      <c r="O1" s="23" t="s">
        <v>229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258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359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258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305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258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258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258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258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258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258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258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258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258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258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233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234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258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258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360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258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258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258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258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258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258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258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258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258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235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234</v>
      </c>
      <c r="O27" s="39">
        <v>202230</v>
      </c>
    </row>
    <row r="28" spans="1:15" ht="18" customHeight="1">
      <c r="A28" s="106" t="s">
        <v>236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237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258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361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258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258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258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258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258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362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258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258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258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258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258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258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233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234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258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258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258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258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258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258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258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258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258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258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258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235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234</v>
      </c>
      <c r="O54" s="39">
        <v>473910</v>
      </c>
    </row>
    <row r="55" spans="1:15" ht="18" customHeight="1">
      <c r="A55" s="106" t="s">
        <v>236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237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258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258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258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363</v>
      </c>
      <c r="L58" s="29">
        <v>0.54097222222222219</v>
      </c>
      <c r="M58" s="30" t="str">
        <f t="shared" ca="1" si="13"/>
        <v/>
      </c>
      <c r="N58" s="27" t="s">
        <v>364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258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258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258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258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258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258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258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258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258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233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234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258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258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319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258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258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365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258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366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258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367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258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368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258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258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258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258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258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235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234</v>
      </c>
      <c r="O81" s="39">
        <v>565120</v>
      </c>
    </row>
    <row r="82" spans="1:15" ht="18" customHeight="1">
      <c r="A82" s="106" t="s">
        <v>236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237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258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369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258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258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258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258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231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231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231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231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231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231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231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233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234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258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258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258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258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258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258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258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258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258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258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258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258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235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234</v>
      </c>
      <c r="O108" s="39">
        <v>558590</v>
      </c>
    </row>
    <row r="109" spans="1:15" ht="18" customHeight="1">
      <c r="A109" s="106" t="s">
        <v>236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237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258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370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258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258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258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258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258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258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258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258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258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258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258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233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234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231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231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371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231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372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231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231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231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6.2989236110297497E-2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231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280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231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231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231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231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231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235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0.26229479166585312</v>
      </c>
      <c r="N135" s="36" t="s">
        <v>234</v>
      </c>
      <c r="O135" s="39">
        <v>729290</v>
      </c>
    </row>
    <row r="136" spans="1:18" ht="18" customHeight="1">
      <c r="A136" s="106" t="s">
        <v>236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0.62965590277696415</v>
      </c>
      <c r="N136" s="40" t="s">
        <v>237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231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231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231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373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231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282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231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231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231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231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231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231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231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231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233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234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231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334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231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258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374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258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258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258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258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258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258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258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258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258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235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234</v>
      </c>
      <c r="O162" s="39">
        <v>697320</v>
      </c>
    </row>
    <row r="163" spans="1:15" ht="18" customHeight="1">
      <c r="A163" s="106" t="s">
        <v>236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237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231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258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258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258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258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375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258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258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258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258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258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258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258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233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234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258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258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258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258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258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258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258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258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258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258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258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258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235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234</v>
      </c>
      <c r="O189" s="39">
        <v>973580</v>
      </c>
    </row>
    <row r="190" spans="1:15" ht="18" customHeight="1">
      <c r="A190" s="106" t="s">
        <v>236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237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258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258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258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376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258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377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258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258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258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258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258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258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258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258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233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234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258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231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258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378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258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258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258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258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258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258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258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258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258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235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234</v>
      </c>
      <c r="O216" s="45">
        <v>1060630</v>
      </c>
    </row>
    <row r="217" spans="1:15" ht="18" customHeight="1">
      <c r="A217" s="106" t="s">
        <v>236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237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258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379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258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258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380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258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258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258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258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258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258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258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258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258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233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234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258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231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382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258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258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258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258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258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258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231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258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231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258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235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234</v>
      </c>
      <c r="O243" s="39">
        <v>982340</v>
      </c>
    </row>
    <row r="244" spans="1:15" ht="18" customHeight="1">
      <c r="A244" s="106" t="s">
        <v>236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237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258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383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258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207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258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258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258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258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258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258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258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258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258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258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233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234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258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258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258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258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258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258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258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258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258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258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258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258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235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234</v>
      </c>
      <c r="O270" s="39">
        <v>1208450</v>
      </c>
    </row>
    <row r="271" spans="1:15" ht="18" customHeight="1">
      <c r="A271" s="106" t="s">
        <v>236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237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258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258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258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258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258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258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258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258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258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258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258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258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233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234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258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258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258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258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231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258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258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258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258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258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258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258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235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234</v>
      </c>
      <c r="O297" s="39">
        <v>1049090</v>
      </c>
    </row>
    <row r="298" spans="1:15" ht="18" customHeight="1">
      <c r="A298" s="106" t="s">
        <v>236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237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258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384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258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209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258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210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258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258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258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258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258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258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258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258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258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233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234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231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258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258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258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258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258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258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277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258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258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258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258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231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235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234</v>
      </c>
      <c r="O324" s="39">
        <v>1063720</v>
      </c>
    </row>
    <row r="325" spans="1:15" ht="18" customHeight="1">
      <c r="A325" s="106" t="s">
        <v>236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237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258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258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305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258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258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231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258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258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258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258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258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258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258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233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234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258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258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258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258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258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258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385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258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258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258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386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258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258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258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235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234</v>
      </c>
      <c r="O351" s="39">
        <v>696140</v>
      </c>
    </row>
    <row r="352" spans="1:15" ht="18" customHeight="1">
      <c r="A352" s="106" t="s">
        <v>236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237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258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258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258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334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258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258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258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258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258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258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258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258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258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234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258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258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258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387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258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258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258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258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258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258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258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258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258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235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234</v>
      </c>
      <c r="O378" s="39">
        <v>704750</v>
      </c>
    </row>
    <row r="379" spans="1:15" ht="18" customHeight="1">
      <c r="A379" s="106" t="s">
        <v>236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237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258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388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258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258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375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258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258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258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258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258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258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258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258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258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233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234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231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258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389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258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258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258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258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390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258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258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258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258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258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258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235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234</v>
      </c>
      <c r="O405" s="39">
        <v>958130</v>
      </c>
    </row>
    <row r="406" spans="1:15" ht="18" customHeight="1">
      <c r="A406" s="106" t="s">
        <v>236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237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258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258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258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258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258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258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258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258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231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258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258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231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233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234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258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213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258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258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258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258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258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391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258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258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258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258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258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258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235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234</v>
      </c>
      <c r="O432" s="39">
        <v>605220</v>
      </c>
    </row>
    <row r="433" spans="1:17" ht="18" customHeight="1">
      <c r="A433" s="106" t="s">
        <v>236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237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258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214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258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258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258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258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258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258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258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258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258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258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258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233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234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231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231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231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316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231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231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231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231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231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217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231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231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231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235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234</v>
      </c>
      <c r="O459" s="39">
        <v>615330</v>
      </c>
    </row>
    <row r="460" spans="1:15" ht="18" customHeight="1">
      <c r="A460" s="106" t="s">
        <v>236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237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231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392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231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393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231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231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231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368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231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231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231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231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231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231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231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233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234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231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231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231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231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231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231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231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231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231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231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231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231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235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234</v>
      </c>
      <c r="O486" s="39">
        <v>1120830</v>
      </c>
    </row>
    <row r="487" spans="1:15" ht="18" customHeight="1">
      <c r="A487" s="106" t="s">
        <v>236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237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231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231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368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231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231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231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231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258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258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258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258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258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258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233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234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258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231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258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394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258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258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258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258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258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258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258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258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258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235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234</v>
      </c>
      <c r="O513" s="39">
        <v>416720</v>
      </c>
    </row>
    <row r="514" spans="1:15" ht="18" customHeight="1">
      <c r="A514" s="106" t="s">
        <v>236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237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258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218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395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258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258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396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258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258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258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258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258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258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258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258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258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233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234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258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258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258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258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258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258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258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258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258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258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258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258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235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234</v>
      </c>
      <c r="O540" s="39">
        <v>404370</v>
      </c>
    </row>
    <row r="541" spans="1:15" ht="18" customHeight="1">
      <c r="A541" s="106" t="s">
        <v>236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237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258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397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258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398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258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399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258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258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258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258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258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258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258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258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258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233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234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258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258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258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400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258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258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258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258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258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258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258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258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258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235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234</v>
      </c>
      <c r="O567" s="39">
        <v>499820</v>
      </c>
    </row>
    <row r="568" spans="1:15" ht="18" customHeight="1">
      <c r="A568" s="106" t="s">
        <v>236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237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258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401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258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258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258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258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258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258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258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258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258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258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258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233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234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258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258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258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258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258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258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258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258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258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258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258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258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235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234</v>
      </c>
      <c r="O594" s="39">
        <v>572580</v>
      </c>
    </row>
    <row r="595" spans="1:15" ht="18" customHeight="1">
      <c r="A595" s="106" t="s">
        <v>236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237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258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219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258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258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258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258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258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402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258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258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258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258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258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258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233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234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258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258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231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258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258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258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258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258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258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258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258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258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235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234</v>
      </c>
      <c r="O621" s="39">
        <v>414860</v>
      </c>
    </row>
    <row r="622" spans="1:15" ht="18" customHeight="1">
      <c r="A622" s="106" t="s">
        <v>236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237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258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209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258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258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219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258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258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403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258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219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258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258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258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258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258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258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233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234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258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404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258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258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258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258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258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258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258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258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258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258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258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235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234</v>
      </c>
      <c r="O648" s="39">
        <v>284850</v>
      </c>
    </row>
    <row r="649" spans="1:15" ht="18" customHeight="1">
      <c r="A649" s="106" t="s">
        <v>236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237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219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405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233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234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219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406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258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258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258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258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258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258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258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235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234</v>
      </c>
      <c r="O675" s="39">
        <v>486620</v>
      </c>
    </row>
    <row r="676" spans="1:15" ht="18" customHeight="1">
      <c r="A676" s="106" t="s">
        <v>236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237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258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258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258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258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258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258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258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258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258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258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258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258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233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234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258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231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407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231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408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258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258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258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258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258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258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258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258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258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235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234</v>
      </c>
      <c r="O702" s="39">
        <v>988790</v>
      </c>
    </row>
    <row r="703" spans="1:15" ht="18" customHeight="1">
      <c r="A703" s="106" t="s">
        <v>236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237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258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277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258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258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319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258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258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258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258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258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258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258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258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258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233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234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258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231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258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258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258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258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258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409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258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231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231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231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258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235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234</v>
      </c>
      <c r="O729" s="39">
        <v>852470</v>
      </c>
    </row>
    <row r="730" spans="1:15" ht="18" customHeight="1">
      <c r="A730" s="106" t="s">
        <v>236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237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/>
      <c r="G731" s="34" t="str">
        <f t="shared" ref="G731:G742" si="162">IF(F731="","",IF(E731="PC 17",F731*4.2,IF(E731="PC 19",F731*5,"")))</f>
        <v/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/>
      <c r="M731" s="35">
        <f t="shared" ref="M731:M742" ca="1" si="163">IFERROR(IF(K731="","",IF(L731="",MOD(NOW()-K731,1),IF(L731&gt;=K731,L731-K731,L731+1-K731))),"")</f>
        <v>6.7392361088423058E-3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233</v>
      </c>
      <c r="B743" s="104"/>
      <c r="C743" s="104"/>
      <c r="D743" s="104"/>
      <c r="E743" s="105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6.7392361088423058E-3</v>
      </c>
      <c r="N743" s="36" t="s">
        <v>234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235</v>
      </c>
      <c r="B756" s="104"/>
      <c r="C756" s="104"/>
      <c r="D756" s="104"/>
      <c r="E756" s="105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6" t="s">
        <v>236</v>
      </c>
      <c r="B757" s="107"/>
      <c r="C757" s="107"/>
      <c r="D757" s="107"/>
      <c r="E757" s="108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6.7392361088423058E-3</v>
      </c>
      <c r="N757" s="40" t="s">
        <v>237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233</v>
      </c>
      <c r="B770" s="104"/>
      <c r="C770" s="104"/>
      <c r="D770" s="104"/>
      <c r="E770" s="105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235</v>
      </c>
      <c r="B783" s="104"/>
      <c r="C783" s="104"/>
      <c r="D783" s="104"/>
      <c r="E783" s="105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6" t="s">
        <v>236</v>
      </c>
      <c r="B784" s="107"/>
      <c r="C784" s="107"/>
      <c r="D784" s="107"/>
      <c r="E784" s="108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237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233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235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6" t="s">
        <v>236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237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2026-07-28T11:30:00Z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