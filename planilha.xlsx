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60" documentId="8_{AF585B22-221D-4780-BB9C-493D365A6A02}" xr6:coauthVersionLast="47" xr6:coauthVersionMax="47" xr10:uidLastSave="{C426B045-5519-4BF5-A827-ECB4DAAB8AE3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527" i="4" l="1"/>
  <c r="G500" i="4"/>
  <c r="G514" i="4"/>
  <c r="G513" i="4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41" i="4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<sst xmlns="http://schemas.openxmlformats.org/spreadsheetml/2006/main" count="8580" uniqueCount="375">
  <si>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</si>
  <si>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</si>
  <si>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</si>
  <si>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</si>
  <si>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</si>
  <si>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</si>
  <si>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</si>
  <si>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</si>
  <si>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</si>
  <si>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</si>
  <si>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</si>
  <si>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</si>
  <si>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</si>
  <si>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</si>
  <si>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</si>
  <si>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</si>
  <si>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</si>
  <si>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</si>
  <si>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</si>
  <si>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</si>
  <si>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</si>
  <si>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</si>
  <si>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</si>
  <si>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</si>
  <si>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</si>
  <si>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</si>
  <si>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</si>
  <si>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</si>
  <si>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</si>
  <si>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</si>
  <si>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</si>
  <si>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</si>
  <si>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</si>
  <si>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</si>
  <si>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</si>
  <si>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</si>
  <si>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</si>
  <si>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</si>
  <si>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</si>
  <si>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</si>
  <si>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</si>
  <si>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</si>
  <si>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</si>
  <si>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</si>
  <si>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</si>
  <si>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</si>
  <si>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</si>
  <si>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</si>
  <si>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</si>
  <si>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</si>
  <si>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</si>
  <si>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</si>
  <si>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</si>
  <si>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</si>
  <si>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</si>
  <si>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</si>
  <si>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</si>
  <si>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</si>
  <si>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</si>
  <si>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</si>
  <si>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</si>
  <si>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</si>
  <si>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</si>
  <si>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</si>
  <si>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</si>
  <si>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</si>
  <si>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</si>
  <si>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</si>
  <si>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</si>
  <si>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</si>
  <si>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</si>
  <si>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</si>
  <si>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</si>
  <si>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</si>
  <si>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</si>
  <si>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</si>
  <si>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</si>
  <si>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</si>
  <si>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</si>
  <si>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</si>
  <si>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</si>
  <si>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</si>
  <si>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</si>
  <si>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</si>
  <si>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</si>
  <si>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</si>
  <si>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</si>
  <si>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</si>
  <si>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</si>
  <si>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</si>
  <si>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</si>
  <si>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</si>
  <si>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</si>
  <si>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</si>
  <si>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</si>
  <si>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</si>
  <si>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</si>
  <si>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</si>
  <si>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</si>
  <si>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</si>
  <si>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</si>
  <si>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</si>
  <si>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</si>
  <si>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</si>
  <si>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</si>
  <si>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</si>
  <si>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</si>
  <si>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</si>
  <si>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</si>
  <si>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</si>
  <si>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</si>
  <si>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</si>
  <si>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</si>
  <si>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</si>
  <si>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</si>
  <si>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</si>
  <si>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</si>
  <si>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</si>
  <si>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</si>
  <si>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</si>
  <si>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</si>
  <si>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</si>
  <si>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</si>
  <si>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</si>
  <si>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</si>
  <si>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</si>
  <si>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</si>
  <si>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</si>
  <si>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</si>
  <si>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</si>
  <si>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</si>
  <si>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</si>
  <si>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</si>
  <si>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</si>
  <si>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</si>
  <si>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</si>
  <si>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</si>
  <si>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</si>
  <si>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</si>
  <si>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</si>
  <si>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</si>
  <si>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</si>
  <si>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</si>
  <si>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</si>
  <si>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</si>
  <si>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</si>
  <si>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</si>
  <si>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</si>
  <si>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</si>
  <si>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</si>
  <si>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</si>
  <si>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</si>
  <si>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</si>
  <si>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</si>
  <si>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</si>
  <si>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</si>
  <si>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</si>
  <si>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</si>
  <si>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</si>
  <si>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</si>
  <si>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</si>
  <si>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</si>
  <si>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</si>
  <si>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</si>
  <si>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</si>
  <si>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</si>
  <si>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</si>
  <si>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</si>
  <si>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</si>
  <si>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</si>
  <si>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</si>
  <si>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</si>
  <si>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</si>
  <si>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</si>
  <si>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</si>
  <si>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</si>
  <si>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</si>
  <si>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</si>
  <si>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</si>
  <si>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</si>
  <si>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</si>
  <si>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</si>
  <si>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</si>
  <si>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</si>
  <si>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</si>
  <si>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</si>
  <si>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</si>
  <si>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</si>
  <si>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</si>
  <si>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</si>
  <si>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</si>
  <si>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</si>
  <si>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</si>
  <si>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</si>
  <si>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</si>
  <si>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</si>
  <si>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</si>
  <si>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</si>
  <si>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</si>
  <si>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</si>
  <si>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</si>
  <si>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</si>
  <si>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</si>
  <si>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</si>
  <si>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</si>
  <si>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</si>
  <si>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</si>
  <si>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</si>
  <si>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</si>
  <si>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</si>
  <si>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</si>
  <si>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</si>
  <si>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</si>
  <si>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</si>
  <si>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</si>
  <si>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</si>
  <si>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</si>
  <si>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</si>
  <si>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</si>
  <si>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</si>
  <si>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</si>
  <si>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</si>
  <si>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</si>
  <si>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</si>
  <si>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</si>
  <si>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</si>
  <si>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</si>
  <si>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</si>
  <si>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</si>
  <si>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</si>
  <si>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</si>
  <si>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</si>
  <si>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</si>
  <si>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</si>
  <si>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</si>
  <si>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</si>
  <si>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</si>
  <si>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</si>
  <si>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</si>
  <si>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</si>
  <si>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</si>
  <si>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</si>
  <si>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</si>
  <si>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</si>
  <si>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</si>
  <si>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</si>
  <si>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</si>
  <si>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</si>
  <si>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</si>
  <si>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</si>
  <si>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</si>
  <si>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</si>
  <si>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</si>
  <si>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</si>
  <si>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</si>
  <si>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</si>
  <si>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</si>
  <si>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</si>
  <si>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</si>
  <si>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</si>
  <si>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</si>
  <si>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</si>
  <si>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</si>
  <si>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</si>
  <si>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</si>
  <si>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</si>
  <si>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</si>
  <si>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</si>
  <si>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</si>
  <si>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</si>
  <si>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</si>
  <si>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</si>
  <si>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</si>
  <si>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</si>
  <si>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</si>
  <si>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</si>
  <si>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</si>
  <si>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</si>
  <si>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</si>
  <si>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</si>
  <si>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</si>
  <si>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</si>
  <si>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</si>
  <si>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</si>
  <si>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</si>
  <si>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</si>
  <si>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</si>
  <si>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</si>
  <si>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</si>
  <si>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</si>
  <si>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</si>
  <si>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</si>
  <si>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</si>
  <si>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</si>
  <si>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</si>
  <si>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</si>
  <si>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</si>
  <si>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</si>
  <si>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</si>
  <si>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</si>
  <si>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</si>
  <si>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</si>
  <si>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</si>
  <si>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</si>
  <si>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</si>
  <si>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</si>
  <si>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</si>
  <si>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</si>
  <si>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</si>
  <si>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</si>
  <si>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</si>
  <si>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</si>
  <si>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</si>
  <si>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</si>
  <si>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</si>
  <si>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</si>
  <si>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</si>
  <si>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</si>
  <si>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</si>
  <si>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</si>
  <si>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</si>
  <si>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</si>
  <si>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</si>
  <si>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</si>
  <si>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</si>
  <si>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</si>
  <si>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</si>
  <si>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</si>
  <si>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</si>
  <si>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</si>
  <si>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</si>
  <si>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</si>
  <si>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</si>
  <si>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</si>
  <si>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</si>
  <si>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</si>
  <si>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</si>
  <si>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</si>
  <si>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</si>
  <si>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</si>
  <si>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</si>
  <si>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</si>
  <si>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</si>
  <si>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</si>
  <si>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</si>
  <si>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</si>
  <si>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</si>
  <si>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</si>
  <si>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</si>
  <si>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</si>
  <si>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</si>
  <si>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</si>
  <si>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</si>
  <si>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</si>
  <si>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</si>
  <si>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</si>
  <si>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</si>
  <si>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</si>
  <si>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</si>
  <si>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</si>
  <si>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</si>
  <si>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</si>
  <si>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</si>
  <si>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</si>
  <si>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</si>
  <si>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PC 18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</si>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</sst>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 x14ac:dyDescent="0.25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25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 x14ac:dyDescent="0.25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25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25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25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25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25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 x14ac:dyDescent="0.25">
      <c r="H2" s="108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08"/>
      <c r="I56" s="16"/>
      <c r="J56" s="16"/>
      <c r="K56" s="16" t="s">
        <v>202</v>
      </c>
      <c r="L56" s="16"/>
      <c r="M56" s="16"/>
    </row>
    <row r="57" spans="1:13" ht="15" customHeight="1" x14ac:dyDescent="0.25">
      <c r="H57" s="108"/>
      <c r="I57" s="17"/>
      <c r="J57" s="17"/>
      <c r="K57" s="17" t="s">
        <v>50</v>
      </c>
      <c r="L57" s="17"/>
      <c r="M57" s="17"/>
    </row>
    <row r="58" spans="1:13" ht="15" customHeight="1" x14ac:dyDescent="0.25">
      <c r="H58" s="108"/>
      <c r="I58" s="16"/>
      <c r="J58" s="16"/>
      <c r="K58" s="16" t="s">
        <v>203</v>
      </c>
      <c r="L58" s="16"/>
      <c r="M58" s="16"/>
    </row>
    <row r="59" spans="1:13" ht="15" customHeight="1" x14ac:dyDescent="0.25">
      <c r="H59" s="108"/>
      <c r="I59" s="17"/>
      <c r="J59" s="17"/>
      <c r="K59" s="17" t="s">
        <v>204</v>
      </c>
      <c r="L59" s="17"/>
      <c r="M59" s="17"/>
    </row>
    <row r="60" spans="1:13" ht="15" customHeight="1" x14ac:dyDescent="0.25">
      <c r="H60" s="108"/>
      <c r="I60" s="16"/>
      <c r="J60" s="16"/>
      <c r="K60" s="86" t="s">
        <v>105</v>
      </c>
      <c r="L60" s="16"/>
      <c r="M60" s="16"/>
    </row>
    <row r="61" spans="1:13" ht="15" customHeight="1" x14ac:dyDescent="0.25">
      <c r="H61" s="108"/>
      <c r="I61" s="17"/>
      <c r="J61" s="17"/>
      <c r="K61" s="17" t="s">
        <v>205</v>
      </c>
      <c r="L61" s="17"/>
      <c r="M61" s="17"/>
    </row>
    <row r="62" spans="1:13" ht="15" customHeight="1" x14ac:dyDescent="0.25">
      <c r="H62" s="108"/>
      <c r="I62" s="16"/>
      <c r="J62" s="16"/>
      <c r="K62" s="16" t="s">
        <v>206</v>
      </c>
      <c r="L62" s="16"/>
      <c r="M62" s="16"/>
    </row>
    <row r="63" spans="1:13" ht="15" customHeight="1" x14ac:dyDescent="0.25">
      <c r="H63" s="108"/>
      <c r="I63" s="17"/>
      <c r="J63" s="17"/>
      <c r="K63" s="17" t="s">
        <v>207</v>
      </c>
      <c r="L63" s="17"/>
      <c r="M63" s="17"/>
    </row>
    <row r="64" spans="1:13" ht="15" customHeight="1" x14ac:dyDescent="0.25">
      <c r="H64" s="108"/>
      <c r="I64" s="16"/>
      <c r="J64" s="16"/>
      <c r="K64" s="16" t="s">
        <v>208</v>
      </c>
      <c r="L64" s="16"/>
      <c r="M64" s="16"/>
    </row>
    <row r="65" spans="8:13" ht="15" customHeight="1" x14ac:dyDescent="0.25">
      <c r="H65" s="108"/>
      <c r="I65" s="17"/>
      <c r="J65" s="17"/>
      <c r="K65" s="17" t="s">
        <v>209</v>
      </c>
      <c r="L65" s="17"/>
      <c r="M65" s="17"/>
    </row>
    <row r="66" spans="8:13" ht="15" customHeight="1" x14ac:dyDescent="0.25">
      <c r="H66" s="108"/>
      <c r="I66" s="16"/>
      <c r="J66" s="16"/>
      <c r="K66" s="16" t="s">
        <v>210</v>
      </c>
      <c r="L66" s="16"/>
      <c r="M66" s="16"/>
    </row>
    <row r="67" spans="8:13" ht="15" customHeight="1" x14ac:dyDescent="0.25">
      <c r="H67" s="108"/>
      <c r="I67" s="17"/>
      <c r="J67" s="17"/>
      <c r="K67" s="17" t="s">
        <v>211</v>
      </c>
      <c r="L67" s="17"/>
      <c r="M67" s="17"/>
    </row>
    <row r="68" spans="8:13" ht="15" customHeight="1" x14ac:dyDescent="0.25">
      <c r="H68" s="108"/>
      <c r="I68" s="16"/>
      <c r="J68" s="16"/>
      <c r="K68" s="16" t="s">
        <v>212</v>
      </c>
      <c r="L68" s="16"/>
      <c r="M68" s="16"/>
    </row>
    <row r="69" spans="8:13" ht="15" customHeight="1" x14ac:dyDescent="0.25">
      <c r="H69" s="108"/>
      <c r="I69" s="17"/>
      <c r="J69" s="17"/>
      <c r="K69" s="17" t="s">
        <v>213</v>
      </c>
      <c r="L69" s="17"/>
      <c r="M69" s="17"/>
    </row>
    <row r="70" spans="8:13" ht="15" customHeight="1" x14ac:dyDescent="0.25">
      <c r="H70" s="108"/>
      <c r="I70" s="16"/>
      <c r="J70" s="16"/>
      <c r="K70" s="16" t="s">
        <v>214</v>
      </c>
      <c r="L70" s="16"/>
      <c r="M70" s="16"/>
    </row>
    <row r="71" spans="8:13" ht="15" customHeight="1" x14ac:dyDescent="0.25">
      <c r="H71" s="108"/>
      <c r="I71" s="17"/>
      <c r="J71" s="17"/>
      <c r="K71" s="17" t="s">
        <v>215</v>
      </c>
      <c r="L71" s="17"/>
      <c r="M71" s="17"/>
    </row>
    <row r="72" spans="8:13" ht="15" customHeight="1" x14ac:dyDescent="0.25">
      <c r="H72" s="108"/>
      <c r="I72" s="16"/>
      <c r="J72" s="16"/>
      <c r="K72" s="16" t="s">
        <v>216</v>
      </c>
      <c r="L72" s="16"/>
      <c r="M72" s="16"/>
    </row>
    <row r="73" spans="8:13" ht="15" customHeight="1" x14ac:dyDescent="0.25">
      <c r="H73" s="108"/>
      <c r="I73" s="17"/>
      <c r="J73" s="17"/>
      <c r="K73" s="17"/>
      <c r="L73" s="17"/>
      <c r="M73" s="17"/>
    </row>
    <row r="74" spans="8:13" ht="15" customHeight="1" x14ac:dyDescent="0.25">
      <c r="H74" s="108"/>
      <c r="I74" s="16"/>
      <c r="J74" s="16"/>
      <c r="K74" s="16"/>
      <c r="L74" s="16"/>
      <c r="M74" s="16"/>
    </row>
    <row r="75" spans="8:13" ht="15" customHeight="1" x14ac:dyDescent="0.25">
      <c r="H75" s="108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90" zoomScaleNormal="90" workbookViewId="0">
      <pane ySplit="1" topLeftCell="A514" activePane="bottomLeft" state="frozen"/>
      <selection pane="bottomLeft" activeCell="Z573" sqref="Z573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 x14ac:dyDescent="0.25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1" t="s">
        <v>230</v>
      </c>
      <c r="B14" s="102"/>
      <c r="C14" s="102"/>
      <c r="D14" s="102"/>
      <c r="E14" s="10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1" t="s">
        <v>232</v>
      </c>
      <c r="B27" s="102"/>
      <c r="C27" s="102"/>
      <c r="D27" s="102"/>
      <c r="E27" s="10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 x14ac:dyDescent="0.25">
      <c r="A28" s="98" t="s">
        <v>233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1" t="s">
        <v>230</v>
      </c>
      <c r="B41" s="102"/>
      <c r="C41" s="102"/>
      <c r="D41" s="102"/>
      <c r="E41" s="10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1" t="s">
        <v>232</v>
      </c>
      <c r="B54" s="102"/>
      <c r="C54" s="102"/>
      <c r="D54" s="102"/>
      <c r="E54" s="10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 x14ac:dyDescent="0.25">
      <c r="A55" s="98" t="s">
        <v>233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1" t="s">
        <v>230</v>
      </c>
      <c r="B68" s="102"/>
      <c r="C68" s="102"/>
      <c r="D68" s="102"/>
      <c r="E68" s="10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1" t="s">
        <v>232</v>
      </c>
      <c r="B81" s="102"/>
      <c r="C81" s="102"/>
      <c r="D81" s="102"/>
      <c r="E81" s="10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 x14ac:dyDescent="0.25">
      <c r="A82" s="98" t="s">
        <v>233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1" t="s">
        <v>230</v>
      </c>
      <c r="B95" s="102"/>
      <c r="C95" s="102"/>
      <c r="D95" s="102"/>
      <c r="E95" s="10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1" t="s">
        <v>232</v>
      </c>
      <c r="B108" s="102"/>
      <c r="C108" s="102"/>
      <c r="D108" s="102"/>
      <c r="E108" s="10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 x14ac:dyDescent="0.25">
      <c r="A109" s="98" t="s">
        <v>233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1" t="s">
        <v>230</v>
      </c>
      <c r="B122" s="102"/>
      <c r="C122" s="102"/>
      <c r="D122" s="102"/>
      <c r="E122" s="10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1" t="s">
        <v>232</v>
      </c>
      <c r="B135" s="102"/>
      <c r="C135" s="102"/>
      <c r="D135" s="102"/>
      <c r="E135" s="10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 x14ac:dyDescent="0.25">
      <c r="A136" s="98" t="s">
        <v>233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1" t="s">
        <v>230</v>
      </c>
      <c r="B149" s="102"/>
      <c r="C149" s="102"/>
      <c r="D149" s="102"/>
      <c r="E149" s="10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1" t="s">
        <v>232</v>
      </c>
      <c r="B162" s="102"/>
      <c r="C162" s="102"/>
      <c r="D162" s="102"/>
      <c r="E162" s="10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 x14ac:dyDescent="0.25">
      <c r="A163" s="98" t="s">
        <v>233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1" t="s">
        <v>230</v>
      </c>
      <c r="B176" s="102"/>
      <c r="C176" s="102"/>
      <c r="D176" s="102"/>
      <c r="E176" s="10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1" t="s">
        <v>232</v>
      </c>
      <c r="B189" s="102"/>
      <c r="C189" s="102"/>
      <c r="D189" s="102"/>
      <c r="E189" s="10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 x14ac:dyDescent="0.25">
      <c r="A190" s="98" t="s">
        <v>233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1" t="s">
        <v>230</v>
      </c>
      <c r="B203" s="102"/>
      <c r="C203" s="102"/>
      <c r="D203" s="102"/>
      <c r="E203" s="10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1" t="s">
        <v>232</v>
      </c>
      <c r="B216" s="102"/>
      <c r="C216" s="102"/>
      <c r="D216" s="102"/>
      <c r="E216" s="10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 x14ac:dyDescent="0.25">
      <c r="A217" s="98" t="s">
        <v>233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1" t="s">
        <v>230</v>
      </c>
      <c r="B230" s="102"/>
      <c r="C230" s="102"/>
      <c r="D230" s="102"/>
      <c r="E230" s="10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1" t="s">
        <v>232</v>
      </c>
      <c r="B243" s="102"/>
      <c r="C243" s="102"/>
      <c r="D243" s="102"/>
      <c r="E243" s="10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 x14ac:dyDescent="0.25">
      <c r="A244" s="98" t="s">
        <v>233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1" t="s">
        <v>230</v>
      </c>
      <c r="B257" s="102"/>
      <c r="C257" s="102"/>
      <c r="D257" s="102"/>
      <c r="E257" s="10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1" t="s">
        <v>232</v>
      </c>
      <c r="B270" s="102"/>
      <c r="C270" s="102"/>
      <c r="D270" s="102"/>
      <c r="E270" s="10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 x14ac:dyDescent="0.25">
      <c r="A271" s="98" t="s">
        <v>233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1" t="s">
        <v>230</v>
      </c>
      <c r="B284" s="102"/>
      <c r="C284" s="102"/>
      <c r="D284" s="102"/>
      <c r="E284" s="10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 x14ac:dyDescent="0.25">
      <c r="A297" s="101" t="s">
        <v>232</v>
      </c>
      <c r="B297" s="102"/>
      <c r="C297" s="102"/>
      <c r="D297" s="102"/>
      <c r="E297" s="10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 x14ac:dyDescent="0.25">
      <c r="A298" s="98" t="s">
        <v>233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1" t="s">
        <v>230</v>
      </c>
      <c r="B311" s="102"/>
      <c r="C311" s="102"/>
      <c r="D311" s="102"/>
      <c r="E311" s="103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1" t="s">
        <v>232</v>
      </c>
      <c r="B324" s="102"/>
      <c r="C324" s="102"/>
      <c r="D324" s="102"/>
      <c r="E324" s="103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 x14ac:dyDescent="0.25">
      <c r="A325" s="98" t="s">
        <v>233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1" t="s">
        <v>230</v>
      </c>
      <c r="B338" s="102"/>
      <c r="C338" s="102"/>
      <c r="D338" s="102"/>
      <c r="E338" s="103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1" t="s">
        <v>232</v>
      </c>
      <c r="B351" s="102"/>
      <c r="C351" s="102"/>
      <c r="D351" s="102"/>
      <c r="E351" s="103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 x14ac:dyDescent="0.25">
      <c r="A352" s="98" t="s">
        <v>233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1" t="s">
        <v>230</v>
      </c>
      <c r="B365" s="102"/>
      <c r="C365" s="102"/>
      <c r="D365" s="102"/>
      <c r="E365" s="103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1" t="s">
        <v>232</v>
      </c>
      <c r="B378" s="102"/>
      <c r="C378" s="102"/>
      <c r="D378" s="102"/>
      <c r="E378" s="103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 x14ac:dyDescent="0.25">
      <c r="A379" s="98" t="s">
        <v>233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1" t="s">
        <v>230</v>
      </c>
      <c r="B392" s="102"/>
      <c r="C392" s="102"/>
      <c r="D392" s="102"/>
      <c r="E392" s="103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1" t="s">
        <v>232</v>
      </c>
      <c r="B405" s="102"/>
      <c r="C405" s="102"/>
      <c r="D405" s="102"/>
      <c r="E405" s="103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 x14ac:dyDescent="0.25">
      <c r="A406" s="98" t="s">
        <v>233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1" t="s">
        <v>230</v>
      </c>
      <c r="B419" s="102"/>
      <c r="C419" s="102"/>
      <c r="D419" s="102"/>
      <c r="E419" s="103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1" t="s">
        <v>232</v>
      </c>
      <c r="B432" s="102"/>
      <c r="C432" s="102"/>
      <c r="D432" s="102"/>
      <c r="E432" s="103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 x14ac:dyDescent="0.25">
      <c r="A433" s="98" t="s">
        <v>233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1" t="s">
        <v>230</v>
      </c>
      <c r="B446" s="102"/>
      <c r="C446" s="102"/>
      <c r="D446" s="102"/>
      <c r="E446" s="103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1" t="s">
        <v>232</v>
      </c>
      <c r="B459" s="102"/>
      <c r="C459" s="102"/>
      <c r="D459" s="102"/>
      <c r="E459" s="103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 x14ac:dyDescent="0.25">
      <c r="A460" s="98" t="s">
        <v>233</v>
      </c>
      <c r="B460" s="99"/>
      <c r="C460" s="99"/>
      <c r="D460" s="99"/>
      <c r="E460" s="100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1" t="s">
        <v>230</v>
      </c>
      <c r="B473" s="102"/>
      <c r="C473" s="102"/>
      <c r="D473" s="102"/>
      <c r="E473" s="103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1" t="s">
        <v>232</v>
      </c>
      <c r="B486" s="102"/>
      <c r="C486" s="102"/>
      <c r="D486" s="102"/>
      <c r="E486" s="103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 x14ac:dyDescent="0.25">
      <c r="A487" s="98" t="s">
        <v>233</v>
      </c>
      <c r="B487" s="99"/>
      <c r="C487" s="99"/>
      <c r="D487" s="99"/>
      <c r="E487" s="100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1" t="s">
        <v>230</v>
      </c>
      <c r="B500" s="102"/>
      <c r="C500" s="102"/>
      <c r="D500" s="102"/>
      <c r="E500" s="103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1" t="s">
        <v>232</v>
      </c>
      <c r="B513" s="102"/>
      <c r="C513" s="102"/>
      <c r="D513" s="102"/>
      <c r="E513" s="103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 x14ac:dyDescent="0.25">
      <c r="A514" s="98" t="s">
        <v>233</v>
      </c>
      <c r="B514" s="99"/>
      <c r="C514" s="99"/>
      <c r="D514" s="99"/>
      <c r="E514" s="100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1" t="s">
        <v>230</v>
      </c>
      <c r="B527" s="102"/>
      <c r="C527" s="102"/>
      <c r="D527" s="102"/>
      <c r="E527" s="103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 x14ac:dyDescent="0.25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1" t="s">
        <v>232</v>
      </c>
      <c r="B540" s="102"/>
      <c r="C540" s="102"/>
      <c r="D540" s="102"/>
      <c r="E540" s="103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 x14ac:dyDescent="0.25">
      <c r="A541" s="98" t="s">
        <v>233</v>
      </c>
      <c r="B541" s="99"/>
      <c r="C541" s="99"/>
      <c r="D541" s="99"/>
      <c r="E541" s="100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/>
      <c r="I542" s="26"/>
      <c r="J542" s="26"/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3.9913657405122649E-2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1" t="s">
        <v>230</v>
      </c>
      <c r="B554" s="102"/>
      <c r="C554" s="102"/>
      <c r="D554" s="102"/>
      <c r="E554" s="103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3.9913657405122649E-2</v>
      </c>
      <c r="N554" s="36" t="s">
        <v>231</v>
      </c>
      <c r="O554" s="39"/>
    </row>
    <row r="555" spans="1:15" ht="15" customHeight="1" x14ac:dyDescent="0.25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1" t="s">
        <v>232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 x14ac:dyDescent="0.25">
      <c r="A568" s="98" t="s">
        <v>233</v>
      </c>
      <c r="B568" s="99"/>
      <c r="C568" s="99"/>
      <c r="D568" s="99"/>
      <c r="E568" s="100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3.9913657405122649E-2</v>
      </c>
      <c r="N568" s="40" t="s">
        <v>234</v>
      </c>
      <c r="O568" s="48">
        <f>IFERROR(O554+O567,"")</f>
        <v>0</v>
      </c>
    </row>
    <row r="569" spans="1:15" ht="15" customHeight="1" x14ac:dyDescent="0.25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1" t="s">
        <v>230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25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1" t="s">
        <v>232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25">
      <c r="A595" s="98" t="s">
        <v>233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1" t="s">
        <v>230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25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1" t="s">
        <v>232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25">
      <c r="A622" s="98" t="s">
        <v>233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1" t="s">
        <v>230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25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1" t="s">
        <v>232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25">
      <c r="A649" s="98" t="s">
        <v>233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1" t="s">
        <v>230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1" t="s">
        <v>232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25">
      <c r="A676" s="98" t="s">
        <v>233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1" t="s">
        <v>230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25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1" t="s">
        <v>232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25">
      <c r="A703" s="98" t="s">
        <v>233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1" t="s">
        <v>230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1" t="s">
        <v>232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25">
      <c r="A730" s="98" t="s">
        <v>233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1" t="s">
        <v>230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1" t="s">
        <v>232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25">
      <c r="A757" s="98" t="s">
        <v>233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1" t="s">
        <v>230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1" t="s">
        <v>232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25">
      <c r="A784" s="98" t="s">
        <v>233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1" t="s">
        <v>230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1" t="s">
        <v>232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25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80" zoomScaleNormal="80" workbookViewId="0">
      <pane ySplit="1" topLeftCell="A513" activePane="bottomLeft" state="frozen"/>
      <selection pane="bottomLeft" activeCell="J528" sqref="J528:J533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1" t="s">
        <v>230</v>
      </c>
      <c r="B14" s="102"/>
      <c r="C14" s="102"/>
      <c r="D14" s="102"/>
      <c r="E14" s="10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1" t="s">
        <v>232</v>
      </c>
      <c r="B27" s="102"/>
      <c r="C27" s="102"/>
      <c r="D27" s="102"/>
      <c r="E27" s="10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 x14ac:dyDescent="0.25">
      <c r="A28" s="98" t="s">
        <v>233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1" t="s">
        <v>230</v>
      </c>
      <c r="B41" s="102"/>
      <c r="C41" s="102"/>
      <c r="D41" s="102"/>
      <c r="E41" s="10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 x14ac:dyDescent="0.25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101" t="s">
        <v>232</v>
      </c>
      <c r="B54" s="102"/>
      <c r="C54" s="102"/>
      <c r="D54" s="102"/>
      <c r="E54" s="10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 x14ac:dyDescent="0.25">
      <c r="A55" s="98" t="s">
        <v>233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1" t="s">
        <v>230</v>
      </c>
      <c r="B68" s="102"/>
      <c r="C68" s="102"/>
      <c r="D68" s="102"/>
      <c r="E68" s="10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101" t="s">
        <v>232</v>
      </c>
      <c r="B81" s="102"/>
      <c r="C81" s="102"/>
      <c r="D81" s="102"/>
      <c r="E81" s="10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 x14ac:dyDescent="0.25">
      <c r="A82" s="98" t="s">
        <v>233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1" t="s">
        <v>230</v>
      </c>
      <c r="B95" s="102"/>
      <c r="C95" s="102"/>
      <c r="D95" s="102"/>
      <c r="E95" s="10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1" t="s">
        <v>232</v>
      </c>
      <c r="B108" s="102"/>
      <c r="C108" s="102"/>
      <c r="D108" s="102"/>
      <c r="E108" s="10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 x14ac:dyDescent="0.25">
      <c r="A109" s="98" t="s">
        <v>233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1" t="s">
        <v>230</v>
      </c>
      <c r="B122" s="102"/>
      <c r="C122" s="102"/>
      <c r="D122" s="102"/>
      <c r="E122" s="10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1" t="s">
        <v>232</v>
      </c>
      <c r="B135" s="102"/>
      <c r="C135" s="102"/>
      <c r="D135" s="102"/>
      <c r="E135" s="10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 x14ac:dyDescent="0.25">
      <c r="A136" s="98" t="s">
        <v>233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1" t="s">
        <v>230</v>
      </c>
      <c r="B149" s="102"/>
      <c r="C149" s="102"/>
      <c r="D149" s="102"/>
      <c r="E149" s="10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1" t="s">
        <v>232</v>
      </c>
      <c r="B162" s="102"/>
      <c r="C162" s="102"/>
      <c r="D162" s="102"/>
      <c r="E162" s="10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 x14ac:dyDescent="0.25">
      <c r="A163" s="98" t="s">
        <v>233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1" t="s">
        <v>230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1" t="s">
        <v>232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 x14ac:dyDescent="0.25">
      <c r="A190" s="98" t="s">
        <v>233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1" t="s">
        <v>230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1" t="s">
        <v>232</v>
      </c>
      <c r="B216" s="102"/>
      <c r="C216" s="102"/>
      <c r="D216" s="102"/>
      <c r="E216" s="10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 x14ac:dyDescent="0.25">
      <c r="A217" s="98" t="s">
        <v>233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1" t="s">
        <v>232</v>
      </c>
      <c r="B243" s="102"/>
      <c r="C243" s="102"/>
      <c r="D243" s="102"/>
      <c r="E243" s="10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 x14ac:dyDescent="0.25">
      <c r="A244" s="98" t="s">
        <v>233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1" t="s">
        <v>230</v>
      </c>
      <c r="B257" s="102"/>
      <c r="C257" s="102"/>
      <c r="D257" s="102"/>
      <c r="E257" s="10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1" t="s">
        <v>232</v>
      </c>
      <c r="B270" s="102"/>
      <c r="C270" s="102"/>
      <c r="D270" s="102"/>
      <c r="E270" s="10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 x14ac:dyDescent="0.25">
      <c r="A271" s="98" t="s">
        <v>233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1" t="s">
        <v>230</v>
      </c>
      <c r="B284" s="102"/>
      <c r="C284" s="102"/>
      <c r="D284" s="102"/>
      <c r="E284" s="10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1" t="s">
        <v>232</v>
      </c>
      <c r="B297" s="102"/>
      <c r="C297" s="102"/>
      <c r="D297" s="102"/>
      <c r="E297" s="10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 x14ac:dyDescent="0.25">
      <c r="A298" s="98" t="s">
        <v>233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1" t="s">
        <v>230</v>
      </c>
      <c r="B311" s="102"/>
      <c r="C311" s="102"/>
      <c r="D311" s="102"/>
      <c r="E311" s="10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1" t="s">
        <v>232</v>
      </c>
      <c r="B324" s="102"/>
      <c r="C324" s="102"/>
      <c r="D324" s="102"/>
      <c r="E324" s="10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 x14ac:dyDescent="0.25">
      <c r="A325" s="98" t="s">
        <v>233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1" t="s">
        <v>230</v>
      </c>
      <c r="B338" s="102"/>
      <c r="C338" s="102"/>
      <c r="D338" s="102"/>
      <c r="E338" s="103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1" t="s">
        <v>232</v>
      </c>
      <c r="B351" s="102"/>
      <c r="C351" s="102"/>
      <c r="D351" s="102"/>
      <c r="E351" s="103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 x14ac:dyDescent="0.25">
      <c r="A352" s="98" t="s">
        <v>233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1" t="s">
        <v>230</v>
      </c>
      <c r="B365" s="102"/>
      <c r="C365" s="102"/>
      <c r="D365" s="102"/>
      <c r="E365" s="103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0.10241365740512265</v>
      </c>
      <c r="N377" s="46"/>
      <c r="O377" s="47"/>
    </row>
    <row r="378" spans="1:15" ht="15.75" customHeight="1" x14ac:dyDescent="0.25">
      <c r="A378" s="101" t="s">
        <v>232</v>
      </c>
      <c r="B378" s="102"/>
      <c r="C378" s="102"/>
      <c r="D378" s="102"/>
      <c r="E378" s="103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0.26005254629401153</v>
      </c>
      <c r="N378" s="36" t="s">
        <v>231</v>
      </c>
      <c r="O378" s="77">
        <v>511980</v>
      </c>
    </row>
    <row r="379" spans="1:15" ht="18" customHeight="1" x14ac:dyDescent="0.25">
      <c r="A379" s="98" t="s">
        <v>233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0.3697747685162337</v>
      </c>
      <c r="N379" s="40" t="s">
        <v>234</v>
      </c>
      <c r="O379" s="83">
        <f>IFERROR(O365+O378,"")</f>
        <v>1320530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1" t="s">
        <v>230</v>
      </c>
      <c r="B392" s="102"/>
      <c r="C392" s="102"/>
      <c r="D392" s="102"/>
      <c r="E392" s="103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1" t="s">
        <v>232</v>
      </c>
      <c r="B405" s="102"/>
      <c r="C405" s="102"/>
      <c r="D405" s="102"/>
      <c r="E405" s="103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 x14ac:dyDescent="0.25">
      <c r="A406" s="98" t="s">
        <v>233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1" t="s">
        <v>230</v>
      </c>
      <c r="B419" s="102"/>
      <c r="C419" s="102"/>
      <c r="D419" s="102"/>
      <c r="E419" s="103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8.0885879629931878E-2</v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0.25171921296326527</v>
      </c>
      <c r="N432" s="36" t="s">
        <v>231</v>
      </c>
      <c r="O432" s="77">
        <v>484540</v>
      </c>
    </row>
    <row r="433" spans="1:15" ht="18" customHeight="1" x14ac:dyDescent="0.25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0.39685810185215414</v>
      </c>
      <c r="N433" s="40" t="s">
        <v>234</v>
      </c>
      <c r="O433" s="83">
        <f>IFERROR(O419+O432,"")</f>
        <v>1184540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1" t="s">
        <v>230</v>
      </c>
      <c r="B446" s="102"/>
      <c r="C446" s="102"/>
      <c r="D446" s="102"/>
      <c r="E446" s="103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1" t="s">
        <v>232</v>
      </c>
      <c r="B459" s="102"/>
      <c r="C459" s="102"/>
      <c r="D459" s="102"/>
      <c r="E459" s="103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 x14ac:dyDescent="0.25">
      <c r="A460" s="98" t="s">
        <v>233</v>
      </c>
      <c r="B460" s="99"/>
      <c r="C460" s="99"/>
      <c r="D460" s="99"/>
      <c r="E460" s="100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1" t="s">
        <v>230</v>
      </c>
      <c r="B473" s="102"/>
      <c r="C473" s="102"/>
      <c r="D473" s="102"/>
      <c r="E473" s="103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1" t="s">
        <v>232</v>
      </c>
      <c r="B486" s="102"/>
      <c r="C486" s="102"/>
      <c r="D486" s="102"/>
      <c r="E486" s="103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 x14ac:dyDescent="0.25">
      <c r="A487" s="98" t="s">
        <v>233</v>
      </c>
      <c r="B487" s="99"/>
      <c r="C487" s="99"/>
      <c r="D487" s="99"/>
      <c r="E487" s="100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1" t="s">
        <v>230</v>
      </c>
      <c r="B500" s="102"/>
      <c r="C500" s="102"/>
      <c r="D500" s="102"/>
      <c r="E500" s="103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 x14ac:dyDescent="0.25">
      <c r="A514" s="93" t="s">
        <v>233</v>
      </c>
      <c r="B514" s="91"/>
      <c r="C514" s="91"/>
      <c r="D514" s="91"/>
      <c r="E514" s="91"/>
      <c r="F514" s="40">
        <f>F500+F513</f>
        <v>254</v>
      </c>
      <c r="G514" s="11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1" t="s">
        <v>230</v>
      </c>
      <c r="B527" s="102"/>
      <c r="C527" s="102"/>
      <c r="D527" s="102"/>
      <c r="E527" s="103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1" t="s">
        <v>232</v>
      </c>
      <c r="B540" s="102"/>
      <c r="C540" s="102"/>
      <c r="D540" s="102"/>
      <c r="E540" s="103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 x14ac:dyDescent="0.25">
      <c r="A541" s="98" t="s">
        <v>233</v>
      </c>
      <c r="B541" s="99"/>
      <c r="C541" s="99"/>
      <c r="D541" s="99"/>
      <c r="E541" s="100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1" t="s">
        <v>230</v>
      </c>
      <c r="B554" s="102"/>
      <c r="C554" s="102"/>
      <c r="D554" s="102"/>
      <c r="E554" s="103">
        <f>SUM(E542:E553)</f>
        <v>0</v>
      </c>
      <c r="F554" s="36">
        <f>SUM(F542:F553)</f>
        <v>12</v>
      </c>
      <c r="G554" s="36">
        <f>SUM(G542:G553)</f>
        <v>50.400000000000006</v>
      </c>
      <c r="H554" s="37"/>
      <c r="I554" s="37"/>
      <c r="J554" s="37"/>
      <c r="K554" s="37"/>
      <c r="L554" s="37"/>
      <c r="M554" s="38">
        <f ca="1">IFERROR(SUM(M542:M553),"")</f>
        <v>1.1805555555555569E-2</v>
      </c>
      <c r="N554" s="36" t="s">
        <v>231</v>
      </c>
      <c r="O554" s="77"/>
    </row>
    <row r="555" spans="1:15" ht="15" customHeight="1" x14ac:dyDescent="0.25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1" t="s">
        <v>232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 x14ac:dyDescent="0.25">
      <c r="A568" s="98" t="s">
        <v>233</v>
      </c>
      <c r="B568" s="99"/>
      <c r="C568" s="99"/>
      <c r="D568" s="99"/>
      <c r="E568" s="100">
        <f>E554+E567</f>
        <v>0</v>
      </c>
      <c r="F568" s="40">
        <f>F554+F567</f>
        <v>12</v>
      </c>
      <c r="G568" s="40">
        <f>G554+G567</f>
        <v>50.400000000000006</v>
      </c>
      <c r="H568" s="41"/>
      <c r="I568" s="41"/>
      <c r="J568" s="41"/>
      <c r="K568" s="41"/>
      <c r="L568" s="41"/>
      <c r="M568" s="42">
        <f ca="1">IFERROR(M554+M567,"")</f>
        <v>1.1805555555555569E-2</v>
      </c>
      <c r="N568" s="40" t="s">
        <v>234</v>
      </c>
      <c r="O568" s="83">
        <f>IFERROR(O554+O567,"")</f>
        <v>0</v>
      </c>
    </row>
    <row r="569" spans="1:15" ht="15" customHeight="1" x14ac:dyDescent="0.25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1" t="s">
        <v>230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 x14ac:dyDescent="0.25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1" t="s">
        <v>232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 x14ac:dyDescent="0.25">
      <c r="A595" s="98" t="s">
        <v>233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 x14ac:dyDescent="0.25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1" t="s">
        <v>230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 x14ac:dyDescent="0.25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1" t="s">
        <v>232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 x14ac:dyDescent="0.25">
      <c r="A622" s="98" t="s">
        <v>233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 x14ac:dyDescent="0.25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1" t="s">
        <v>230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 x14ac:dyDescent="0.25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1" t="s">
        <v>232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 x14ac:dyDescent="0.25">
      <c r="A649" s="98" t="s">
        <v>233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 x14ac:dyDescent="0.25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1" t="s">
        <v>230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 x14ac:dyDescent="0.25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1" t="s">
        <v>232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 x14ac:dyDescent="0.25">
      <c r="A676" s="98" t="s">
        <v>233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 x14ac:dyDescent="0.25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1" t="s">
        <v>230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 x14ac:dyDescent="0.25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1" t="s">
        <v>232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 x14ac:dyDescent="0.25">
      <c r="A703" s="98" t="s">
        <v>233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 x14ac:dyDescent="0.25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1" t="s">
        <v>230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1" t="s">
        <v>232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 x14ac:dyDescent="0.25">
      <c r="A730" s="98" t="s">
        <v>233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1" t="s">
        <v>230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1" t="s">
        <v>232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25">
      <c r="A757" s="98" t="s">
        <v>233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1" t="s">
        <v>230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1" t="s">
        <v>232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25">
      <c r="A784" s="98" t="s">
        <v>233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1" t="s">
        <v>230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1" t="s">
        <v>232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25">
      <c r="A811" s="98" t="s">
        <v>233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3" zoomScale="80" zoomScaleNormal="80" workbookViewId="0">
      <selection activeCell="F542" sqref="F542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1" t="s">
        <v>230</v>
      </c>
      <c r="B14" s="102"/>
      <c r="C14" s="102"/>
      <c r="D14" s="102"/>
      <c r="E14" s="10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1" t="s">
        <v>232</v>
      </c>
      <c r="B27" s="102"/>
      <c r="C27" s="102"/>
      <c r="D27" s="102"/>
      <c r="E27" s="10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 x14ac:dyDescent="0.25">
      <c r="A28" s="98" t="s">
        <v>233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1" t="s">
        <v>230</v>
      </c>
      <c r="B41" s="102"/>
      <c r="C41" s="102"/>
      <c r="D41" s="102"/>
      <c r="E41" s="10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1" t="s">
        <v>232</v>
      </c>
      <c r="B54" s="102"/>
      <c r="C54" s="102"/>
      <c r="D54" s="102"/>
      <c r="E54" s="10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 x14ac:dyDescent="0.25">
      <c r="A55" s="98" t="s">
        <v>233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1" t="s">
        <v>230</v>
      </c>
      <c r="B68" s="102"/>
      <c r="C68" s="102"/>
      <c r="D68" s="102"/>
      <c r="E68" s="10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1" t="s">
        <v>232</v>
      </c>
      <c r="B81" s="102"/>
      <c r="C81" s="102"/>
      <c r="D81" s="102"/>
      <c r="E81" s="10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 x14ac:dyDescent="0.25">
      <c r="A82" s="98" t="s">
        <v>233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1" t="s">
        <v>230</v>
      </c>
      <c r="B95" s="102"/>
      <c r="C95" s="102"/>
      <c r="D95" s="102"/>
      <c r="E95" s="10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1" t="s">
        <v>232</v>
      </c>
      <c r="B108" s="102"/>
      <c r="C108" s="102"/>
      <c r="D108" s="102"/>
      <c r="E108" s="10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 x14ac:dyDescent="0.25">
      <c r="A109" s="98" t="s">
        <v>233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1" t="s">
        <v>230</v>
      </c>
      <c r="B122" s="102"/>
      <c r="C122" s="102"/>
      <c r="D122" s="102"/>
      <c r="E122" s="10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1" t="s">
        <v>232</v>
      </c>
      <c r="B135" s="102"/>
      <c r="C135" s="102"/>
      <c r="D135" s="102"/>
      <c r="E135" s="10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 x14ac:dyDescent="0.25">
      <c r="A136" s="98" t="s">
        <v>233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1" t="s">
        <v>230</v>
      </c>
      <c r="B149" s="102"/>
      <c r="C149" s="102"/>
      <c r="D149" s="102"/>
      <c r="E149" s="10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1" t="s">
        <v>232</v>
      </c>
      <c r="B162" s="102"/>
      <c r="C162" s="102"/>
      <c r="D162" s="102"/>
      <c r="E162" s="10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 x14ac:dyDescent="0.25">
      <c r="A163" s="98" t="s">
        <v>233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1" t="s">
        <v>230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1" t="s">
        <v>232</v>
      </c>
      <c r="B189" s="102"/>
      <c r="C189" s="102"/>
      <c r="D189" s="102"/>
      <c r="E189" s="10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 x14ac:dyDescent="0.25">
      <c r="A190" s="98" t="s">
        <v>233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1" t="s">
        <v>230</v>
      </c>
      <c r="B203" s="102"/>
      <c r="C203" s="102"/>
      <c r="D203" s="102"/>
      <c r="E203" s="10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1" t="s">
        <v>232</v>
      </c>
      <c r="B216" s="102"/>
      <c r="C216" s="102"/>
      <c r="D216" s="102"/>
      <c r="E216" s="10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 x14ac:dyDescent="0.25">
      <c r="A217" s="98" t="s">
        <v>233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1" t="s">
        <v>230</v>
      </c>
      <c r="B230" s="102"/>
      <c r="C230" s="102"/>
      <c r="D230" s="102"/>
      <c r="E230" s="10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1" t="s">
        <v>232</v>
      </c>
      <c r="B243" s="102"/>
      <c r="C243" s="102"/>
      <c r="D243" s="102"/>
      <c r="E243" s="10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 x14ac:dyDescent="0.25">
      <c r="A244" s="98" t="s">
        <v>233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1" t="s">
        <v>230</v>
      </c>
      <c r="B257" s="102"/>
      <c r="C257" s="102"/>
      <c r="D257" s="102"/>
      <c r="E257" s="10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1" t="s">
        <v>232</v>
      </c>
      <c r="B270" s="102"/>
      <c r="C270" s="102"/>
      <c r="D270" s="102"/>
      <c r="E270" s="10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 x14ac:dyDescent="0.25">
      <c r="A271" s="98" t="s">
        <v>233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1" t="s">
        <v>230</v>
      </c>
      <c r="B284" s="102"/>
      <c r="C284" s="102"/>
      <c r="D284" s="102"/>
      <c r="E284" s="10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1" t="s">
        <v>232</v>
      </c>
      <c r="B297" s="102"/>
      <c r="C297" s="102"/>
      <c r="D297" s="102"/>
      <c r="E297" s="10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 x14ac:dyDescent="0.25">
      <c r="A298" s="98" t="s">
        <v>233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1" t="s">
        <v>230</v>
      </c>
      <c r="B311" s="102"/>
      <c r="C311" s="102"/>
      <c r="D311" s="102"/>
      <c r="E311" s="10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1" t="s">
        <v>232</v>
      </c>
      <c r="B324" s="102"/>
      <c r="C324" s="102"/>
      <c r="D324" s="102"/>
      <c r="E324" s="10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 x14ac:dyDescent="0.25">
      <c r="A325" s="98" t="s">
        <v>233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1" t="s">
        <v>230</v>
      </c>
      <c r="B338" s="102"/>
      <c r="C338" s="102"/>
      <c r="D338" s="102"/>
      <c r="E338" s="103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1" t="s">
        <v>232</v>
      </c>
      <c r="B351" s="102"/>
      <c r="C351" s="102"/>
      <c r="D351" s="102"/>
      <c r="E351" s="103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 x14ac:dyDescent="0.25">
      <c r="A352" s="98" t="s">
        <v>233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1" t="s">
        <v>230</v>
      </c>
      <c r="B365" s="102"/>
      <c r="C365" s="102"/>
      <c r="D365" s="102"/>
      <c r="E365" s="103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1" t="s">
        <v>232</v>
      </c>
      <c r="B378" s="102"/>
      <c r="C378" s="102"/>
      <c r="D378" s="102"/>
      <c r="E378" s="103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 x14ac:dyDescent="0.25">
      <c r="A379" s="98" t="s">
        <v>233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1" t="s">
        <v>230</v>
      </c>
      <c r="B392" s="102"/>
      <c r="C392" s="102"/>
      <c r="D392" s="102"/>
      <c r="E392" s="103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1" t="s">
        <v>232</v>
      </c>
      <c r="B405" s="102"/>
      <c r="C405" s="102"/>
      <c r="D405" s="102"/>
      <c r="E405" s="103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 x14ac:dyDescent="0.25">
      <c r="A406" s="98" t="s">
        <v>233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1" t="s">
        <v>230</v>
      </c>
      <c r="B419" s="102"/>
      <c r="C419" s="102"/>
      <c r="D419" s="102"/>
      <c r="E419" s="103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1" t="s">
        <v>232</v>
      </c>
      <c r="B432" s="102"/>
      <c r="C432" s="102"/>
      <c r="D432" s="102"/>
      <c r="E432" s="103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 x14ac:dyDescent="0.25">
      <c r="A433" s="98" t="s">
        <v>233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1" t="s">
        <v>230</v>
      </c>
      <c r="B446" s="102"/>
      <c r="C446" s="102"/>
      <c r="D446" s="102"/>
      <c r="E446" s="103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1" t="s">
        <v>232</v>
      </c>
      <c r="B459" s="102"/>
      <c r="C459" s="102"/>
      <c r="D459" s="102"/>
      <c r="E459" s="103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 x14ac:dyDescent="0.25">
      <c r="A460" s="98" t="s">
        <v>233</v>
      </c>
      <c r="B460" s="99"/>
      <c r="C460" s="99"/>
      <c r="D460" s="99"/>
      <c r="E460" s="100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1" t="s">
        <v>230</v>
      </c>
      <c r="B473" s="102"/>
      <c r="C473" s="102"/>
      <c r="D473" s="102"/>
      <c r="E473" s="103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1" t="s">
        <v>232</v>
      </c>
      <c r="B486" s="102"/>
      <c r="C486" s="102"/>
      <c r="D486" s="102"/>
      <c r="E486" s="103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 x14ac:dyDescent="0.25">
      <c r="A487" s="98" t="s">
        <v>233</v>
      </c>
      <c r="B487" s="99"/>
      <c r="C487" s="99"/>
      <c r="D487" s="99"/>
      <c r="E487" s="100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1" t="s">
        <v>230</v>
      </c>
      <c r="B500" s="102"/>
      <c r="C500" s="102"/>
      <c r="D500" s="102"/>
      <c r="E500" s="103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1" t="s">
        <v>232</v>
      </c>
      <c r="B513" s="102"/>
      <c r="C513" s="102"/>
      <c r="D513" s="102"/>
      <c r="E513" s="103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 x14ac:dyDescent="0.25">
      <c r="A514" s="98" t="s">
        <v>233</v>
      </c>
      <c r="B514" s="99"/>
      <c r="C514" s="99"/>
      <c r="D514" s="99"/>
      <c r="E514" s="100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1" t="s">
        <v>230</v>
      </c>
      <c r="B527" s="102"/>
      <c r="C527" s="102"/>
      <c r="D527" s="102"/>
      <c r="E527" s="103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1" t="s">
        <v>232</v>
      </c>
      <c r="B540" s="102"/>
      <c r="C540" s="102"/>
      <c r="D540" s="102"/>
      <c r="E540" s="103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 x14ac:dyDescent="0.25">
      <c r="A541" s="98" t="s">
        <v>233</v>
      </c>
      <c r="B541" s="99"/>
      <c r="C541" s="99"/>
      <c r="D541" s="99"/>
      <c r="E541" s="100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1" t="s">
        <v>230</v>
      </c>
      <c r="B554" s="102"/>
      <c r="C554" s="102"/>
      <c r="D554" s="102"/>
      <c r="E554" s="103">
        <f>SUM(E542:E553)</f>
        <v>0</v>
      </c>
      <c r="F554" s="36">
        <f>SUM(F542:F553)</f>
        <v>2</v>
      </c>
      <c r="G554" s="36">
        <f>SUM(G542:G553)</f>
        <v>8.4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 x14ac:dyDescent="0.25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1" t="s">
        <v>232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 x14ac:dyDescent="0.25">
      <c r="A568" s="98" t="s">
        <v>233</v>
      </c>
      <c r="B568" s="99"/>
      <c r="C568" s="99"/>
      <c r="D568" s="99"/>
      <c r="E568" s="100">
        <f>E554+E567</f>
        <v>0</v>
      </c>
      <c r="F568" s="40">
        <f>F554+F567</f>
        <v>2</v>
      </c>
      <c r="G568" s="40">
        <f>G554+G567</f>
        <v>8.4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25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1" t="s">
        <v>230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25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1" t="s">
        <v>232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25">
      <c r="A595" s="98" t="s">
        <v>233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1" t="s">
        <v>230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25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1" t="s">
        <v>232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25">
      <c r="A622" s="98" t="s">
        <v>233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1" t="s">
        <v>230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25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1" t="s">
        <v>232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25">
      <c r="A649" s="98" t="s">
        <v>233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1" t="s">
        <v>230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1" t="s">
        <v>232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25">
      <c r="A676" s="98" t="s">
        <v>233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1" t="s">
        <v>230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25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1" t="s">
        <v>232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25">
      <c r="A703" s="98" t="s">
        <v>233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1" t="s">
        <v>230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1" t="s">
        <v>232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25">
      <c r="A730" s="98" t="s">
        <v>233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1" t="s">
        <v>230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1" t="s">
        <v>232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25">
      <c r="A757" s="98" t="s">
        <v>233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1" t="s">
        <v>230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1" t="s">
        <v>232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25">
      <c r="A784" s="98" t="s">
        <v>233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1" t="s">
        <v>230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1" t="s">
        <v>232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25">
      <c r="A811" s="98" t="s">
        <v>233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80" zoomScaleNormal="80" workbookViewId="0">
      <pane ySplit="1" topLeftCell="A524" activePane="bottomLeft" state="frozen"/>
      <selection pane="bottomLeft" activeCell="F543" sqref="F543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1" t="s">
        <v>230</v>
      </c>
      <c r="B14" s="102"/>
      <c r="C14" s="102"/>
      <c r="D14" s="102"/>
      <c r="E14" s="10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1" t="s">
        <v>232</v>
      </c>
      <c r="B27" s="102"/>
      <c r="C27" s="102"/>
      <c r="D27" s="102"/>
      <c r="E27" s="10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 x14ac:dyDescent="0.25">
      <c r="A28" s="98" t="s">
        <v>233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1" t="s">
        <v>230</v>
      </c>
      <c r="B41" s="102"/>
      <c r="C41" s="102"/>
      <c r="D41" s="102"/>
      <c r="E41" s="10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1" t="s">
        <v>232</v>
      </c>
      <c r="B54" s="102"/>
      <c r="C54" s="102"/>
      <c r="D54" s="102"/>
      <c r="E54" s="10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 x14ac:dyDescent="0.25">
      <c r="A55" s="98" t="s">
        <v>233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1" t="s">
        <v>230</v>
      </c>
      <c r="B68" s="102"/>
      <c r="C68" s="102"/>
      <c r="D68" s="102"/>
      <c r="E68" s="10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1" t="s">
        <v>232</v>
      </c>
      <c r="B81" s="102"/>
      <c r="C81" s="102"/>
      <c r="D81" s="102"/>
      <c r="E81" s="10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 x14ac:dyDescent="0.25">
      <c r="A82" s="98" t="s">
        <v>233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1" t="s">
        <v>230</v>
      </c>
      <c r="B95" s="102"/>
      <c r="C95" s="102"/>
      <c r="D95" s="102"/>
      <c r="E95" s="10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1" t="s">
        <v>232</v>
      </c>
      <c r="B108" s="102"/>
      <c r="C108" s="102"/>
      <c r="D108" s="102"/>
      <c r="E108" s="10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 x14ac:dyDescent="0.25">
      <c r="A109" s="98" t="s">
        <v>233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1" t="s">
        <v>230</v>
      </c>
      <c r="B122" s="102"/>
      <c r="C122" s="102"/>
      <c r="D122" s="102"/>
      <c r="E122" s="10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9.2691435187589377E-2</v>
      </c>
      <c r="N128" s="27"/>
      <c r="O128" s="60"/>
    </row>
    <row r="129" spans="1:18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1" t="s">
        <v>232</v>
      </c>
      <c r="B135" s="102"/>
      <c r="C135" s="102"/>
      <c r="D135" s="102"/>
      <c r="E135" s="10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0.291996990743145</v>
      </c>
      <c r="N135" s="36" t="s">
        <v>231</v>
      </c>
      <c r="O135" s="39">
        <v>729290</v>
      </c>
    </row>
    <row r="136" spans="1:18" ht="18" customHeight="1" x14ac:dyDescent="0.25">
      <c r="A136" s="98" t="s">
        <v>233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0.65935810185425603</v>
      </c>
      <c r="N136" s="40" t="s">
        <v>234</v>
      </c>
      <c r="O136" s="48">
        <f>IFERROR(O122+O135,"")</f>
        <v>1003740</v>
      </c>
    </row>
    <row r="137" spans="1:18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1" t="s">
        <v>230</v>
      </c>
      <c r="B149" s="102"/>
      <c r="C149" s="102"/>
      <c r="D149" s="102"/>
      <c r="E149" s="10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1" t="s">
        <v>232</v>
      </c>
      <c r="B162" s="102"/>
      <c r="C162" s="102"/>
      <c r="D162" s="102"/>
      <c r="E162" s="10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 x14ac:dyDescent="0.25">
      <c r="A163" s="98" t="s">
        <v>233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1" t="s">
        <v>230</v>
      </c>
      <c r="B176" s="102"/>
      <c r="C176" s="102"/>
      <c r="D176" s="102"/>
      <c r="E176" s="10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1" t="s">
        <v>232</v>
      </c>
      <c r="B189" s="102"/>
      <c r="C189" s="102"/>
      <c r="D189" s="102"/>
      <c r="E189" s="10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 x14ac:dyDescent="0.25">
      <c r="A190" s="98" t="s">
        <v>233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1" t="s">
        <v>230</v>
      </c>
      <c r="B203" s="102"/>
      <c r="C203" s="102"/>
      <c r="D203" s="102"/>
      <c r="E203" s="10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1" t="s">
        <v>232</v>
      </c>
      <c r="B216" s="102"/>
      <c r="C216" s="102"/>
      <c r="D216" s="102"/>
      <c r="E216" s="10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 x14ac:dyDescent="0.25">
      <c r="A217" s="98" t="s">
        <v>233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1" t="s">
        <v>230</v>
      </c>
      <c r="B230" s="102"/>
      <c r="C230" s="102"/>
      <c r="D230" s="102"/>
      <c r="E230" s="10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1" t="s">
        <v>232</v>
      </c>
      <c r="B243" s="102"/>
      <c r="C243" s="102"/>
      <c r="D243" s="102"/>
      <c r="E243" s="10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 x14ac:dyDescent="0.25">
      <c r="A244" s="98" t="s">
        <v>233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1" t="s">
        <v>230</v>
      </c>
      <c r="B257" s="102"/>
      <c r="C257" s="102"/>
      <c r="D257" s="102"/>
      <c r="E257" s="10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1" t="s">
        <v>232</v>
      </c>
      <c r="B270" s="102"/>
      <c r="C270" s="102"/>
      <c r="D270" s="102"/>
      <c r="E270" s="10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 x14ac:dyDescent="0.25">
      <c r="A271" s="98" t="s">
        <v>233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1" t="s">
        <v>230</v>
      </c>
      <c r="B284" s="102"/>
      <c r="C284" s="102"/>
      <c r="D284" s="102"/>
      <c r="E284" s="10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1" t="s">
        <v>232</v>
      </c>
      <c r="B297" s="102"/>
      <c r="C297" s="102"/>
      <c r="D297" s="102"/>
      <c r="E297" s="10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 x14ac:dyDescent="0.25">
      <c r="A298" s="98" t="s">
        <v>233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1" t="s">
        <v>230</v>
      </c>
      <c r="B311" s="102"/>
      <c r="C311" s="102"/>
      <c r="D311" s="102"/>
      <c r="E311" s="10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1" t="s">
        <v>232</v>
      </c>
      <c r="B324" s="102"/>
      <c r="C324" s="102"/>
      <c r="D324" s="102"/>
      <c r="E324" s="10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 x14ac:dyDescent="0.25">
      <c r="A325" s="98" t="s">
        <v>233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 x14ac:dyDescent="0.25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1" t="s">
        <v>230</v>
      </c>
      <c r="B338" s="102"/>
      <c r="C338" s="102"/>
      <c r="D338" s="102"/>
      <c r="E338" s="103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1" t="s">
        <v>232</v>
      </c>
      <c r="B351" s="102"/>
      <c r="C351" s="102"/>
      <c r="D351" s="102"/>
      <c r="E351" s="103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 x14ac:dyDescent="0.25">
      <c r="A352" s="98" t="s">
        <v>233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25">
      <c r="A378" s="101" t="s">
        <v>232</v>
      </c>
      <c r="B378" s="102"/>
      <c r="C378" s="102"/>
      <c r="D378" s="102"/>
      <c r="E378" s="103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 x14ac:dyDescent="0.25">
      <c r="A379" s="98" t="s">
        <v>233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1" t="s">
        <v>230</v>
      </c>
      <c r="B392" s="102"/>
      <c r="C392" s="102"/>
      <c r="D392" s="102"/>
      <c r="E392" s="103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1" t="s">
        <v>232</v>
      </c>
      <c r="B405" s="102"/>
      <c r="C405" s="102"/>
      <c r="D405" s="102"/>
      <c r="E405" s="103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 x14ac:dyDescent="0.25">
      <c r="A406" s="98" t="s">
        <v>233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1" t="s">
        <v>230</v>
      </c>
      <c r="B419" s="102"/>
      <c r="C419" s="102"/>
      <c r="D419" s="102"/>
      <c r="E419" s="103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1" t="s">
        <v>232</v>
      </c>
      <c r="B432" s="102"/>
      <c r="C432" s="102"/>
      <c r="D432" s="102"/>
      <c r="E432" s="103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 x14ac:dyDescent="0.25">
      <c r="A433" s="98" t="s">
        <v>233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1" t="s">
        <v>230</v>
      </c>
      <c r="B446" s="102"/>
      <c r="C446" s="102"/>
      <c r="D446" s="102"/>
      <c r="E446" s="103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1" t="s">
        <v>232</v>
      </c>
      <c r="B459" s="102"/>
      <c r="C459" s="102"/>
      <c r="D459" s="102"/>
      <c r="E459" s="103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 x14ac:dyDescent="0.25">
      <c r="A460" s="98" t="s">
        <v>233</v>
      </c>
      <c r="B460" s="99"/>
      <c r="C460" s="99"/>
      <c r="D460" s="99"/>
      <c r="E460" s="100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1" t="s">
        <v>230</v>
      </c>
      <c r="B473" s="102"/>
      <c r="C473" s="102"/>
      <c r="D473" s="102"/>
      <c r="E473" s="103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1" t="s">
        <v>232</v>
      </c>
      <c r="B486" s="102"/>
      <c r="C486" s="102"/>
      <c r="D486" s="102"/>
      <c r="E486" s="103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 x14ac:dyDescent="0.25">
      <c r="A487" s="98" t="s">
        <v>233</v>
      </c>
      <c r="B487" s="99"/>
      <c r="C487" s="99"/>
      <c r="D487" s="99"/>
      <c r="E487" s="100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25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 x14ac:dyDescent="0.25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25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25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1" t="s">
        <v>230</v>
      </c>
      <c r="B500" s="102"/>
      <c r="C500" s="102"/>
      <c r="D500" s="102"/>
      <c r="E500" s="103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1" t="s">
        <v>232</v>
      </c>
      <c r="B513" s="102"/>
      <c r="C513" s="102"/>
      <c r="D513" s="102"/>
      <c r="E513" s="103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 x14ac:dyDescent="0.25">
      <c r="A514" s="98" t="s">
        <v>233</v>
      </c>
      <c r="B514" s="99"/>
      <c r="C514" s="99"/>
      <c r="D514" s="99"/>
      <c r="E514" s="100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1" t="s">
        <v>230</v>
      </c>
      <c r="B527" s="102"/>
      <c r="C527" s="102"/>
      <c r="D527" s="102"/>
      <c r="E527" s="103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1" t="s">
        <v>232</v>
      </c>
      <c r="B540" s="102"/>
      <c r="C540" s="102"/>
      <c r="D540" s="102"/>
      <c r="E540" s="103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 x14ac:dyDescent="0.25">
      <c r="A541" s="98" t="s">
        <v>233</v>
      </c>
      <c r="B541" s="99"/>
      <c r="C541" s="99"/>
      <c r="D541" s="99"/>
      <c r="E541" s="100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364</v>
      </c>
      <c r="O542" s="60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365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366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367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368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369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370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371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372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373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374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1" t="s">
        <v>230</v>
      </c>
      <c r="B554" s="102"/>
      <c r="C554" s="102"/>
      <c r="D554" s="102"/>
      <c r="E554" s="103">
        <f>SUM(E542:E553)</f>
        <v>0</v>
      </c>
      <c r="F554" s="36">
        <f>SUM(F542:F553)</f>
        <v>17</v>
      </c>
      <c r="G554" s="36">
        <f>SUM(G542:G553)</f>
        <v>71.400000000000006</v>
      </c>
      <c r="H554" s="37"/>
      <c r="I554" s="37"/>
      <c r="J554" s="37"/>
      <c r="K554" s="61"/>
      <c r="L554" s="61"/>
      <c r="M554" s="38">
        <f ca="1">IFERROR(SUM(M542:M553),"")</f>
        <v>1.4583333333333337E-2</v>
      </c>
      <c r="N554" s="36" t="s">
        <v>231</v>
      </c>
      <c r="O554" s="39"/>
    </row>
    <row r="555" spans="1:15" ht="15" customHeight="1" x14ac:dyDescent="0.25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25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25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25">
      <c r="A567" s="101" t="s">
        <v>232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 x14ac:dyDescent="0.25">
      <c r="A568" s="98" t="s">
        <v>233</v>
      </c>
      <c r="B568" s="99"/>
      <c r="C568" s="99"/>
      <c r="D568" s="99"/>
      <c r="E568" s="100">
        <f>E554+E567</f>
        <v>0</v>
      </c>
      <c r="F568" s="40">
        <f>F554+F567</f>
        <v>17</v>
      </c>
      <c r="G568" s="40">
        <f>G554+G567</f>
        <v>71.400000000000006</v>
      </c>
      <c r="H568" s="41"/>
      <c r="I568" s="41"/>
      <c r="J568" s="41"/>
      <c r="K568" s="63"/>
      <c r="L568" s="63"/>
      <c r="M568" s="42">
        <f ca="1">IFERROR(M554+M567,"")</f>
        <v>1.4583333333333337E-2</v>
      </c>
      <c r="N568" s="40" t="s">
        <v>234</v>
      </c>
      <c r="O568" s="48">
        <f>IFERROR(O554+O567,"")</f>
        <v>0</v>
      </c>
    </row>
    <row r="569" spans="1:15" ht="15" customHeight="1" x14ac:dyDescent="0.25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1" t="s">
        <v>230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25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101" t="s">
        <v>232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25">
      <c r="A595" s="98" t="s">
        <v>233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1" t="s">
        <v>230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25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1" t="s">
        <v>232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25">
      <c r="A622" s="98" t="s">
        <v>233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1" t="s">
        <v>230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25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1" t="s">
        <v>232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25">
      <c r="A649" s="98" t="s">
        <v>233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1" t="s">
        <v>230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1" t="s">
        <v>232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25">
      <c r="A676" s="98" t="s">
        <v>233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1" t="s">
        <v>230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25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1" t="s">
        <v>232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25">
      <c r="A703" s="98" t="s">
        <v>233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1" t="s">
        <v>230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1" t="s">
        <v>232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25">
      <c r="A730" s="98" t="s">
        <v>233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1" t="s">
        <v>230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1" t="s">
        <v>232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25">
      <c r="A757" s="98" t="s">
        <v>233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1" t="s">
        <v>230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1" t="s">
        <v>232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25">
      <c r="A784" s="98" t="s">
        <v>233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1" t="s">
        <v>230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1" t="s">
        <v>232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25">
      <c r="A811" s="98" t="s">
        <v>233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2026-07-21T12:14:36Z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