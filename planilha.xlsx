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952" documentId="8_{AF585B22-221D-4780-BB9C-493D365A6A02}" xr6:coauthVersionLast="47" xr6:coauthVersionMax="47" xr10:uidLastSave="{38770CF0-FF59-4AD1-822C-F065F81483A1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<sst xmlns="http://schemas.openxmlformats.org/spreadsheetml/2006/main" count="2215" uniqueCount="227">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</sst>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/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176</v>
      </c>
      <c r="L48" s="16"/>
      <c r="M48" s="16"/>
    </row>
    <row r="49" spans="1:13" ht="18" customHeight="1">
      <c r="H49" s="91"/>
      <c r="I49" s="17"/>
      <c r="J49" s="17"/>
      <c r="K49" s="17" t="s">
        <v>177</v>
      </c>
      <c r="L49" s="17"/>
      <c r="M49" s="17"/>
    </row>
    <row r="50" spans="1:13" ht="21" customHeight="1">
      <c r="A50" s="19" t="s">
        <v>178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179</v>
      </c>
      <c r="L50" s="16"/>
      <c r="M50" s="16"/>
    </row>
    <row r="51" spans="1:13" ht="24" customHeight="1">
      <c r="H51" s="91"/>
      <c r="I51" s="17"/>
      <c r="J51" s="17"/>
      <c r="K51" s="17" t="s">
        <v>180</v>
      </c>
      <c r="L51" s="17"/>
      <c r="M51" s="17"/>
    </row>
    <row r="52" spans="1:13" ht="24" customHeight="1">
      <c r="H52" s="91"/>
      <c r="I52" s="16"/>
      <c r="J52" s="16"/>
      <c r="K52" s="16" t="s">
        <v>181</v>
      </c>
      <c r="L52" s="16"/>
      <c r="M52" s="16"/>
    </row>
    <row r="53" spans="1:13" ht="36" customHeight="1">
      <c r="H53" s="91"/>
      <c r="I53" s="17"/>
      <c r="J53" s="17"/>
      <c r="K53" s="17" t="s">
        <v>182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6" activePane="bottomLeft" state="frozen"/>
      <selection pane="bottomLeft" activeCell="J86" sqref="J8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>
        <v>878050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194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180</v>
      </c>
      <c r="K86" s="29">
        <v>0.60624999999999996</v>
      </c>
      <c r="L86" s="29"/>
      <c r="M86" s="30">
        <f t="shared" ca="1" si="19"/>
        <v>3.0932870431570336E-3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106</v>
      </c>
      <c r="G95" s="36">
        <f>SUM(G83:G94)</f>
        <v>530</v>
      </c>
      <c r="H95" s="37"/>
      <c r="I95" s="37"/>
      <c r="J95" s="37"/>
      <c r="K95" s="37"/>
      <c r="L95" s="37"/>
      <c r="M95" s="38">
        <f ca="1">IFERROR(SUM(M83:M94),"")</f>
        <v>0.11489884259871258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106</v>
      </c>
      <c r="G109" s="40">
        <f>G95+G108</f>
        <v>530</v>
      </c>
      <c r="H109" s="41"/>
      <c r="I109" s="41"/>
      <c r="J109" s="41"/>
      <c r="K109" s="41"/>
      <c r="L109" s="41"/>
      <c r="M109" s="42">
        <f ca="1">IFERROR(M95+M108,"")</f>
        <v>0.11489884259871258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8" activePane="bottomLeft" state="frozen"/>
      <selection pane="bottomLeft" activeCell="L84" sqref="L8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204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97">
        <v>276360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197</v>
      </c>
      <c r="O81" s="54">
        <v>787860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200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209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>
        <v>22</v>
      </c>
      <c r="G84" s="34">
        <f t="shared" si="18"/>
        <v>92.4</v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>
        <v>7</v>
      </c>
      <c r="G85" s="28">
        <f t="shared" si="18"/>
        <v>29.400000000000002</v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60</v>
      </c>
      <c r="G95" s="36">
        <f>SUM(G83:G94)</f>
        <v>259.2</v>
      </c>
      <c r="H95" s="37"/>
      <c r="I95" s="37"/>
      <c r="J95" s="37"/>
      <c r="K95" s="37"/>
      <c r="L95" s="37"/>
      <c r="M95" s="38">
        <f ca="1">IFERROR(SUM(M83:M94),"")</f>
        <v>0.21597222222222218</v>
      </c>
      <c r="N95" s="36" t="s">
        <v>197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60</v>
      </c>
      <c r="G109" s="40">
        <f>G95+G108</f>
        <v>259.2</v>
      </c>
      <c r="H109" s="41"/>
      <c r="I109" s="41"/>
      <c r="J109" s="41"/>
      <c r="K109" s="41"/>
      <c r="L109" s="41"/>
      <c r="M109" s="42">
        <f ca="1">IFERROR(M95+M108,"")</f>
        <v>0.21597222222222218</v>
      </c>
      <c r="N109" s="40" t="s">
        <v>200</v>
      </c>
      <c r="O109" s="95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78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78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78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78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78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78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78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78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78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78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78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78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78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78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78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78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78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78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78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78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78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1" activePane="bottomLeft" state="frozen"/>
      <selection pane="bottomLeft" activeCell="F90" sqref="F9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197</v>
      </c>
      <c r="O81" s="39">
        <v>396340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215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16</v>
      </c>
      <c r="G95" s="36">
        <f>SUM(G83:G94)</f>
        <v>80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16</v>
      </c>
      <c r="G109" s="40">
        <f>G95+G108</f>
        <v>80</v>
      </c>
      <c r="H109" s="41"/>
      <c r="I109" s="41"/>
      <c r="J109" s="41"/>
      <c r="K109" s="41"/>
      <c r="L109" s="41"/>
      <c r="M109" s="42">
        <f ca="1">IFERROR(M95+M108,"")</f>
        <v>0.2013888888888889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68" activePane="bottomLeft" state="frozen"/>
      <selection pane="bottomLeft" activeCell="F90" sqref="F9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220</v>
      </c>
      <c r="L58" s="29">
        <v>0.54097222222222219</v>
      </c>
      <c r="M58" s="30" t="str">
        <f t="shared" ca="1" si="13"/>
        <v/>
      </c>
      <c r="N58" s="27" t="s">
        <v>221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197</v>
      </c>
      <c r="O81" s="39">
        <v>565120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>
        <v>3</v>
      </c>
      <c r="G84" s="34">
        <f t="shared" si="18"/>
        <v>12.600000000000001</v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62</v>
      </c>
      <c r="G95" s="36">
        <f>SUM(G83:G94)</f>
        <v>298</v>
      </c>
      <c r="H95" s="37"/>
      <c r="I95" s="37"/>
      <c r="J95" s="37"/>
      <c r="K95" s="61"/>
      <c r="L95" s="61"/>
      <c r="M95" s="38">
        <f ca="1">IFERROR(SUM(M83:M94),"")</f>
        <v>0.1736111111111111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62</v>
      </c>
      <c r="G109" s="40">
        <f>G95+G108</f>
        <v>298</v>
      </c>
      <c r="H109" s="41"/>
      <c r="I109" s="41"/>
      <c r="J109" s="41"/>
      <c r="K109" s="63"/>
      <c r="L109" s="63"/>
      <c r="M109" s="42">
        <f ca="1">IFERROR(M95+M108,"")</f>
        <v>0.1736111111111111</v>
      </c>
      <c r="N109" s="40" t="s">
        <v>200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2026-07-04T18:38:01Z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