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2" documentId="8_{C51EB6CB-002B-4D6B-B68F-DDEBDB4460C0}" xr6:coauthVersionLast="47" xr6:coauthVersionMax="47" xr10:uidLastSave="{733A0805-297F-41C5-A304-CD73EB8DBCC9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<sst xmlns="http://schemas.openxmlformats.org/spreadsheetml/2006/main" count="1396" uniqueCount="241">
  <si>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</si>
  <si>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</si>
  <si>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</si>
  <si>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</si>
  <si>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</si>
  <si>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</si>
  <si>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</si>
  <si>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</si>
  <si>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</si>
  <si>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</si>
  <si>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</si>
  <si>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</si>
  <si>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</si>
  <si>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</si>
  <si>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</si>
  <si>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</si>
  <si>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</si>
  <si>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</si>
  <si>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</si>
  <si>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</si>
  <si>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</si>
  <si>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</si>
  <si>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</si>
  <si>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</si>
  <si>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</si>
  <si>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</si>
  <si>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</si>
  <si>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</si>
  <si>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</si>
  <si>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</si>
  <si>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</si>
  <si>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</si>
  <si>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</si>
  <si>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</si>
  <si>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</si>
  <si>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</si>
  <si>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</si>
  <si>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</si>
  <si>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</si>
  <si>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</si>
  <si>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</si>
  <si>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</si>
  <si>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</si>
  <si>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</si>
  <si>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</si>
  <si>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</si>
  <si>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</si>
  <si>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</si>
  <si>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</si>
  <si>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</si>
  <si>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</si>
  <si>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</si>
  <si>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</si>
  <si>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</si>
  <si>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</si>
  <si>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</si>
  <si>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</si>
  <si>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</si>
  <si>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</si>
  <si>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</si>
  <si>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</si>
  <si>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</si>
  <si>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</si>
  <si>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</si>
  <si>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</si>
  <si>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</si>
  <si>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</si>
  <si>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</si>
  <si>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</si>
  <si>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</si>
  <si>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</si>
  <si>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</si>
  <si>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</si>
  <si>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</si>
  <si>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</si>
  <si>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</si>
  <si>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</si>
  <si>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</si>
  <si>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</si>
  <si>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</si>
  <si>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</si>
  <si>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</si>
  <si>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</si>
  <si>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</si>
  <si>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</si>
  <si>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</si>
  <si>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</si>
  <si>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</si>
  <si>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</si>
  <si>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</si>
  <si>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</si>
  <si>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</si>
  <si>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</si>
  <si>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</si>
  <si>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</si>
  <si>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</si>
  <si>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</si>
  <si>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</si>
  <si>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</si>
  <si>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</si>
  <si>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</si>
  <si>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</si>
  <si>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</si>
  <si>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</si>
  <si>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</si>
  <si>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</si>
  <si>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</si>
  <si>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</si>
  <si>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</si>
  <si>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</si>
  <si>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</si>
  <si>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</si>
  <si>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</si>
  <si>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</si>
  <si>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</si>
  <si>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</si>
  <si>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</si>
  <si>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</si>
  <si>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</si>
  <si>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</si>
  <si>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</si>
  <si>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</si>
  <si>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</si>
  <si>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</si>
  <si>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</si>
  <si>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</si>
  <si>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</si>
  <si>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</si>
  <si>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</si>
  <si>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</si>
  <si>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</si>
  <si>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</si>
  <si>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</si>
  <si>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</si>
  <si>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</si>
  <si>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</si>
  <si>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</si>
  <si>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</si>
  <si>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</si>
  <si>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</si>
  <si>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</si>
  <si>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</si>
  <si>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</si>
  <si>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</si>
  <si>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</si>
  <si>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</si>
  <si>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</si>
  <si>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</si>
  <si>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</si>
  <si>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</si>
  <si>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</si>
  <si>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</si>
  <si>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</si>
  <si>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</si>
  <si>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</si>
  <si>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</si>
  <si>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</si>
  <si>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</si>
  <si>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</si>
  <si>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</si>
  <si>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</si>
  <si>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</si>
  <si>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</si>
  <si>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</si>
  <si>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</si>
  <si>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</si>
  <si>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</si>
  <si>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</si>
  <si>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</si>
  <si>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</si>
  <si>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</si>
  <si>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</si>
  <si>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</si>
  <si>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</si>
  <si>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</si>
  <si>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</si>
  <si>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</si>
  <si>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</si>
  <si>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</si>
  <si>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</si>
  <si>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</si>
  <si>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</si>
  <si>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</si>
  <si>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</si>
  <si>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</si>
  <si>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</si>
  <si>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</si>
  <si>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</si>
  <si>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</si>
  <si>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</si>
  <si>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</si>
  <si>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</si>
  <si>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</si>
  <si>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</si>
  <si>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</si>
  <si>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</si>
  <si>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</si>
  <si>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</si>
  <si>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</si>
  <si>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</si>
  <si>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</si>
  <si>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</si>
  <si>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</si>
  <si>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</si>
  <si>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</si>
  <si>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</si>
  <si>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</si>
  <si>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</si>
  <si>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</si>
  <si>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</si>
  <si>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</si>
  <si>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</si>
  <si>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</si>
  <si>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</si>
  <si>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</si>
  <si>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</si>
  <si>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</si>
  <si>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</si>
  <si>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</si>
  <si>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</si>
  <si>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</si>
  <si>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</si>
  <si>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</si>
  <si>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</si>
  <si>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</si>
  <si>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</si>
  <si>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</si>
  <si>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</si>
  <si>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</si>
  <si>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</si>
  <si>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</si>
  <si>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</si>
  <si>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</si>
  <si>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</si>
  <si>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</si>
  <si>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</si>
  <si>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</si>
  <si>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solda no queixo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</si>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</sst>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20" sqref="F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104</v>
      </c>
      <c r="G27" s="36">
        <f>SUM(G15:G26)</f>
        <v>520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300</v>
      </c>
      <c r="G28" s="40">
        <f>G14+G27</f>
        <v>1500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19" sqref="F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62</v>
      </c>
      <c r="G27" s="36">
        <f>SUM(G15:G26)</f>
        <v>260.39999999999998</v>
      </c>
      <c r="H27" s="37"/>
      <c r="I27" s="37"/>
      <c r="J27" s="37"/>
      <c r="K27" s="37"/>
      <c r="L27" s="37"/>
      <c r="M27" s="38">
        <f ca="1">IFERROR(SUM(M15:M26),"")</f>
        <v>1.5972222222222165E-2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174</v>
      </c>
      <c r="G28" s="40">
        <f>G14+G27</f>
        <v>730.8</v>
      </c>
      <c r="H28" s="41"/>
      <c r="I28" s="41"/>
      <c r="J28" s="41"/>
      <c r="K28" s="41"/>
      <c r="L28" s="41"/>
      <c r="M28" s="42">
        <f ca="1">IFERROR(M14+M27,"")</f>
        <v>0.21666666666666651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20" sqref="F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45</v>
      </c>
      <c r="G27" s="36">
        <f>SUM(G15:G26)</f>
        <v>189</v>
      </c>
      <c r="H27" s="37"/>
      <c r="I27" s="37"/>
      <c r="J27" s="37"/>
      <c r="K27" s="37"/>
      <c r="L27" s="37"/>
      <c r="M27" s="38">
        <f ca="1">IFERROR(SUM(M15:M26),"")</f>
        <v>3.472222222222221E-2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126</v>
      </c>
      <c r="G28" s="40">
        <f>G14+G27</f>
        <v>529.20000000000005</v>
      </c>
      <c r="H28" s="41"/>
      <c r="I28" s="41"/>
      <c r="J28" s="41"/>
      <c r="K28" s="41"/>
      <c r="L28" s="41"/>
      <c r="M28" s="42">
        <f ca="1">IFERROR(M14+M27,"")</f>
        <v>4.7916666666666718E-2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" activePane="bottomLeft" state="frozen"/>
      <selection pane="bottomLeft" activeCell="F21" sqref="F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76</v>
      </c>
      <c r="G27" s="36">
        <f>SUM(G15:G26)</f>
        <v>319.20000000000005</v>
      </c>
      <c r="H27" s="37"/>
      <c r="I27" s="37"/>
      <c r="J27" s="37"/>
      <c r="K27" s="61"/>
      <c r="L27" s="61"/>
      <c r="M27" s="38">
        <f ca="1">IFERROR(SUM(M15:M26),"")</f>
        <v>7.2916666666666741E-2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206</v>
      </c>
      <c r="G28" s="40">
        <f>G14+G27</f>
        <v>865.20000000000016</v>
      </c>
      <c r="H28" s="41"/>
      <c r="I28" s="41"/>
      <c r="J28" s="41"/>
      <c r="K28" s="63"/>
      <c r="L28" s="63"/>
      <c r="M28" s="42">
        <f ca="1">IFERROR(M14+M27,"")</f>
        <v>0.11180555555555566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2026-08-02T04:15:35Z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