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599" documentId="13_ncr:1_{0A10D8D4-8450-4366-8075-B53B08E6B7EA}" xr6:coauthVersionLast="47" xr6:coauthVersionMax="47" xr10:uidLastSave="{4E3743C2-EF50-4B88-A95B-0289A97FAED9}"/>
  <bookViews>
    <workbookView xWindow="-28920" yWindow="-6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42" i="6"/>
  <c r="J342" i="6" s="1"/>
  <c r="H343" i="6"/>
  <c r="J343" i="6" s="1"/>
  <c r="H344" i="6"/>
  <c r="J344" i="6" s="1"/>
  <c r="H345" i="6"/>
  <c r="J345" i="6" s="1"/>
  <c r="H346" i="6"/>
  <c r="J346" i="6" s="1"/>
  <c r="H347" i="6"/>
  <c r="J347" i="6" s="1"/>
  <c r="H348" i="6"/>
  <c r="J348" i="6" s="1"/>
  <c r="H349" i="6"/>
  <c r="J349" i="6" s="1"/>
  <c r="H350" i="6"/>
  <c r="J350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42" i="5"/>
  <c r="J342" i="5" s="1"/>
  <c r="H343" i="5"/>
  <c r="J343" i="5" s="1"/>
  <c r="H344" i="5"/>
  <c r="J344" i="5" s="1"/>
  <c r="H345" i="5"/>
  <c r="J345" i="5" s="1"/>
  <c r="H346" i="5"/>
  <c r="J346" i="5" s="1"/>
  <c r="H347" i="5"/>
  <c r="J347" i="5" s="1"/>
  <c r="H348" i="5"/>
  <c r="J348" i="5" s="1"/>
  <c r="H349" i="5"/>
  <c r="J349" i="5" s="1"/>
  <c r="H350" i="5"/>
  <c r="J350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42" i="4"/>
  <c r="J342" i="4" s="1"/>
  <c r="H343" i="4"/>
  <c r="J343" i="4" s="1"/>
  <c r="H344" i="4"/>
  <c r="J344" i="4" s="1"/>
  <c r="H345" i="4"/>
  <c r="J345" i="4" s="1"/>
  <c r="H346" i="4"/>
  <c r="J346" i="4" s="1"/>
  <c r="H347" i="4"/>
  <c r="J347" i="4" s="1"/>
  <c r="H348" i="4"/>
  <c r="J348" i="4" s="1"/>
  <c r="H349" i="4"/>
  <c r="J349" i="4" s="1"/>
  <c r="H350" i="4"/>
  <c r="J350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H341" i="6" s="1"/>
  <c r="J341" i="6" s="1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H341" i="5" s="1"/>
  <c r="J341" i="5" s="1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H341" i="4" s="1"/>
  <c r="J341" i="4" s="1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39" i="6" l="1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<sst xmlns="http://schemas.openxmlformats.org/spreadsheetml/2006/main" count="6101" uniqueCount="340">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</sst>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17" sqref="G17:G34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1925790</v>
      </c>
      <c r="D16" s="8">
        <f>IFERROR('Linha 1'!S352,"")</f>
        <v>186890</v>
      </c>
      <c r="E16" s="8">
        <f>IFERROR('Linha 2'!S352,"")</f>
        <v>387310</v>
      </c>
      <c r="F16" s="8">
        <f>IFERROR('Linha 3'!S352,"")</f>
        <v>1211360</v>
      </c>
      <c r="G16" s="9">
        <f t="shared" si="0"/>
        <v>1785560</v>
      </c>
      <c r="H16" s="96">
        <f>IFERROR('Linha 1'!T352+'Linha 2'!T352+'Linha 3'!T352,0)</f>
        <v>257.12063999999998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44203800</v>
      </c>
      <c r="D35" s="13">
        <f t="shared" si="2"/>
        <v>14512420</v>
      </c>
      <c r="E35" s="13">
        <f t="shared" si="2"/>
        <v>7516830</v>
      </c>
      <c r="F35" s="13">
        <f t="shared" si="2"/>
        <v>18763480</v>
      </c>
      <c r="G35" s="13">
        <f t="shared" si="2"/>
        <v>40792730</v>
      </c>
      <c r="H35" s="97">
        <f t="shared" si="2"/>
        <v>940.0857615403105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3" activePane="bottomLeft" state="frozen"/>
      <selection pane="bottomLeft" activeCell="F341" sqref="F341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25</v>
      </c>
      <c r="I339" s="33" t="s">
        <v>28</v>
      </c>
      <c r="J339" s="33" t="s">
        <v>41</v>
      </c>
      <c r="K339" s="29">
        <v>0.84652777777777777</v>
      </c>
      <c r="L339" s="29"/>
      <c r="M339" s="35">
        <f t="shared" ref="M339:M350" ca="1" si="71">IFERROR(IF(K339="","",IF(L339="",MOD(NOW()-K339,1),IF(L339&gt;=K339,L339-K339,L339+1-K339))),"")</f>
        <v>7.8046527778496966E-2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/>
      <c r="G341" s="34" t="str">
        <f t="shared" si="70"/>
        <v/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45</v>
      </c>
      <c r="G351" s="36">
        <f>SUM(G339:G350)</f>
        <v>225</v>
      </c>
      <c r="H351" s="37"/>
      <c r="I351" s="37"/>
      <c r="J351" s="37"/>
      <c r="K351" s="37"/>
      <c r="L351" s="37"/>
      <c r="M351" s="38">
        <f ca="1">IFERROR(SUM(M339:M350),"")</f>
        <v>7.8046527778496966E-2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277</v>
      </c>
      <c r="G352" s="40">
        <f>G338+G351</f>
        <v>1385</v>
      </c>
      <c r="H352" s="41"/>
      <c r="I352" s="41"/>
      <c r="J352" s="41"/>
      <c r="K352" s="41"/>
      <c r="L352" s="41"/>
      <c r="M352" s="42">
        <f ca="1">IFERROR(M338+M351,"")</f>
        <v>0.15512986111183036</v>
      </c>
      <c r="N352" s="40" t="s">
        <v>246</v>
      </c>
      <c r="O352" s="48">
        <f>IFERROR(O338+O351,"")</f>
        <v>1925790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23" activePane="bottomLeft" state="frozen"/>
      <selection pane="bottomLeft" activeCell="G342" sqref="G342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0.80304652777704177</v>
      </c>
      <c r="R53" s="46" t="s">
        <v>276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0.94193541666593061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1.026657638888153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2.9094227027027024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2.9094227027027024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8.0009124324324326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2.1820670270270268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6.5462010810810796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4.3641340540540536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26.91216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26.91216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6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25.200000000000003</v>
      </c>
      <c r="L339" s="33" t="s">
        <v>24</v>
      </c>
      <c r="M339" s="33" t="s">
        <v>44</v>
      </c>
      <c r="N339" s="33" t="s">
        <v>40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15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63</v>
      </c>
      <c r="L340" s="26" t="s">
        <v>24</v>
      </c>
      <c r="M340" s="26" t="s">
        <v>44</v>
      </c>
      <c r="N340" s="26" t="s">
        <v>83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18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75.600000000000009</v>
      </c>
      <c r="L341" s="33" t="s">
        <v>25</v>
      </c>
      <c r="M341" s="33" t="s">
        <v>36</v>
      </c>
      <c r="N341" s="33" t="s">
        <v>41</v>
      </c>
      <c r="O341" s="29">
        <v>0.91666666666666663</v>
      </c>
      <c r="P341" s="29"/>
      <c r="Q341" s="35">
        <f t="shared" ca="1" si="80"/>
        <v>7.9076388938119635E-3</v>
      </c>
      <c r="R341" s="46"/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/>
      <c r="H342" s="134" t="str">
        <f>IFERROR(IF($G342="","",$G342*$S$351/$G$351/Cadastro!$E$33),"")</f>
        <v/>
      </c>
      <c r="I342" s="135">
        <f>IFERROR(IF($D342="","",VLOOKUP($D342,Cadastro!$C$4:$G$7,5,FALSE)),"")</f>
        <v>0.6</v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39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163.80000000000001</v>
      </c>
      <c r="L351" s="37"/>
      <c r="M351" s="37"/>
      <c r="N351" s="37"/>
      <c r="O351" s="37"/>
      <c r="P351" s="37"/>
      <c r="Q351" s="38">
        <f ca="1">IFERROR(SUM(Q339:Q350),"")</f>
        <v>4.6102083338256494E-2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76</v>
      </c>
      <c r="H352" s="112">
        <f>IFERROR(H338+H351,"")</f>
        <v>186.89</v>
      </c>
      <c r="I352" s="116"/>
      <c r="J352" s="125">
        <f>IFERROR(J338+J351,"")</f>
        <v>26.91216</v>
      </c>
      <c r="K352" s="40">
        <f>K338+K351</f>
        <v>336.8</v>
      </c>
      <c r="L352" s="41"/>
      <c r="M352" s="41"/>
      <c r="N352" s="41"/>
      <c r="O352" s="41"/>
      <c r="P352" s="41"/>
      <c r="Q352" s="42">
        <f ca="1">IFERROR(Q338+Q351,"")</f>
        <v>0.3884631944493675</v>
      </c>
      <c r="R352" s="40" t="s">
        <v>246</v>
      </c>
      <c r="S352" s="143">
        <f>IFERROR(S338+S351,"")</f>
        <v>186890</v>
      </c>
      <c r="T352" s="144">
        <f>IFERROR(J352,"")</f>
        <v>26.91216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24" activePane="bottomLeft" state="frozen"/>
      <selection pane="bottomLeft" activeCell="G342" sqref="G342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10.971666885245901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10.057361311475409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10.057361311475409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10.971666885245901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4.571527868852459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4.571527868852459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4.571527868852459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55.772639999999988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55.772639999999988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8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0</v>
      </c>
      <c r="K339" s="34">
        <f t="shared" ref="K339:K350" si="77">IF(G339="","",IF(E339="PC 17",G339*4.2,IF(E339="PC 19",G339*5,IF(E339="CB",G339*24,""))))</f>
        <v>33.6</v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3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6"/>
        <v>0</v>
      </c>
      <c r="K340" s="28">
        <f t="shared" si="77"/>
        <v>12.600000000000001</v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6"/>
        <v>0</v>
      </c>
      <c r="K341" s="34">
        <f t="shared" si="77"/>
        <v>33.6</v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/>
      <c r="H342" s="134" t="str">
        <f>IFERROR(IF($G342="","",$G342*$S$351/$G$351/Cadastro!$E$33),"")</f>
        <v/>
      </c>
      <c r="I342" s="135">
        <f>IFERROR(IF($D342="","",VLOOKUP($D342,Cadastro!$C$4:$G$7,5,FALSE)),"")</f>
        <v>0.6</v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19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79.800000000000011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80</v>
      </c>
      <c r="H352" s="112">
        <f>IFERROR(H338+H351,"")</f>
        <v>387.31000000000006</v>
      </c>
      <c r="I352" s="116"/>
      <c r="J352" s="125">
        <f>IFERROR(J338+J351,"")</f>
        <v>55.772639999999988</v>
      </c>
      <c r="K352" s="40">
        <f>K338+K351</f>
        <v>376.8</v>
      </c>
      <c r="L352" s="41"/>
      <c r="M352" s="41"/>
      <c r="N352" s="41"/>
      <c r="O352" s="41"/>
      <c r="P352" s="41"/>
      <c r="Q352" s="42">
        <f ca="1">IFERROR(Q338+Q351,"")</f>
        <v>0.23402777777777772</v>
      </c>
      <c r="R352" s="40" t="s">
        <v>246</v>
      </c>
      <c r="S352" s="48">
        <f>IFERROR(S338+S351,"")</f>
        <v>387310</v>
      </c>
      <c r="T352" s="121">
        <f>IFERROR(J352,"")</f>
        <v>55.772639999999988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22" activePane="bottomLeft" state="frozen"/>
      <selection pane="bottomLeft" activeCell="G342" sqref="G342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10.450073364055301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13.66548055299539</v>
      </c>
      <c r="K327" s="170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12.057776958525345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8.8423697695852521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13.66548055299539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12.057776958525345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40.192589861751145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19.292443133640553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8.0385179723502294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16.880887741935485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9.6462215668202766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9.6462215668202766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174.43584000000001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174.43584000000001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30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126</v>
      </c>
      <c r="L339" s="33" t="s">
        <v>25</v>
      </c>
      <c r="M339" s="33" t="s">
        <v>168</v>
      </c>
      <c r="N339" s="33" t="s">
        <v>67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16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67.2</v>
      </c>
      <c r="L340" s="26" t="s">
        <v>25</v>
      </c>
      <c r="M340" s="26" t="s">
        <v>62</v>
      </c>
      <c r="N340" s="26" t="s">
        <v>33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32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134.4</v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/>
      <c r="H342" s="134" t="str">
        <f>IFERROR(IF($G342="","",$G342*$S$351/$G$351/Cadastro!$E$33),"")</f>
        <v/>
      </c>
      <c r="I342" s="135">
        <f>IFERROR(IF($D342="","",VLOOKUP($D342,Cadastro!$C$4:$G$7,5,FALSE)),"")</f>
        <v>0.6</v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78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327.60000000000002</v>
      </c>
      <c r="L351" s="37"/>
      <c r="M351" s="37"/>
      <c r="N351" s="37"/>
      <c r="O351" s="61"/>
      <c r="P351" s="61"/>
      <c r="Q351" s="38">
        <f ca="1">IFERROR(SUM(Q339:Q350),"")</f>
        <v>6.9444444444444198E-3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295</v>
      </c>
      <c r="H352" s="112">
        <f>IFERROR(H338+H351,"")</f>
        <v>1211.3599999999999</v>
      </c>
      <c r="I352" s="116"/>
      <c r="J352" s="125">
        <f>IFERROR(J338+J351,"")</f>
        <v>174.43584000000001</v>
      </c>
      <c r="K352" s="40">
        <f>K338+K351</f>
        <v>1295.8000000000002</v>
      </c>
      <c r="L352" s="41"/>
      <c r="M352" s="41"/>
      <c r="N352" s="41"/>
      <c r="O352" s="63"/>
      <c r="P352" s="63"/>
      <c r="Q352" s="42">
        <f ca="1">IFERROR(Q338+Q351,"")</f>
        <v>4.7916666666666552E-2</v>
      </c>
      <c r="R352" s="40" t="s">
        <v>246</v>
      </c>
      <c r="S352" s="48">
        <f>IFERROR(S338+S351,"")</f>
        <v>1211360</v>
      </c>
      <c r="T352" s="121">
        <f>IFERROR(J352,"")</f>
        <v>174.43584000000001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2026-08-14T02:11:41Z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