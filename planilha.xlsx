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70" documentId="8_{AF585B22-221D-4780-BB9C-493D365A6A02}" xr6:coauthVersionLast="47" xr6:coauthVersionMax="47" xr10:uidLastSave="{518FC56F-3CFF-4500-9846-B043A0B20CC8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<sst xmlns="http://schemas.openxmlformats.org/spreadsheetml/2006/main" count="9489" uniqueCount="384">
  <si>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</si>
  <si>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</si>
  <si>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</si>
  <si>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</si>
  <si>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</si>
  <si>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</si>
  <si>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</si>
  <si>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</si>
  <si>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</si>
  <si>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</si>
  <si>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</si>
  <si>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</si>
  <si>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</si>
  <si>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</si>
  <si>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</si>
  <si>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</si>
  <si>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</si>
  <si>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</si>
  <si>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</si>
  <si>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</si>
  <si>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</si>
  <si>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</si>
  <si>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</si>
  <si>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</si>
  <si>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</si>
  <si>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</si>
  <si>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</si>
  <si>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</si>
  <si>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</si>
  <si>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</si>
  <si>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</si>
  <si>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</si>
  <si>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</si>
  <si>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</si>
  <si>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</si>
  <si>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</si>
  <si>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</si>
  <si>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</si>
  <si>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</si>
  <si>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</si>
  <si>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</si>
  <si>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</si>
  <si>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</si>
  <si>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</si>
  <si>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</si>
  <si>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</si>
  <si>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</si>
  <si>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</si>
  <si>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</si>
  <si>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</si>
  <si>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</si>
  <si>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</si>
  <si>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</si>
  <si>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</si>
  <si>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</si>
  <si>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</si>
  <si>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</si>
  <si>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</si>
  <si>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</si>
  <si>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</si>
  <si>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</si>
  <si>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</si>
  <si>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</si>
  <si>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</si>
  <si>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</si>
  <si>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</si>
  <si>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</si>
  <si>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</si>
  <si>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</si>
  <si>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</si>
  <si>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</si>
  <si>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</si>
  <si>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</si>
  <si>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</si>
  <si>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</si>
  <si>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</si>
  <si>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</si>
  <si>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</si>
  <si>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</si>
  <si>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</si>
  <si>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</si>
  <si>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</si>
  <si>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</si>
  <si>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</si>
  <si>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</si>
  <si>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</si>
  <si>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</si>
  <si>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</si>
  <si>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</si>
  <si>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</si>
  <si>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</si>
  <si>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</si>
  <si>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</si>
  <si>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</si>
  <si>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</si>
  <si>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</si>
  <si>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</si>
  <si>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</si>
  <si>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</si>
  <si>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</si>
  <si>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</si>
  <si>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</si>
  <si>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</si>
  <si>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</si>
  <si>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</si>
  <si>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</si>
  <si>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</si>
  <si>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</si>
  <si>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</si>
  <si>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</si>
  <si>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</si>
  <si>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</si>
  <si>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</si>
  <si>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</si>
  <si>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</si>
  <si>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</si>
  <si>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</si>
  <si>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</si>
  <si>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</si>
  <si>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</si>
  <si>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</si>
  <si>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</si>
  <si>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</si>
  <si>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</si>
  <si>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</si>
  <si>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</si>
  <si>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</si>
  <si>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</si>
  <si>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</si>
  <si>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</si>
  <si>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</si>
  <si>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</si>
  <si>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</si>
  <si>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</si>
  <si>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</si>
  <si>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</si>
  <si>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</si>
  <si>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</si>
  <si>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</si>
  <si>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</si>
  <si>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</si>
  <si>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</si>
  <si>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</si>
  <si>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</si>
  <si>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</si>
  <si>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</si>
  <si>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</si>
  <si>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</si>
  <si>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</si>
  <si>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</si>
  <si>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</si>
  <si>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</si>
  <si>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</si>
  <si>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</si>
  <si>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</si>
  <si>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</si>
  <si>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</si>
  <si>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</si>
  <si>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</si>
  <si>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</si>
  <si>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</si>
  <si>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</si>
  <si>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</si>
  <si>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</si>
  <si>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</si>
  <si>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</si>
  <si>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</si>
  <si>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</si>
  <si>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</si>
  <si>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</si>
  <si>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</si>
  <si>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</si>
  <si>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</si>
  <si>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</si>
  <si>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</si>
  <si>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</si>
  <si>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</si>
  <si>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</si>
  <si>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</si>
  <si>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</si>
  <si>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</si>
  <si>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</si>
  <si>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</si>
  <si>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</si>
  <si>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</si>
  <si>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</si>
  <si>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</si>
  <si>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</si>
  <si>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</si>
  <si>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</si>
  <si>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</si>
  <si>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</si>
  <si>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</si>
  <si>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</si>
  <si>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</si>
  <si>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</si>
  <si>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</si>
  <si>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</si>
  <si>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</si>
  <si>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</si>
  <si>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</si>
  <si>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</si>
  <si>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</si>
  <si>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</si>
  <si>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</si>
  <si>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</si>
  <si>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</si>
  <si>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</si>
  <si>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</si>
  <si>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</si>
  <si>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</si>
  <si>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</si>
  <si>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</si>
  <si>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</si>
  <si>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</si>
  <si>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</si>
  <si>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</si>
  <si>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</si>
  <si>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</si>
  <si>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</si>
  <si>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</si>
  <si>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</si>
  <si>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</si>
  <si>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</si>
  <si>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</si>
  <si>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</si>
  <si>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</si>
  <si>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</si>
  <si>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</si>
  <si>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</si>
  <si>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</si>
  <si>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</si>
  <si>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</si>
  <si>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</si>
  <si>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</si>
  <si>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</si>
  <si>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</si>
  <si>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</si>
  <si>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</si>
  <si>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</si>
  <si>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</si>
  <si>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</si>
  <si>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</si>
  <si>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</si>
  <si>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</si>
  <si>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</si>
  <si>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</si>
  <si>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</si>
  <si>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</si>
  <si>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</si>
  <si>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</si>
  <si>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</si>
  <si>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</si>
  <si>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</si>
  <si>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</si>
  <si>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</si>
  <si>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</si>
  <si>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</si>
  <si>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</si>
  <si>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</si>
  <si>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</si>
  <si>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</si>
  <si>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</si>
  <si>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</si>
  <si>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</si>
  <si>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</si>
  <si>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</si>
  <si>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</si>
  <si>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</si>
  <si>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</si>
  <si>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</si>
  <si>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</si>
  <si>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</si>
  <si>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</si>
  <si>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</si>
  <si>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</si>
  <si>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</si>
  <si>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</si>
  <si>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</si>
  <si>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</si>
  <si>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</si>
  <si>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</si>
  <si>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</si>
  <si>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</si>
  <si>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</si>
  <si>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</si>
  <si>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</si>
  <si>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</si>
  <si>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</si>
  <si>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</si>
  <si>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</si>
  <si>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</si>
  <si>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</si>
  <si>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</si>
  <si>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</si>
  <si>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</si>
  <si>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</si>
  <si>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</si>
  <si>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</si>
  <si>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</si>
  <si>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</si>
  <si>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</si>
  <si>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</si>
  <si>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</si>
  <si>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</si>
  <si>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</si>
  <si>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</si>
  <si>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</si>
  <si>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</si>
  <si>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e do mm2 troca de martelo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</si>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</sst>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5" sqref="F6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120</v>
      </c>
      <c r="G621" s="36">
        <f>SUM(G609:G620)</f>
        <v>600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511</v>
      </c>
      <c r="G622" s="40">
        <f>G608+G621</f>
        <v>2555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7" activePane="bottomLeft" state="frozen"/>
      <selection pane="bottomLeft" activeCell="N610" sqref="N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0.85495601851289393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1.0125949074017828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1.1223171296240051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0.83342824073770316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1.0042615740710366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1.1494004629599255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/>
      <c r="M609" s="35">
        <f t="shared" ref="M609:M620" ca="1" si="136">IFERROR(IF(K609="","",IF(L609="",MOD(NOW()-K609,1),IF(L609&gt;=K609,L609-K609,L609+1-K609))),"")</f>
        <v>1.3289351845742203E-2</v>
      </c>
      <c r="N609" s="46" t="s">
        <v>309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57</v>
      </c>
      <c r="G621" s="36">
        <f>SUM(G609:G620)</f>
        <v>210.2</v>
      </c>
      <c r="H621" s="37"/>
      <c r="I621" s="37"/>
      <c r="J621" s="37"/>
      <c r="K621" s="37"/>
      <c r="L621" s="37"/>
      <c r="M621" s="38">
        <f ca="1">IFERROR(SUM(M609:M620),"")</f>
        <v>1.3289351845742203E-2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221</v>
      </c>
      <c r="G622" s="40">
        <f>G608+G621</f>
        <v>899</v>
      </c>
      <c r="H622" s="41"/>
      <c r="I622" s="41"/>
      <c r="J622" s="41"/>
      <c r="K622" s="41"/>
      <c r="L622" s="41"/>
      <c r="M622" s="42">
        <f ca="1">IFERROR(M608+M621,"")</f>
        <v>7.7872685179075529E-2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G616" sqref="G6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36</v>
      </c>
      <c r="G621" s="36">
        <f>SUM(G609:G620)</f>
        <v>164.6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177</v>
      </c>
      <c r="G622" s="40">
        <f>G608+G621</f>
        <v>756.80000000000007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6" sqref="F6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0.84523379629536066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1.0445393518509163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1.4119004629620273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0.38620601851289393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0.44106712962400513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32</v>
      </c>
      <c r="G621" s="36">
        <f>SUM(G609:G620)</f>
        <v>140.80000000000001</v>
      </c>
      <c r="H621" s="37"/>
      <c r="I621" s="37"/>
      <c r="J621" s="37"/>
      <c r="K621" s="61"/>
      <c r="L621" s="61"/>
      <c r="M621" s="38">
        <f ca="1">IFERROR(SUM(M609:M620),"")</f>
        <v>0.10069444444444448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192</v>
      </c>
      <c r="G622" s="40">
        <f>G608+G621</f>
        <v>812.8</v>
      </c>
      <c r="H622" s="41"/>
      <c r="I622" s="41"/>
      <c r="J622" s="41"/>
      <c r="K622" s="63"/>
      <c r="L622" s="63"/>
      <c r="M622" s="42">
        <f ca="1">IFERROR(M608+M621,"")</f>
        <v>0.5417615740684496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2026-07-24T06:16:40Z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