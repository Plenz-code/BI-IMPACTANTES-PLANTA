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56" documentId="8_{AF585B22-221D-4780-BB9C-493D365A6A02}" xr6:coauthVersionLast="47" xr6:coauthVersionMax="47" xr10:uidLastSave="{9FAB241F-BF49-4C42-8BB9-80924614049F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<sst xmlns="http://schemas.openxmlformats.org/spreadsheetml/2006/main" count="5122" uniqueCount="296">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</sst>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80" activePane="bottomLeft" state="frozen"/>
      <selection pane="bottomLeft" activeCell="F300" sqref="F30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/>
      <c r="M299" s="35">
        <f t="shared" ref="M299:M310" ca="1" si="67">IFERROR(IF(K299="","",IF(L299="",MOD(NOW()-K299,1),IF(L299&gt;=K299,L299-K299,L299+1-K299))),"")</f>
        <v>1.4504513892461546E-2</v>
      </c>
      <c r="N299" s="46" t="s">
        <v>228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213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213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213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213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213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213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213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213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213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213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1.4504513892461546E-2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1.4504513892461546E-2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K300" sqref="K3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246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247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249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244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252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253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/>
      <c r="G300" s="28" t="str">
        <f t="shared" si="66"/>
        <v/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/>
      <c r="M300" s="30">
        <f t="shared" ca="1" si="67"/>
        <v>1.0337847226765007E-2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1.4504513893431659E-2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1.4504513893431659E-2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69" zoomScale="50" zoomScaleNormal="50" workbookViewId="0">
      <selection activeCell="J300" sqref="J3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263</v>
      </c>
      <c r="N166" s="27" t="s">
        <v>264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/>
      <c r="G300" s="28" t="str">
        <f t="shared" si="66"/>
        <v/>
      </c>
      <c r="H300" s="26" t="s">
        <v>20</v>
      </c>
      <c r="I300" s="26" t="s">
        <v>131</v>
      </c>
      <c r="J300" s="26" t="s">
        <v>74</v>
      </c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4.1666666666666519E-3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4.1666666666666519E-3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0" activePane="bottomLeft" state="frozen"/>
      <selection pane="bottomLeft" activeCell="F299" sqref="F2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274</v>
      </c>
      <c r="L58" s="29">
        <v>0.54097222222222219</v>
      </c>
      <c r="M58" s="30" t="str">
        <f t="shared" ca="1" si="13"/>
        <v/>
      </c>
      <c r="N58" s="27" t="s">
        <v>275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0.11519895833771443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0.31450451389327005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0.68186562500438108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229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>
        <v>1049090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/>
      <c r="G299" s="34" t="str">
        <f t="shared" ref="G299:G310" si="66">IF(F299="","",IF(E299="PC 17",F299*4.2,IF(E299="PC 19",F299*5,"")))</f>
        <v/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/>
      <c r="M299" s="35">
        <f t="shared" ref="M299:M310" ca="1" si="67">IFERROR(IF(K299="","",IF(L299="",MOD(NOW()-K299,1),IF(L299&gt;=K299,L299-K299,L299+1-K299))),"")</f>
        <v>7.2837847226765007E-2</v>
      </c>
      <c r="N299" s="27" t="s">
        <v>295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7.2837847226765007E-2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7.2837847226765007E-2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2026-07-12T12:46:09Z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