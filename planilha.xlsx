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95" documentId="8_{AF585B22-221D-4780-BB9C-493D365A6A02}" xr6:coauthVersionLast="47" xr6:coauthVersionMax="47" xr10:uidLastSave="{6CF91ECB-6BDD-481E-9432-8E64BD3FB33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<sst xmlns="http://schemas.openxmlformats.org/spreadsheetml/2006/main" count="11763" uniqueCount="426">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</sst>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5" sqref="F7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 t="shared" si="171"/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125</v>
      </c>
      <c r="G783" s="36">
        <f>SUM(G771:G782)</f>
        <v>625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475</v>
      </c>
      <c r="G784" s="40">
        <f>G770+G783</f>
        <v>2375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4" sqref="F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0.75685960648115724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0.91449849537004613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1.0242207175922684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0.73533182870596647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0.90616516203929987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1.0513040509281888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71</v>
      </c>
      <c r="G783" s="36">
        <f>SUM(G771:G782)</f>
        <v>307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205</v>
      </c>
      <c r="G784" s="40">
        <f>G770+G783</f>
        <v>877.80000000000007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J774" sqref="J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25</v>
      </c>
      <c r="G783" s="36">
        <f>SUM(G771:G782)</f>
        <v>109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</v>
      </c>
      <c r="G784" s="40">
        <f>G770+G783</f>
        <v>285.2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5" sqref="F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0.74713738426362397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0.9464429398191796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1.3138040509302906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/>
      <c r="M771" s="35">
        <f t="shared" ref="M771:M782" ca="1" si="172">IFERROR(IF(K771="","",IF(L771="",MOD(NOW()-K771,1),IF(L771&gt;=K771,L771-K771,L771+1-K771))),"")</f>
        <v>2.4220717597927433E-2</v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91</v>
      </c>
      <c r="G783" s="36">
        <f>SUM(G771:G782)</f>
        <v>391.8</v>
      </c>
      <c r="H783" s="37"/>
      <c r="I783" s="37"/>
      <c r="J783" s="37"/>
      <c r="K783" s="61"/>
      <c r="L783" s="61"/>
      <c r="M783" s="38">
        <f ca="1">IFERROR(SUM(M771:M782),"")</f>
        <v>2.4220717597927433E-2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99</v>
      </c>
      <c r="G784" s="40">
        <f>G770+G783</f>
        <v>425.40000000000003</v>
      </c>
      <c r="H784" s="41"/>
      <c r="I784" s="41"/>
      <c r="J784" s="41"/>
      <c r="K784" s="63"/>
      <c r="L784" s="63"/>
      <c r="M784" s="42">
        <f ca="1">IFERROR(M770+M783,"")</f>
        <v>0.48810960648681628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2026-07-30T03:55:16Z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