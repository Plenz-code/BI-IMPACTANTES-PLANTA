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569" documentId="8_{AF585B22-221D-4780-BB9C-493D365A6A02}" xr6:coauthVersionLast="47" xr6:coauthVersionMax="47" xr10:uidLastSave="{0B0A4A2B-5AB5-4A72-A4DE-69C85F54B253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G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<sst xmlns="http://schemas.openxmlformats.org/spreadsheetml/2006/main" count="12186" uniqueCount="438">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</sst>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8" t="s">
        <v>0</v>
      </c>
      <c r="B1" s="108"/>
      <c r="C1" s="108"/>
      <c r="D1" s="108"/>
      <c r="E1" s="108"/>
      <c r="F1" s="108"/>
      <c r="G1" s="108"/>
    </row>
    <row r="2" spans="1:7" ht="24.75" customHeight="1">
      <c r="A2" s="109"/>
      <c r="B2" s="10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2191180</v>
      </c>
      <c r="D33" s="11">
        <f>IFERROR('Linha 1'!O811,"")</f>
        <v>648030</v>
      </c>
      <c r="E33" s="11">
        <f>IFERROR('Linha 2'!O811,"")</f>
        <v>419450</v>
      </c>
      <c r="F33" s="11">
        <f>IFERROR('Linha 3'!O811,"")</f>
        <v>99040</v>
      </c>
      <c r="G33" s="12">
        <f t="shared" si="0"/>
        <v>1166520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0" t="s">
        <v>9</v>
      </c>
      <c r="B35" s="110"/>
      <c r="C35" s="13">
        <f>IFERROR(SUM(C4:C34),"")</f>
        <v>92221798</v>
      </c>
      <c r="D35" s="13">
        <f>IFERROR(SUM(D4:D34),"")</f>
        <v>36740850</v>
      </c>
      <c r="E35" s="13">
        <f>IFERROR(SUM(E4:E34),"")</f>
        <v>20561990</v>
      </c>
      <c r="F35" s="13">
        <f>IFERROR(SUM(F4:F34),"")</f>
        <v>36889040</v>
      </c>
      <c r="G35" s="13">
        <f>IFERROR(SUM(G4:G34),"")</f>
        <v>94191880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9" sqref="M5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1" t="s">
        <v>10</v>
      </c>
      <c r="B1" s="111"/>
      <c r="C1" s="111"/>
      <c r="D1" s="111"/>
      <c r="E1" s="111"/>
      <c r="F1" s="111"/>
      <c r="G1" s="111"/>
      <c r="H1" s="112"/>
      <c r="I1" s="113" t="s">
        <v>11</v>
      </c>
      <c r="J1" s="113"/>
      <c r="K1" s="113"/>
      <c r="L1" s="113"/>
      <c r="M1" s="113"/>
    </row>
    <row r="2" spans="1:13" ht="4.5" customHeight="1">
      <c r="H2" s="11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2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2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2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2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2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2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2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2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2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2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2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2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2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2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2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2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2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2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2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2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2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2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2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2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2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2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2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2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2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2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2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2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2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2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2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2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2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2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2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2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2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2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2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2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2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2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12"/>
      <c r="I59" s="17"/>
      <c r="J59" s="17"/>
      <c r="K59" s="17" t="s">
        <v>208</v>
      </c>
      <c r="L59" s="17"/>
      <c r="M59" s="17"/>
    </row>
    <row r="60" spans="1:13" ht="15" customHeight="1">
      <c r="H60" s="112"/>
      <c r="I60" s="16"/>
      <c r="J60" s="16"/>
      <c r="K60" s="86" t="s">
        <v>105</v>
      </c>
      <c r="L60" s="16"/>
      <c r="M60" s="16"/>
    </row>
    <row r="61" spans="1:13" ht="15" customHeight="1">
      <c r="H61" s="112"/>
      <c r="I61" s="17"/>
      <c r="J61" s="17"/>
      <c r="K61" s="17" t="s">
        <v>209</v>
      </c>
      <c r="L61" s="17"/>
      <c r="M61" s="17"/>
    </row>
    <row r="62" spans="1:13" ht="15" customHeight="1">
      <c r="H62" s="112"/>
      <c r="I62" s="16"/>
      <c r="J62" s="16"/>
      <c r="K62" s="16" t="s">
        <v>210</v>
      </c>
      <c r="L62" s="16"/>
      <c r="M62" s="16"/>
    </row>
    <row r="63" spans="1:13" ht="15" customHeight="1">
      <c r="H63" s="112"/>
      <c r="I63" s="17"/>
      <c r="J63" s="17"/>
      <c r="K63" s="17" t="s">
        <v>211</v>
      </c>
      <c r="L63" s="17"/>
      <c r="M63" s="17"/>
    </row>
    <row r="64" spans="1:13" ht="15" customHeight="1">
      <c r="H64" s="112"/>
      <c r="I64" s="16"/>
      <c r="J64" s="16"/>
      <c r="K64" s="16" t="s">
        <v>212</v>
      </c>
      <c r="L64" s="16"/>
      <c r="M64" s="16"/>
    </row>
    <row r="65" spans="8:13" ht="15" customHeight="1">
      <c r="H65" s="112"/>
      <c r="I65" s="17"/>
      <c r="J65" s="17"/>
      <c r="K65" s="17" t="s">
        <v>213</v>
      </c>
      <c r="L65" s="17"/>
      <c r="M65" s="17"/>
    </row>
    <row r="66" spans="8:13" ht="15" customHeight="1">
      <c r="H66" s="112"/>
      <c r="I66" s="16"/>
      <c r="J66" s="16"/>
      <c r="K66" s="16" t="s">
        <v>214</v>
      </c>
      <c r="L66" s="16"/>
      <c r="M66" s="16"/>
    </row>
    <row r="67" spans="8:13" ht="15" customHeight="1">
      <c r="H67" s="112"/>
      <c r="I67" s="17"/>
      <c r="J67" s="17"/>
      <c r="K67" s="17" t="s">
        <v>215</v>
      </c>
      <c r="L67" s="17"/>
      <c r="M67" s="17"/>
    </row>
    <row r="68" spans="8:13" ht="15" customHeight="1">
      <c r="H68" s="112"/>
      <c r="I68" s="16"/>
      <c r="J68" s="16"/>
      <c r="K68" s="16" t="s">
        <v>216</v>
      </c>
      <c r="L68" s="16"/>
      <c r="M68" s="16"/>
    </row>
    <row r="69" spans="8:13" ht="15" customHeight="1">
      <c r="H69" s="112"/>
      <c r="I69" s="17"/>
      <c r="J69" s="17"/>
      <c r="K69" s="17" t="s">
        <v>217</v>
      </c>
      <c r="L69" s="17"/>
      <c r="M69" s="17"/>
    </row>
    <row r="70" spans="8:13" ht="15" customHeight="1">
      <c r="H70" s="112"/>
      <c r="I70" s="16"/>
      <c r="J70" s="16"/>
      <c r="K70" s="16" t="s">
        <v>218</v>
      </c>
      <c r="L70" s="16"/>
      <c r="M70" s="16"/>
    </row>
    <row r="71" spans="8:13" ht="15" customHeight="1">
      <c r="H71" s="112"/>
      <c r="I71" s="17"/>
      <c r="J71" s="17"/>
      <c r="K71" s="17" t="s">
        <v>219</v>
      </c>
      <c r="L71" s="17"/>
      <c r="M71" s="17"/>
    </row>
    <row r="72" spans="8:13" ht="15" customHeight="1">
      <c r="H72" s="112"/>
      <c r="I72" s="16"/>
      <c r="J72" s="16"/>
      <c r="K72" s="16" t="s">
        <v>220</v>
      </c>
      <c r="L72" s="16"/>
      <c r="M72" s="16"/>
    </row>
    <row r="73" spans="8:13" ht="15" customHeight="1">
      <c r="H73" s="112"/>
      <c r="I73" s="17"/>
      <c r="J73" s="17"/>
      <c r="K73" s="17" t="s">
        <v>221</v>
      </c>
      <c r="L73" s="17"/>
      <c r="M73" s="17"/>
    </row>
    <row r="74" spans="8:13" ht="15" customHeight="1">
      <c r="H74" s="112"/>
      <c r="I74" s="16"/>
      <c r="J74" s="16"/>
      <c r="K74" s="16"/>
      <c r="L74" s="16"/>
      <c r="M74" s="16"/>
    </row>
    <row r="75" spans="8:13" ht="15" customHeight="1">
      <c r="H75" s="11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771" activePane="bottomLeft" state="frozen"/>
      <selection pane="bottomLeft" activeCell="J799" sqref="J79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232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234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2" t="s">
        <v>235</v>
      </c>
      <c r="B14" s="103"/>
      <c r="C14" s="103"/>
      <c r="D14" s="103"/>
      <c r="E14" s="10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236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2" t="s">
        <v>237</v>
      </c>
      <c r="B27" s="103"/>
      <c r="C27" s="103"/>
      <c r="D27" s="103"/>
      <c r="E27" s="10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236</v>
      </c>
      <c r="O27" s="39">
        <v>1183060</v>
      </c>
    </row>
    <row r="28" spans="1:15" ht="18" customHeight="1">
      <c r="A28" s="105" t="s">
        <v>238</v>
      </c>
      <c r="B28" s="106"/>
      <c r="C28" s="106"/>
      <c r="D28" s="106"/>
      <c r="E28" s="10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239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240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235</v>
      </c>
      <c r="B41" s="103"/>
      <c r="C41" s="103"/>
      <c r="D41" s="103"/>
      <c r="E41" s="10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236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237</v>
      </c>
      <c r="B54" s="103"/>
      <c r="C54" s="103"/>
      <c r="D54" s="103"/>
      <c r="E54" s="10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236</v>
      </c>
      <c r="O54" s="39">
        <v>959290</v>
      </c>
    </row>
    <row r="55" spans="1:15" ht="18" customHeight="1">
      <c r="A55" s="105" t="s">
        <v>238</v>
      </c>
      <c r="B55" s="106"/>
      <c r="C55" s="106"/>
      <c r="D55" s="106"/>
      <c r="E55" s="10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239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235</v>
      </c>
      <c r="B68" s="103"/>
      <c r="C68" s="103"/>
      <c r="D68" s="103"/>
      <c r="E68" s="10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236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241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237</v>
      </c>
      <c r="B81" s="103"/>
      <c r="C81" s="103"/>
      <c r="D81" s="103"/>
      <c r="E81" s="10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236</v>
      </c>
      <c r="O81" s="39">
        <v>878050</v>
      </c>
    </row>
    <row r="82" spans="1:15" ht="18" customHeight="1">
      <c r="A82" s="105" t="s">
        <v>238</v>
      </c>
      <c r="B82" s="106"/>
      <c r="C82" s="106"/>
      <c r="D82" s="106"/>
      <c r="E82" s="10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239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235</v>
      </c>
      <c r="B95" s="103"/>
      <c r="C95" s="103"/>
      <c r="D95" s="103"/>
      <c r="E95" s="10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236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237</v>
      </c>
      <c r="B108" s="103"/>
      <c r="C108" s="103"/>
      <c r="D108" s="103"/>
      <c r="E108" s="10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1700000</v>
      </c>
    </row>
    <row r="109" spans="1:15" ht="18" customHeight="1">
      <c r="A109" s="105" t="s">
        <v>238</v>
      </c>
      <c r="B109" s="106"/>
      <c r="C109" s="106"/>
      <c r="D109" s="106"/>
      <c r="E109" s="10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239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235</v>
      </c>
      <c r="B122" s="103"/>
      <c r="C122" s="103"/>
      <c r="D122" s="103"/>
      <c r="E122" s="10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236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237</v>
      </c>
      <c r="B135" s="103"/>
      <c r="C135" s="103"/>
      <c r="D135" s="103"/>
      <c r="E135" s="10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236</v>
      </c>
      <c r="O135" s="39">
        <v>862330</v>
      </c>
    </row>
    <row r="136" spans="1:15" ht="18" customHeight="1">
      <c r="A136" s="105" t="s">
        <v>238</v>
      </c>
      <c r="B136" s="106"/>
      <c r="C136" s="106"/>
      <c r="D136" s="106"/>
      <c r="E136" s="10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239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235</v>
      </c>
      <c r="B149" s="103"/>
      <c r="C149" s="103"/>
      <c r="D149" s="103"/>
      <c r="E149" s="10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236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237</v>
      </c>
      <c r="B162" s="103"/>
      <c r="C162" s="103"/>
      <c r="D162" s="103"/>
      <c r="E162" s="10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236</v>
      </c>
      <c r="O162" s="44">
        <v>1546080</v>
      </c>
    </row>
    <row r="163" spans="1:15" ht="18" customHeight="1">
      <c r="A163" s="105" t="s">
        <v>238</v>
      </c>
      <c r="B163" s="106"/>
      <c r="C163" s="106"/>
      <c r="D163" s="106"/>
      <c r="E163" s="10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239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235</v>
      </c>
      <c r="B176" s="103"/>
      <c r="C176" s="103"/>
      <c r="D176" s="103"/>
      <c r="E176" s="10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236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237</v>
      </c>
      <c r="B189" s="103"/>
      <c r="C189" s="103"/>
      <c r="D189" s="103"/>
      <c r="E189" s="10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236</v>
      </c>
      <c r="O189" s="39">
        <v>2355810</v>
      </c>
    </row>
    <row r="190" spans="1:15" ht="18" customHeight="1">
      <c r="A190" s="105" t="s">
        <v>238</v>
      </c>
      <c r="B190" s="106"/>
      <c r="C190" s="106"/>
      <c r="D190" s="106"/>
      <c r="E190" s="10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239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235</v>
      </c>
      <c r="B203" s="103"/>
      <c r="C203" s="103"/>
      <c r="D203" s="103"/>
      <c r="E203" s="10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236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237</v>
      </c>
      <c r="B216" s="103"/>
      <c r="C216" s="103"/>
      <c r="D216" s="103"/>
      <c r="E216" s="10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236</v>
      </c>
      <c r="O216" s="45">
        <v>2013260</v>
      </c>
    </row>
    <row r="217" spans="1:15" ht="18" customHeight="1">
      <c r="A217" s="105" t="s">
        <v>238</v>
      </c>
      <c r="B217" s="106"/>
      <c r="C217" s="106"/>
      <c r="D217" s="106"/>
      <c r="E217" s="10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239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2" t="s">
        <v>235</v>
      </c>
      <c r="B230" s="103"/>
      <c r="C230" s="103"/>
      <c r="D230" s="103"/>
      <c r="E230" s="10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236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237</v>
      </c>
      <c r="B243" s="103"/>
      <c r="C243" s="103"/>
      <c r="D243" s="103"/>
      <c r="E243" s="10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236</v>
      </c>
      <c r="O243" s="39">
        <v>1545480</v>
      </c>
    </row>
    <row r="244" spans="1:15" ht="18" customHeight="1">
      <c r="A244" s="105" t="s">
        <v>238</v>
      </c>
      <c r="B244" s="106"/>
      <c r="C244" s="106"/>
      <c r="D244" s="106"/>
      <c r="E244" s="10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239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235</v>
      </c>
      <c r="B257" s="103"/>
      <c r="C257" s="103"/>
      <c r="D257" s="103"/>
      <c r="E257" s="10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236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237</v>
      </c>
      <c r="B270" s="103"/>
      <c r="C270" s="103"/>
      <c r="D270" s="103"/>
      <c r="E270" s="10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>
        <v>1182690</v>
      </c>
    </row>
    <row r="271" spans="1:15" ht="18" customHeight="1">
      <c r="A271" s="105" t="s">
        <v>238</v>
      </c>
      <c r="B271" s="106"/>
      <c r="C271" s="106"/>
      <c r="D271" s="106"/>
      <c r="E271" s="10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239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235</v>
      </c>
      <c r="B284" s="103"/>
      <c r="C284" s="103"/>
      <c r="D284" s="103"/>
      <c r="E284" s="10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236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246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247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247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247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247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247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247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247</v>
      </c>
      <c r="O296" s="47"/>
    </row>
    <row r="297" spans="1:15" ht="15.75" customHeight="1">
      <c r="A297" s="102" t="s">
        <v>237</v>
      </c>
      <c r="B297" s="103"/>
      <c r="C297" s="103"/>
      <c r="D297" s="103"/>
      <c r="E297" s="10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236</v>
      </c>
      <c r="O297" s="39">
        <v>1843460</v>
      </c>
    </row>
    <row r="298" spans="1:15" ht="18" customHeight="1">
      <c r="A298" s="105" t="s">
        <v>238</v>
      </c>
      <c r="B298" s="106"/>
      <c r="C298" s="106"/>
      <c r="D298" s="106"/>
      <c r="E298" s="10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239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248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249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235</v>
      </c>
      <c r="B311" s="103"/>
      <c r="C311" s="103"/>
      <c r="D311" s="103"/>
      <c r="E311" s="104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236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250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250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250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250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237</v>
      </c>
      <c r="B324" s="103"/>
      <c r="C324" s="103"/>
      <c r="D324" s="103"/>
      <c r="E324" s="10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>
        <v>1940000</v>
      </c>
    </row>
    <row r="325" spans="1:15" ht="18" customHeight="1">
      <c r="A325" s="105" t="s">
        <v>238</v>
      </c>
      <c r="B325" s="106"/>
      <c r="C325" s="106"/>
      <c r="D325" s="106"/>
      <c r="E325" s="10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239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235</v>
      </c>
      <c r="B338" s="103"/>
      <c r="C338" s="103"/>
      <c r="D338" s="103"/>
      <c r="E338" s="10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236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233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233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233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233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233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233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233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233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233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233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233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233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237</v>
      </c>
      <c r="B351" s="103"/>
      <c r="C351" s="103"/>
      <c r="D351" s="103"/>
      <c r="E351" s="10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236</v>
      </c>
      <c r="O351" s="39">
        <v>701874</v>
      </c>
    </row>
    <row r="352" spans="1:15" ht="18" customHeight="1">
      <c r="A352" s="105" t="s">
        <v>238</v>
      </c>
      <c r="B352" s="106"/>
      <c r="C352" s="106"/>
      <c r="D352" s="106"/>
      <c r="E352" s="10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239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252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233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233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233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233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233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233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233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233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233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233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233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235</v>
      </c>
      <c r="B365" s="103"/>
      <c r="C365" s="103"/>
      <c r="D365" s="103"/>
      <c r="E365" s="10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236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233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233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233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233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233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233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233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233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233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233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233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2" t="s">
        <v>237</v>
      </c>
      <c r="B378" s="103"/>
      <c r="C378" s="103"/>
      <c r="D378" s="103"/>
      <c r="E378" s="104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236</v>
      </c>
      <c r="O378" s="39">
        <v>1088710</v>
      </c>
    </row>
    <row r="379" spans="1:15" ht="18" customHeight="1">
      <c r="A379" s="105" t="s">
        <v>238</v>
      </c>
      <c r="B379" s="106"/>
      <c r="C379" s="106"/>
      <c r="D379" s="106"/>
      <c r="E379" s="107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239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233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233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253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233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254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233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233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233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233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233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233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233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233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235</v>
      </c>
      <c r="B392" s="103"/>
      <c r="C392" s="103"/>
      <c r="D392" s="103"/>
      <c r="E392" s="104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236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233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233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255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233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233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233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233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233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233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233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233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233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237</v>
      </c>
      <c r="B405" s="103"/>
      <c r="C405" s="103"/>
      <c r="D405" s="103"/>
      <c r="E405" s="104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236</v>
      </c>
      <c r="O405" s="39">
        <v>1202270</v>
      </c>
    </row>
    <row r="406" spans="1:15" ht="18" customHeight="1">
      <c r="A406" s="105" t="s">
        <v>238</v>
      </c>
      <c r="B406" s="106"/>
      <c r="C406" s="106"/>
      <c r="D406" s="106"/>
      <c r="E406" s="107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239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233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256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233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233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257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233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233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233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233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233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258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258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233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235</v>
      </c>
      <c r="B419" s="103"/>
      <c r="C419" s="103"/>
      <c r="D419" s="103"/>
      <c r="E419" s="104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236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233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233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233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233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233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233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233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233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233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233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233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2" t="s">
        <v>237</v>
      </c>
      <c r="B432" s="103"/>
      <c r="C432" s="103"/>
      <c r="D432" s="103"/>
      <c r="E432" s="104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>
        <v>1801910</v>
      </c>
    </row>
    <row r="433" spans="1:15" ht="18" customHeight="1">
      <c r="A433" s="105" t="s">
        <v>238</v>
      </c>
      <c r="B433" s="106"/>
      <c r="C433" s="106"/>
      <c r="D433" s="106"/>
      <c r="E433" s="107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239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233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233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233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233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233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233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233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233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233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235</v>
      </c>
      <c r="B446" s="103"/>
      <c r="C446" s="103"/>
      <c r="D446" s="103"/>
      <c r="E446" s="104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236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260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260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260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260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260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260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260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260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260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260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260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260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237</v>
      </c>
      <c r="B459" s="103"/>
      <c r="C459" s="103"/>
      <c r="D459" s="103"/>
      <c r="E459" s="104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236</v>
      </c>
      <c r="O459" s="39">
        <v>2675000</v>
      </c>
    </row>
    <row r="460" spans="1:15" ht="18" customHeight="1">
      <c r="A460" s="105" t="s">
        <v>238</v>
      </c>
      <c r="B460" s="106"/>
      <c r="C460" s="106"/>
      <c r="D460" s="106"/>
      <c r="E460" s="107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239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235</v>
      </c>
      <c r="B473" s="103"/>
      <c r="C473" s="103"/>
      <c r="D473" s="103"/>
      <c r="E473" s="104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237</v>
      </c>
      <c r="B486" s="103"/>
      <c r="C486" s="103"/>
      <c r="D486" s="103"/>
      <c r="E486" s="104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>
        <v>2310070</v>
      </c>
    </row>
    <row r="487" spans="1:15" ht="18" customHeight="1">
      <c r="A487" s="105" t="s">
        <v>238</v>
      </c>
      <c r="B487" s="106"/>
      <c r="C487" s="106"/>
      <c r="D487" s="106"/>
      <c r="E487" s="107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233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233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233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233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233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235</v>
      </c>
      <c r="B500" s="103"/>
      <c r="C500" s="103"/>
      <c r="D500" s="103"/>
      <c r="E500" s="104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236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233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233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233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233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233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233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233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233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233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233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233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2" t="s">
        <v>237</v>
      </c>
      <c r="B513" s="103"/>
      <c r="C513" s="103"/>
      <c r="D513" s="103"/>
      <c r="E513" s="104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>
        <v>1298429</v>
      </c>
    </row>
    <row r="514" spans="1:15" ht="18" customHeight="1">
      <c r="A514" s="105" t="s">
        <v>238</v>
      </c>
      <c r="B514" s="106"/>
      <c r="C514" s="106"/>
      <c r="D514" s="106"/>
      <c r="E514" s="107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239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233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261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233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233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233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233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233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233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233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233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233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233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233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235</v>
      </c>
      <c r="B527" s="103"/>
      <c r="C527" s="103"/>
      <c r="D527" s="103"/>
      <c r="E527" s="104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236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233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233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262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233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233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233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233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233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233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233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233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233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233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2" t="s">
        <v>237</v>
      </c>
      <c r="B540" s="103"/>
      <c r="C540" s="103"/>
      <c r="D540" s="103"/>
      <c r="E540" s="104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236</v>
      </c>
      <c r="O540" s="39">
        <v>1240140</v>
      </c>
    </row>
    <row r="541" spans="1:15" ht="18" customHeight="1">
      <c r="A541" s="105" t="s">
        <v>238</v>
      </c>
      <c r="B541" s="106"/>
      <c r="C541" s="106"/>
      <c r="D541" s="106"/>
      <c r="E541" s="107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239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233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233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233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233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233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233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233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233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233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233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233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233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235</v>
      </c>
      <c r="B554" s="103"/>
      <c r="C554" s="103"/>
      <c r="D554" s="103"/>
      <c r="E554" s="104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236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233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233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233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233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233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233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233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233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233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233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233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233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237</v>
      </c>
      <c r="B567" s="103"/>
      <c r="C567" s="103"/>
      <c r="D567" s="103"/>
      <c r="E567" s="104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236</v>
      </c>
      <c r="O567" s="39">
        <v>1482110</v>
      </c>
    </row>
    <row r="568" spans="1:15" ht="18" customHeight="1">
      <c r="A568" s="105" t="s">
        <v>238</v>
      </c>
      <c r="B568" s="106"/>
      <c r="C568" s="106"/>
      <c r="D568" s="106"/>
      <c r="E568" s="107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239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233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233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233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233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233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233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235</v>
      </c>
      <c r="B581" s="103"/>
      <c r="C581" s="103"/>
      <c r="D581" s="103"/>
      <c r="E581" s="104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236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233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233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233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233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233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233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233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233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233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233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237</v>
      </c>
      <c r="B594" s="103"/>
      <c r="C594" s="103"/>
      <c r="D594" s="103"/>
      <c r="E594" s="104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236</v>
      </c>
      <c r="O594" s="39">
        <v>1036800</v>
      </c>
    </row>
    <row r="595" spans="1:15" ht="18" customHeight="1">
      <c r="A595" s="105" t="s">
        <v>238</v>
      </c>
      <c r="B595" s="106"/>
      <c r="C595" s="106"/>
      <c r="D595" s="106"/>
      <c r="E595" s="107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239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233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233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233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233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233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233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233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233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233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233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233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233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235</v>
      </c>
      <c r="B608" s="103"/>
      <c r="C608" s="103"/>
      <c r="D608" s="103"/>
      <c r="E608" s="104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236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264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233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233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233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233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233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233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233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233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233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237</v>
      </c>
      <c r="B621" s="103"/>
      <c r="C621" s="103"/>
      <c r="D621" s="103"/>
      <c r="E621" s="104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236</v>
      </c>
      <c r="O621" s="39">
        <v>1295785</v>
      </c>
    </row>
    <row r="622" spans="1:15" ht="18" customHeight="1">
      <c r="A622" s="105" t="s">
        <v>238</v>
      </c>
      <c r="B622" s="106"/>
      <c r="C622" s="106"/>
      <c r="D622" s="106"/>
      <c r="E622" s="107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239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233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233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233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233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233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233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233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233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233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233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233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233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235</v>
      </c>
      <c r="B635" s="103"/>
      <c r="C635" s="103"/>
      <c r="D635" s="103"/>
      <c r="E635" s="104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233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265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233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233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233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233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233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233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233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233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233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233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233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237</v>
      </c>
      <c r="B648" s="103"/>
      <c r="C648" s="103"/>
      <c r="D648" s="103"/>
      <c r="E648" s="104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236</v>
      </c>
      <c r="O648" s="39">
        <v>1954490</v>
      </c>
    </row>
    <row r="649" spans="1:15" ht="18" customHeight="1">
      <c r="A649" s="105" t="s">
        <v>238</v>
      </c>
      <c r="B649" s="106"/>
      <c r="C649" s="106"/>
      <c r="D649" s="106"/>
      <c r="E649" s="107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239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233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233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233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233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233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233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233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233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233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233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233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233</v>
      </c>
      <c r="B662" s="103"/>
      <c r="C662" s="103"/>
      <c r="D662" s="103"/>
      <c r="E662" s="104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236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233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266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233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233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233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233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233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233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233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233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233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233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233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237</v>
      </c>
      <c r="B675" s="103"/>
      <c r="C675" s="103"/>
      <c r="D675" s="103"/>
      <c r="E675" s="104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236</v>
      </c>
      <c r="O675" s="39">
        <v>471180</v>
      </c>
    </row>
    <row r="676" spans="1:15" ht="18" customHeight="1">
      <c r="A676" s="105" t="s">
        <v>238</v>
      </c>
      <c r="B676" s="106"/>
      <c r="C676" s="106"/>
      <c r="D676" s="106"/>
      <c r="E676" s="107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239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233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267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233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233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233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233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233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233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233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233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233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233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233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235</v>
      </c>
      <c r="B689" s="103"/>
      <c r="C689" s="103"/>
      <c r="D689" s="103"/>
      <c r="E689" s="104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236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233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269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233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233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233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233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233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233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233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233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233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237</v>
      </c>
      <c r="B702" s="103"/>
      <c r="C702" s="103"/>
      <c r="D702" s="103"/>
      <c r="E702" s="104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236</v>
      </c>
      <c r="O702" s="39">
        <v>1620480</v>
      </c>
    </row>
    <row r="703" spans="1:15" ht="18" customHeight="1">
      <c r="A703" s="105" t="s">
        <v>238</v>
      </c>
      <c r="B703" s="106"/>
      <c r="C703" s="106"/>
      <c r="D703" s="106"/>
      <c r="E703" s="107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239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233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233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233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233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233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233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233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233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233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233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233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233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235</v>
      </c>
      <c r="B716" s="103"/>
      <c r="C716" s="103"/>
      <c r="D716" s="103"/>
      <c r="E716" s="104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236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233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270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233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233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233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233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233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233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260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260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260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237</v>
      </c>
      <c r="B729" s="103"/>
      <c r="C729" s="103"/>
      <c r="D729" s="103"/>
      <c r="E729" s="104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236</v>
      </c>
      <c r="O729" s="39">
        <v>1145450</v>
      </c>
    </row>
    <row r="730" spans="1:15" ht="18" customHeight="1">
      <c r="A730" s="105" t="s">
        <v>238</v>
      </c>
      <c r="B730" s="106"/>
      <c r="C730" s="106"/>
      <c r="D730" s="106"/>
      <c r="E730" s="107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239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271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233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233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233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233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233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233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233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233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233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233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233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235</v>
      </c>
      <c r="B743" s="103"/>
      <c r="C743" s="103"/>
      <c r="D743" s="103"/>
      <c r="E743" s="104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233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272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233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233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233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233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233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233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233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233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233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233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233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237</v>
      </c>
      <c r="B756" s="103"/>
      <c r="C756" s="103"/>
      <c r="D756" s="103"/>
      <c r="E756" s="104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236</v>
      </c>
      <c r="O756" s="39">
        <v>1649510</v>
      </c>
    </row>
    <row r="757" spans="1:15" ht="18" customHeight="1">
      <c r="A757" s="105" t="s">
        <v>238</v>
      </c>
      <c r="B757" s="106"/>
      <c r="C757" s="106"/>
      <c r="D757" s="106"/>
      <c r="E757" s="107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239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233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233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274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233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233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233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233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233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233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233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233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233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235</v>
      </c>
      <c r="B770" s="103"/>
      <c r="C770" s="103"/>
      <c r="D770" s="103"/>
      <c r="E770" s="104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236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233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275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233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233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233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233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233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233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233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233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233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233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237</v>
      </c>
      <c r="B783" s="103"/>
      <c r="C783" s="103"/>
      <c r="D783" s="103"/>
      <c r="E783" s="104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236</v>
      </c>
      <c r="O783" s="39">
        <v>2113690</v>
      </c>
    </row>
    <row r="784" spans="1:15" ht="18" customHeight="1">
      <c r="A784" s="105" t="s">
        <v>238</v>
      </c>
      <c r="B784" s="106"/>
      <c r="C784" s="106"/>
      <c r="D784" s="106"/>
      <c r="E784" s="107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239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233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233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233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233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233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276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233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233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233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233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233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233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235</v>
      </c>
      <c r="B797" s="103"/>
      <c r="C797" s="103"/>
      <c r="D797" s="103"/>
      <c r="E797" s="104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236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233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233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233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233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233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233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233</v>
      </c>
      <c r="F805" s="27"/>
      <c r="G805" s="28" t="str">
        <f t="shared" si="176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233</v>
      </c>
      <c r="F806" s="27"/>
      <c r="G806" s="28" t="str">
        <f t="shared" si="176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233</v>
      </c>
      <c r="F807" s="27"/>
      <c r="G807" s="28" t="str">
        <f t="shared" si="176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233</v>
      </c>
      <c r="F808" s="27"/>
      <c r="G808" s="28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233</v>
      </c>
      <c r="F809" s="27"/>
      <c r="G809" s="28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02" t="s">
        <v>237</v>
      </c>
      <c r="B810" s="103"/>
      <c r="C810" s="103"/>
      <c r="D810" s="103"/>
      <c r="E810" s="104">
        <f>SUM(E798:E809)</f>
        <v>0</v>
      </c>
      <c r="F810" s="36">
        <f>SUM(F798:F809)</f>
        <v>250</v>
      </c>
      <c r="G810" s="36">
        <f>SUM(G798:G809)</f>
        <v>1229.2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236</v>
      </c>
      <c r="O810" s="39"/>
    </row>
    <row r="811" spans="1:15" ht="18" customHeight="1">
      <c r="A811" s="117" t="s">
        <v>238</v>
      </c>
      <c r="B811" s="118"/>
      <c r="C811" s="118"/>
      <c r="D811" s="118"/>
      <c r="E811" s="119">
        <f>E797+E810</f>
        <v>0</v>
      </c>
      <c r="F811" s="40">
        <f>F797+F810</f>
        <v>541</v>
      </c>
      <c r="G811" s="40">
        <f>G797+G810</f>
        <v>1229.2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239</v>
      </c>
      <c r="O811" s="83">
        <f>IFERROR(O797+O810,"")</f>
        <v>2191180</v>
      </c>
    </row>
    <row r="812" spans="1:15" ht="15">
      <c r="A812" s="124">
        <v>46234</v>
      </c>
      <c r="B812" s="121">
        <v>0.33333333333333298</v>
      </c>
      <c r="C812" s="80"/>
      <c r="D812" s="99"/>
      <c r="E812" s="99"/>
      <c r="F812" s="100"/>
      <c r="G812" s="122"/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23"/>
      <c r="O812" s="47"/>
    </row>
    <row r="813" spans="1:15" ht="15">
      <c r="A813" s="120">
        <v>46234</v>
      </c>
      <c r="B813" s="125">
        <f>B812+TIME(0,60,0)</f>
        <v>0.37499999999999967</v>
      </c>
      <c r="C813" s="80"/>
      <c r="D813" s="99"/>
      <c r="E813" s="126"/>
      <c r="F813" s="100"/>
      <c r="G813" s="101"/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23"/>
      <c r="O813" s="47"/>
    </row>
    <row r="814" spans="1:15" ht="15">
      <c r="A814" s="124">
        <v>46234</v>
      </c>
      <c r="B814" s="121">
        <f>B813+TIME(0,60,0)</f>
        <v>0.41666666666666635</v>
      </c>
      <c r="C814" s="80"/>
      <c r="D814" s="99"/>
      <c r="E814" s="99"/>
      <c r="F814" s="100"/>
      <c r="G814" s="122"/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23"/>
      <c r="O814" s="47"/>
    </row>
    <row r="815" spans="1:15" ht="15">
      <c r="A815" s="120">
        <v>46234</v>
      </c>
      <c r="B815" s="125">
        <f>B814+TIME(0,60,0)</f>
        <v>0.45833333333333304</v>
      </c>
      <c r="C815" s="80"/>
      <c r="D815" s="99"/>
      <c r="E815" s="126"/>
      <c r="F815" s="100"/>
      <c r="G815" s="101"/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23"/>
      <c r="O815" s="47"/>
    </row>
    <row r="816" spans="1:15" ht="15">
      <c r="A816" s="124">
        <v>46234</v>
      </c>
      <c r="B816" s="121">
        <f>B815+TIME(0,60,0)</f>
        <v>0.49999999999999972</v>
      </c>
      <c r="C816" s="80"/>
      <c r="D816" s="99"/>
      <c r="E816" s="99"/>
      <c r="F816" s="100"/>
      <c r="G816" s="122"/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23"/>
      <c r="O816" s="47"/>
    </row>
    <row r="817" spans="1:15" ht="15">
      <c r="A817" s="120">
        <v>46234</v>
      </c>
      <c r="B817" s="125">
        <f>B816+TIME(0,60,0)</f>
        <v>0.54166666666666641</v>
      </c>
      <c r="C817" s="80"/>
      <c r="D817" s="99"/>
      <c r="E817" s="126"/>
      <c r="F817" s="100"/>
      <c r="G817" s="101"/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23"/>
      <c r="O817" s="47"/>
    </row>
    <row r="818" spans="1:15" ht="15">
      <c r="A818" s="124">
        <v>46234</v>
      </c>
      <c r="B818" s="121">
        <f>B817+TIME(0,60,0)</f>
        <v>0.58333333333333304</v>
      </c>
      <c r="C818" s="80"/>
      <c r="D818" s="99"/>
      <c r="E818" s="99"/>
      <c r="F818" s="100"/>
      <c r="G818" s="122"/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23"/>
      <c r="O818" s="47"/>
    </row>
    <row r="819" spans="1:15" ht="15">
      <c r="A819" s="120">
        <v>46234</v>
      </c>
      <c r="B819" s="125">
        <f>B818+TIME(0,60,0)</f>
        <v>0.62499999999999967</v>
      </c>
      <c r="C819" s="80"/>
      <c r="D819" s="99"/>
      <c r="E819" s="126"/>
      <c r="F819" s="100"/>
      <c r="G819" s="101"/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23"/>
      <c r="O819" s="47"/>
    </row>
    <row r="820" spans="1:15" ht="15">
      <c r="A820" s="124">
        <v>46234</v>
      </c>
      <c r="B820" s="121">
        <f>B819+TIME(0,60,0)</f>
        <v>0.6666666666666663</v>
      </c>
      <c r="C820" s="80"/>
      <c r="D820" s="99"/>
      <c r="E820" s="99"/>
      <c r="F820" s="100"/>
      <c r="G820" s="122"/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23"/>
      <c r="O820" s="47"/>
    </row>
    <row r="821" spans="1:15" ht="15">
      <c r="A821" s="120">
        <v>46234</v>
      </c>
      <c r="B821" s="125">
        <f>B820+TIME(0,60,0)</f>
        <v>0.70833333333333293</v>
      </c>
      <c r="C821" s="80"/>
      <c r="D821" s="99"/>
      <c r="E821" s="126"/>
      <c r="F821" s="100"/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23"/>
      <c r="O821" s="47"/>
    </row>
    <row r="822" spans="1:15" ht="15">
      <c r="A822" s="124">
        <v>46234</v>
      </c>
      <c r="B822" s="121">
        <f>B821+TIME(0,60,0)</f>
        <v>0.74999999999999956</v>
      </c>
      <c r="C822" s="80"/>
      <c r="D822" s="99"/>
      <c r="E822" s="99"/>
      <c r="F822" s="100"/>
      <c r="G822" s="122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23"/>
      <c r="O822" s="47"/>
    </row>
    <row r="823" spans="1:15" ht="15">
      <c r="A823" s="120">
        <v>46234</v>
      </c>
      <c r="B823" s="125">
        <f>B822+TIME(0,60,0)</f>
        <v>0.79166666666666619</v>
      </c>
      <c r="C823" s="80"/>
      <c r="D823" s="99"/>
      <c r="E823" s="126"/>
      <c r="F823" s="100"/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23"/>
      <c r="O823" s="47"/>
    </row>
    <row r="824" spans="1:15" ht="15">
      <c r="A824" s="114" t="s">
        <v>235</v>
      </c>
      <c r="B824" s="115"/>
      <c r="C824" s="115"/>
      <c r="D824" s="115"/>
      <c r="E824" s="116">
        <f>SUM(E812:E823)</f>
        <v>0</v>
      </c>
      <c r="F824" s="127">
        <f>SUM(F812:F823)</f>
        <v>0</v>
      </c>
      <c r="G824" s="37"/>
      <c r="H824" s="37"/>
      <c r="I824" s="37"/>
      <c r="J824" s="37"/>
      <c r="K824" s="37"/>
      <c r="L824" s="37"/>
      <c r="M824" s="128">
        <f ca="1">IFERROR(SUM(M812:M823),"")</f>
        <v>0</v>
      </c>
      <c r="N824" s="127" t="s">
        <v>236</v>
      </c>
      <c r="O824" s="77"/>
    </row>
    <row r="825" spans="1:15" ht="15">
      <c r="A825" s="124">
        <v>46234</v>
      </c>
      <c r="B825" s="125">
        <v>0.83333333333333304</v>
      </c>
      <c r="C825" s="81"/>
      <c r="D825" s="126"/>
      <c r="E825" s="126"/>
      <c r="F825" s="100"/>
      <c r="G825" s="101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23"/>
      <c r="O825" s="47"/>
    </row>
    <row r="826" spans="1:15" ht="15">
      <c r="A826" s="120">
        <v>46234</v>
      </c>
      <c r="B826" s="121">
        <f>B825+TIME(0,60,0)</f>
        <v>0.87499999999999967</v>
      </c>
      <c r="C826" s="81"/>
      <c r="D826" s="126"/>
      <c r="E826" s="126"/>
      <c r="F826" s="100"/>
      <c r="G826" s="101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23"/>
      <c r="O826" s="47"/>
    </row>
    <row r="827" spans="1:15" ht="15">
      <c r="A827" s="124">
        <v>46234</v>
      </c>
      <c r="B827" s="125">
        <f>B826+TIME(0,60,0)</f>
        <v>0.9166666666666663</v>
      </c>
      <c r="C827" s="81"/>
      <c r="D827" s="126"/>
      <c r="E827" s="126"/>
      <c r="F827" s="100"/>
      <c r="G827" s="101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23"/>
      <c r="O827" s="47"/>
    </row>
    <row r="828" spans="1:15" ht="15">
      <c r="A828" s="120">
        <v>46234</v>
      </c>
      <c r="B828" s="121">
        <f>B827+TIME(0,60,0)</f>
        <v>0.95833333333333293</v>
      </c>
      <c r="C828" s="81"/>
      <c r="D828" s="126"/>
      <c r="E828" s="126"/>
      <c r="F828" s="100"/>
      <c r="G828" s="101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23"/>
      <c r="O828" s="47"/>
    </row>
    <row r="829" spans="1:15" ht="15">
      <c r="A829" s="124">
        <v>46234</v>
      </c>
      <c r="B829" s="125">
        <f>B828+TIME(0,60,0)</f>
        <v>0.99999999999999956</v>
      </c>
      <c r="C829" s="81"/>
      <c r="D829" s="126"/>
      <c r="E829" s="126"/>
      <c r="F829" s="100"/>
      <c r="G829" s="101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23"/>
      <c r="O829" s="47"/>
    </row>
    <row r="830" spans="1:15" ht="15">
      <c r="A830" s="120">
        <v>46234</v>
      </c>
      <c r="B830" s="121">
        <f>B829+TIME(0,60,0)</f>
        <v>1.0416666666666663</v>
      </c>
      <c r="C830" s="81"/>
      <c r="D830" s="126"/>
      <c r="E830" s="126"/>
      <c r="F830" s="100"/>
      <c r="G830" s="101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23"/>
      <c r="O830" s="47"/>
    </row>
    <row r="831" spans="1:15" ht="15">
      <c r="A831" s="124">
        <v>46234</v>
      </c>
      <c r="B831" s="125">
        <f>B830+TIME(0,60,0)</f>
        <v>1.083333333333333</v>
      </c>
      <c r="C831" s="81"/>
      <c r="D831" s="126"/>
      <c r="E831" s="126"/>
      <c r="F831" s="100"/>
      <c r="G831" s="101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23"/>
      <c r="O831" s="47"/>
    </row>
    <row r="832" spans="1:15" ht="15">
      <c r="A832" s="120">
        <v>46234</v>
      </c>
      <c r="B832" s="121">
        <f>B831+TIME(0,60,0)</f>
        <v>1.1249999999999998</v>
      </c>
      <c r="C832" s="81"/>
      <c r="D832" s="126"/>
      <c r="E832" s="126"/>
      <c r="F832" s="100"/>
      <c r="G832" s="101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23"/>
      <c r="O832" s="47"/>
    </row>
    <row r="833" spans="1:15" ht="15">
      <c r="A833" s="124">
        <v>46234</v>
      </c>
      <c r="B833" s="125">
        <f>B832+TIME(0,60,0)</f>
        <v>1.1666666666666665</v>
      </c>
      <c r="C833" s="81"/>
      <c r="D833" s="126"/>
      <c r="E833" s="126"/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23"/>
      <c r="O833" s="47"/>
    </row>
    <row r="834" spans="1:15" ht="15">
      <c r="A834" s="120">
        <v>46234</v>
      </c>
      <c r="B834" s="121">
        <f>B833+TIME(0,60,0)</f>
        <v>1.2083333333333333</v>
      </c>
      <c r="C834" s="81"/>
      <c r="D834" s="126"/>
      <c r="E834" s="126"/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23"/>
      <c r="O834" s="47"/>
    </row>
    <row r="835" spans="1:15" ht="15">
      <c r="A835" s="124">
        <v>46234</v>
      </c>
      <c r="B835" s="125">
        <f>B834+TIME(0,60,0)</f>
        <v>1.25</v>
      </c>
      <c r="C835" s="81"/>
      <c r="D835" s="126"/>
      <c r="E835" s="126"/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23"/>
      <c r="O835" s="47"/>
    </row>
    <row r="836" spans="1:15" ht="15">
      <c r="A836" s="120">
        <v>46234</v>
      </c>
      <c r="B836" s="121">
        <f>B835+TIME(0,60,0)</f>
        <v>1.2916666666666667</v>
      </c>
      <c r="C836" s="81"/>
      <c r="D836" s="126"/>
      <c r="E836" s="126"/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23"/>
      <c r="O836" s="47"/>
    </row>
    <row r="837" spans="1:15" ht="15">
      <c r="A837" s="114" t="s">
        <v>237</v>
      </c>
      <c r="B837" s="115"/>
      <c r="C837" s="115"/>
      <c r="D837" s="115"/>
      <c r="E837" s="116">
        <f>SUM(E825:E836)</f>
        <v>0</v>
      </c>
      <c r="F837" s="127">
        <f>SUM(F825:F836)</f>
        <v>0</v>
      </c>
      <c r="G837" s="127">
        <f>SUM(G825:G836)</f>
        <v>0</v>
      </c>
      <c r="H837" s="37"/>
      <c r="I837" s="37"/>
      <c r="J837" s="37"/>
      <c r="K837" s="37"/>
      <c r="L837" s="37"/>
      <c r="M837" s="128">
        <f ca="1">IFERROR(SUM(M825:M836),"")</f>
        <v>0</v>
      </c>
      <c r="N837" s="127" t="s">
        <v>236</v>
      </c>
      <c r="O837" s="77"/>
    </row>
    <row r="838" spans="1:15" ht="15">
      <c r="A838" s="117" t="s">
        <v>238</v>
      </c>
      <c r="B838" s="118"/>
      <c r="C838" s="118"/>
      <c r="D838" s="118"/>
      <c r="E838" s="119">
        <f>E824+E837</f>
        <v>0</v>
      </c>
      <c r="F838" s="129">
        <f>F824+F837</f>
        <v>0</v>
      </c>
      <c r="G838" s="129">
        <f>G824+G837</f>
        <v>0</v>
      </c>
      <c r="H838" s="41"/>
      <c r="I838" s="41"/>
      <c r="J838" s="41"/>
      <c r="K838" s="41"/>
      <c r="L838" s="41"/>
      <c r="M838" s="130">
        <f ca="1">IFERROR(M824+M837,"")</f>
        <v>0</v>
      </c>
      <c r="N838" s="129" t="s">
        <v>239</v>
      </c>
      <c r="O838" s="83">
        <f>IFERROR(O824+O837,"")</f>
        <v>0</v>
      </c>
    </row>
  </sheetData>
  <mergeCells count="93">
    <mergeCell ref="A811:E811"/>
    <mergeCell ref="A824:E824"/>
    <mergeCell ref="A837:E837"/>
    <mergeCell ref="A838:E838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771" activePane="bottomLeft" state="frozen"/>
      <selection pane="bottomLeft" activeCell="H801" sqref="H80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2" t="s">
        <v>235</v>
      </c>
      <c r="B14" s="103"/>
      <c r="C14" s="103"/>
      <c r="D14" s="103"/>
      <c r="E14" s="10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236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2" t="s">
        <v>237</v>
      </c>
      <c r="B27" s="103"/>
      <c r="C27" s="103"/>
      <c r="D27" s="103"/>
      <c r="E27" s="10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236</v>
      </c>
      <c r="O27" s="77">
        <v>393200</v>
      </c>
    </row>
    <row r="28" spans="1:15" ht="18" customHeight="1">
      <c r="A28" s="105" t="s">
        <v>238</v>
      </c>
      <c r="B28" s="106"/>
      <c r="C28" s="106"/>
      <c r="D28" s="106"/>
      <c r="E28" s="10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239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2" t="s">
        <v>235</v>
      </c>
      <c r="B41" s="103"/>
      <c r="C41" s="103"/>
      <c r="D41" s="103"/>
      <c r="E41" s="10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236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260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2" t="s">
        <v>237</v>
      </c>
      <c r="B54" s="103"/>
      <c r="C54" s="103"/>
      <c r="D54" s="103"/>
      <c r="E54" s="10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84">
        <v>276360</v>
      </c>
    </row>
    <row r="55" spans="1:15" ht="18" customHeight="1">
      <c r="A55" s="105" t="s">
        <v>238</v>
      </c>
      <c r="B55" s="106"/>
      <c r="C55" s="106"/>
      <c r="D55" s="106"/>
      <c r="E55" s="10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239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2" t="s">
        <v>235</v>
      </c>
      <c r="B68" s="103"/>
      <c r="C68" s="103"/>
      <c r="D68" s="103"/>
      <c r="E68" s="10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236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2" t="s">
        <v>237</v>
      </c>
      <c r="B81" s="103"/>
      <c r="C81" s="103"/>
      <c r="D81" s="103"/>
      <c r="E81" s="10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236</v>
      </c>
      <c r="O81" s="54">
        <v>787860</v>
      </c>
    </row>
    <row r="82" spans="1:15" ht="18" customHeight="1">
      <c r="A82" s="105" t="s">
        <v>238</v>
      </c>
      <c r="B82" s="106"/>
      <c r="C82" s="106"/>
      <c r="D82" s="106"/>
      <c r="E82" s="10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239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2" t="s">
        <v>235</v>
      </c>
      <c r="B95" s="103"/>
      <c r="C95" s="103"/>
      <c r="D95" s="103"/>
      <c r="E95" s="10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236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2" t="s">
        <v>237</v>
      </c>
      <c r="B108" s="103"/>
      <c r="C108" s="103"/>
      <c r="D108" s="103"/>
      <c r="E108" s="10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236</v>
      </c>
      <c r="O108" s="54">
        <v>1087080</v>
      </c>
    </row>
    <row r="109" spans="1:15" ht="18" customHeight="1">
      <c r="A109" s="105" t="s">
        <v>238</v>
      </c>
      <c r="B109" s="106"/>
      <c r="C109" s="106"/>
      <c r="D109" s="106"/>
      <c r="E109" s="10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239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2" t="s">
        <v>235</v>
      </c>
      <c r="B122" s="103"/>
      <c r="C122" s="103"/>
      <c r="D122" s="103"/>
      <c r="E122" s="10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236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251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2" t="s">
        <v>237</v>
      </c>
      <c r="B135" s="103"/>
      <c r="C135" s="103"/>
      <c r="D135" s="103"/>
      <c r="E135" s="10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236</v>
      </c>
      <c r="O135" s="54">
        <v>794480</v>
      </c>
    </row>
    <row r="136" spans="1:15" ht="18" customHeight="1">
      <c r="A136" s="105" t="s">
        <v>238</v>
      </c>
      <c r="B136" s="106"/>
      <c r="C136" s="106"/>
      <c r="D136" s="106"/>
      <c r="E136" s="10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239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2" t="s">
        <v>235</v>
      </c>
      <c r="B149" s="103"/>
      <c r="C149" s="103"/>
      <c r="D149" s="103"/>
      <c r="E149" s="10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236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2" t="s">
        <v>237</v>
      </c>
      <c r="B162" s="103"/>
      <c r="C162" s="103"/>
      <c r="D162" s="103"/>
      <c r="E162" s="10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236</v>
      </c>
      <c r="O162" s="54">
        <v>882280</v>
      </c>
    </row>
    <row r="163" spans="1:15" ht="18" customHeight="1">
      <c r="A163" s="105" t="s">
        <v>238</v>
      </c>
      <c r="B163" s="106"/>
      <c r="C163" s="106"/>
      <c r="D163" s="106"/>
      <c r="E163" s="10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239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2" t="s">
        <v>235</v>
      </c>
      <c r="B176" s="103"/>
      <c r="C176" s="103"/>
      <c r="D176" s="103"/>
      <c r="E176" s="10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236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2" t="s">
        <v>237</v>
      </c>
      <c r="B189" s="103"/>
      <c r="C189" s="103"/>
      <c r="D189" s="103"/>
      <c r="E189" s="10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236</v>
      </c>
      <c r="O189" s="77"/>
    </row>
    <row r="190" spans="1:15" ht="18" customHeight="1">
      <c r="A190" s="105" t="s">
        <v>238</v>
      </c>
      <c r="B190" s="106"/>
      <c r="C190" s="106"/>
      <c r="D190" s="106"/>
      <c r="E190" s="10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239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2" t="s">
        <v>235</v>
      </c>
      <c r="B203" s="103"/>
      <c r="C203" s="103"/>
      <c r="D203" s="103"/>
      <c r="E203" s="10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236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237</v>
      </c>
      <c r="B216" s="103"/>
      <c r="C216" s="103"/>
      <c r="D216" s="103"/>
      <c r="E216" s="10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236</v>
      </c>
      <c r="O216" s="77">
        <v>648410</v>
      </c>
    </row>
    <row r="217" spans="1:15" ht="18" customHeight="1">
      <c r="A217" s="105" t="s">
        <v>238</v>
      </c>
      <c r="B217" s="106"/>
      <c r="C217" s="106"/>
      <c r="D217" s="106"/>
      <c r="E217" s="10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239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235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236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237</v>
      </c>
      <c r="B243" s="103"/>
      <c r="C243" s="103"/>
      <c r="D243" s="103"/>
      <c r="E243" s="10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236</v>
      </c>
      <c r="O243" s="77">
        <v>849060</v>
      </c>
    </row>
    <row r="244" spans="1:15" ht="18" customHeight="1">
      <c r="A244" s="105" t="s">
        <v>238</v>
      </c>
      <c r="B244" s="106"/>
      <c r="C244" s="106"/>
      <c r="D244" s="106"/>
      <c r="E244" s="10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239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235</v>
      </c>
      <c r="B257" s="103"/>
      <c r="C257" s="103"/>
      <c r="D257" s="103"/>
      <c r="E257" s="10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236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237</v>
      </c>
      <c r="B270" s="103"/>
      <c r="C270" s="103"/>
      <c r="D270" s="103"/>
      <c r="E270" s="10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236</v>
      </c>
      <c r="O270" s="77">
        <v>625070</v>
      </c>
    </row>
    <row r="271" spans="1:15" ht="18" customHeight="1">
      <c r="A271" s="105" t="s">
        <v>238</v>
      </c>
      <c r="B271" s="106"/>
      <c r="C271" s="106"/>
      <c r="D271" s="106"/>
      <c r="E271" s="10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239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235</v>
      </c>
      <c r="B284" s="103"/>
      <c r="C284" s="103"/>
      <c r="D284" s="103"/>
      <c r="E284" s="10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236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2" t="s">
        <v>237</v>
      </c>
      <c r="B297" s="103"/>
      <c r="C297" s="103"/>
      <c r="D297" s="103"/>
      <c r="E297" s="10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236</v>
      </c>
      <c r="O297" s="77">
        <v>761660</v>
      </c>
    </row>
    <row r="298" spans="1:15" ht="18" customHeight="1">
      <c r="A298" s="105" t="s">
        <v>238</v>
      </c>
      <c r="B298" s="106"/>
      <c r="C298" s="106"/>
      <c r="D298" s="106"/>
      <c r="E298" s="10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239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235</v>
      </c>
      <c r="B311" s="103"/>
      <c r="C311" s="103"/>
      <c r="D311" s="103"/>
      <c r="E311" s="10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236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237</v>
      </c>
      <c r="B324" s="103"/>
      <c r="C324" s="103"/>
      <c r="D324" s="103"/>
      <c r="E324" s="10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236</v>
      </c>
      <c r="O324" s="77">
        <v>524410</v>
      </c>
    </row>
    <row r="325" spans="1:15" ht="18" customHeight="1">
      <c r="A325" s="105" t="s">
        <v>238</v>
      </c>
      <c r="B325" s="106"/>
      <c r="C325" s="106"/>
      <c r="D325" s="106"/>
      <c r="E325" s="10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239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235</v>
      </c>
      <c r="B338" s="103"/>
      <c r="C338" s="103"/>
      <c r="D338" s="103"/>
      <c r="E338" s="10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236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237</v>
      </c>
      <c r="B351" s="103"/>
      <c r="C351" s="103"/>
      <c r="D351" s="103"/>
      <c r="E351" s="10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236</v>
      </c>
      <c r="O351" s="77">
        <v>598420</v>
      </c>
    </row>
    <row r="352" spans="1:15" ht="18" customHeight="1">
      <c r="A352" s="105" t="s">
        <v>238</v>
      </c>
      <c r="B352" s="106"/>
      <c r="C352" s="106"/>
      <c r="D352" s="106"/>
      <c r="E352" s="10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239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235</v>
      </c>
      <c r="B365" s="103"/>
      <c r="C365" s="103"/>
      <c r="D365" s="103"/>
      <c r="E365" s="10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236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0.89127210647711763</v>
      </c>
      <c r="N377" s="46"/>
      <c r="O377" s="47"/>
    </row>
    <row r="378" spans="1:15" ht="15.75" customHeight="1">
      <c r="A378" s="102" t="s">
        <v>237</v>
      </c>
      <c r="B378" s="103"/>
      <c r="C378" s="103"/>
      <c r="D378" s="103"/>
      <c r="E378" s="104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1.0489109953660065</v>
      </c>
      <c r="N378" s="36" t="s">
        <v>236</v>
      </c>
      <c r="O378" s="77">
        <v>511980</v>
      </c>
    </row>
    <row r="379" spans="1:15" ht="18" customHeight="1">
      <c r="A379" s="105" t="s">
        <v>238</v>
      </c>
      <c r="B379" s="106"/>
      <c r="C379" s="106"/>
      <c r="D379" s="106"/>
      <c r="E379" s="107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1.1586332175882288</v>
      </c>
      <c r="N379" s="40" t="s">
        <v>239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235</v>
      </c>
      <c r="B392" s="103"/>
      <c r="C392" s="103"/>
      <c r="D392" s="103"/>
      <c r="E392" s="104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236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260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251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237</v>
      </c>
      <c r="B405" s="103"/>
      <c r="C405" s="103"/>
      <c r="D405" s="103"/>
      <c r="E405" s="104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236</v>
      </c>
      <c r="O405" s="77">
        <v>552440</v>
      </c>
    </row>
    <row r="406" spans="1:15" ht="18" customHeight="1">
      <c r="A406" s="105" t="s">
        <v>238</v>
      </c>
      <c r="B406" s="106"/>
      <c r="C406" s="106"/>
      <c r="D406" s="106"/>
      <c r="E406" s="107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239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260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235</v>
      </c>
      <c r="B419" s="103"/>
      <c r="C419" s="103"/>
      <c r="D419" s="103"/>
      <c r="E419" s="104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236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0.86974432870192686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1.0405776620352603</v>
      </c>
      <c r="N432" s="36" t="s">
        <v>236</v>
      </c>
      <c r="O432" s="77">
        <v>484540</v>
      </c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1.1857165509241492</v>
      </c>
      <c r="N433" s="40" t="s">
        <v>239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235</v>
      </c>
      <c r="B446" s="103"/>
      <c r="C446" s="103"/>
      <c r="D446" s="103"/>
      <c r="E446" s="104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236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237</v>
      </c>
      <c r="B459" s="103"/>
      <c r="C459" s="103"/>
      <c r="D459" s="103"/>
      <c r="E459" s="104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236</v>
      </c>
      <c r="O459" s="77">
        <v>631190</v>
      </c>
    </row>
    <row r="460" spans="1:15" ht="18" customHeight="1">
      <c r="A460" s="105" t="s">
        <v>238</v>
      </c>
      <c r="B460" s="106"/>
      <c r="C460" s="106"/>
      <c r="D460" s="106"/>
      <c r="E460" s="107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239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235</v>
      </c>
      <c r="B473" s="103"/>
      <c r="C473" s="103"/>
      <c r="D473" s="103"/>
      <c r="E473" s="104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236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237</v>
      </c>
      <c r="B486" s="103"/>
      <c r="C486" s="103"/>
      <c r="D486" s="103"/>
      <c r="E486" s="104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236</v>
      </c>
      <c r="O486" s="77">
        <v>969510</v>
      </c>
    </row>
    <row r="487" spans="1:15" ht="18" customHeight="1">
      <c r="A487" s="105" t="s">
        <v>238</v>
      </c>
      <c r="B487" s="106"/>
      <c r="C487" s="106"/>
      <c r="D487" s="106"/>
      <c r="E487" s="107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239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235</v>
      </c>
      <c r="B500" s="103"/>
      <c r="C500" s="103"/>
      <c r="D500" s="103"/>
      <c r="E500" s="104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236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236</v>
      </c>
      <c r="O513" s="77">
        <v>556040</v>
      </c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239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235</v>
      </c>
      <c r="B527" s="103"/>
      <c r="C527" s="103"/>
      <c r="D527" s="103"/>
      <c r="E527" s="104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236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2" t="s">
        <v>237</v>
      </c>
      <c r="B540" s="103"/>
      <c r="C540" s="103"/>
      <c r="D540" s="103"/>
      <c r="E540" s="104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236</v>
      </c>
      <c r="O540" s="77">
        <v>548610</v>
      </c>
    </row>
    <row r="541" spans="1:15" ht="18" customHeight="1">
      <c r="A541" s="105" t="s">
        <v>238</v>
      </c>
      <c r="B541" s="106"/>
      <c r="C541" s="106"/>
      <c r="D541" s="106"/>
      <c r="E541" s="107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239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235</v>
      </c>
      <c r="B554" s="103"/>
      <c r="C554" s="103"/>
      <c r="D554" s="103"/>
      <c r="E554" s="104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236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237</v>
      </c>
      <c r="B567" s="103"/>
      <c r="C567" s="103"/>
      <c r="D567" s="103"/>
      <c r="E567" s="104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236</v>
      </c>
      <c r="O567" s="77">
        <v>722660</v>
      </c>
    </row>
    <row r="568" spans="1:15" ht="18" customHeight="1">
      <c r="A568" s="105" t="s">
        <v>238</v>
      </c>
      <c r="B568" s="106"/>
      <c r="C568" s="106"/>
      <c r="D568" s="106"/>
      <c r="E568" s="107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239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235</v>
      </c>
      <c r="B581" s="103"/>
      <c r="C581" s="103"/>
      <c r="D581" s="103"/>
      <c r="E581" s="104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236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237</v>
      </c>
      <c r="B594" s="103"/>
      <c r="C594" s="103"/>
      <c r="D594" s="103"/>
      <c r="E594" s="104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236</v>
      </c>
      <c r="O594" s="77">
        <v>644900</v>
      </c>
    </row>
    <row r="595" spans="1:15" ht="18" customHeight="1">
      <c r="A595" s="105" t="s">
        <v>238</v>
      </c>
      <c r="B595" s="106"/>
      <c r="C595" s="106"/>
      <c r="D595" s="106"/>
      <c r="E595" s="107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239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235</v>
      </c>
      <c r="B608" s="103"/>
      <c r="C608" s="103"/>
      <c r="D608" s="103"/>
      <c r="E608" s="104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236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237</v>
      </c>
      <c r="B621" s="103"/>
      <c r="C621" s="103"/>
      <c r="D621" s="103"/>
      <c r="E621" s="104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236</v>
      </c>
      <c r="O621" s="77">
        <v>348050</v>
      </c>
    </row>
    <row r="622" spans="1:15" ht="18" customHeight="1">
      <c r="A622" s="105" t="s">
        <v>238</v>
      </c>
      <c r="B622" s="106"/>
      <c r="C622" s="106"/>
      <c r="D622" s="106"/>
      <c r="E622" s="107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239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260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260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260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260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260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260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260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2" t="s">
        <v>235</v>
      </c>
      <c r="B635" s="103"/>
      <c r="C635" s="103"/>
      <c r="D635" s="103"/>
      <c r="E635" s="104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236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237</v>
      </c>
      <c r="B648" s="103"/>
      <c r="C648" s="103"/>
      <c r="D648" s="103"/>
      <c r="E648" s="104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236</v>
      </c>
      <c r="O648" s="77">
        <v>757160</v>
      </c>
    </row>
    <row r="649" spans="1:15" ht="18" customHeight="1">
      <c r="A649" s="105" t="s">
        <v>238</v>
      </c>
      <c r="B649" s="106"/>
      <c r="C649" s="106"/>
      <c r="D649" s="106"/>
      <c r="E649" s="107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239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235</v>
      </c>
      <c r="B662" s="103"/>
      <c r="C662" s="103"/>
      <c r="D662" s="103"/>
      <c r="E662" s="104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236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237</v>
      </c>
      <c r="B675" s="103"/>
      <c r="C675" s="103"/>
      <c r="D675" s="103"/>
      <c r="E675" s="104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236</v>
      </c>
      <c r="O675" s="77">
        <v>681950</v>
      </c>
    </row>
    <row r="676" spans="1:15" ht="18" customHeight="1">
      <c r="A676" s="105" t="s">
        <v>238</v>
      </c>
      <c r="B676" s="106"/>
      <c r="C676" s="106"/>
      <c r="D676" s="106"/>
      <c r="E676" s="107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239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260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4" t="s">
        <v>235</v>
      </c>
      <c r="B689" s="115"/>
      <c r="C689" s="115"/>
      <c r="D689" s="115"/>
      <c r="E689" s="116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236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332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237</v>
      </c>
      <c r="B702" s="103"/>
      <c r="C702" s="103"/>
      <c r="D702" s="103"/>
      <c r="E702" s="104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236</v>
      </c>
      <c r="O702" s="77">
        <v>813880</v>
      </c>
    </row>
    <row r="703" spans="1:15" ht="18" customHeight="1">
      <c r="A703" s="105" t="s">
        <v>238</v>
      </c>
      <c r="B703" s="106"/>
      <c r="C703" s="106"/>
      <c r="D703" s="106"/>
      <c r="E703" s="107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239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334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335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235</v>
      </c>
      <c r="B716" s="103"/>
      <c r="C716" s="103"/>
      <c r="D716" s="103"/>
      <c r="E716" s="104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236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260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336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233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260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260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260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337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260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260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260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233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233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260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237</v>
      </c>
      <c r="B729" s="103"/>
      <c r="C729" s="103"/>
      <c r="D729" s="103"/>
      <c r="E729" s="104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236</v>
      </c>
      <c r="O729" s="77">
        <v>766420</v>
      </c>
    </row>
    <row r="730" spans="1:15" ht="18" customHeight="1">
      <c r="A730" s="105" t="s">
        <v>238</v>
      </c>
      <c r="B730" s="106"/>
      <c r="C730" s="106"/>
      <c r="D730" s="106"/>
      <c r="E730" s="107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239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338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339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235</v>
      </c>
      <c r="B743" s="103"/>
      <c r="C743" s="103"/>
      <c r="D743" s="103"/>
      <c r="E743" s="104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236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237</v>
      </c>
      <c r="B756" s="103"/>
      <c r="C756" s="103"/>
      <c r="D756" s="103"/>
      <c r="E756" s="104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236</v>
      </c>
      <c r="O756" s="39">
        <v>605420</v>
      </c>
    </row>
    <row r="757" spans="1:15" ht="18" customHeight="1">
      <c r="A757" s="105" t="s">
        <v>238</v>
      </c>
      <c r="B757" s="106"/>
      <c r="C757" s="106"/>
      <c r="D757" s="106"/>
      <c r="E757" s="107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239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340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341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342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260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260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260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260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260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260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235</v>
      </c>
      <c r="B770" s="103"/>
      <c r="C770" s="103"/>
      <c r="D770" s="103"/>
      <c r="E770" s="104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236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260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260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260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237</v>
      </c>
      <c r="B783" s="103"/>
      <c r="C783" s="103"/>
      <c r="D783" s="103"/>
      <c r="E783" s="104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236</v>
      </c>
      <c r="O783" s="39">
        <v>882130</v>
      </c>
    </row>
    <row r="784" spans="1:15" ht="18" customHeight="1">
      <c r="A784" s="105" t="s">
        <v>238</v>
      </c>
      <c r="B784" s="106"/>
      <c r="C784" s="106"/>
      <c r="D784" s="106"/>
      <c r="E784" s="107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239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345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235</v>
      </c>
      <c r="B797" s="103"/>
      <c r="C797" s="103"/>
      <c r="D797" s="103"/>
      <c r="E797" s="104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236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346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27</v>
      </c>
      <c r="G801" s="34">
        <f t="shared" si="176"/>
        <v>113.4</v>
      </c>
      <c r="H801" s="33" t="s">
        <v>19</v>
      </c>
      <c r="I801" s="33"/>
      <c r="J801" s="33"/>
      <c r="K801" s="29">
        <v>0.12847222222222221</v>
      </c>
      <c r="L801" s="29"/>
      <c r="M801" s="35">
        <f t="shared" ca="1" si="177"/>
        <v>2.3832175938878208E-3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6</v>
      </c>
      <c r="G802" s="34">
        <f t="shared" si="176"/>
        <v>25.200000000000003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/>
      <c r="G805" s="34" t="str">
        <f t="shared" si="176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/>
      <c r="G806" s="34" t="str">
        <f t="shared" si="176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/>
      <c r="G807" s="34" t="str">
        <f t="shared" si="176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/>
      <c r="G808" s="34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/>
      <c r="G809" s="34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02" t="s">
        <v>237</v>
      </c>
      <c r="B810" s="103"/>
      <c r="C810" s="103"/>
      <c r="D810" s="103"/>
      <c r="E810" s="104">
        <f>SUM(E798:E809)</f>
        <v>0</v>
      </c>
      <c r="F810" s="36">
        <f>SUM(F798:F809)</f>
        <v>114</v>
      </c>
      <c r="G810" s="36">
        <f>SUM(G798:G809)</f>
        <v>478.8</v>
      </c>
      <c r="H810" s="37"/>
      <c r="I810" s="37"/>
      <c r="J810" s="37"/>
      <c r="K810" s="37"/>
      <c r="L810" s="37"/>
      <c r="M810" s="38">
        <f ca="1">IFERROR(SUM(M798:M809),"")</f>
        <v>5.6549884260554496E-2</v>
      </c>
      <c r="N810" s="36" t="s">
        <v>236</v>
      </c>
      <c r="O810" s="39"/>
    </row>
    <row r="811" spans="1:15" ht="18" customHeight="1">
      <c r="A811" s="105" t="s">
        <v>238</v>
      </c>
      <c r="B811" s="106"/>
      <c r="C811" s="106"/>
      <c r="D811" s="106"/>
      <c r="E811" s="107">
        <f>E797+E810</f>
        <v>0</v>
      </c>
      <c r="F811" s="40">
        <f>F797+F810</f>
        <v>268</v>
      </c>
      <c r="G811" s="40">
        <f>G797+G810</f>
        <v>1131.2</v>
      </c>
      <c r="H811" s="41"/>
      <c r="I811" s="41"/>
      <c r="J811" s="41"/>
      <c r="K811" s="41"/>
      <c r="L811" s="41"/>
      <c r="M811" s="42">
        <f ca="1">IFERROR(M797+M810,"")</f>
        <v>0.17738321759388773</v>
      </c>
      <c r="N811" s="40" t="s">
        <v>239</v>
      </c>
      <c r="O811" s="82">
        <f>IFERROR(O797+O810,"")</f>
        <v>648030</v>
      </c>
    </row>
    <row r="812" spans="1:15" ht="15">
      <c r="A812" s="124">
        <v>46234</v>
      </c>
      <c r="B812" s="121">
        <v>0.33333333333333298</v>
      </c>
      <c r="C812" s="80"/>
      <c r="D812" s="99"/>
      <c r="E812" s="99"/>
      <c r="F812" s="100"/>
      <c r="G812" s="122" t="str">
        <f>IF(F812="","",IF(E812="PC 17",F812*4.2,IF(E812="PC 19",F812*5,"")))</f>
        <v/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23"/>
      <c r="O812" s="47"/>
    </row>
    <row r="813" spans="1:15" ht="15">
      <c r="A813" s="120">
        <v>46234</v>
      </c>
      <c r="B813" s="125">
        <f>B812+TIME(0,60,0)</f>
        <v>0.37499999999999967</v>
      </c>
      <c r="C813" s="80"/>
      <c r="D813" s="99"/>
      <c r="E813" s="126"/>
      <c r="F813" s="100"/>
      <c r="G813" s="122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23"/>
      <c r="O813" s="47"/>
    </row>
    <row r="814" spans="1:15" ht="15">
      <c r="A814" s="124">
        <v>46234</v>
      </c>
      <c r="B814" s="121">
        <f>B813+TIME(0,60,0)</f>
        <v>0.41666666666666635</v>
      </c>
      <c r="C814" s="80"/>
      <c r="D814" s="99"/>
      <c r="E814" s="99"/>
      <c r="F814" s="100"/>
      <c r="G814" s="122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23"/>
      <c r="O814" s="47"/>
    </row>
    <row r="815" spans="1:15" ht="15">
      <c r="A815" s="120">
        <v>46234</v>
      </c>
      <c r="B815" s="125">
        <f>B814+TIME(0,60,0)</f>
        <v>0.45833333333333304</v>
      </c>
      <c r="C815" s="80"/>
      <c r="D815" s="99"/>
      <c r="E815" s="126"/>
      <c r="F815" s="100"/>
      <c r="G815" s="122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23"/>
      <c r="O815" s="47"/>
    </row>
    <row r="816" spans="1:15" ht="15">
      <c r="A816" s="124">
        <v>46234</v>
      </c>
      <c r="B816" s="121">
        <f>B815+TIME(0,60,0)</f>
        <v>0.49999999999999972</v>
      </c>
      <c r="C816" s="80"/>
      <c r="D816" s="99"/>
      <c r="E816" s="99"/>
      <c r="F816" s="100"/>
      <c r="G816" s="122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23"/>
      <c r="O816" s="47"/>
    </row>
    <row r="817" spans="1:15" ht="15">
      <c r="A817" s="120">
        <v>46234</v>
      </c>
      <c r="B817" s="125">
        <f>B816+TIME(0,60,0)</f>
        <v>0.54166666666666641</v>
      </c>
      <c r="C817" s="80"/>
      <c r="D817" s="99"/>
      <c r="E817" s="126"/>
      <c r="F817" s="100"/>
      <c r="G817" s="122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23"/>
      <c r="O817" s="47"/>
    </row>
    <row r="818" spans="1:15" ht="15">
      <c r="A818" s="124">
        <v>46234</v>
      </c>
      <c r="B818" s="121">
        <f>B817+TIME(0,60,0)</f>
        <v>0.58333333333333304</v>
      </c>
      <c r="C818" s="80"/>
      <c r="D818" s="99"/>
      <c r="E818" s="99"/>
      <c r="F818" s="100"/>
      <c r="G818" s="122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23"/>
      <c r="O818" s="47"/>
    </row>
    <row r="819" spans="1:15" ht="15">
      <c r="A819" s="120">
        <v>46234</v>
      </c>
      <c r="B819" s="125">
        <f>B818+TIME(0,60,0)</f>
        <v>0.62499999999999967</v>
      </c>
      <c r="C819" s="80"/>
      <c r="D819" s="99"/>
      <c r="E819" s="126"/>
      <c r="F819" s="100"/>
      <c r="G819" s="122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23"/>
      <c r="O819" s="47"/>
    </row>
    <row r="820" spans="1:15" ht="15">
      <c r="A820" s="124">
        <v>46234</v>
      </c>
      <c r="B820" s="121">
        <f>B819+TIME(0,60,0)</f>
        <v>0.6666666666666663</v>
      </c>
      <c r="C820" s="80"/>
      <c r="D820" s="99"/>
      <c r="E820" s="99"/>
      <c r="F820" s="100"/>
      <c r="G820" s="122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23"/>
      <c r="O820" s="47"/>
    </row>
    <row r="821" spans="1:15" ht="15">
      <c r="A821" s="120">
        <v>46234</v>
      </c>
      <c r="B821" s="125">
        <f>B820+TIME(0,60,0)</f>
        <v>0.70833333333333293</v>
      </c>
      <c r="C821" s="80"/>
      <c r="D821" s="99"/>
      <c r="E821" s="126"/>
      <c r="F821" s="100"/>
      <c r="G821" s="122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23"/>
      <c r="O821" s="47"/>
    </row>
    <row r="822" spans="1:15" ht="15">
      <c r="A822" s="124">
        <v>46234</v>
      </c>
      <c r="B822" s="121">
        <f>B821+TIME(0,60,0)</f>
        <v>0.74999999999999956</v>
      </c>
      <c r="C822" s="80"/>
      <c r="D822" s="99"/>
      <c r="E822" s="99"/>
      <c r="F822" s="100"/>
      <c r="G822" s="122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23"/>
      <c r="O822" s="47"/>
    </row>
    <row r="823" spans="1:15" ht="15">
      <c r="A823" s="120">
        <v>46234</v>
      </c>
      <c r="B823" s="125">
        <f>B822+TIME(0,60,0)</f>
        <v>0.79166666666666619</v>
      </c>
      <c r="C823" s="80"/>
      <c r="D823" s="99"/>
      <c r="E823" s="126"/>
      <c r="F823" s="100"/>
      <c r="G823" s="122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23"/>
      <c r="O823" s="47"/>
    </row>
    <row r="824" spans="1:15" ht="15">
      <c r="A824" s="114" t="s">
        <v>235</v>
      </c>
      <c r="B824" s="115"/>
      <c r="C824" s="115"/>
      <c r="D824" s="115"/>
      <c r="E824" s="116">
        <f>SUM(E812:E823)</f>
        <v>0</v>
      </c>
      <c r="F824" s="127">
        <f>SUM(F812:F823)</f>
        <v>0</v>
      </c>
      <c r="G824" s="127">
        <f>SUM(G812:G823)</f>
        <v>0</v>
      </c>
      <c r="H824" s="37"/>
      <c r="I824" s="37"/>
      <c r="J824" s="37"/>
      <c r="K824" s="37"/>
      <c r="L824" s="37"/>
      <c r="M824" s="128">
        <f ca="1">IFERROR(SUM(M812:M823),"")</f>
        <v>0</v>
      </c>
      <c r="N824" s="127" t="s">
        <v>236</v>
      </c>
      <c r="O824" s="77"/>
    </row>
    <row r="825" spans="1:15" ht="15">
      <c r="A825" s="124">
        <v>46234</v>
      </c>
      <c r="B825" s="125">
        <v>0.83333333333333304</v>
      </c>
      <c r="C825" s="81"/>
      <c r="D825" s="126"/>
      <c r="E825" s="126"/>
      <c r="F825" s="100"/>
      <c r="G825" s="122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23"/>
      <c r="O825" s="47"/>
    </row>
    <row r="826" spans="1:15" ht="15">
      <c r="A826" s="120">
        <v>46234</v>
      </c>
      <c r="B826" s="121">
        <f>B825+TIME(0,60,0)</f>
        <v>0.87499999999999967</v>
      </c>
      <c r="C826" s="81"/>
      <c r="D826" s="126"/>
      <c r="E826" s="126"/>
      <c r="F826" s="100"/>
      <c r="G826" s="122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23"/>
      <c r="O826" s="47"/>
    </row>
    <row r="827" spans="1:15" ht="15">
      <c r="A827" s="124">
        <v>46234</v>
      </c>
      <c r="B827" s="125">
        <f>B826+TIME(0,60,0)</f>
        <v>0.9166666666666663</v>
      </c>
      <c r="C827" s="81"/>
      <c r="D827" s="126"/>
      <c r="E827" s="126"/>
      <c r="F827" s="100"/>
      <c r="G827" s="122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23"/>
      <c r="O827" s="47"/>
    </row>
    <row r="828" spans="1:15" ht="15">
      <c r="A828" s="120">
        <v>46234</v>
      </c>
      <c r="B828" s="121">
        <f>B827+TIME(0,60,0)</f>
        <v>0.95833333333333293</v>
      </c>
      <c r="C828" s="81"/>
      <c r="D828" s="126"/>
      <c r="E828" s="126"/>
      <c r="F828" s="100"/>
      <c r="G828" s="122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23"/>
      <c r="O828" s="47"/>
    </row>
    <row r="829" spans="1:15" ht="15">
      <c r="A829" s="124">
        <v>46234</v>
      </c>
      <c r="B829" s="125">
        <f>B828+TIME(0,60,0)</f>
        <v>0.99999999999999956</v>
      </c>
      <c r="C829" s="81"/>
      <c r="D829" s="126"/>
      <c r="E829" s="126"/>
      <c r="F829" s="100"/>
      <c r="G829" s="122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23"/>
      <c r="O829" s="47"/>
    </row>
    <row r="830" spans="1:15" ht="15">
      <c r="A830" s="120">
        <v>46234</v>
      </c>
      <c r="B830" s="121">
        <f>B829+TIME(0,60,0)</f>
        <v>1.0416666666666663</v>
      </c>
      <c r="C830" s="81"/>
      <c r="D830" s="126"/>
      <c r="E830" s="126"/>
      <c r="F830" s="100"/>
      <c r="G830" s="122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23"/>
      <c r="O830" s="47"/>
    </row>
    <row r="831" spans="1:15" ht="15">
      <c r="A831" s="124">
        <v>46234</v>
      </c>
      <c r="B831" s="125">
        <f>B830+TIME(0,60,0)</f>
        <v>1.083333333333333</v>
      </c>
      <c r="C831" s="81"/>
      <c r="D831" s="126"/>
      <c r="E831" s="126"/>
      <c r="F831" s="100"/>
      <c r="G831" s="122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23"/>
      <c r="O831" s="47"/>
    </row>
    <row r="832" spans="1:15" ht="15">
      <c r="A832" s="120">
        <v>46234</v>
      </c>
      <c r="B832" s="121">
        <f>B831+TIME(0,60,0)</f>
        <v>1.1249999999999998</v>
      </c>
      <c r="C832" s="81"/>
      <c r="D832" s="126"/>
      <c r="E832" s="126"/>
      <c r="F832" s="100"/>
      <c r="G832" s="122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23"/>
      <c r="O832" s="47"/>
    </row>
    <row r="833" spans="1:15" ht="15">
      <c r="A833" s="124">
        <v>46234</v>
      </c>
      <c r="B833" s="125">
        <f>B832+TIME(0,60,0)</f>
        <v>1.1666666666666665</v>
      </c>
      <c r="C833" s="81"/>
      <c r="D833" s="126"/>
      <c r="E833" s="126"/>
      <c r="F833" s="100"/>
      <c r="G833" s="122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23"/>
      <c r="O833" s="47"/>
    </row>
    <row r="834" spans="1:15" ht="15">
      <c r="A834" s="120">
        <v>46234</v>
      </c>
      <c r="B834" s="121">
        <f>B833+TIME(0,60,0)</f>
        <v>1.2083333333333333</v>
      </c>
      <c r="C834" s="81"/>
      <c r="D834" s="126"/>
      <c r="E834" s="126"/>
      <c r="F834" s="100"/>
      <c r="G834" s="122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23"/>
      <c r="O834" s="47"/>
    </row>
    <row r="835" spans="1:15" ht="15">
      <c r="A835" s="124">
        <v>46234</v>
      </c>
      <c r="B835" s="125">
        <f>B834+TIME(0,60,0)</f>
        <v>1.25</v>
      </c>
      <c r="C835" s="81"/>
      <c r="D835" s="126"/>
      <c r="E835" s="126"/>
      <c r="F835" s="100"/>
      <c r="G835" s="122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23"/>
      <c r="O835" s="47"/>
    </row>
    <row r="836" spans="1:15" ht="15">
      <c r="A836" s="120">
        <v>46234</v>
      </c>
      <c r="B836" s="121">
        <f>B835+TIME(0,60,0)</f>
        <v>1.2916666666666667</v>
      </c>
      <c r="C836" s="81"/>
      <c r="D836" s="126"/>
      <c r="E836" s="126"/>
      <c r="F836" s="100"/>
      <c r="G836" s="122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23"/>
      <c r="O836" s="47"/>
    </row>
    <row r="837" spans="1:15" ht="15">
      <c r="A837" s="114" t="s">
        <v>237</v>
      </c>
      <c r="B837" s="115"/>
      <c r="C837" s="115"/>
      <c r="D837" s="115"/>
      <c r="E837" s="116">
        <f>SUM(E825:E836)</f>
        <v>0</v>
      </c>
      <c r="F837" s="127">
        <f>SUM(F825:F836)</f>
        <v>0</v>
      </c>
      <c r="G837" s="127">
        <f>SUM(G825:G836)</f>
        <v>0</v>
      </c>
      <c r="H837" s="37"/>
      <c r="I837" s="37"/>
      <c r="J837" s="37"/>
      <c r="K837" s="37"/>
      <c r="L837" s="37"/>
      <c r="M837" s="128">
        <f ca="1">IFERROR(SUM(M825:M836),"")</f>
        <v>0</v>
      </c>
      <c r="N837" s="127" t="s">
        <v>236</v>
      </c>
      <c r="O837" s="77"/>
    </row>
    <row r="838" spans="1:15" ht="15">
      <c r="A838" s="117" t="s">
        <v>238</v>
      </c>
      <c r="B838" s="118"/>
      <c r="C838" s="118"/>
      <c r="D838" s="118"/>
      <c r="E838" s="119">
        <f>E824+E837</f>
        <v>0</v>
      </c>
      <c r="F838" s="129">
        <f>F824+F837</f>
        <v>0</v>
      </c>
      <c r="G838" s="129">
        <f>G824+G837</f>
        <v>0</v>
      </c>
      <c r="H838" s="41"/>
      <c r="I838" s="41"/>
      <c r="J838" s="41"/>
      <c r="K838" s="41"/>
      <c r="L838" s="41"/>
      <c r="M838" s="130">
        <f ca="1">IFERROR(M824+M837,"")</f>
        <v>0</v>
      </c>
      <c r="N838" s="129" t="s">
        <v>239</v>
      </c>
      <c r="O838" s="82">
        <f>IFERROR(O824+O837,"")</f>
        <v>0</v>
      </c>
    </row>
  </sheetData>
  <mergeCells count="88"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764" zoomScale="50" zoomScaleNormal="50" workbookViewId="0">
      <selection activeCell="F805" sqref="F80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347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2" t="s">
        <v>235</v>
      </c>
      <c r="B14" s="103"/>
      <c r="C14" s="103"/>
      <c r="D14" s="103"/>
      <c r="E14" s="10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236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2" t="s">
        <v>237</v>
      </c>
      <c r="B27" s="103"/>
      <c r="C27" s="103"/>
      <c r="D27" s="103"/>
      <c r="E27" s="10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236</v>
      </c>
      <c r="O27" s="39">
        <v>308500</v>
      </c>
    </row>
    <row r="28" spans="1:15" ht="18" customHeight="1">
      <c r="A28" s="105" t="s">
        <v>238</v>
      </c>
      <c r="B28" s="106"/>
      <c r="C28" s="106"/>
      <c r="D28" s="106"/>
      <c r="E28" s="10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239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235</v>
      </c>
      <c r="B41" s="103"/>
      <c r="C41" s="103"/>
      <c r="D41" s="103"/>
      <c r="E41" s="10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236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237</v>
      </c>
      <c r="B54" s="103"/>
      <c r="C54" s="103"/>
      <c r="D54" s="103"/>
      <c r="E54" s="10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39">
        <v>124290</v>
      </c>
    </row>
    <row r="55" spans="1:15" ht="18" customHeight="1">
      <c r="A55" s="105" t="s">
        <v>238</v>
      </c>
      <c r="B55" s="106"/>
      <c r="C55" s="106"/>
      <c r="D55" s="106"/>
      <c r="E55" s="10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239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349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235</v>
      </c>
      <c r="B68" s="103"/>
      <c r="C68" s="103"/>
      <c r="D68" s="103"/>
      <c r="E68" s="10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236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237</v>
      </c>
      <c r="B81" s="103"/>
      <c r="C81" s="103"/>
      <c r="D81" s="103"/>
      <c r="E81" s="10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236</v>
      </c>
      <c r="O81" s="39">
        <v>396340</v>
      </c>
    </row>
    <row r="82" spans="1:15" ht="18" customHeight="1">
      <c r="A82" s="105" t="s">
        <v>238</v>
      </c>
      <c r="B82" s="106"/>
      <c r="C82" s="106"/>
      <c r="D82" s="106"/>
      <c r="E82" s="10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239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350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235</v>
      </c>
      <c r="B95" s="103"/>
      <c r="C95" s="103"/>
      <c r="D95" s="103"/>
      <c r="E95" s="10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236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237</v>
      </c>
      <c r="B108" s="103"/>
      <c r="C108" s="103"/>
      <c r="D108" s="103"/>
      <c r="E108" s="10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236</v>
      </c>
      <c r="O108" s="39">
        <v>41230</v>
      </c>
    </row>
    <row r="109" spans="1:15" ht="18" customHeight="1">
      <c r="A109" s="105" t="s">
        <v>238</v>
      </c>
      <c r="B109" s="106"/>
      <c r="C109" s="106"/>
      <c r="D109" s="106"/>
      <c r="E109" s="10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239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235</v>
      </c>
      <c r="B122" s="103"/>
      <c r="C122" s="103"/>
      <c r="D122" s="103"/>
      <c r="E122" s="10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236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237</v>
      </c>
      <c r="B135" s="103"/>
      <c r="C135" s="103"/>
      <c r="D135" s="103"/>
      <c r="E135" s="10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236</v>
      </c>
      <c r="O135" s="39">
        <v>381250</v>
      </c>
    </row>
    <row r="136" spans="1:15" ht="18" customHeight="1">
      <c r="A136" s="105" t="s">
        <v>238</v>
      </c>
      <c r="B136" s="106"/>
      <c r="C136" s="106"/>
      <c r="D136" s="106"/>
      <c r="E136" s="10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239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290</v>
      </c>
      <c r="K141" s="29">
        <v>0.71597222222222223</v>
      </c>
      <c r="L141" s="29" t="s">
        <v>352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235</v>
      </c>
      <c r="B149" s="103"/>
      <c r="C149" s="103"/>
      <c r="D149" s="103"/>
      <c r="E149" s="10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236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237</v>
      </c>
      <c r="B162" s="103"/>
      <c r="C162" s="103"/>
      <c r="D162" s="103"/>
      <c r="E162" s="10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236</v>
      </c>
      <c r="O162" s="39">
        <v>337120</v>
      </c>
    </row>
    <row r="163" spans="1:15" ht="18" customHeight="1">
      <c r="A163" s="105" t="s">
        <v>238</v>
      </c>
      <c r="B163" s="106"/>
      <c r="C163" s="106"/>
      <c r="D163" s="106"/>
      <c r="E163" s="10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239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354</v>
      </c>
      <c r="N166" s="27" t="s">
        <v>355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235</v>
      </c>
      <c r="B176" s="103"/>
      <c r="C176" s="103"/>
      <c r="D176" s="103"/>
      <c r="E176" s="10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236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237</v>
      </c>
      <c r="B189" s="103"/>
      <c r="C189" s="103"/>
      <c r="D189" s="103"/>
      <c r="E189" s="10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236</v>
      </c>
      <c r="O189" s="39">
        <v>747210</v>
      </c>
    </row>
    <row r="190" spans="1:15" ht="18" customHeight="1">
      <c r="A190" s="105" t="s">
        <v>238</v>
      </c>
      <c r="B190" s="106"/>
      <c r="C190" s="106"/>
      <c r="D190" s="106"/>
      <c r="E190" s="10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239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356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235</v>
      </c>
      <c r="B203" s="103"/>
      <c r="C203" s="103"/>
      <c r="D203" s="103"/>
      <c r="E203" s="10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236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2" t="s">
        <v>237</v>
      </c>
      <c r="B216" s="103"/>
      <c r="C216" s="103"/>
      <c r="D216" s="103"/>
      <c r="E216" s="10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236</v>
      </c>
      <c r="O216" s="39">
        <v>468430</v>
      </c>
    </row>
    <row r="217" spans="1:15" ht="18" customHeight="1">
      <c r="A217" s="105" t="s">
        <v>238</v>
      </c>
      <c r="B217" s="106"/>
      <c r="C217" s="106"/>
      <c r="D217" s="106"/>
      <c r="E217" s="10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239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2" t="s">
        <v>235</v>
      </c>
      <c r="B230" s="103"/>
      <c r="C230" s="103"/>
      <c r="D230" s="103"/>
      <c r="E230" s="10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236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2" t="s">
        <v>237</v>
      </c>
      <c r="B243" s="103"/>
      <c r="C243" s="103"/>
      <c r="D243" s="103"/>
      <c r="E243" s="10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236</v>
      </c>
      <c r="O243" s="39">
        <v>575930</v>
      </c>
    </row>
    <row r="244" spans="1:15" ht="18" customHeight="1">
      <c r="A244" s="105" t="s">
        <v>238</v>
      </c>
      <c r="B244" s="106"/>
      <c r="C244" s="106"/>
      <c r="D244" s="106"/>
      <c r="E244" s="10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239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2" t="s">
        <v>235</v>
      </c>
      <c r="B257" s="103"/>
      <c r="C257" s="103"/>
      <c r="D257" s="103"/>
      <c r="E257" s="10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236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357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358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2" t="s">
        <v>237</v>
      </c>
      <c r="B270" s="103"/>
      <c r="C270" s="103"/>
      <c r="D270" s="103"/>
      <c r="E270" s="10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236</v>
      </c>
      <c r="O270" s="39">
        <v>483510</v>
      </c>
    </row>
    <row r="271" spans="1:15" ht="18" customHeight="1">
      <c r="A271" s="105" t="s">
        <v>238</v>
      </c>
      <c r="B271" s="106"/>
      <c r="C271" s="106"/>
      <c r="D271" s="106"/>
      <c r="E271" s="10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239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2" t="s">
        <v>235</v>
      </c>
      <c r="B284" s="103"/>
      <c r="C284" s="103"/>
      <c r="D284" s="103"/>
      <c r="E284" s="10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236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360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2" t="s">
        <v>237</v>
      </c>
      <c r="B297" s="103"/>
      <c r="C297" s="103"/>
      <c r="D297" s="103"/>
      <c r="E297" s="10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236</v>
      </c>
      <c r="O297" s="39">
        <v>487980</v>
      </c>
    </row>
    <row r="298" spans="1:15" ht="18" customHeight="1">
      <c r="A298" s="105" t="s">
        <v>238</v>
      </c>
      <c r="B298" s="106"/>
      <c r="C298" s="106"/>
      <c r="D298" s="106"/>
      <c r="E298" s="10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239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2" t="s">
        <v>235</v>
      </c>
      <c r="B311" s="103"/>
      <c r="C311" s="103"/>
      <c r="D311" s="103"/>
      <c r="E311" s="10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236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362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2" t="s">
        <v>237</v>
      </c>
      <c r="B324" s="103"/>
      <c r="C324" s="103"/>
      <c r="D324" s="103"/>
      <c r="E324" s="10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236</v>
      </c>
      <c r="O324" s="39">
        <v>609460</v>
      </c>
    </row>
    <row r="325" spans="1:15" ht="18" customHeight="1">
      <c r="A325" s="105" t="s">
        <v>238</v>
      </c>
      <c r="B325" s="106"/>
      <c r="C325" s="106"/>
      <c r="D325" s="106"/>
      <c r="E325" s="10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239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364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233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2" t="s">
        <v>235</v>
      </c>
      <c r="B338" s="103"/>
      <c r="C338" s="103"/>
      <c r="D338" s="103"/>
      <c r="E338" s="10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236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2" t="s">
        <v>237</v>
      </c>
      <c r="B351" s="103"/>
      <c r="C351" s="103"/>
      <c r="D351" s="103"/>
      <c r="E351" s="10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236</v>
      </c>
      <c r="O351" s="39">
        <v>437940</v>
      </c>
    </row>
    <row r="352" spans="1:15" ht="18" customHeight="1">
      <c r="A352" s="105" t="s">
        <v>238</v>
      </c>
      <c r="B352" s="106"/>
      <c r="C352" s="106"/>
      <c r="D352" s="106"/>
      <c r="E352" s="10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239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2" t="s">
        <v>235</v>
      </c>
      <c r="B365" s="103"/>
      <c r="C365" s="103"/>
      <c r="D365" s="103"/>
      <c r="E365" s="10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236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2" t="s">
        <v>237</v>
      </c>
      <c r="B378" s="103"/>
      <c r="C378" s="103"/>
      <c r="D378" s="103"/>
      <c r="E378" s="104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236</v>
      </c>
      <c r="O378" s="39">
        <v>473310</v>
      </c>
    </row>
    <row r="379" spans="1:15" ht="18" customHeight="1">
      <c r="A379" s="105" t="s">
        <v>238</v>
      </c>
      <c r="B379" s="106"/>
      <c r="C379" s="106"/>
      <c r="D379" s="106"/>
      <c r="E379" s="107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239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2" t="s">
        <v>235</v>
      </c>
      <c r="B392" s="103"/>
      <c r="C392" s="103"/>
      <c r="D392" s="103"/>
      <c r="E392" s="104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236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2" t="s">
        <v>237</v>
      </c>
      <c r="B405" s="103"/>
      <c r="C405" s="103"/>
      <c r="D405" s="103"/>
      <c r="E405" s="104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236</v>
      </c>
      <c r="O405" s="39">
        <v>507450</v>
      </c>
    </row>
    <row r="406" spans="1:15" ht="18" customHeight="1">
      <c r="A406" s="105" t="s">
        <v>238</v>
      </c>
      <c r="B406" s="106"/>
      <c r="C406" s="106"/>
      <c r="D406" s="106"/>
      <c r="E406" s="107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239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260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260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260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260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260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260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260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233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233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260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260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2" t="s">
        <v>235</v>
      </c>
      <c r="B419" s="103"/>
      <c r="C419" s="103"/>
      <c r="D419" s="103"/>
      <c r="E419" s="104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236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2" t="s">
        <v>237</v>
      </c>
      <c r="B432" s="103"/>
      <c r="C432" s="103"/>
      <c r="D432" s="103"/>
      <c r="E432" s="104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236</v>
      </c>
      <c r="O432" s="39">
        <v>229150</v>
      </c>
    </row>
    <row r="433" spans="1:15" ht="18" customHeight="1">
      <c r="A433" s="105" t="s">
        <v>238</v>
      </c>
      <c r="B433" s="106"/>
      <c r="C433" s="106"/>
      <c r="D433" s="106"/>
      <c r="E433" s="107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239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2" t="s">
        <v>235</v>
      </c>
      <c r="B446" s="103"/>
      <c r="C446" s="103"/>
      <c r="D446" s="103"/>
      <c r="E446" s="104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236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2" t="s">
        <v>237</v>
      </c>
      <c r="B459" s="103"/>
      <c r="C459" s="103"/>
      <c r="D459" s="103"/>
      <c r="E459" s="104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236</v>
      </c>
      <c r="O459" s="39">
        <v>409980</v>
      </c>
    </row>
    <row r="460" spans="1:15" ht="18" customHeight="1">
      <c r="A460" s="105" t="s">
        <v>238</v>
      </c>
      <c r="B460" s="106"/>
      <c r="C460" s="106"/>
      <c r="D460" s="106"/>
      <c r="E460" s="107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239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233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233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233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233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2" t="s">
        <v>235</v>
      </c>
      <c r="B473" s="103"/>
      <c r="C473" s="103"/>
      <c r="D473" s="103"/>
      <c r="E473" s="104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236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2" t="s">
        <v>237</v>
      </c>
      <c r="B486" s="103"/>
      <c r="C486" s="103"/>
      <c r="D486" s="103"/>
      <c r="E486" s="104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236</v>
      </c>
      <c r="O486" s="39">
        <v>341550</v>
      </c>
    </row>
    <row r="487" spans="1:15" ht="18" customHeight="1">
      <c r="A487" s="105" t="s">
        <v>238</v>
      </c>
      <c r="B487" s="106"/>
      <c r="C487" s="106"/>
      <c r="D487" s="106"/>
      <c r="E487" s="107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239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366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233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2" t="s">
        <v>235</v>
      </c>
      <c r="B500" s="103"/>
      <c r="C500" s="103"/>
      <c r="D500" s="103"/>
      <c r="E500" s="104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236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2" t="s">
        <v>237</v>
      </c>
      <c r="B513" s="103"/>
      <c r="C513" s="103"/>
      <c r="D513" s="103"/>
      <c r="E513" s="104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236</v>
      </c>
      <c r="O513" s="39">
        <v>276610</v>
      </c>
    </row>
    <row r="514" spans="1:15" ht="18" customHeight="1">
      <c r="A514" s="105" t="s">
        <v>238</v>
      </c>
      <c r="B514" s="106"/>
      <c r="C514" s="106"/>
      <c r="D514" s="106"/>
      <c r="E514" s="107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239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2" t="s">
        <v>235</v>
      </c>
      <c r="B527" s="103"/>
      <c r="C527" s="103"/>
      <c r="D527" s="103"/>
      <c r="E527" s="104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236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367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368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369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2" t="s">
        <v>237</v>
      </c>
      <c r="B540" s="103"/>
      <c r="C540" s="103"/>
      <c r="D540" s="103"/>
      <c r="E540" s="104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236</v>
      </c>
      <c r="O540" s="39">
        <v>194990</v>
      </c>
    </row>
    <row r="541" spans="1:15" ht="18" customHeight="1">
      <c r="A541" s="105" t="s">
        <v>238</v>
      </c>
      <c r="B541" s="106"/>
      <c r="C541" s="106"/>
      <c r="D541" s="106"/>
      <c r="E541" s="107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239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2" t="s">
        <v>235</v>
      </c>
      <c r="B554" s="103"/>
      <c r="C554" s="103"/>
      <c r="D554" s="103"/>
      <c r="E554" s="104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236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371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2" t="s">
        <v>237</v>
      </c>
      <c r="B567" s="103"/>
      <c r="C567" s="103"/>
      <c r="D567" s="103"/>
      <c r="E567" s="104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236</v>
      </c>
      <c r="O567" s="39">
        <v>315860</v>
      </c>
    </row>
    <row r="568" spans="1:15" ht="18" customHeight="1">
      <c r="A568" s="105" t="s">
        <v>238</v>
      </c>
      <c r="B568" s="106"/>
      <c r="C568" s="106"/>
      <c r="D568" s="106"/>
      <c r="E568" s="107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239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372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2" t="s">
        <v>235</v>
      </c>
      <c r="B581" s="103"/>
      <c r="C581" s="103"/>
      <c r="D581" s="103"/>
      <c r="E581" s="104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236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2" t="s">
        <v>237</v>
      </c>
      <c r="B594" s="103"/>
      <c r="C594" s="103"/>
      <c r="D594" s="103"/>
      <c r="E594" s="104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236</v>
      </c>
      <c r="O594" s="39">
        <v>424930</v>
      </c>
    </row>
    <row r="595" spans="1:15" ht="18" customHeight="1">
      <c r="A595" s="105" t="s">
        <v>238</v>
      </c>
      <c r="B595" s="106"/>
      <c r="C595" s="106"/>
      <c r="D595" s="106"/>
      <c r="E595" s="107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239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2" t="s">
        <v>235</v>
      </c>
      <c r="B608" s="103"/>
      <c r="C608" s="103"/>
      <c r="D608" s="103"/>
      <c r="E608" s="104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236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2" t="s">
        <v>237</v>
      </c>
      <c r="B621" s="103"/>
      <c r="C621" s="103"/>
      <c r="D621" s="103"/>
      <c r="E621" s="104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236</v>
      </c>
      <c r="O621" s="39">
        <v>377360</v>
      </c>
    </row>
    <row r="622" spans="1:15" ht="18" customHeight="1">
      <c r="A622" s="105" t="s">
        <v>238</v>
      </c>
      <c r="B622" s="106"/>
      <c r="C622" s="106"/>
      <c r="D622" s="106"/>
      <c r="E622" s="107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239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2" t="s">
        <v>235</v>
      </c>
      <c r="B635" s="103"/>
      <c r="C635" s="103"/>
      <c r="D635" s="103"/>
      <c r="E635" s="104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236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2" t="s">
        <v>237</v>
      </c>
      <c r="B648" s="103"/>
      <c r="C648" s="103"/>
      <c r="D648" s="103"/>
      <c r="E648" s="104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236</v>
      </c>
      <c r="O648" s="39">
        <v>319500</v>
      </c>
    </row>
    <row r="649" spans="1:15" ht="18" customHeight="1">
      <c r="A649" s="105" t="s">
        <v>238</v>
      </c>
      <c r="B649" s="106"/>
      <c r="C649" s="106"/>
      <c r="D649" s="106"/>
      <c r="E649" s="107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239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2" t="s">
        <v>235</v>
      </c>
      <c r="B662" s="103"/>
      <c r="C662" s="103"/>
      <c r="D662" s="103"/>
      <c r="E662" s="104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236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375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2" t="s">
        <v>237</v>
      </c>
      <c r="B675" s="103"/>
      <c r="C675" s="103"/>
      <c r="D675" s="103"/>
      <c r="E675" s="104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236</v>
      </c>
      <c r="O675" s="39">
        <v>323580</v>
      </c>
    </row>
    <row r="676" spans="1:15" ht="18" customHeight="1">
      <c r="A676" s="105" t="s">
        <v>238</v>
      </c>
      <c r="B676" s="106"/>
      <c r="C676" s="106"/>
      <c r="D676" s="106"/>
      <c r="E676" s="107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239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2" t="s">
        <v>235</v>
      </c>
      <c r="B689" s="103"/>
      <c r="C689" s="103"/>
      <c r="D689" s="103"/>
      <c r="E689" s="104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236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2" t="s">
        <v>237</v>
      </c>
      <c r="B702" s="103"/>
      <c r="C702" s="103"/>
      <c r="D702" s="103"/>
      <c r="E702" s="104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236</v>
      </c>
      <c r="O702" s="39">
        <v>349730</v>
      </c>
    </row>
    <row r="703" spans="1:15" ht="18" customHeight="1">
      <c r="A703" s="105" t="s">
        <v>238</v>
      </c>
      <c r="B703" s="106"/>
      <c r="C703" s="106"/>
      <c r="D703" s="106"/>
      <c r="E703" s="107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239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2" t="s">
        <v>235</v>
      </c>
      <c r="B716" s="103"/>
      <c r="C716" s="103"/>
      <c r="D716" s="103"/>
      <c r="E716" s="104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236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2" t="s">
        <v>237</v>
      </c>
      <c r="B729" s="103"/>
      <c r="C729" s="103"/>
      <c r="D729" s="103"/>
      <c r="E729" s="104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236</v>
      </c>
      <c r="O729" s="39">
        <v>175420</v>
      </c>
    </row>
    <row r="730" spans="1:15" ht="18" customHeight="1">
      <c r="A730" s="105" t="s">
        <v>238</v>
      </c>
      <c r="B730" s="106"/>
      <c r="C730" s="106"/>
      <c r="D730" s="106"/>
      <c r="E730" s="107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239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260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260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327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260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260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260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327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260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260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260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260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260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260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2" t="s">
        <v>235</v>
      </c>
      <c r="B743" s="103"/>
      <c r="C743" s="103"/>
      <c r="D743" s="103"/>
      <c r="E743" s="104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236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376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377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2" t="s">
        <v>237</v>
      </c>
      <c r="B756" s="103"/>
      <c r="C756" s="103"/>
      <c r="D756" s="103"/>
      <c r="E756" s="104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236</v>
      </c>
      <c r="O756" s="39">
        <v>154160</v>
      </c>
    </row>
    <row r="757" spans="1:15" ht="18" customHeight="1">
      <c r="A757" s="105" t="s">
        <v>238</v>
      </c>
      <c r="B757" s="106"/>
      <c r="C757" s="106"/>
      <c r="D757" s="106"/>
      <c r="E757" s="107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239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378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327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260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260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260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260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379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2" t="s">
        <v>235</v>
      </c>
      <c r="B770" s="103"/>
      <c r="C770" s="103"/>
      <c r="D770" s="103"/>
      <c r="E770" s="104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236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2" t="s">
        <v>237</v>
      </c>
      <c r="B783" s="103"/>
      <c r="C783" s="103"/>
      <c r="D783" s="103"/>
      <c r="E783" s="104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236</v>
      </c>
      <c r="O783" s="39">
        <v>265740</v>
      </c>
    </row>
    <row r="784" spans="1:15" ht="18" customHeight="1">
      <c r="A784" s="105" t="s">
        <v>238</v>
      </c>
      <c r="B784" s="106"/>
      <c r="C784" s="106"/>
      <c r="D784" s="106"/>
      <c r="E784" s="107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239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345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380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327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2" t="s">
        <v>235</v>
      </c>
      <c r="B797" s="103"/>
      <c r="C797" s="103"/>
      <c r="D797" s="103"/>
      <c r="E797" s="104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236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2</v>
      </c>
      <c r="G799" s="34">
        <f t="shared" si="176"/>
        <v>8.4</v>
      </c>
      <c r="H799" s="33"/>
      <c r="I799" s="33"/>
      <c r="J799" s="33"/>
      <c r="K799" s="29"/>
      <c r="L799" s="29"/>
      <c r="M799" s="35" t="str">
        <f t="shared" ca="1" si="177"/>
        <v/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/>
      <c r="G805" s="34" t="str">
        <f t="shared" si="176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/>
      <c r="G806" s="34" t="str">
        <f t="shared" si="176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/>
      <c r="G807" s="34" t="str">
        <f t="shared" si="176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/>
      <c r="G808" s="34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/>
      <c r="G809" s="34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02" t="s">
        <v>237</v>
      </c>
      <c r="B810" s="103"/>
      <c r="C810" s="103"/>
      <c r="D810" s="103"/>
      <c r="E810" s="104">
        <f>SUM(E798:E809)</f>
        <v>0</v>
      </c>
      <c r="F810" s="36">
        <f>SUM(F798:F809)</f>
        <v>38</v>
      </c>
      <c r="G810" s="36">
        <f>SUM(G798:G809)</f>
        <v>159.60000000000002</v>
      </c>
      <c r="H810" s="37"/>
      <c r="I810" s="37"/>
      <c r="J810" s="37"/>
      <c r="K810" s="37"/>
      <c r="L810" s="37"/>
      <c r="M810" s="38">
        <f ca="1">IFERROR(SUM(M798:M809),"")</f>
        <v>2.083333333333337E-2</v>
      </c>
      <c r="N810" s="36" t="s">
        <v>236</v>
      </c>
      <c r="O810" s="39"/>
    </row>
    <row r="811" spans="1:15" ht="18" customHeight="1">
      <c r="A811" s="105" t="s">
        <v>238</v>
      </c>
      <c r="B811" s="106"/>
      <c r="C811" s="106"/>
      <c r="D811" s="106"/>
      <c r="E811" s="107">
        <f>E797+E810</f>
        <v>0</v>
      </c>
      <c r="F811" s="40">
        <f>F797+F810</f>
        <v>132</v>
      </c>
      <c r="G811" s="40">
        <f>G797+G810</f>
        <v>560</v>
      </c>
      <c r="H811" s="41"/>
      <c r="I811" s="41"/>
      <c r="J811" s="41"/>
      <c r="K811" s="41"/>
      <c r="L811" s="41"/>
      <c r="M811" s="42">
        <f ca="1">IFERROR(M797+M810,"")</f>
        <v>0.12361111111111106</v>
      </c>
      <c r="N811" s="40" t="s">
        <v>239</v>
      </c>
      <c r="O811" s="43">
        <f>IFERROR(O797+O810,"")</f>
        <v>419450</v>
      </c>
    </row>
    <row r="812" spans="1:15" ht="15">
      <c r="A812" s="124">
        <v>46234</v>
      </c>
      <c r="B812" s="121">
        <v>0.33333333333333298</v>
      </c>
      <c r="C812" s="80"/>
      <c r="D812" s="99"/>
      <c r="E812" s="99"/>
      <c r="F812" s="100"/>
      <c r="G812" s="122" t="str">
        <f>IF(F812="","",IF(E812="PC 17",F812*4.2,IF(E812="PC 19",F812*5,"")))</f>
        <v/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23"/>
      <c r="O812" s="47"/>
    </row>
    <row r="813" spans="1:15" ht="15">
      <c r="A813" s="120">
        <v>46234</v>
      </c>
      <c r="B813" s="125">
        <f>B812+TIME(0,60,0)</f>
        <v>0.37499999999999967</v>
      </c>
      <c r="C813" s="80"/>
      <c r="D813" s="99"/>
      <c r="E813" s="126"/>
      <c r="F813" s="100"/>
      <c r="G813" s="122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23"/>
      <c r="O813" s="47"/>
    </row>
    <row r="814" spans="1:15" ht="15">
      <c r="A814" s="124">
        <v>46234</v>
      </c>
      <c r="B814" s="121">
        <f>B813+TIME(0,60,0)</f>
        <v>0.41666666666666635</v>
      </c>
      <c r="C814" s="80"/>
      <c r="D814" s="99"/>
      <c r="E814" s="99"/>
      <c r="F814" s="100"/>
      <c r="G814" s="122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23"/>
      <c r="O814" s="47"/>
    </row>
    <row r="815" spans="1:15" ht="15">
      <c r="A815" s="120">
        <v>46234</v>
      </c>
      <c r="B815" s="125">
        <f>B814+TIME(0,60,0)</f>
        <v>0.45833333333333304</v>
      </c>
      <c r="C815" s="80"/>
      <c r="D815" s="99"/>
      <c r="E815" s="126"/>
      <c r="F815" s="100"/>
      <c r="G815" s="122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23"/>
      <c r="O815" s="47"/>
    </row>
    <row r="816" spans="1:15" ht="15">
      <c r="A816" s="124">
        <v>46234</v>
      </c>
      <c r="B816" s="121">
        <f>B815+TIME(0,60,0)</f>
        <v>0.49999999999999972</v>
      </c>
      <c r="C816" s="80"/>
      <c r="D816" s="99"/>
      <c r="E816" s="99"/>
      <c r="F816" s="100"/>
      <c r="G816" s="122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23"/>
      <c r="O816" s="47"/>
    </row>
    <row r="817" spans="1:15" ht="15">
      <c r="A817" s="120">
        <v>46234</v>
      </c>
      <c r="B817" s="125">
        <f>B816+TIME(0,60,0)</f>
        <v>0.54166666666666641</v>
      </c>
      <c r="C817" s="80"/>
      <c r="D817" s="99"/>
      <c r="E817" s="126"/>
      <c r="F817" s="100"/>
      <c r="G817" s="122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23"/>
      <c r="O817" s="47"/>
    </row>
    <row r="818" spans="1:15" ht="15">
      <c r="A818" s="124">
        <v>46234</v>
      </c>
      <c r="B818" s="121">
        <f>B817+TIME(0,60,0)</f>
        <v>0.58333333333333304</v>
      </c>
      <c r="C818" s="80"/>
      <c r="D818" s="99"/>
      <c r="E818" s="99"/>
      <c r="F818" s="100"/>
      <c r="G818" s="122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23"/>
      <c r="O818" s="47"/>
    </row>
    <row r="819" spans="1:15" ht="15">
      <c r="A819" s="120">
        <v>46234</v>
      </c>
      <c r="B819" s="125">
        <f>B818+TIME(0,60,0)</f>
        <v>0.62499999999999967</v>
      </c>
      <c r="C819" s="80"/>
      <c r="D819" s="99"/>
      <c r="E819" s="126"/>
      <c r="F819" s="100"/>
      <c r="G819" s="122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23"/>
      <c r="O819" s="47"/>
    </row>
    <row r="820" spans="1:15" ht="15">
      <c r="A820" s="124">
        <v>46234</v>
      </c>
      <c r="B820" s="121">
        <f>B819+TIME(0,60,0)</f>
        <v>0.6666666666666663</v>
      </c>
      <c r="C820" s="80"/>
      <c r="D820" s="99"/>
      <c r="E820" s="99"/>
      <c r="F820" s="100"/>
      <c r="G820" s="122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23"/>
      <c r="O820" s="47"/>
    </row>
    <row r="821" spans="1:15" ht="15">
      <c r="A821" s="120">
        <v>46234</v>
      </c>
      <c r="B821" s="125">
        <f>B820+TIME(0,60,0)</f>
        <v>0.70833333333333293</v>
      </c>
      <c r="C821" s="80"/>
      <c r="D821" s="99"/>
      <c r="E821" s="126"/>
      <c r="F821" s="100"/>
      <c r="G821" s="122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23"/>
      <c r="O821" s="47"/>
    </row>
    <row r="822" spans="1:15" ht="15">
      <c r="A822" s="124">
        <v>46234</v>
      </c>
      <c r="B822" s="121">
        <f>B821+TIME(0,60,0)</f>
        <v>0.74999999999999956</v>
      </c>
      <c r="C822" s="80"/>
      <c r="D822" s="99"/>
      <c r="E822" s="99"/>
      <c r="F822" s="100"/>
      <c r="G822" s="122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23"/>
      <c r="O822" s="47"/>
    </row>
    <row r="823" spans="1:15" ht="15">
      <c r="A823" s="120">
        <v>46234</v>
      </c>
      <c r="B823" s="125">
        <f>B822+TIME(0,60,0)</f>
        <v>0.79166666666666619</v>
      </c>
      <c r="C823" s="80"/>
      <c r="D823" s="99"/>
      <c r="E823" s="126"/>
      <c r="F823" s="100"/>
      <c r="G823" s="122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23"/>
      <c r="O823" s="47"/>
    </row>
    <row r="824" spans="1:15" ht="15">
      <c r="A824" s="114" t="s">
        <v>235</v>
      </c>
      <c r="B824" s="115"/>
      <c r="C824" s="115"/>
      <c r="D824" s="115"/>
      <c r="E824" s="116">
        <f>SUM(E812:E823)</f>
        <v>0</v>
      </c>
      <c r="F824" s="127">
        <f>SUM(F812:F823)</f>
        <v>0</v>
      </c>
      <c r="G824" s="127">
        <f>SUM(G812:G823)</f>
        <v>0</v>
      </c>
      <c r="H824" s="37"/>
      <c r="I824" s="37"/>
      <c r="J824" s="37"/>
      <c r="K824" s="37"/>
      <c r="L824" s="37"/>
      <c r="M824" s="128">
        <f ca="1">IFERROR(SUM(M812:M823),"")</f>
        <v>0</v>
      </c>
      <c r="N824" s="127" t="s">
        <v>236</v>
      </c>
      <c r="O824" s="77"/>
    </row>
    <row r="825" spans="1:15" ht="15">
      <c r="A825" s="124">
        <v>46234</v>
      </c>
      <c r="B825" s="125">
        <v>0.83333333333333304</v>
      </c>
      <c r="C825" s="81"/>
      <c r="D825" s="126"/>
      <c r="E825" s="126"/>
      <c r="F825" s="100"/>
      <c r="G825" s="122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23"/>
      <c r="O825" s="47"/>
    </row>
    <row r="826" spans="1:15" ht="15">
      <c r="A826" s="120">
        <v>46234</v>
      </c>
      <c r="B826" s="121">
        <f>B825+TIME(0,60,0)</f>
        <v>0.87499999999999967</v>
      </c>
      <c r="C826" s="81"/>
      <c r="D826" s="126"/>
      <c r="E826" s="126"/>
      <c r="F826" s="100"/>
      <c r="G826" s="122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23"/>
      <c r="O826" s="47"/>
    </row>
    <row r="827" spans="1:15" ht="15">
      <c r="A827" s="124">
        <v>46234</v>
      </c>
      <c r="B827" s="125">
        <f>B826+TIME(0,60,0)</f>
        <v>0.9166666666666663</v>
      </c>
      <c r="C827" s="81"/>
      <c r="D827" s="126"/>
      <c r="E827" s="126"/>
      <c r="F827" s="100"/>
      <c r="G827" s="122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23"/>
      <c r="O827" s="47"/>
    </row>
    <row r="828" spans="1:15" ht="15">
      <c r="A828" s="120">
        <v>46234</v>
      </c>
      <c r="B828" s="121">
        <f>B827+TIME(0,60,0)</f>
        <v>0.95833333333333293</v>
      </c>
      <c r="C828" s="81"/>
      <c r="D828" s="126"/>
      <c r="E828" s="126"/>
      <c r="F828" s="100"/>
      <c r="G828" s="122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23"/>
      <c r="O828" s="47"/>
    </row>
    <row r="829" spans="1:15" ht="15">
      <c r="A829" s="124">
        <v>46234</v>
      </c>
      <c r="B829" s="125">
        <f>B828+TIME(0,60,0)</f>
        <v>0.99999999999999956</v>
      </c>
      <c r="C829" s="81"/>
      <c r="D829" s="126"/>
      <c r="E829" s="126"/>
      <c r="F829" s="100"/>
      <c r="G829" s="122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23"/>
      <c r="O829" s="47"/>
    </row>
    <row r="830" spans="1:15" ht="15">
      <c r="A830" s="120">
        <v>46234</v>
      </c>
      <c r="B830" s="121">
        <f>B829+TIME(0,60,0)</f>
        <v>1.0416666666666663</v>
      </c>
      <c r="C830" s="81"/>
      <c r="D830" s="126"/>
      <c r="E830" s="126"/>
      <c r="F830" s="100"/>
      <c r="G830" s="122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23"/>
      <c r="O830" s="47"/>
    </row>
    <row r="831" spans="1:15" ht="15">
      <c r="A831" s="124">
        <v>46234</v>
      </c>
      <c r="B831" s="125">
        <f>B830+TIME(0,60,0)</f>
        <v>1.083333333333333</v>
      </c>
      <c r="C831" s="81"/>
      <c r="D831" s="126"/>
      <c r="E831" s="126"/>
      <c r="F831" s="100"/>
      <c r="G831" s="122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23"/>
      <c r="O831" s="47"/>
    </row>
    <row r="832" spans="1:15" ht="15">
      <c r="A832" s="120">
        <v>46234</v>
      </c>
      <c r="B832" s="121">
        <f>B831+TIME(0,60,0)</f>
        <v>1.1249999999999998</v>
      </c>
      <c r="C832" s="81"/>
      <c r="D832" s="126"/>
      <c r="E832" s="126"/>
      <c r="F832" s="100"/>
      <c r="G832" s="122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23"/>
      <c r="O832" s="47"/>
    </row>
    <row r="833" spans="1:15" ht="15">
      <c r="A833" s="124">
        <v>46234</v>
      </c>
      <c r="B833" s="125">
        <f>B832+TIME(0,60,0)</f>
        <v>1.1666666666666665</v>
      </c>
      <c r="C833" s="81"/>
      <c r="D833" s="126"/>
      <c r="E833" s="126"/>
      <c r="F833" s="100"/>
      <c r="G833" s="122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23"/>
      <c r="O833" s="47"/>
    </row>
    <row r="834" spans="1:15" ht="15">
      <c r="A834" s="120">
        <v>46234</v>
      </c>
      <c r="B834" s="121">
        <f>B833+TIME(0,60,0)</f>
        <v>1.2083333333333333</v>
      </c>
      <c r="C834" s="81"/>
      <c r="D834" s="126"/>
      <c r="E834" s="126"/>
      <c r="F834" s="100"/>
      <c r="G834" s="122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23"/>
      <c r="O834" s="47"/>
    </row>
    <row r="835" spans="1:15" ht="15">
      <c r="A835" s="124">
        <v>46234</v>
      </c>
      <c r="B835" s="125">
        <f>B834+TIME(0,60,0)</f>
        <v>1.25</v>
      </c>
      <c r="C835" s="81"/>
      <c r="D835" s="126"/>
      <c r="E835" s="126"/>
      <c r="F835" s="100"/>
      <c r="G835" s="122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23"/>
      <c r="O835" s="47"/>
    </row>
    <row r="836" spans="1:15" ht="15">
      <c r="A836" s="120">
        <v>46234</v>
      </c>
      <c r="B836" s="121">
        <f>B835+TIME(0,60,0)</f>
        <v>1.2916666666666667</v>
      </c>
      <c r="C836" s="81"/>
      <c r="D836" s="126"/>
      <c r="E836" s="126"/>
      <c r="F836" s="100"/>
      <c r="G836" s="122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23"/>
      <c r="O836" s="47"/>
    </row>
    <row r="837" spans="1:15" ht="15">
      <c r="A837" s="114" t="s">
        <v>237</v>
      </c>
      <c r="B837" s="115"/>
      <c r="C837" s="115"/>
      <c r="D837" s="115"/>
      <c r="E837" s="116">
        <f>SUM(E825:E836)</f>
        <v>0</v>
      </c>
      <c r="F837" s="127">
        <f>SUM(F825:F836)</f>
        <v>0</v>
      </c>
      <c r="G837" s="127">
        <f>SUM(G825:G836)</f>
        <v>0</v>
      </c>
      <c r="H837" s="37"/>
      <c r="I837" s="37"/>
      <c r="J837" s="37"/>
      <c r="K837" s="37"/>
      <c r="L837" s="37"/>
      <c r="M837" s="128">
        <f ca="1">IFERROR(SUM(M825:M836),"")</f>
        <v>0</v>
      </c>
      <c r="N837" s="127" t="s">
        <v>236</v>
      </c>
      <c r="O837" s="77"/>
    </row>
    <row r="838" spans="1:15" ht="15">
      <c r="A838" s="117" t="s">
        <v>238</v>
      </c>
      <c r="B838" s="118"/>
      <c r="C838" s="118"/>
      <c r="D838" s="118"/>
      <c r="E838" s="119">
        <f>E824+E837</f>
        <v>0</v>
      </c>
      <c r="F838" s="129">
        <f>F824+F837</f>
        <v>0</v>
      </c>
      <c r="G838" s="129">
        <f>G824+G837</f>
        <v>0</v>
      </c>
      <c r="H838" s="41"/>
      <c r="I838" s="41"/>
      <c r="J838" s="41"/>
      <c r="K838" s="41"/>
      <c r="L838" s="41"/>
      <c r="M838" s="130">
        <f ca="1">IFERROR(M824+M837,"")</f>
        <v>0</v>
      </c>
      <c r="N838" s="129" t="s">
        <v>239</v>
      </c>
      <c r="O838" s="82">
        <f>IFERROR(O824+O837,"")</f>
        <v>0</v>
      </c>
    </row>
  </sheetData>
  <mergeCells count="93">
    <mergeCell ref="A824:E824"/>
    <mergeCell ref="A837:E837"/>
    <mergeCell ref="A838:E838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792" activePane="bottomLeft" state="frozen"/>
      <selection pane="bottomLeft" activeCell="F804" sqref="F80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381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2" t="s">
        <v>235</v>
      </c>
      <c r="B14" s="103"/>
      <c r="C14" s="103"/>
      <c r="D14" s="103"/>
      <c r="E14" s="10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236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382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2" t="s">
        <v>237</v>
      </c>
      <c r="B27" s="103"/>
      <c r="C27" s="103"/>
      <c r="D27" s="103"/>
      <c r="E27" s="10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236</v>
      </c>
      <c r="O27" s="39">
        <v>202230</v>
      </c>
    </row>
    <row r="28" spans="1:15" ht="18" customHeight="1">
      <c r="A28" s="105" t="s">
        <v>238</v>
      </c>
      <c r="B28" s="106"/>
      <c r="C28" s="106"/>
      <c r="D28" s="106"/>
      <c r="E28" s="10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239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383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384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2" t="s">
        <v>235</v>
      </c>
      <c r="B41" s="103"/>
      <c r="C41" s="103"/>
      <c r="D41" s="103"/>
      <c r="E41" s="10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236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2" t="s">
        <v>237</v>
      </c>
      <c r="B54" s="103"/>
      <c r="C54" s="103"/>
      <c r="D54" s="103"/>
      <c r="E54" s="10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236</v>
      </c>
      <c r="O54" s="39">
        <v>473910</v>
      </c>
    </row>
    <row r="55" spans="1:15" ht="18" customHeight="1">
      <c r="A55" s="105" t="s">
        <v>238</v>
      </c>
      <c r="B55" s="106"/>
      <c r="C55" s="106"/>
      <c r="D55" s="106"/>
      <c r="E55" s="10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239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385</v>
      </c>
      <c r="L58" s="29">
        <v>0.54097222222222219</v>
      </c>
      <c r="M58" s="30" t="str">
        <f t="shared" ca="1" si="13"/>
        <v/>
      </c>
      <c r="N58" s="27" t="s">
        <v>386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2" t="s">
        <v>235</v>
      </c>
      <c r="B68" s="103"/>
      <c r="C68" s="103"/>
      <c r="D68" s="103"/>
      <c r="E68" s="10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236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387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388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389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390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2" t="s">
        <v>237</v>
      </c>
      <c r="B81" s="103"/>
      <c r="C81" s="103"/>
      <c r="D81" s="103"/>
      <c r="E81" s="10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236</v>
      </c>
      <c r="O81" s="39">
        <v>565120</v>
      </c>
    </row>
    <row r="82" spans="1:15" ht="18" customHeight="1">
      <c r="A82" s="105" t="s">
        <v>238</v>
      </c>
      <c r="B82" s="106"/>
      <c r="C82" s="106"/>
      <c r="D82" s="106"/>
      <c r="E82" s="10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239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391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2" t="s">
        <v>235</v>
      </c>
      <c r="B95" s="103"/>
      <c r="C95" s="103"/>
      <c r="D95" s="103"/>
      <c r="E95" s="10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236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2" t="s">
        <v>237</v>
      </c>
      <c r="B108" s="103"/>
      <c r="C108" s="103"/>
      <c r="D108" s="103"/>
      <c r="E108" s="10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236</v>
      </c>
      <c r="O108" s="39">
        <v>558590</v>
      </c>
    </row>
    <row r="109" spans="1:15" ht="18" customHeight="1">
      <c r="A109" s="105" t="s">
        <v>238</v>
      </c>
      <c r="B109" s="106"/>
      <c r="C109" s="106"/>
      <c r="D109" s="106"/>
      <c r="E109" s="10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239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392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2" t="s">
        <v>235</v>
      </c>
      <c r="B122" s="103"/>
      <c r="C122" s="103"/>
      <c r="D122" s="103"/>
      <c r="E122" s="10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236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393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394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0.88154988425958436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2" t="s">
        <v>237</v>
      </c>
      <c r="B135" s="103"/>
      <c r="C135" s="103"/>
      <c r="D135" s="103"/>
      <c r="E135" s="10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1.08085543981514</v>
      </c>
      <c r="N135" s="36" t="s">
        <v>236</v>
      </c>
      <c r="O135" s="39">
        <v>729290</v>
      </c>
    </row>
    <row r="136" spans="1:18" ht="18" customHeight="1">
      <c r="A136" s="105" t="s">
        <v>238</v>
      </c>
      <c r="B136" s="106"/>
      <c r="C136" s="106"/>
      <c r="D136" s="106"/>
      <c r="E136" s="10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1.448216550926251</v>
      </c>
      <c r="N136" s="40" t="s">
        <v>239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395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235</v>
      </c>
      <c r="B149" s="103"/>
      <c r="C149" s="103"/>
      <c r="D149" s="103"/>
      <c r="E149" s="10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236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237</v>
      </c>
      <c r="B162" s="103"/>
      <c r="C162" s="103"/>
      <c r="D162" s="103"/>
      <c r="E162" s="10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236</v>
      </c>
      <c r="O162" s="39">
        <v>697320</v>
      </c>
    </row>
    <row r="163" spans="1:15" ht="18" customHeight="1">
      <c r="A163" s="105" t="s">
        <v>238</v>
      </c>
      <c r="B163" s="106"/>
      <c r="C163" s="106"/>
      <c r="D163" s="106"/>
      <c r="E163" s="10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239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260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235</v>
      </c>
      <c r="B176" s="103"/>
      <c r="C176" s="103"/>
      <c r="D176" s="103"/>
      <c r="E176" s="10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236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237</v>
      </c>
      <c r="B189" s="103"/>
      <c r="C189" s="103"/>
      <c r="D189" s="103"/>
      <c r="E189" s="10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236</v>
      </c>
      <c r="O189" s="39">
        <v>973580</v>
      </c>
    </row>
    <row r="190" spans="1:15" ht="18" customHeight="1">
      <c r="A190" s="105" t="s">
        <v>238</v>
      </c>
      <c r="B190" s="106"/>
      <c r="C190" s="106"/>
      <c r="D190" s="106"/>
      <c r="E190" s="10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239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235</v>
      </c>
      <c r="B203" s="103"/>
      <c r="C203" s="103"/>
      <c r="D203" s="103"/>
      <c r="E203" s="10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236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2" t="s">
        <v>237</v>
      </c>
      <c r="B216" s="103"/>
      <c r="C216" s="103"/>
      <c r="D216" s="103"/>
      <c r="E216" s="10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236</v>
      </c>
      <c r="O216" s="45">
        <v>1060630</v>
      </c>
    </row>
    <row r="217" spans="1:15" ht="18" customHeight="1">
      <c r="A217" s="105" t="s">
        <v>238</v>
      </c>
      <c r="B217" s="106"/>
      <c r="C217" s="106"/>
      <c r="D217" s="106"/>
      <c r="E217" s="10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239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2" t="s">
        <v>235</v>
      </c>
      <c r="B230" s="103"/>
      <c r="C230" s="103"/>
      <c r="D230" s="103"/>
      <c r="E230" s="10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236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2" t="s">
        <v>237</v>
      </c>
      <c r="B243" s="103"/>
      <c r="C243" s="103"/>
      <c r="D243" s="103"/>
      <c r="E243" s="10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236</v>
      </c>
      <c r="O243" s="39">
        <v>982340</v>
      </c>
    </row>
    <row r="244" spans="1:15" ht="18" customHeight="1">
      <c r="A244" s="105" t="s">
        <v>238</v>
      </c>
      <c r="B244" s="106"/>
      <c r="C244" s="106"/>
      <c r="D244" s="106"/>
      <c r="E244" s="10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239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2" t="s">
        <v>235</v>
      </c>
      <c r="B257" s="103"/>
      <c r="C257" s="103"/>
      <c r="D257" s="103"/>
      <c r="E257" s="10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236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2" t="s">
        <v>237</v>
      </c>
      <c r="B270" s="103"/>
      <c r="C270" s="103"/>
      <c r="D270" s="103"/>
      <c r="E270" s="10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236</v>
      </c>
      <c r="O270" s="39">
        <v>1208450</v>
      </c>
    </row>
    <row r="271" spans="1:15" ht="18" customHeight="1">
      <c r="A271" s="105" t="s">
        <v>238</v>
      </c>
      <c r="B271" s="106"/>
      <c r="C271" s="106"/>
      <c r="D271" s="106"/>
      <c r="E271" s="10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239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2" t="s">
        <v>235</v>
      </c>
      <c r="B284" s="103"/>
      <c r="C284" s="103"/>
      <c r="D284" s="103"/>
      <c r="E284" s="10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236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2" t="s">
        <v>237</v>
      </c>
      <c r="B297" s="103"/>
      <c r="C297" s="103"/>
      <c r="D297" s="103"/>
      <c r="E297" s="10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236</v>
      </c>
      <c r="O297" s="39">
        <v>1049090</v>
      </c>
    </row>
    <row r="298" spans="1:15" ht="18" customHeight="1">
      <c r="A298" s="105" t="s">
        <v>238</v>
      </c>
      <c r="B298" s="106"/>
      <c r="C298" s="106"/>
      <c r="D298" s="106"/>
      <c r="E298" s="10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239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2" t="s">
        <v>235</v>
      </c>
      <c r="B311" s="103"/>
      <c r="C311" s="103"/>
      <c r="D311" s="103"/>
      <c r="E311" s="10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236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2" t="s">
        <v>237</v>
      </c>
      <c r="B324" s="103"/>
      <c r="C324" s="103"/>
      <c r="D324" s="103"/>
      <c r="E324" s="10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236</v>
      </c>
      <c r="O324" s="39">
        <v>1063720</v>
      </c>
    </row>
    <row r="325" spans="1:15" ht="18" customHeight="1">
      <c r="A325" s="105" t="s">
        <v>238</v>
      </c>
      <c r="B325" s="106"/>
      <c r="C325" s="106"/>
      <c r="D325" s="106"/>
      <c r="E325" s="10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239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2" t="s">
        <v>235</v>
      </c>
      <c r="B338" s="103"/>
      <c r="C338" s="103"/>
      <c r="D338" s="103"/>
      <c r="E338" s="10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236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2" t="s">
        <v>237</v>
      </c>
      <c r="B351" s="103"/>
      <c r="C351" s="103"/>
      <c r="D351" s="103"/>
      <c r="E351" s="10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236</v>
      </c>
      <c r="O351" s="39">
        <v>696140</v>
      </c>
    </row>
    <row r="352" spans="1:15" ht="18" customHeight="1">
      <c r="A352" s="105" t="s">
        <v>238</v>
      </c>
      <c r="B352" s="106"/>
      <c r="C352" s="106"/>
      <c r="D352" s="106"/>
      <c r="E352" s="10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239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236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2" t="s">
        <v>237</v>
      </c>
      <c r="B378" s="103"/>
      <c r="C378" s="103"/>
      <c r="D378" s="103"/>
      <c r="E378" s="104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236</v>
      </c>
      <c r="O378" s="39">
        <v>704750</v>
      </c>
    </row>
    <row r="379" spans="1:15" ht="18" customHeight="1">
      <c r="A379" s="105" t="s">
        <v>238</v>
      </c>
      <c r="B379" s="106"/>
      <c r="C379" s="106"/>
      <c r="D379" s="106"/>
      <c r="E379" s="107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239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2" t="s">
        <v>235</v>
      </c>
      <c r="B392" s="103"/>
      <c r="C392" s="103"/>
      <c r="D392" s="103"/>
      <c r="E392" s="104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236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2" t="s">
        <v>237</v>
      </c>
      <c r="B405" s="103"/>
      <c r="C405" s="103"/>
      <c r="D405" s="103"/>
      <c r="E405" s="104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236</v>
      </c>
      <c r="O405" s="39">
        <v>958130</v>
      </c>
    </row>
    <row r="406" spans="1:15" ht="18" customHeight="1">
      <c r="A406" s="105" t="s">
        <v>238</v>
      </c>
      <c r="B406" s="106"/>
      <c r="C406" s="106"/>
      <c r="D406" s="106"/>
      <c r="E406" s="107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239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2" t="s">
        <v>235</v>
      </c>
      <c r="B419" s="103"/>
      <c r="C419" s="103"/>
      <c r="D419" s="103"/>
      <c r="E419" s="104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236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2" t="s">
        <v>237</v>
      </c>
      <c r="B432" s="103"/>
      <c r="C432" s="103"/>
      <c r="D432" s="103"/>
      <c r="E432" s="104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236</v>
      </c>
      <c r="O432" s="39">
        <v>605220</v>
      </c>
    </row>
    <row r="433" spans="1:17" ht="18" customHeight="1">
      <c r="A433" s="105" t="s">
        <v>238</v>
      </c>
      <c r="B433" s="106"/>
      <c r="C433" s="106"/>
      <c r="D433" s="106"/>
      <c r="E433" s="107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239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2" t="s">
        <v>235</v>
      </c>
      <c r="B446" s="103"/>
      <c r="C446" s="103"/>
      <c r="D446" s="103"/>
      <c r="E446" s="104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236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2" t="s">
        <v>237</v>
      </c>
      <c r="B459" s="103"/>
      <c r="C459" s="103"/>
      <c r="D459" s="103"/>
      <c r="E459" s="104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236</v>
      </c>
      <c r="O459" s="39">
        <v>615330</v>
      </c>
    </row>
    <row r="460" spans="1:15" ht="18" customHeight="1">
      <c r="A460" s="105" t="s">
        <v>238</v>
      </c>
      <c r="B460" s="106"/>
      <c r="C460" s="106"/>
      <c r="D460" s="106"/>
      <c r="E460" s="107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239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414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415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390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2" t="s">
        <v>235</v>
      </c>
      <c r="B473" s="103"/>
      <c r="C473" s="103"/>
      <c r="D473" s="103"/>
      <c r="E473" s="104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236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2" t="s">
        <v>237</v>
      </c>
      <c r="B486" s="103"/>
      <c r="C486" s="103"/>
      <c r="D486" s="103"/>
      <c r="E486" s="104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236</v>
      </c>
      <c r="O486" s="39">
        <v>1120830</v>
      </c>
    </row>
    <row r="487" spans="1:15" ht="18" customHeight="1">
      <c r="A487" s="105" t="s">
        <v>238</v>
      </c>
      <c r="B487" s="106"/>
      <c r="C487" s="106"/>
      <c r="D487" s="106"/>
      <c r="E487" s="107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239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390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233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233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233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260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260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260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260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260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2" t="s">
        <v>235</v>
      </c>
      <c r="B500" s="103"/>
      <c r="C500" s="103"/>
      <c r="D500" s="103"/>
      <c r="E500" s="104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236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416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2" t="s">
        <v>237</v>
      </c>
      <c r="B513" s="103"/>
      <c r="C513" s="103"/>
      <c r="D513" s="103"/>
      <c r="E513" s="104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236</v>
      </c>
      <c r="O513" s="39">
        <v>416720</v>
      </c>
    </row>
    <row r="514" spans="1:15" ht="18" customHeight="1">
      <c r="A514" s="105" t="s">
        <v>238</v>
      </c>
      <c r="B514" s="106"/>
      <c r="C514" s="106"/>
      <c r="D514" s="106"/>
      <c r="E514" s="107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239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417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418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2" t="s">
        <v>235</v>
      </c>
      <c r="B527" s="103"/>
      <c r="C527" s="103"/>
      <c r="D527" s="103"/>
      <c r="E527" s="104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236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2" t="s">
        <v>237</v>
      </c>
      <c r="B540" s="103"/>
      <c r="C540" s="103"/>
      <c r="D540" s="103"/>
      <c r="E540" s="104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236</v>
      </c>
      <c r="O540" s="39">
        <v>404370</v>
      </c>
    </row>
    <row r="541" spans="1:15" ht="18" customHeight="1">
      <c r="A541" s="105" t="s">
        <v>238</v>
      </c>
      <c r="B541" s="106"/>
      <c r="C541" s="106"/>
      <c r="D541" s="106"/>
      <c r="E541" s="107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239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419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420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421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2" t="s">
        <v>235</v>
      </c>
      <c r="B554" s="103"/>
      <c r="C554" s="103"/>
      <c r="D554" s="103"/>
      <c r="E554" s="104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236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260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422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260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260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260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260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260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2" t="s">
        <v>237</v>
      </c>
      <c r="B567" s="103"/>
      <c r="C567" s="103"/>
      <c r="D567" s="103"/>
      <c r="E567" s="104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236</v>
      </c>
      <c r="O567" s="39">
        <v>499820</v>
      </c>
    </row>
    <row r="568" spans="1:15" ht="18" customHeight="1">
      <c r="A568" s="105" t="s">
        <v>238</v>
      </c>
      <c r="B568" s="106"/>
      <c r="C568" s="106"/>
      <c r="D568" s="106"/>
      <c r="E568" s="107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239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423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2" t="s">
        <v>235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236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260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260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260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260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260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260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260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260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2" t="s">
        <v>237</v>
      </c>
      <c r="B594" s="103"/>
      <c r="C594" s="103"/>
      <c r="D594" s="103"/>
      <c r="E594" s="104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236</v>
      </c>
      <c r="O594" s="39">
        <v>572580</v>
      </c>
    </row>
    <row r="595" spans="1:15" ht="18" customHeight="1">
      <c r="A595" s="105" t="s">
        <v>238</v>
      </c>
      <c r="B595" s="106"/>
      <c r="C595" s="106"/>
      <c r="D595" s="106"/>
      <c r="E595" s="107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239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424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2" t="s">
        <v>235</v>
      </c>
      <c r="B608" s="103"/>
      <c r="C608" s="103"/>
      <c r="D608" s="103"/>
      <c r="E608" s="104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236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260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260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2" t="s">
        <v>237</v>
      </c>
      <c r="B621" s="103"/>
      <c r="C621" s="103"/>
      <c r="D621" s="103"/>
      <c r="E621" s="104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236</v>
      </c>
      <c r="O621" s="39">
        <v>414860</v>
      </c>
    </row>
    <row r="622" spans="1:15" ht="18" customHeight="1">
      <c r="A622" s="105" t="s">
        <v>238</v>
      </c>
      <c r="B622" s="106"/>
      <c r="C622" s="106"/>
      <c r="D622" s="106"/>
      <c r="E622" s="107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239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425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2" t="s">
        <v>235</v>
      </c>
      <c r="B635" s="103"/>
      <c r="C635" s="103"/>
      <c r="D635" s="103"/>
      <c r="E635" s="104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236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426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2" t="s">
        <v>237</v>
      </c>
      <c r="B648" s="103"/>
      <c r="C648" s="103"/>
      <c r="D648" s="103"/>
      <c r="E648" s="104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236</v>
      </c>
      <c r="O648" s="39">
        <v>284850</v>
      </c>
    </row>
    <row r="649" spans="1:15" ht="18" customHeight="1">
      <c r="A649" s="105" t="s">
        <v>238</v>
      </c>
      <c r="B649" s="106"/>
      <c r="C649" s="106"/>
      <c r="D649" s="106"/>
      <c r="E649" s="107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239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427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2" t="s">
        <v>235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236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428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2" t="s">
        <v>237</v>
      </c>
      <c r="B675" s="103"/>
      <c r="C675" s="103"/>
      <c r="D675" s="103"/>
      <c r="E675" s="104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236</v>
      </c>
      <c r="O675" s="39">
        <v>486620</v>
      </c>
    </row>
    <row r="676" spans="1:15" ht="18" customHeight="1">
      <c r="A676" s="105" t="s">
        <v>238</v>
      </c>
      <c r="B676" s="106"/>
      <c r="C676" s="106"/>
      <c r="D676" s="106"/>
      <c r="E676" s="107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239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260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2" t="s">
        <v>235</v>
      </c>
      <c r="B689" s="103"/>
      <c r="C689" s="103"/>
      <c r="D689" s="103"/>
      <c r="E689" s="104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236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429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430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2" t="s">
        <v>237</v>
      </c>
      <c r="B702" s="103"/>
      <c r="C702" s="103"/>
      <c r="D702" s="103"/>
      <c r="E702" s="104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236</v>
      </c>
      <c r="O702" s="39">
        <v>988790</v>
      </c>
    </row>
    <row r="703" spans="1:15" ht="18" customHeight="1">
      <c r="A703" s="105" t="s">
        <v>238</v>
      </c>
      <c r="B703" s="106"/>
      <c r="C703" s="106"/>
      <c r="D703" s="106"/>
      <c r="E703" s="107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239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285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327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2" t="s">
        <v>235</v>
      </c>
      <c r="B716" s="103"/>
      <c r="C716" s="103"/>
      <c r="D716" s="103"/>
      <c r="E716" s="104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236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431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2" t="s">
        <v>237</v>
      </c>
      <c r="B729" s="103"/>
      <c r="C729" s="103"/>
      <c r="D729" s="103"/>
      <c r="E729" s="104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236</v>
      </c>
      <c r="O729" s="39">
        <v>852470</v>
      </c>
    </row>
    <row r="730" spans="1:15" ht="18" customHeight="1">
      <c r="A730" s="105" t="s">
        <v>238</v>
      </c>
      <c r="B730" s="106"/>
      <c r="C730" s="106"/>
      <c r="D730" s="106"/>
      <c r="E730" s="107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239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432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433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2" t="s">
        <v>235</v>
      </c>
      <c r="B743" s="103"/>
      <c r="C743" s="103"/>
      <c r="D743" s="103"/>
      <c r="E743" s="104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236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2" t="s">
        <v>237</v>
      </c>
      <c r="B756" s="103"/>
      <c r="C756" s="103"/>
      <c r="D756" s="103"/>
      <c r="E756" s="104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236</v>
      </c>
      <c r="O756" s="39">
        <v>545970</v>
      </c>
    </row>
    <row r="757" spans="1:15" ht="18" customHeight="1">
      <c r="A757" s="105" t="s">
        <v>238</v>
      </c>
      <c r="B757" s="106"/>
      <c r="C757" s="106"/>
      <c r="D757" s="106"/>
      <c r="E757" s="107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239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342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2" t="s">
        <v>235</v>
      </c>
      <c r="B770" s="103"/>
      <c r="C770" s="103"/>
      <c r="D770" s="103"/>
      <c r="E770" s="104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236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430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434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2" t="s">
        <v>237</v>
      </c>
      <c r="B783" s="103"/>
      <c r="C783" s="103"/>
      <c r="D783" s="103"/>
      <c r="E783" s="104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236</v>
      </c>
      <c r="O783" s="39">
        <v>747380</v>
      </c>
    </row>
    <row r="784" spans="1:15" ht="18" customHeight="1">
      <c r="A784" s="105" t="s">
        <v>238</v>
      </c>
      <c r="B784" s="106"/>
      <c r="C784" s="106"/>
      <c r="D784" s="106"/>
      <c r="E784" s="107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239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435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436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437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2" t="s">
        <v>235</v>
      </c>
      <c r="B797" s="103"/>
      <c r="C797" s="103"/>
      <c r="D797" s="103"/>
      <c r="E797" s="104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236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0</v>
      </c>
      <c r="G799" s="34">
        <f t="shared" si="176"/>
        <v>0</v>
      </c>
      <c r="H799" s="33" t="s">
        <v>20</v>
      </c>
      <c r="I799" s="33"/>
      <c r="J799" s="33"/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14</v>
      </c>
      <c r="G800" s="34">
        <f t="shared" si="176"/>
        <v>58.800000000000004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20</v>
      </c>
      <c r="G801" s="34">
        <f t="shared" si="176"/>
        <v>84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10</v>
      </c>
      <c r="G802" s="34">
        <f t="shared" si="176"/>
        <v>42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/>
      <c r="G805" s="34" t="str">
        <f t="shared" si="176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/>
      <c r="G806" s="34" t="str">
        <f t="shared" si="176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/>
      <c r="G807" s="34" t="str">
        <f t="shared" si="176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/>
      <c r="G808" s="34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/>
      <c r="G809" s="34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02" t="s">
        <v>237</v>
      </c>
      <c r="B810" s="103"/>
      <c r="C810" s="103"/>
      <c r="D810" s="103"/>
      <c r="E810" s="104">
        <f>SUM(E798:E809)</f>
        <v>0</v>
      </c>
      <c r="F810" s="36">
        <f>SUM(F798:F809)</f>
        <v>87</v>
      </c>
      <c r="G810" s="36">
        <f>SUM(G798:G809)</f>
        <v>365.40000000000003</v>
      </c>
      <c r="H810" s="37"/>
      <c r="I810" s="37"/>
      <c r="J810" s="37"/>
      <c r="K810" s="61"/>
      <c r="L810" s="61"/>
      <c r="M810" s="38">
        <f ca="1">IFERROR(SUM(M798:M809),"")</f>
        <v>0.13888888888888895</v>
      </c>
      <c r="N810" s="36" t="s">
        <v>236</v>
      </c>
      <c r="O810" s="39"/>
    </row>
    <row r="811" spans="1:15" ht="18" customHeight="1">
      <c r="A811" s="105" t="s">
        <v>238</v>
      </c>
      <c r="B811" s="106"/>
      <c r="C811" s="106"/>
      <c r="D811" s="106"/>
      <c r="E811" s="107">
        <f>E797+E810</f>
        <v>0</v>
      </c>
      <c r="F811" s="40">
        <f>F797+F810</f>
        <v>109</v>
      </c>
      <c r="G811" s="40">
        <f>G797+G810</f>
        <v>457.80000000000007</v>
      </c>
      <c r="H811" s="41"/>
      <c r="I811" s="41"/>
      <c r="J811" s="41"/>
      <c r="K811" s="63"/>
      <c r="L811" s="63"/>
      <c r="M811" s="42">
        <f ca="1">IFERROR(M797+M810,"")</f>
        <v>0.58819444444444446</v>
      </c>
      <c r="N811" s="40" t="s">
        <v>239</v>
      </c>
      <c r="O811" s="43">
        <f>IFERROR(O797+O810,"")</f>
        <v>99040</v>
      </c>
    </row>
    <row r="812" spans="1:15" ht="15">
      <c r="A812" s="124">
        <v>46234</v>
      </c>
      <c r="B812" s="121">
        <v>0.33333333333333298</v>
      </c>
      <c r="C812" s="80"/>
      <c r="D812" s="99"/>
      <c r="E812" s="99"/>
      <c r="F812" s="100"/>
      <c r="G812" s="122" t="str">
        <f>IF(F812="","",IF(E812="PC 17",F812*4.2,IF(E812="PC 19",F812*5,"")))</f>
        <v/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23"/>
      <c r="O812" s="47"/>
    </row>
    <row r="813" spans="1:15" ht="15">
      <c r="A813" s="120">
        <v>46234</v>
      </c>
      <c r="B813" s="125">
        <f>B812+TIME(0,60,0)</f>
        <v>0.37499999999999967</v>
      </c>
      <c r="C813" s="80"/>
      <c r="D813" s="99"/>
      <c r="E813" s="126"/>
      <c r="F813" s="100"/>
      <c r="G813" s="122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23"/>
      <c r="O813" s="47"/>
    </row>
    <row r="814" spans="1:15" ht="15">
      <c r="A814" s="124">
        <v>46234</v>
      </c>
      <c r="B814" s="121">
        <f>B813+TIME(0,60,0)</f>
        <v>0.41666666666666635</v>
      </c>
      <c r="C814" s="80"/>
      <c r="D814" s="99"/>
      <c r="E814" s="99"/>
      <c r="F814" s="100"/>
      <c r="G814" s="122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23"/>
      <c r="O814" s="47"/>
    </row>
    <row r="815" spans="1:15" ht="15">
      <c r="A815" s="120">
        <v>46234</v>
      </c>
      <c r="B815" s="125">
        <f>B814+TIME(0,60,0)</f>
        <v>0.45833333333333304</v>
      </c>
      <c r="C815" s="80"/>
      <c r="D815" s="99"/>
      <c r="E815" s="126"/>
      <c r="F815" s="100"/>
      <c r="G815" s="122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23"/>
      <c r="O815" s="47"/>
    </row>
    <row r="816" spans="1:15" ht="15">
      <c r="A816" s="124">
        <v>46234</v>
      </c>
      <c r="B816" s="121">
        <f>B815+TIME(0,60,0)</f>
        <v>0.49999999999999972</v>
      </c>
      <c r="C816" s="80"/>
      <c r="D816" s="99"/>
      <c r="E816" s="99"/>
      <c r="F816" s="100"/>
      <c r="G816" s="122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23"/>
      <c r="O816" s="47"/>
    </row>
    <row r="817" spans="1:15" ht="15">
      <c r="A817" s="120">
        <v>46234</v>
      </c>
      <c r="B817" s="125">
        <f>B816+TIME(0,60,0)</f>
        <v>0.54166666666666641</v>
      </c>
      <c r="C817" s="80"/>
      <c r="D817" s="99"/>
      <c r="E817" s="126"/>
      <c r="F817" s="100"/>
      <c r="G817" s="122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23"/>
      <c r="O817" s="47"/>
    </row>
    <row r="818" spans="1:15" ht="15">
      <c r="A818" s="124">
        <v>46234</v>
      </c>
      <c r="B818" s="121">
        <f>B817+TIME(0,60,0)</f>
        <v>0.58333333333333304</v>
      </c>
      <c r="C818" s="80"/>
      <c r="D818" s="99"/>
      <c r="E818" s="99"/>
      <c r="F818" s="100"/>
      <c r="G818" s="122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23"/>
      <c r="O818" s="47"/>
    </row>
    <row r="819" spans="1:15" ht="15">
      <c r="A819" s="120">
        <v>46234</v>
      </c>
      <c r="B819" s="125">
        <f>B818+TIME(0,60,0)</f>
        <v>0.62499999999999967</v>
      </c>
      <c r="C819" s="80"/>
      <c r="D819" s="99"/>
      <c r="E819" s="126"/>
      <c r="F819" s="100"/>
      <c r="G819" s="122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23"/>
      <c r="O819" s="47"/>
    </row>
    <row r="820" spans="1:15" ht="15">
      <c r="A820" s="124">
        <v>46234</v>
      </c>
      <c r="B820" s="121">
        <f>B819+TIME(0,60,0)</f>
        <v>0.6666666666666663</v>
      </c>
      <c r="C820" s="80"/>
      <c r="D820" s="99"/>
      <c r="E820" s="99"/>
      <c r="F820" s="100"/>
      <c r="G820" s="122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23"/>
      <c r="O820" s="47"/>
    </row>
    <row r="821" spans="1:15" ht="15">
      <c r="A821" s="120">
        <v>46234</v>
      </c>
      <c r="B821" s="125">
        <f>B820+TIME(0,60,0)</f>
        <v>0.70833333333333293</v>
      </c>
      <c r="C821" s="80"/>
      <c r="D821" s="99"/>
      <c r="E821" s="126"/>
      <c r="F821" s="100"/>
      <c r="G821" s="122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23"/>
      <c r="O821" s="47"/>
    </row>
    <row r="822" spans="1:15" ht="15">
      <c r="A822" s="124">
        <v>46234</v>
      </c>
      <c r="B822" s="121">
        <f>B821+TIME(0,60,0)</f>
        <v>0.74999999999999956</v>
      </c>
      <c r="C822" s="80"/>
      <c r="D822" s="99"/>
      <c r="E822" s="99"/>
      <c r="F822" s="100"/>
      <c r="G822" s="122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23"/>
      <c r="O822" s="47"/>
    </row>
    <row r="823" spans="1:15" ht="15">
      <c r="A823" s="120">
        <v>46234</v>
      </c>
      <c r="B823" s="125">
        <f>B822+TIME(0,60,0)</f>
        <v>0.79166666666666619</v>
      </c>
      <c r="C823" s="80"/>
      <c r="D823" s="99"/>
      <c r="E823" s="126"/>
      <c r="F823" s="100"/>
      <c r="G823" s="122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23"/>
      <c r="O823" s="47"/>
    </row>
    <row r="824" spans="1:15" ht="15">
      <c r="A824" s="114" t="s">
        <v>235</v>
      </c>
      <c r="B824" s="115"/>
      <c r="C824" s="115"/>
      <c r="D824" s="115"/>
      <c r="E824" s="116">
        <f>SUM(E812:E823)</f>
        <v>0</v>
      </c>
      <c r="F824" s="127">
        <f>SUM(F812:F823)</f>
        <v>0</v>
      </c>
      <c r="G824" s="127">
        <f>SUM(G812:G823)</f>
        <v>0</v>
      </c>
      <c r="H824" s="37"/>
      <c r="I824" s="37"/>
      <c r="J824" s="37"/>
      <c r="K824" s="37"/>
      <c r="L824" s="37"/>
      <c r="M824" s="128">
        <f ca="1">IFERROR(SUM(M812:M823),"")</f>
        <v>0</v>
      </c>
      <c r="N824" s="127" t="s">
        <v>236</v>
      </c>
      <c r="O824" s="77"/>
    </row>
    <row r="825" spans="1:15" ht="15">
      <c r="A825" s="124">
        <v>46234</v>
      </c>
      <c r="B825" s="125">
        <v>0.83333333333333304</v>
      </c>
      <c r="C825" s="81"/>
      <c r="D825" s="126"/>
      <c r="E825" s="126"/>
      <c r="F825" s="100"/>
      <c r="G825" s="122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23"/>
      <c r="O825" s="47"/>
    </row>
    <row r="826" spans="1:15" ht="15">
      <c r="A826" s="120">
        <v>46234</v>
      </c>
      <c r="B826" s="121">
        <f>B825+TIME(0,60,0)</f>
        <v>0.87499999999999967</v>
      </c>
      <c r="C826" s="81"/>
      <c r="D826" s="126"/>
      <c r="E826" s="126"/>
      <c r="F826" s="100"/>
      <c r="G826" s="122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23"/>
      <c r="O826" s="47"/>
    </row>
    <row r="827" spans="1:15" ht="15">
      <c r="A827" s="124">
        <v>46234</v>
      </c>
      <c r="B827" s="125">
        <f>B826+TIME(0,60,0)</f>
        <v>0.9166666666666663</v>
      </c>
      <c r="C827" s="81"/>
      <c r="D827" s="126"/>
      <c r="E827" s="126"/>
      <c r="F827" s="100"/>
      <c r="G827" s="122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23"/>
      <c r="O827" s="47"/>
    </row>
    <row r="828" spans="1:15" ht="15">
      <c r="A828" s="120">
        <v>46234</v>
      </c>
      <c r="B828" s="121">
        <f>B827+TIME(0,60,0)</f>
        <v>0.95833333333333293</v>
      </c>
      <c r="C828" s="81"/>
      <c r="D828" s="126"/>
      <c r="E828" s="126"/>
      <c r="F828" s="100"/>
      <c r="G828" s="122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23"/>
      <c r="O828" s="47"/>
    </row>
    <row r="829" spans="1:15" ht="15">
      <c r="A829" s="124">
        <v>46234</v>
      </c>
      <c r="B829" s="125">
        <f>B828+TIME(0,60,0)</f>
        <v>0.99999999999999956</v>
      </c>
      <c r="C829" s="81"/>
      <c r="D829" s="126"/>
      <c r="E829" s="126"/>
      <c r="F829" s="100"/>
      <c r="G829" s="122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23"/>
      <c r="O829" s="47"/>
    </row>
    <row r="830" spans="1:15" ht="15">
      <c r="A830" s="120">
        <v>46234</v>
      </c>
      <c r="B830" s="121">
        <f>B829+TIME(0,60,0)</f>
        <v>1.0416666666666663</v>
      </c>
      <c r="C830" s="81"/>
      <c r="D830" s="126"/>
      <c r="E830" s="126"/>
      <c r="F830" s="100"/>
      <c r="G830" s="122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23"/>
      <c r="O830" s="47"/>
    </row>
    <row r="831" spans="1:15" ht="15">
      <c r="A831" s="124">
        <v>46234</v>
      </c>
      <c r="B831" s="125">
        <f>B830+TIME(0,60,0)</f>
        <v>1.083333333333333</v>
      </c>
      <c r="C831" s="81"/>
      <c r="D831" s="126"/>
      <c r="E831" s="126"/>
      <c r="F831" s="100"/>
      <c r="G831" s="122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23"/>
      <c r="O831" s="47"/>
    </row>
    <row r="832" spans="1:15" ht="15">
      <c r="A832" s="120">
        <v>46234</v>
      </c>
      <c r="B832" s="121">
        <f>B831+TIME(0,60,0)</f>
        <v>1.1249999999999998</v>
      </c>
      <c r="C832" s="81"/>
      <c r="D832" s="126"/>
      <c r="E832" s="126"/>
      <c r="F832" s="100"/>
      <c r="G832" s="122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23"/>
      <c r="O832" s="47"/>
    </row>
    <row r="833" spans="1:15" ht="15">
      <c r="A833" s="124">
        <v>46234</v>
      </c>
      <c r="B833" s="125">
        <f>B832+TIME(0,60,0)</f>
        <v>1.1666666666666665</v>
      </c>
      <c r="C833" s="81"/>
      <c r="D833" s="126"/>
      <c r="E833" s="126"/>
      <c r="F833" s="100"/>
      <c r="G833" s="122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23"/>
      <c r="O833" s="47"/>
    </row>
    <row r="834" spans="1:15" ht="15">
      <c r="A834" s="120">
        <v>46234</v>
      </c>
      <c r="B834" s="121">
        <f>B833+TIME(0,60,0)</f>
        <v>1.2083333333333333</v>
      </c>
      <c r="C834" s="81"/>
      <c r="D834" s="126"/>
      <c r="E834" s="126"/>
      <c r="F834" s="100"/>
      <c r="G834" s="122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23"/>
      <c r="O834" s="47"/>
    </row>
    <row r="835" spans="1:15" ht="15">
      <c r="A835" s="124">
        <v>46234</v>
      </c>
      <c r="B835" s="125">
        <f>B834+TIME(0,60,0)</f>
        <v>1.25</v>
      </c>
      <c r="C835" s="81"/>
      <c r="D835" s="126"/>
      <c r="E835" s="126"/>
      <c r="F835" s="100"/>
      <c r="G835" s="122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23"/>
      <c r="O835" s="47"/>
    </row>
    <row r="836" spans="1:15" ht="15">
      <c r="A836" s="120">
        <v>46234</v>
      </c>
      <c r="B836" s="121">
        <f>B835+TIME(0,60,0)</f>
        <v>1.2916666666666667</v>
      </c>
      <c r="C836" s="81"/>
      <c r="D836" s="126"/>
      <c r="E836" s="126"/>
      <c r="F836" s="100"/>
      <c r="G836" s="122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23"/>
      <c r="O836" s="47"/>
    </row>
    <row r="837" spans="1:15" ht="15">
      <c r="A837" s="114" t="s">
        <v>237</v>
      </c>
      <c r="B837" s="115"/>
      <c r="C837" s="115"/>
      <c r="D837" s="115"/>
      <c r="E837" s="116">
        <f>SUM(E825:E836)</f>
        <v>0</v>
      </c>
      <c r="F837" s="127">
        <f>SUM(F825:F836)</f>
        <v>0</v>
      </c>
      <c r="G837" s="127">
        <f>SUM(G825:G836)</f>
        <v>0</v>
      </c>
      <c r="H837" s="37"/>
      <c r="I837" s="37"/>
      <c r="J837" s="37"/>
      <c r="K837" s="37"/>
      <c r="L837" s="37"/>
      <c r="M837" s="128">
        <f ca="1">IFERROR(SUM(M825:M836),"")</f>
        <v>0</v>
      </c>
      <c r="N837" s="127" t="s">
        <v>236</v>
      </c>
      <c r="O837" s="77"/>
    </row>
    <row r="838" spans="1:15" ht="15">
      <c r="A838" s="117" t="s">
        <v>238</v>
      </c>
      <c r="B838" s="118"/>
      <c r="C838" s="118"/>
      <c r="D838" s="118"/>
      <c r="E838" s="119">
        <f>E824+E837</f>
        <v>0</v>
      </c>
      <c r="F838" s="129">
        <f>F824+F837</f>
        <v>0</v>
      </c>
      <c r="G838" s="129">
        <f>G824+G837</f>
        <v>0</v>
      </c>
      <c r="H838" s="41"/>
      <c r="I838" s="41"/>
      <c r="J838" s="41"/>
      <c r="K838" s="41"/>
      <c r="L838" s="41"/>
      <c r="M838" s="130">
        <f ca="1">IFERROR(M824+M837,"")</f>
        <v>0</v>
      </c>
      <c r="N838" s="129" t="s">
        <v>239</v>
      </c>
      <c r="O838" s="82">
        <f>IFERROR(O824+O837,"")</f>
        <v>0</v>
      </c>
    </row>
  </sheetData>
  <mergeCells count="92">
    <mergeCell ref="A824:E824"/>
    <mergeCell ref="A837:E837"/>
    <mergeCell ref="A838:E838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2026-07-31T07:08:40Z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