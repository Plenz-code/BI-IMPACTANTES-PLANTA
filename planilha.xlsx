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9" documentId="8_{AF585B22-221D-4780-BB9C-493D365A6A02}" xr6:coauthVersionLast="47" xr6:coauthVersionMax="47" xr10:uidLastSave="{BAED5F9D-1E81-4C21-AB6C-AB284BDBBE2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Linha 1" sheetId="4" r:id="rId3"/>
    <sheet name="Britador" sheetId="3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<sst xmlns="http://schemas.openxmlformats.org/spreadsheetml/2006/main" count="1261" uniqueCount="200">
  <si>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</si>
  <si>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</si>
  <si>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</si>
  <si>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</si>
  <si>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</si>
  <si>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</si>
  <si>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</si>
  <si>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</si>
  <si>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</si>
  <si>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</si>
  <si>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</si>
  <si>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</si>
  <si>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</si>
  <si>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</si>
  <si>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</si>
  <si>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</si>
  <si>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</si>
  <si>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</si>
  <si>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</si>
  <si>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</si>
  <si>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</si>
  <si>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</si>
  <si>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</si>
  <si>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</si>
  <si>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</si>
  <si>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</si>
  <si>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</si>
  <si>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</si>
  <si>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</si>
  <si>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</si>
  <si>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</si>
  <si>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</si>
  <si>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</si>
  <si>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</si>
  <si>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</si>
  <si>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</si>
  <si>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</si>
  <si>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</si>
  <si>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</si>
  <si>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</si>
  <si>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</si>
  <si>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</si>
  <si>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</si>
  <si>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</si>
  <si>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</si>
  <si>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</si>
  <si>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</si>
  <si>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</si>
  <si>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</si>
  <si>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</si>
  <si>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</si>
  <si>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</si>
  <si>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</si>
  <si>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</si>
  <si>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</si>
  <si>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</si>
  <si>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</si>
  <si>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</si>
  <si>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</si>
  <si>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</si>
  <si>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</si>
  <si>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</si>
  <si>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</si>
  <si>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</si>
  <si>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</si>
  <si>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</si>
  <si>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</si>
  <si>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</si>
  <si>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</si>
  <si>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</si>
  <si>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</si>
  <si>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</si>
  <si>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</si>
  <si>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</si>
  <si>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</si>
  <si>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</si>
  <si>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</si>
  <si>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</si>
  <si>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</si>
  <si>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</si>
  <si>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</si>
  <si>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</si>
  <si>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</si>
  <si>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</si>
  <si>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</si>
  <si>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</si>
  <si>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</si>
  <si>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</si>
  <si>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</si>
  <si>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</si>
  <si>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</si>
  <si>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</si>
  <si>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</si>
  <si>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</si>
  <si>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</si>
  <si>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</si>
  <si>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</si>
  <si>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</si>
  <si>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</si>
  <si>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</si>
  <si>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</si>
  <si>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</si>
  <si>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</si>
  <si>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</si>
  <si>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</si>
  <si>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</si>
  <si>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</si>
  <si>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</si>
  <si>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</si>
  <si>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</si>
  <si>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</si>
  <si>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</si>
  <si>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</si>
  <si>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</si>
  <si>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</si>
  <si>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</si>
  <si>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</si>
  <si>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</si>
  <si>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</si>
  <si>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</si>
  <si>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</si>
  <si>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</si>
  <si>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</si>
  <si>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</si>
  <si>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</si>
  <si>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</si>
  <si>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</si>
  <si>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</si>
  <si>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</si>
  <si>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</si>
  <si>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</si>
  <si>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</si>
  <si>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</si>
  <si>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</si>
  <si>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</si>
  <si>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</si>
  <si>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</si>
  <si>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</si>
  <si>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</si>
  <si>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</si>
  <si>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</si>
  <si>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</si>
  <si>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</si>
  <si>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</si>
  <si>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</si>
  <si>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</si>
  <si>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</si>
  <si>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</si>
  <si>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</si>
  <si>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</si>
  <si>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</si>
  <si>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</si>
  <si>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</si>
  <si>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</si>
  <si>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</si>
  <si>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</si>
  <si>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</si>
  <si>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</si>
  <si>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</si>
  <si>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</si>
  <si>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</si>
  <si>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</si>
  <si>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</si>
  <si>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</si>
  <si>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</si>
  <si>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</si>
  <si>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</si>
  <si>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</si>
  <si>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</si>
  <si>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</si>
  <si>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</si>
  <si>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</si>
  <si>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</si>
  <si>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</si>
  <si>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</si>
  <si>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</si>
  <si>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</si>
  <si>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</si>
  <si>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</si>
  <si>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</si>
  <si>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</si>
  <si>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</si>
  <si>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</si>
  <si>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</si>
  <si>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</si>
  <si>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</si>
  <si>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</si>
  <si>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17</t>
  </si>
  <si>
    <t>☀  TURNO DIURNO</t>
  </si>
  <si>
    <t>Totalizador da balança  ➜</t>
  </si>
  <si>
    <t>🌙  TURNO NOTURNO</t>
  </si>
  <si>
    <t>TOTAL GLOBAL DO DIA</t>
  </si>
  <si>
    <t>Totalizador global  ➜</t>
  </si>
  <si>
    <t>baixo teor</t>
  </si>
  <si>
    <t>PC 19</t>
  </si>
  <si>
    <t>limpeza na tc 2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</si>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</sst>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187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187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187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187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187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187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187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187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187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187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189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17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17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54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165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192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54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54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54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54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54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189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192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44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187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187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187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187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187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187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187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187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187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187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189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10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10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69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192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39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39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187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187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187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187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187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187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187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187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187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187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189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5</v>
      </c>
      <c r="G15" s="34" t="str">
        <f t="shared" ref="G15:G26" si="3">IF(F15="","",IF(E15="PC 17",F15*4.2,IF(E15="PC 19",F15*5,"")))</f>
        <v/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1.3800925924442708E-2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5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1.3800925924442708E-2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69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0.23463425925777598</v>
      </c>
      <c r="N28" s="40" t="s">
        <v>192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192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192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192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189</v>
      </c>
      <c r="O162" s="39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189</v>
      </c>
      <c r="O432" s="39"/>
    </row>
    <row r="433" spans="1:17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