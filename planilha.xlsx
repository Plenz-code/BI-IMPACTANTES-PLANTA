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788" documentId="8_{AF585B22-221D-4780-BB9C-493D365A6A02}" xr6:coauthVersionLast="47" xr6:coauthVersionMax="47" xr10:uidLastSave="{EF6AFC54-24F7-4C7B-A81F-F6050FA6D6B5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<sst xmlns="http://schemas.openxmlformats.org/spreadsheetml/2006/main" count="6080" uniqueCount="315">
  <si>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</si>
  <si>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</si>
  <si>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</si>
  <si>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</si>
  <si>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</si>
  <si>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</si>
  <si>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</si>
  <si>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</si>
  <si>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</si>
  <si>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</si>
  <si>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</si>
  <si>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</si>
  <si>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</si>
  <si>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</si>
  <si>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</si>
  <si>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</si>
  <si>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</si>
  <si>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</si>
  <si>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</si>
  <si>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</si>
  <si>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</si>
  <si>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</si>
  <si>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</si>
  <si>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</si>
  <si>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</si>
  <si>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</si>
  <si>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</si>
  <si>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</si>
  <si>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</si>
  <si>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</si>
  <si>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</si>
  <si>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</si>
  <si>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</si>
  <si>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</si>
  <si>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</si>
  <si>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</si>
  <si>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</si>
  <si>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</si>
  <si>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</si>
  <si>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</si>
  <si>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</si>
  <si>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</si>
  <si>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</si>
  <si>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</si>
  <si>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</si>
  <si>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</si>
  <si>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</si>
  <si>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</si>
  <si>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</si>
  <si>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</si>
  <si>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</si>
  <si>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</si>
  <si>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</si>
  <si>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</si>
  <si>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</si>
  <si>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</si>
  <si>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</si>
  <si>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</si>
  <si>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</si>
  <si>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</si>
  <si>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</si>
  <si>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</si>
  <si>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</si>
  <si>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</si>
  <si>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</si>
  <si>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</si>
  <si>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</si>
  <si>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</si>
  <si>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</si>
  <si>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</si>
  <si>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</si>
  <si>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</si>
  <si>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</si>
  <si>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</si>
  <si>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</si>
  <si>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</si>
  <si>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</si>
  <si>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</si>
  <si>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</si>
  <si>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</si>
  <si>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</si>
  <si>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</si>
  <si>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</si>
  <si>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</si>
  <si>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</si>
  <si>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</si>
  <si>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</si>
  <si>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</si>
  <si>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</si>
  <si>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</si>
  <si>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</si>
  <si>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</si>
  <si>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</si>
  <si>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</si>
  <si>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</si>
  <si>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</si>
  <si>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</si>
  <si>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</si>
  <si>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</si>
  <si>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</si>
  <si>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</si>
  <si>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</si>
  <si>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</si>
  <si>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</si>
  <si>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</si>
  <si>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</si>
  <si>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</si>
  <si>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</si>
  <si>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</si>
  <si>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</si>
  <si>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</si>
  <si>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</si>
  <si>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</si>
  <si>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</si>
  <si>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</si>
  <si>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</si>
  <si>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</si>
  <si>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</si>
  <si>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</si>
  <si>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</si>
  <si>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</si>
  <si>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</si>
  <si>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</si>
  <si>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</si>
  <si>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</si>
  <si>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</si>
  <si>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</si>
  <si>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</si>
  <si>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</si>
  <si>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</si>
  <si>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</si>
  <si>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</si>
  <si>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</si>
  <si>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</si>
  <si>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</si>
  <si>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</si>
  <si>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</si>
  <si>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</si>
  <si>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</si>
  <si>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</si>
  <si>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</si>
  <si>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</si>
  <si>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</si>
  <si>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</si>
  <si>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</si>
  <si>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</si>
  <si>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</si>
  <si>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</si>
  <si>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</si>
  <si>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</si>
  <si>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</si>
  <si>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</si>
  <si>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</si>
  <si>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</si>
  <si>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</si>
  <si>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</si>
  <si>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</si>
  <si>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</si>
  <si>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</si>
  <si>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</si>
  <si>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</si>
  <si>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</si>
  <si>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</si>
  <si>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</si>
  <si>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</si>
  <si>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</si>
  <si>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</si>
  <si>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</si>
  <si>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</si>
  <si>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</si>
  <si>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</si>
  <si>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</si>
  <si>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</si>
  <si>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</si>
  <si>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</si>
  <si>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</si>
  <si>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</si>
  <si>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</si>
  <si>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</si>
  <si>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</si>
  <si>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</si>
  <si>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</si>
  <si>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</si>
  <si>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</si>
  <si>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</si>
  <si>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</si>
  <si>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</si>
  <si>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</si>
  <si>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</si>
  <si>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</si>
  <si>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</si>
  <si>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</si>
  <si>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</si>
  <si>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</si>
  <si>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</si>
  <si>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</si>
  <si>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</si>
  <si>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</si>
  <si>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</si>
  <si>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</si>
  <si>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</si>
  <si>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</si>
  <si>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</si>
  <si>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</si>
  <si>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</si>
  <si>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</si>
  <si>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</si>
  <si>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</si>
  <si>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</si>
  <si>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</si>
  <si>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</si>
  <si>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</si>
  <si>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</si>
  <si>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</si>
  <si>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</si>
  <si>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</si>
  <si>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</si>
  <si>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</si>
  <si>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</si>
  <si>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</si>
  <si>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</si>
  <si>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</si>
  <si>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</si>
  <si>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</si>
  <si>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</si>
  <si>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</si>
  <si>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</si>
  <si>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</si>
  <si>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</si>
  <si>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</si>
  <si>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</si>
  <si>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</si>
  <si>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</si>
  <si>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</si>
  <si>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</si>
  <si>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</si>
  <si>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</si>
  <si>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</si>
  <si>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</si>
  <si>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</si>
  <si>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</si>
  <si>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</si>
  <si>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</si>
  <si>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</si>
  <si>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</si>
  <si>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</si>
  <si>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</si>
  <si>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</si>
  <si>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</si>
  <si>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</si>
  <si>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</si>
  <si>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</si>
  <si>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</si>
  <si>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</si>
  <si>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</si>
  <si>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</si>
  <si>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</si>
  <si>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</si>
  <si>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</si>
  <si>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</si>
  <si>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</si>
  <si>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</si>
  <si>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</si>
  <si>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</si>
  <si>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</si>
  <si>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</si>
  <si>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</si>
  <si>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20;58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</si>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</sst>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46" activePane="bottomLeft" state="frozen"/>
      <selection pane="bottomLeft" activeCell="E366" sqref="E36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/>
      <c r="I366" s="26"/>
      <c r="J366" s="26"/>
      <c r="K366" s="29">
        <v>0.8125</v>
      </c>
      <c r="L366" s="29"/>
      <c r="M366" s="30">
        <f t="shared" ref="M366:M377" ca="1" si="82">IFERROR(IF(K366="","",IF(L366="",MOD(NOW()-K366,1),IF(L366&gt;=K366,L366-K366,L366+1-K366))),"")</f>
        <v>6.687615740520414E-2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/>
      <c r="F367" s="27">
        <v>16</v>
      </c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28</v>
      </c>
      <c r="G378" s="36">
        <f>SUM(G366:G377)</f>
        <v>60</v>
      </c>
      <c r="H378" s="37"/>
      <c r="I378" s="37"/>
      <c r="J378" s="37"/>
      <c r="K378" s="37"/>
      <c r="L378" s="37"/>
      <c r="M378" s="38">
        <f ca="1">IFERROR(SUM(M366:M377),"")</f>
        <v>6.687615740520414E-2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303</v>
      </c>
      <c r="G379" s="40">
        <f>G365+G378</f>
        <v>1435</v>
      </c>
      <c r="H379" s="41"/>
      <c r="I379" s="41"/>
      <c r="J379" s="41"/>
      <c r="K379" s="41"/>
      <c r="L379" s="41"/>
      <c r="M379" s="42">
        <f ca="1">IFERROR(M365+M378,"")</f>
        <v>0.15784837962742626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64" activePane="bottomLeft" state="frozen"/>
      <selection pane="bottomLeft" activeCell="F368" sqref="F36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 t="s">
        <v>267</v>
      </c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33</v>
      </c>
      <c r="G378" s="36">
        <f>SUM(G366:G377)</f>
        <v>138.60000000000002</v>
      </c>
      <c r="H378" s="37"/>
      <c r="I378" s="37"/>
      <c r="J378" s="37"/>
      <c r="K378" s="37"/>
      <c r="L378" s="37"/>
      <c r="M378" s="38">
        <f ca="1">IFERROR(SUM(M366:M377),"")</f>
        <v>1.388888888888884E-3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191</v>
      </c>
      <c r="G379" s="40">
        <f>G365+G378</f>
        <v>802.2</v>
      </c>
      <c r="H379" s="41"/>
      <c r="I379" s="41"/>
      <c r="J379" s="41"/>
      <c r="K379" s="41"/>
      <c r="L379" s="41"/>
      <c r="M379" s="42">
        <f ca="1">IFERROR(M365+M378,"")</f>
        <v>0.11111111111111105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58" zoomScale="50" zoomScaleNormal="50" workbookViewId="0">
      <selection activeCell="F368" sqref="F36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276</v>
      </c>
      <c r="N166" s="27" t="s">
        <v>277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23</v>
      </c>
      <c r="G378" s="36">
        <f>SUM(G366:G377)</f>
        <v>96.600000000000009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32</v>
      </c>
      <c r="G379" s="40">
        <f>G365+G378</f>
        <v>134.4</v>
      </c>
      <c r="H379" s="41"/>
      <c r="I379" s="41"/>
      <c r="J379" s="41"/>
      <c r="K379" s="41"/>
      <c r="L379" s="41"/>
      <c r="M379" s="42">
        <f ca="1">IFERROR(M365+M378,"")</f>
        <v>0.43124999999999997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46" activePane="bottomLeft" state="frozen"/>
      <selection pane="bottomLeft" activeCell="F368" sqref="F36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291</v>
      </c>
      <c r="L58" s="29">
        <v>0.54097222222222219</v>
      </c>
      <c r="M58" s="30" t="str">
        <f t="shared" ca="1" si="13"/>
        <v/>
      </c>
      <c r="N58" s="27" t="s">
        <v>292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0.63007060185191222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0.82937615740746784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1.1967372685185789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46</v>
      </c>
      <c r="E369" s="59" t="s">
        <v>236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46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46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46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46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46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46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46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46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32</v>
      </c>
      <c r="G378" s="36">
        <f>SUM(G366:G377)</f>
        <v>134.4</v>
      </c>
      <c r="H378" s="37"/>
      <c r="I378" s="37"/>
      <c r="J378" s="37"/>
      <c r="K378" s="61"/>
      <c r="L378" s="61"/>
      <c r="M378" s="38">
        <f ca="1">IFERROR(SUM(M366:M377),"")</f>
        <v>1.7361111111111049E-2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157</v>
      </c>
      <c r="G379" s="40">
        <f>G365+G378</f>
        <v>659.4</v>
      </c>
      <c r="H379" s="41"/>
      <c r="I379" s="41"/>
      <c r="J379" s="41"/>
      <c r="K379" s="63"/>
      <c r="L379" s="63"/>
      <c r="M379" s="42">
        <f ca="1">IFERROR(M365+M378,"")</f>
        <v>0.12222222222222223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2026-07-15T01:06:19Z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