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8" documentId="8_{C51EB6CB-002B-4D6B-B68F-DDEBDB4460C0}" xr6:coauthVersionLast="47" xr6:coauthVersionMax="47" xr10:uidLastSave="{D69C251B-8BFB-4B89-A8BF-80F22156E6E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<sst xmlns="http://schemas.openxmlformats.org/spreadsheetml/2006/main" count="1379" uniqueCount="240">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</sst>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5" sqref="E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F16" sqref="F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/>
      <c r="I15" s="33"/>
      <c r="J15" s="33"/>
      <c r="K15" s="29">
        <v>0.84097222222222223</v>
      </c>
      <c r="L15" s="29"/>
      <c r="M15" s="35">
        <f t="shared" ref="M15:M26" ca="1" si="4">IFERROR(IF(K15="","",IF(L15="",MOD(NOW()-K15,1),IF(L15&gt;=K15,L15-K15,L15+1-K15))),"")</f>
        <v>1.2763888880726881E-3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26</v>
      </c>
      <c r="G27" s="36">
        <f>SUM(G15:G26)</f>
        <v>109.2</v>
      </c>
      <c r="H27" s="37"/>
      <c r="I27" s="37"/>
      <c r="J27" s="37"/>
      <c r="K27" s="37"/>
      <c r="L27" s="37"/>
      <c r="M27" s="38">
        <f ca="1">IFERROR(SUM(M15:M26),"")</f>
        <v>1.2763888880726881E-3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138</v>
      </c>
      <c r="G28" s="40">
        <f>G14+G27</f>
        <v>579.6</v>
      </c>
      <c r="H28" s="41"/>
      <c r="I28" s="41"/>
      <c r="J28" s="41"/>
      <c r="K28" s="41"/>
      <c r="L28" s="41"/>
      <c r="M28" s="42">
        <f ca="1">IFERROR(M14+M27,"")</f>
        <v>0.20197083333251703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L19" sqref="L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3.8888888888888973E-2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7.777777777777789E-2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2026-08-02T00:12:55Z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