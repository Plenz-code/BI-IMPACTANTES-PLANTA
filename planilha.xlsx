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03" documentId="13_ncr:1_{A6DBCFB4-28D9-4249-9038-216934055CA6}" xr6:coauthVersionLast="47" xr6:coauthVersionMax="47" xr10:uidLastSave="{07E00B41-2E95-49EE-A03C-B6ED409359BC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<sst xmlns="http://schemas.openxmlformats.org/spreadsheetml/2006/main" count="10071" uniqueCount="428">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</sst>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78" activePane="bottomLeft" state="frozen"/>
      <selection pane="bottomLeft" activeCell="E599" sqref="E599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0.16111111111111109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0.16111111111111109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N596" sqref="N596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0.33247499999561114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0.47136388888449887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0.55608611110672168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/>
      <c r="Q596" s="66">
        <f t="shared" ref="Q596:Q607" ca="1" si="156">IFERROR(IF(O596="","",IF(P596="",MOD(NOW()-O596,1),IF(P596&gt;=O596,P596-O596,P596+1-O596))),"")</f>
        <v>6.0861111123813316E-3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46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193.2</v>
      </c>
      <c r="L608" s="72"/>
      <c r="M608" s="72"/>
      <c r="N608" s="72"/>
      <c r="O608" s="72"/>
      <c r="P608" s="72"/>
      <c r="Q608" s="73">
        <f ca="1">IFERROR(SUM(Q596:Q607),"")</f>
        <v>6.0861111123813316E-3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46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193.2</v>
      </c>
      <c r="L622" s="76"/>
      <c r="M622" s="76"/>
      <c r="N622" s="76"/>
      <c r="O622" s="76"/>
      <c r="P622" s="76"/>
      <c r="Q622" s="77">
        <f ca="1">IFERROR(Q608+Q621,"")</f>
        <v>6.0861111123813316E-3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N598" sqref="N598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1"/>
        <v>0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/>
      <c r="Q598" s="66">
        <f t="shared" ca="1" si="153"/>
        <v>6.0861111123813316E-3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14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58.800000000000004</v>
      </c>
      <c r="L608" s="72"/>
      <c r="M608" s="72"/>
      <c r="N608" s="72"/>
      <c r="O608" s="72"/>
      <c r="P608" s="72"/>
      <c r="Q608" s="73">
        <f ca="1">IFERROR(SUM(Q596:Q607),"")</f>
        <v>3.8725000001270216E-2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14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58.800000000000004</v>
      </c>
      <c r="L622" s="76"/>
      <c r="M622" s="76"/>
      <c r="N622" s="76"/>
      <c r="O622" s="76"/>
      <c r="P622" s="76"/>
      <c r="Q622" s="77">
        <f ca="1">IFERROR(Q608+Q621,"")</f>
        <v>3.8725000001270216E-2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3" activePane="bottomLeft" state="frozen"/>
      <selection pane="bottomLeft" activeCell="G599" sqref="G599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/>
      <c r="H599" s="88" t="str">
        <f>IFERROR(IF($G599="","",$G599*$S$608/$G$608/Cadastro!$E$33),"")</f>
        <v/>
      </c>
      <c r="I599" s="90">
        <f>IFERROR(IF($D599="","",VLOOKUP($D599,Cadastro!$C$4:$G$7,5,FALSE())),"")</f>
        <v>0.6</v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/>
      <c r="H600" s="88" t="str">
        <f>IFERROR(IF($G600="","",$G600*$S$608/$G$608/Cadastro!$E$33),"")</f>
        <v/>
      </c>
      <c r="I600" s="90">
        <f>IFERROR(IF($D600="","",VLOOKUP($D600,Cadastro!$C$4:$G$7,5,FALSE())),"")</f>
        <v>0.6</v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33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138.6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33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138.6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2026-08-23T14:54:15Z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