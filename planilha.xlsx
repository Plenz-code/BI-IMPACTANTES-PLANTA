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29" documentId="13_ncr:1_{0A10D8D4-8450-4366-8075-B53B08E6B7EA}" xr6:coauthVersionLast="47" xr6:coauthVersionMax="47" xr10:uidLastSave="{473E216B-0F58-4513-89AA-366EF7330A4D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<sst xmlns="http://schemas.openxmlformats.org/spreadsheetml/2006/main" count="8099" uniqueCount="377">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</sst>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2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2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2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2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2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2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2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2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2"/>
      <c r="N59" s="17"/>
      <c r="O59" s="17"/>
      <c r="P59" s="17" t="s">
        <v>219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220</v>
      </c>
      <c r="Q61" s="17"/>
      <c r="R61" s="17"/>
    </row>
    <row r="62" spans="1:18" ht="15" customHeight="1">
      <c r="M62" s="172"/>
      <c r="N62" s="16"/>
      <c r="O62" s="16"/>
      <c r="P62" s="16" t="s">
        <v>221</v>
      </c>
      <c r="Q62" s="16"/>
      <c r="R62" s="16"/>
    </row>
    <row r="63" spans="1:18" ht="15" customHeight="1">
      <c r="M63" s="172"/>
      <c r="N63" s="17"/>
      <c r="O63" s="17"/>
      <c r="P63" s="17" t="s">
        <v>222</v>
      </c>
      <c r="Q63" s="17"/>
      <c r="R63" s="17"/>
    </row>
    <row r="64" spans="1:18" ht="15" customHeight="1">
      <c r="M64" s="172"/>
      <c r="N64" s="16"/>
      <c r="O64" s="16"/>
      <c r="P64" s="16" t="s">
        <v>223</v>
      </c>
      <c r="Q64" s="16"/>
      <c r="R64" s="16"/>
    </row>
    <row r="65" spans="13:18" ht="15" customHeight="1">
      <c r="M65" s="172"/>
      <c r="N65" s="17"/>
      <c r="O65" s="17"/>
      <c r="P65" s="17" t="s">
        <v>224</v>
      </c>
      <c r="Q65" s="17"/>
      <c r="R65" s="17"/>
    </row>
    <row r="66" spans="13:18" ht="15" customHeight="1">
      <c r="M66" s="172"/>
      <c r="N66" s="16"/>
      <c r="O66" s="16"/>
      <c r="P66" s="16" t="s">
        <v>225</v>
      </c>
      <c r="Q66" s="16"/>
      <c r="R66" s="16"/>
    </row>
    <row r="67" spans="13:18" ht="15" customHeight="1">
      <c r="M67" s="172"/>
      <c r="N67" s="17"/>
      <c r="O67" s="17"/>
      <c r="P67" s="17" t="s">
        <v>226</v>
      </c>
      <c r="Q67" s="17"/>
      <c r="R67" s="17"/>
    </row>
    <row r="68" spans="13:18" ht="15" customHeight="1">
      <c r="M68" s="172"/>
      <c r="N68" s="16"/>
      <c r="O68" s="16"/>
      <c r="P68" s="16" t="s">
        <v>227</v>
      </c>
      <c r="Q68" s="16"/>
      <c r="R68" s="16"/>
    </row>
    <row r="69" spans="13:18" ht="15" customHeight="1">
      <c r="M69" s="172"/>
      <c r="N69" s="17"/>
      <c r="O69" s="17"/>
      <c r="P69" s="17" t="s">
        <v>228</v>
      </c>
      <c r="Q69" s="17"/>
      <c r="R69" s="17"/>
    </row>
    <row r="70" spans="13:18" ht="15" customHeight="1">
      <c r="M70" s="172"/>
      <c r="N70" s="16"/>
      <c r="O70" s="16"/>
      <c r="P70" s="16" t="s">
        <v>229</v>
      </c>
      <c r="Q70" s="16"/>
      <c r="R70" s="16"/>
    </row>
    <row r="71" spans="13:18" ht="15" customHeight="1">
      <c r="M71" s="172"/>
      <c r="N71" s="17"/>
      <c r="O71" s="17"/>
      <c r="P71" s="17" t="s">
        <v>230</v>
      </c>
      <c r="Q71" s="17"/>
      <c r="R71" s="17"/>
    </row>
    <row r="72" spans="13:18" ht="15" customHeight="1">
      <c r="M72" s="172"/>
      <c r="N72" s="16"/>
      <c r="O72" s="16"/>
      <c r="P72" s="16" t="s">
        <v>231</v>
      </c>
      <c r="Q72" s="16"/>
      <c r="R72" s="16"/>
    </row>
    <row r="73" spans="13:18" ht="15" customHeight="1">
      <c r="M73" s="172"/>
      <c r="N73" s="17"/>
      <c r="O73" s="17"/>
      <c r="P73" s="17" t="s">
        <v>232</v>
      </c>
      <c r="Q73" s="17"/>
      <c r="R73" s="17"/>
    </row>
    <row r="74" spans="13:18" ht="15" customHeight="1">
      <c r="M74" s="172"/>
      <c r="N74" s="16"/>
      <c r="O74" s="16"/>
      <c r="P74" s="16" t="s">
        <v>233</v>
      </c>
      <c r="Q74" s="16"/>
      <c r="R74" s="16"/>
    </row>
    <row r="75" spans="13:18" ht="15" customHeight="1">
      <c r="M75" s="172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5" sqref="L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246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249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246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249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246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249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246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249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246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249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246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249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246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249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246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249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246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249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246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249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246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249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246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249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246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249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246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249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246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249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246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249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246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249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246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245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245</v>
      </c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249</v>
      </c>
      <c r="B486" s="162"/>
      <c r="C486" s="162"/>
      <c r="D486" s="162"/>
      <c r="E486" s="174">
        <f>SUM(E474:E485)</f>
        <v>0</v>
      </c>
      <c r="F486" s="36">
        <f>SUM(F474:F485)</f>
        <v>136</v>
      </c>
      <c r="G486" s="36">
        <f>SUM(G474:G485)</f>
        <v>680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75">
        <f>E473+E486</f>
        <v>0</v>
      </c>
      <c r="F487" s="40">
        <f>F473+F486</f>
        <v>483</v>
      </c>
      <c r="G487" s="40">
        <f>G473+G486</f>
        <v>2415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246</v>
      </c>
      <c r="B500" s="162"/>
      <c r="C500" s="162"/>
      <c r="D500" s="162"/>
      <c r="E500" s="17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249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246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249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246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249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246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249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246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249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246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249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246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249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246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249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246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249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246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249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246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249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246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249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7" t="s">
        <v>250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246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249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O478" sqref="O47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246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249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246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0.84177731481031515</v>
      </c>
      <c r="R53" s="46" t="s">
        <v>289</v>
      </c>
      <c r="S53" s="31"/>
    </row>
    <row r="54" spans="1:20" ht="15.75" customHeight="1" thickBot="1">
      <c r="A54" s="161" t="s">
        <v>249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0.98066620369920399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1.0653884259214264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246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249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246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249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246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249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246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249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246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249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246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249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246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249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246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249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246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249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246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249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246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249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246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249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246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249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246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246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249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246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320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249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5.208333333333337E-2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0.17152777777777772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246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246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249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246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249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246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249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246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249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246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249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246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249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246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249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246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249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246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249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246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249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246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249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246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249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75" sqref="G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246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249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246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249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246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249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246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249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246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249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246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249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246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249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246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249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246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249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246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249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246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249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246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249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246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249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246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249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246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249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246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249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246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249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246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249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246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249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246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249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246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249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246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249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246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249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246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249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246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249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246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249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246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249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246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249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246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249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246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249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246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249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E485" sqref="E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246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249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246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249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246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249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246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249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246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249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249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246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249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246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249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246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249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246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249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246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249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246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249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246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249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249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246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249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246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249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246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249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246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8.0666203699365724E-2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249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9.5249537032699005E-2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0.38830509258825435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246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249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246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249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246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249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246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249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246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249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246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249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246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249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246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249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246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249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246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249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246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249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246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249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246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249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2026-08-19T03:07:27Z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