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94" documentId="8_{C51EB6CB-002B-4D6B-B68F-DDEBDB4460C0}" xr6:coauthVersionLast="47" xr6:coauthVersionMax="47" xr10:uidLastSave="{F06EA5AB-E63C-48EB-B3DB-D7B612F6554C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<sst xmlns="http://schemas.openxmlformats.org/spreadsheetml/2006/main" count="2604" uniqueCount="265">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</sst>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9" activePane="bottomLeft" state="frozen"/>
      <selection pane="bottomLeft" activeCell="E100" sqref="E1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78</v>
      </c>
      <c r="G108" s="36">
        <f>SUM(G96:G107)</f>
        <v>390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387</v>
      </c>
      <c r="G109" s="40">
        <f>G95+G108</f>
        <v>1935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0.75729571758711245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0.89618460647600129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0.98090682869822365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3</v>
      </c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8.7156828703882638E-2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8.7156828703882638E-2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0.30382349537054937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K96" sqref="K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/>
      <c r="I96" s="26"/>
      <c r="J96" s="26"/>
      <c r="K96" s="29">
        <v>0.87638888888888888</v>
      </c>
      <c r="L96" s="29"/>
      <c r="M96" s="30">
        <f t="shared" ref="M96:M107" ca="1" si="22">IFERROR(IF(K96="","",IF(L96="",MOD(NOW()-K96,1),IF(L96&gt;=K96,L96-K96,L96+1-K96))),"")</f>
        <v>2.434606481983792E-3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</v>
      </c>
      <c r="G108" s="36">
        <f>SUM(G96:G107)</f>
        <v>21</v>
      </c>
      <c r="H108" s="37"/>
      <c r="I108" s="37"/>
      <c r="J108" s="37"/>
      <c r="K108" s="37"/>
      <c r="L108" s="37"/>
      <c r="M108" s="38">
        <f ca="1">IFERROR(SUM(M96:M107),"")</f>
        <v>2.434606481983792E-3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53</v>
      </c>
      <c r="G109" s="40">
        <f>G95+G108</f>
        <v>222.6</v>
      </c>
      <c r="H109" s="41"/>
      <c r="I109" s="41"/>
      <c r="J109" s="41"/>
      <c r="K109" s="41"/>
      <c r="L109" s="41"/>
      <c r="M109" s="42">
        <f ca="1">IFERROR(M95+M108,"")</f>
        <v>0.15868460648198379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G101" sqref="G1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20</v>
      </c>
      <c r="G108" s="36">
        <f>SUM(G96:G107)</f>
        <v>84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203</v>
      </c>
      <c r="G109" s="40">
        <f>G95+G108</f>
        <v>852.6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2026-08-05T01:05:44Z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