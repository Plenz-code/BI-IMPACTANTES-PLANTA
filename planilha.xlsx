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806" documentId="13_ncr:1_{0A10D8D4-8450-4366-8075-B53B08E6B7EA}" xr6:coauthVersionLast="47" xr6:coauthVersionMax="47" xr10:uidLastSave="{8857D755-BD2E-43C5-B95D-7590AE693FA5}"/>
  <bookViews>
    <workbookView xWindow="-120" yWindow="-120" windowWidth="29040" windowHeight="1572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5" i="3" l="1"/>
  <c r="G456" i="3"/>
  <c r="G451" i="3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82" i="6"/>
  <c r="J482" i="6" s="1"/>
  <c r="H483" i="6"/>
  <c r="J483" i="6" s="1"/>
  <c r="H484" i="6"/>
  <c r="J484" i="6" s="1"/>
  <c r="H485" i="6"/>
  <c r="J485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81" i="5"/>
  <c r="J481" i="5" s="1"/>
  <c r="H482" i="5"/>
  <c r="J482" i="5" s="1"/>
  <c r="H483" i="5"/>
  <c r="J483" i="5" s="1"/>
  <c r="H484" i="5"/>
  <c r="J484" i="5" s="1"/>
  <c r="H485" i="5"/>
  <c r="J485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82" i="4"/>
  <c r="J482" i="4" s="1"/>
  <c r="H483" i="4"/>
  <c r="J483" i="4" s="1"/>
  <c r="H484" i="4"/>
  <c r="J484" i="4" s="1"/>
  <c r="H485" i="4"/>
  <c r="J485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729" i="6"/>
  <c r="H810" i="6"/>
  <c r="H689" i="6"/>
  <c r="H837" i="6"/>
  <c r="H824" i="5"/>
  <c r="H838" i="5" s="1"/>
  <c r="H702" i="5"/>
  <c r="H594" i="5"/>
  <c r="H581" i="5"/>
  <c r="H621" i="5"/>
  <c r="H648" i="5"/>
  <c r="H635" i="5"/>
  <c r="H689" i="5"/>
  <c r="H608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581" i="4"/>
  <c r="H770" i="4"/>
  <c r="H635" i="4"/>
  <c r="H648" i="4"/>
  <c r="H729" i="4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H472" i="6" s="1"/>
  <c r="J472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H480" i="5" s="1"/>
  <c r="J480" i="5" s="1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80" i="6" l="1"/>
  <c r="J480" i="6" s="1"/>
  <c r="H481" i="6"/>
  <c r="J481" i="6" s="1"/>
  <c r="H480" i="4"/>
  <c r="J480" i="4" s="1"/>
  <c r="H481" i="4"/>
  <c r="J481" i="4" s="1"/>
  <c r="H477" i="5"/>
  <c r="J477" i="5" s="1"/>
  <c r="H479" i="5"/>
  <c r="J479" i="5" s="1"/>
  <c r="H477" i="6"/>
  <c r="J477" i="6" s="1"/>
  <c r="H479" i="6"/>
  <c r="J479" i="6" s="1"/>
  <c r="H477" i="4"/>
  <c r="J477" i="4" s="1"/>
  <c r="H479" i="4"/>
  <c r="J479" i="4" s="1"/>
  <c r="H476" i="6"/>
  <c r="J476" i="6" s="1"/>
  <c r="H478" i="6"/>
  <c r="J478" i="6" s="1"/>
  <c r="H474" i="5"/>
  <c r="J474" i="5" s="1"/>
  <c r="H478" i="5"/>
  <c r="J478" i="5" s="1"/>
  <c r="H476" i="4"/>
  <c r="J476" i="4" s="1"/>
  <c r="H478" i="4"/>
  <c r="J478" i="4" s="1"/>
  <c r="H475" i="5"/>
  <c r="H476" i="5"/>
  <c r="J476" i="5" s="1"/>
  <c r="H474" i="6"/>
  <c r="H475" i="6"/>
  <c r="J475" i="6" s="1"/>
  <c r="J475" i="5"/>
  <c r="J486" i="5" s="1"/>
  <c r="T486" i="5" s="1"/>
  <c r="H486" i="5"/>
  <c r="H474" i="4"/>
  <c r="H475" i="4"/>
  <c r="J475" i="4" s="1"/>
  <c r="J474" i="6"/>
  <c r="J486" i="6" s="1"/>
  <c r="T486" i="6" s="1"/>
  <c r="H486" i="6"/>
  <c r="J474" i="4"/>
  <c r="J486" i="4" s="1"/>
  <c r="T486" i="4" s="1"/>
  <c r="H486" i="4"/>
  <c r="H471" i="5"/>
  <c r="J471" i="5" s="1"/>
  <c r="H472" i="5"/>
  <c r="J472" i="5" s="1"/>
  <c r="H471" i="4"/>
  <c r="J471" i="4" s="1"/>
  <c r="H472" i="4"/>
  <c r="J472" i="4" s="1"/>
  <c r="H470" i="6"/>
  <c r="J470" i="6" s="1"/>
  <c r="H471" i="6"/>
  <c r="J471" i="6" s="1"/>
  <c r="H469" i="5"/>
  <c r="J469" i="5" s="1"/>
  <c r="H470" i="5"/>
  <c r="J470" i="5" s="1"/>
  <c r="H469" i="4"/>
  <c r="J469" i="4" s="1"/>
  <c r="H470" i="4"/>
  <c r="J470" i="4" s="1"/>
  <c r="H468" i="6"/>
  <c r="J468" i="6" s="1"/>
  <c r="H469" i="6"/>
  <c r="J469" i="6" s="1"/>
  <c r="H467" i="5"/>
  <c r="J467" i="5" s="1"/>
  <c r="H468" i="5"/>
  <c r="J468" i="5" s="1"/>
  <c r="H467" i="4"/>
  <c r="J467" i="4" s="1"/>
  <c r="H468" i="4"/>
  <c r="J468" i="4" s="1"/>
  <c r="H466" i="6"/>
  <c r="J466" i="6" s="1"/>
  <c r="H467" i="6"/>
  <c r="J467" i="6" s="1"/>
  <c r="H465" i="4"/>
  <c r="J465" i="4" s="1"/>
  <c r="H466" i="4"/>
  <c r="J466" i="4" s="1"/>
  <c r="H465" i="5"/>
  <c r="J465" i="5" s="1"/>
  <c r="H466" i="5"/>
  <c r="J466" i="5" s="1"/>
  <c r="H464" i="6"/>
  <c r="J464" i="6" s="1"/>
  <c r="H465" i="6"/>
  <c r="J465" i="6" s="1"/>
  <c r="H463" i="5"/>
  <c r="J463" i="5" s="1"/>
  <c r="H464" i="5"/>
  <c r="J464" i="5" s="1"/>
  <c r="H463" i="4"/>
  <c r="J463" i="4" s="1"/>
  <c r="H464" i="4"/>
  <c r="J464" i="4" s="1"/>
  <c r="H462" i="6"/>
  <c r="J462" i="6" s="1"/>
  <c r="H463" i="6"/>
  <c r="J463" i="6" s="1"/>
  <c r="H461" i="5"/>
  <c r="H462" i="5"/>
  <c r="J462" i="5" s="1"/>
  <c r="H461" i="4"/>
  <c r="H462" i="4"/>
  <c r="J462" i="4" s="1"/>
  <c r="G487" i="6"/>
  <c r="H461" i="6"/>
  <c r="J461" i="5"/>
  <c r="J473" i="5" s="1"/>
  <c r="H473" i="5"/>
  <c r="H487" i="5" s="1"/>
  <c r="J461" i="4"/>
  <c r="J473" i="4" s="1"/>
  <c r="H473" i="4"/>
  <c r="H487" i="4" s="1"/>
  <c r="H457" i="6"/>
  <c r="J457" i="6" s="1"/>
  <c r="H458" i="6"/>
  <c r="J458" i="6" s="1"/>
  <c r="H457" i="5"/>
  <c r="J457" i="5" s="1"/>
  <c r="H458" i="5"/>
  <c r="J458" i="5" s="1"/>
  <c r="H457" i="4"/>
  <c r="J457" i="4" s="1"/>
  <c r="H458" i="4"/>
  <c r="J458" i="4" s="1"/>
  <c r="H455" i="6"/>
  <c r="J455" i="6" s="1"/>
  <c r="H456" i="6"/>
  <c r="J456" i="6" s="1"/>
  <c r="H455" i="5"/>
  <c r="J455" i="5" s="1"/>
  <c r="H456" i="5"/>
  <c r="J456" i="5" s="1"/>
  <c r="H455" i="4"/>
  <c r="J455" i="4" s="1"/>
  <c r="H456" i="4"/>
  <c r="J456" i="4" s="1"/>
  <c r="H453" i="6"/>
  <c r="J453" i="6" s="1"/>
  <c r="H454" i="6"/>
  <c r="J454" i="6" s="1"/>
  <c r="H453" i="5"/>
  <c r="J453" i="5" s="1"/>
  <c r="H454" i="5"/>
  <c r="J454" i="5" s="1"/>
  <c r="H453" i="4"/>
  <c r="J453" i="4" s="1"/>
  <c r="H454" i="4"/>
  <c r="J454" i="4" s="1"/>
  <c r="H451" i="6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461" i="6" l="1"/>
  <c r="J473" i="6" s="1"/>
  <c r="H473" i="6"/>
  <c r="H487" i="6" s="1"/>
  <c r="T473" i="5"/>
  <c r="J487" i="5"/>
  <c r="T487" i="5" s="1"/>
  <c r="T473" i="4"/>
  <c r="J487" i="4"/>
  <c r="T487" i="4" s="1"/>
  <c r="T446" i="6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87" i="6" l="1"/>
  <c r="T487" i="6" s="1"/>
  <c r="H21" i="1" s="1"/>
  <c r="J21" i="1" s="1"/>
  <c r="T473" i="6"/>
  <c r="J433" i="4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<sst xmlns="http://schemas.openxmlformats.org/spreadsheetml/2006/main" count="8137" uniqueCount="380">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</sst>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80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9" fontId="6" fillId="8" borderId="10" xfId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6"/>
  <sheetViews>
    <sheetView showGridLines="0" topLeftCell="B1" zoomScaleNormal="100" workbookViewId="0">
      <pane ySplit="3" topLeftCell="A4" activePane="bottomLeft" state="frozen"/>
      <selection pane="bottomLeft" activeCell="N22" sqref="N2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customWidth="1"/>
    <col min="9" max="9" width="18.5703125" customWidth="1"/>
    <col min="10" max="10" width="13.140625" customWidth="1"/>
    <col min="11" max="11" width="22.140625" customWidth="1"/>
    <col min="12" max="13" width="8.5703125" customWidth="1"/>
  </cols>
  <sheetData>
    <row r="1" spans="1:11" ht="31.5" customHeight="1">
      <c r="A1" s="175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</row>
    <row r="2" spans="1:11" ht="30" customHeight="1">
      <c r="A2" s="173"/>
      <c r="B2" s="17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3981060</v>
      </c>
      <c r="D20" s="8">
        <f>IFERROR('Linha 1'!S460,"")</f>
        <v>1187750</v>
      </c>
      <c r="E20" s="8">
        <f>IFERROR('Linha 2'!S460,"")</f>
        <v>861190</v>
      </c>
      <c r="F20" s="8">
        <f>IFERROR('Linha 3'!S460,"")</f>
        <v>1858200</v>
      </c>
      <c r="G20" s="9">
        <f t="shared" si="0"/>
        <v>3907140</v>
      </c>
      <c r="H20" s="96">
        <f>IFERROR('Linha 1'!T460+'Linha 2'!T460+'Linha 3'!T460,0)</f>
        <v>767.1243122694566</v>
      </c>
      <c r="I20" s="96">
        <v>430.62</v>
      </c>
      <c r="J20" s="129">
        <f t="shared" si="1"/>
        <v>0.56134317882072593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2284390</v>
      </c>
      <c r="D21" s="11">
        <f>IFERROR('Linha 1'!S487,"")</f>
        <v>824760</v>
      </c>
      <c r="E21" s="11">
        <f>IFERROR('Linha 2'!S487,"")</f>
        <v>353640</v>
      </c>
      <c r="F21" s="11">
        <f>IFERROR('Linha 3'!S487,"")</f>
        <v>738810</v>
      </c>
      <c r="G21" s="12">
        <f t="shared" si="0"/>
        <v>1917210</v>
      </c>
      <c r="H21" s="96">
        <f>IFERROR('Linha 1'!T487+'Linha 2'!T487+'Linha 3'!T487,0)</f>
        <v>402.61409999999995</v>
      </c>
      <c r="I21" s="96"/>
      <c r="J21" s="129">
        <f t="shared" si="1"/>
        <v>0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74" t="s">
        <v>14</v>
      </c>
      <c r="B35" s="174"/>
      <c r="C35" s="13">
        <f t="shared" ref="C35:H35" si="2">IFERROR(SUM(C4:C34),"")</f>
        <v>66120180</v>
      </c>
      <c r="D35" s="13">
        <f t="shared" si="2"/>
        <v>21549780</v>
      </c>
      <c r="E35" s="13">
        <f t="shared" si="2"/>
        <v>11277270</v>
      </c>
      <c r="F35" s="13">
        <f t="shared" si="2"/>
        <v>27499380</v>
      </c>
      <c r="G35" s="13">
        <f t="shared" si="2"/>
        <v>60326430</v>
      </c>
      <c r="H35" s="97">
        <f t="shared" si="2"/>
        <v>4856.7399450601888</v>
      </c>
      <c r="I35" s="97">
        <f>IFERROR(SUM(I4:I34),"")</f>
        <v>4326.08</v>
      </c>
      <c r="J35" s="130">
        <f>IFERROR(AVERAGE(J4:J34),"-")</f>
        <v>0.74921162731186064</v>
      </c>
      <c r="K35" s="157">
        <f>SUM(K4:K34)</f>
        <v>450.78</v>
      </c>
    </row>
    <row r="36" spans="1:11">
      <c r="J36" s="160"/>
    </row>
  </sheetData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15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16</v>
      </c>
      <c r="O1" s="179"/>
      <c r="P1" s="179"/>
      <c r="Q1" s="179"/>
      <c r="R1" s="179"/>
    </row>
    <row r="2" spans="1:18" ht="4.5" customHeight="1">
      <c r="M2" s="178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78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78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78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78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78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78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78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78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78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78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78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78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78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78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78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78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78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78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78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78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78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78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78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78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78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78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78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78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78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78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78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78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78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78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78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78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78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78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78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78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78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78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78"/>
      <c r="N45" s="17"/>
      <c r="O45" s="17"/>
      <c r="P45" s="17" t="s">
        <v>192</v>
      </c>
      <c r="Q45" s="17"/>
      <c r="R45" s="17" t="s">
        <v>193</v>
      </c>
    </row>
    <row r="46" spans="1:18" ht="15.75" customHeight="1">
      <c r="A46" s="16"/>
      <c r="C46" s="16"/>
      <c r="J46" s="16"/>
      <c r="L46" s="16"/>
      <c r="M46" s="178"/>
      <c r="N46" s="16"/>
      <c r="O46" s="16"/>
      <c r="P46" s="16" t="s">
        <v>194</v>
      </c>
      <c r="Q46" s="16"/>
      <c r="R46" s="16" t="s">
        <v>195</v>
      </c>
    </row>
    <row r="47" spans="1:18" ht="15.75" customHeight="1">
      <c r="A47" s="17"/>
      <c r="C47" s="17"/>
      <c r="J47" s="17"/>
      <c r="L47" s="17"/>
      <c r="M47" s="178"/>
      <c r="N47" s="17"/>
      <c r="O47" s="17"/>
      <c r="P47" s="17" t="s">
        <v>196</v>
      </c>
      <c r="Q47" s="17"/>
      <c r="R47" s="17" t="s">
        <v>197</v>
      </c>
    </row>
    <row r="48" spans="1:18" ht="15.75" customHeight="1">
      <c r="A48" s="16"/>
      <c r="C48" s="16"/>
      <c r="J48" s="16"/>
      <c r="L48" s="16"/>
      <c r="M48" s="178"/>
      <c r="N48" s="16"/>
      <c r="O48" s="16"/>
      <c r="P48" s="16" t="s">
        <v>198</v>
      </c>
      <c r="Q48" s="16"/>
      <c r="R48" s="16" t="s">
        <v>199</v>
      </c>
    </row>
    <row r="49" spans="1:18" ht="18" customHeight="1">
      <c r="M49" s="178"/>
      <c r="N49" s="17"/>
      <c r="O49" s="17"/>
      <c r="P49" s="17" t="s">
        <v>200</v>
      </c>
      <c r="Q49" s="17"/>
      <c r="R49" s="17" t="s">
        <v>201</v>
      </c>
    </row>
    <row r="50" spans="1:18" ht="21" customHeight="1">
      <c r="A50" s="19" t="s">
        <v>202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78"/>
      <c r="N50" s="16"/>
      <c r="O50" s="16"/>
      <c r="P50" s="16" t="s">
        <v>203</v>
      </c>
      <c r="Q50" s="16"/>
      <c r="R50" s="16" t="s">
        <v>204</v>
      </c>
    </row>
    <row r="51" spans="1:18" ht="24" customHeight="1">
      <c r="M51" s="178"/>
      <c r="N51" s="17"/>
      <c r="O51" s="17"/>
      <c r="P51" s="17" t="s">
        <v>205</v>
      </c>
      <c r="Q51" s="17"/>
      <c r="R51" s="17" t="s">
        <v>206</v>
      </c>
    </row>
    <row r="52" spans="1:18" ht="24" customHeight="1">
      <c r="M52" s="178"/>
      <c r="N52" s="16"/>
      <c r="O52" s="16"/>
      <c r="P52" s="16" t="s">
        <v>207</v>
      </c>
      <c r="Q52" s="16"/>
      <c r="R52" s="16" t="s">
        <v>208</v>
      </c>
    </row>
    <row r="53" spans="1:18" ht="36" customHeight="1">
      <c r="M53" s="178"/>
      <c r="N53" s="17"/>
      <c r="O53" s="17"/>
      <c r="P53" s="17" t="s">
        <v>209</v>
      </c>
      <c r="Q53" s="17"/>
      <c r="R53" s="17" t="s">
        <v>210</v>
      </c>
    </row>
    <row r="54" spans="1:18" ht="15" customHeight="1">
      <c r="M54" s="178"/>
      <c r="N54" s="16"/>
      <c r="O54" s="16"/>
      <c r="P54" s="16" t="s">
        <v>211</v>
      </c>
      <c r="Q54" s="16"/>
      <c r="R54" s="16" t="s">
        <v>212</v>
      </c>
    </row>
    <row r="55" spans="1:18" ht="15" customHeight="1">
      <c r="M55" s="178"/>
      <c r="N55" s="17"/>
      <c r="O55" s="17"/>
      <c r="P55" s="17" t="s">
        <v>213</v>
      </c>
      <c r="Q55" s="17"/>
      <c r="R55" s="17" t="s">
        <v>214</v>
      </c>
    </row>
    <row r="56" spans="1:18" ht="15" customHeight="1">
      <c r="M56" s="178"/>
      <c r="N56" s="16"/>
      <c r="O56" s="16"/>
      <c r="P56" s="16" t="s">
        <v>215</v>
      </c>
      <c r="Q56" s="16"/>
      <c r="R56" s="16" t="s">
        <v>216</v>
      </c>
    </row>
    <row r="57" spans="1:18" ht="15" customHeight="1">
      <c r="M57" s="178"/>
      <c r="N57" s="17"/>
      <c r="O57" s="17"/>
      <c r="P57" s="17" t="s">
        <v>57</v>
      </c>
      <c r="Q57" s="17"/>
      <c r="R57" s="17" t="s">
        <v>217</v>
      </c>
    </row>
    <row r="58" spans="1:18" ht="15" customHeight="1">
      <c r="M58" s="178"/>
      <c r="N58" s="16"/>
      <c r="O58" s="16"/>
      <c r="P58" s="16" t="s">
        <v>218</v>
      </c>
      <c r="Q58" s="16"/>
      <c r="R58" s="16" t="s">
        <v>219</v>
      </c>
    </row>
    <row r="59" spans="1:18" ht="15" customHeight="1">
      <c r="M59" s="178"/>
      <c r="N59" s="17"/>
      <c r="O59" s="17"/>
      <c r="P59" s="17" t="s">
        <v>220</v>
      </c>
      <c r="Q59" s="17"/>
      <c r="R59" s="17"/>
    </row>
    <row r="60" spans="1:18" ht="15" customHeight="1">
      <c r="M60" s="178"/>
      <c r="N60" s="16"/>
      <c r="O60" s="16"/>
      <c r="P60" s="77" t="s">
        <v>112</v>
      </c>
      <c r="Q60" s="16"/>
      <c r="R60" s="16"/>
    </row>
    <row r="61" spans="1:18" ht="15" customHeight="1">
      <c r="M61" s="178"/>
      <c r="N61" s="17"/>
      <c r="O61" s="17"/>
      <c r="P61" s="17" t="s">
        <v>221</v>
      </c>
      <c r="Q61" s="17"/>
      <c r="R61" s="17"/>
    </row>
    <row r="62" spans="1:18" ht="15" customHeight="1">
      <c r="M62" s="178"/>
      <c r="N62" s="16"/>
      <c r="O62" s="16"/>
      <c r="P62" s="16" t="s">
        <v>222</v>
      </c>
      <c r="Q62" s="16"/>
      <c r="R62" s="16"/>
    </row>
    <row r="63" spans="1:18" ht="15" customHeight="1">
      <c r="M63" s="178"/>
      <c r="N63" s="17"/>
      <c r="O63" s="17"/>
      <c r="P63" s="17" t="s">
        <v>223</v>
      </c>
      <c r="Q63" s="17"/>
      <c r="R63" s="17"/>
    </row>
    <row r="64" spans="1:18" ht="15" customHeight="1">
      <c r="M64" s="178"/>
      <c r="N64" s="16"/>
      <c r="O64" s="16"/>
      <c r="P64" s="16" t="s">
        <v>224</v>
      </c>
      <c r="Q64" s="16"/>
      <c r="R64" s="16"/>
    </row>
    <row r="65" spans="13:18" ht="15" customHeight="1">
      <c r="M65" s="178"/>
      <c r="N65" s="17"/>
      <c r="O65" s="17"/>
      <c r="P65" s="17" t="s">
        <v>225</v>
      </c>
      <c r="Q65" s="17"/>
      <c r="R65" s="17"/>
    </row>
    <row r="66" spans="13:18" ht="15" customHeight="1">
      <c r="M66" s="178"/>
      <c r="N66" s="16"/>
      <c r="O66" s="16"/>
      <c r="P66" s="16" t="s">
        <v>226</v>
      </c>
      <c r="Q66" s="16"/>
      <c r="R66" s="16"/>
    </row>
    <row r="67" spans="13:18" ht="15" customHeight="1">
      <c r="M67" s="178"/>
      <c r="N67" s="17"/>
      <c r="O67" s="17"/>
      <c r="P67" s="17" t="s">
        <v>227</v>
      </c>
      <c r="Q67" s="17"/>
      <c r="R67" s="17"/>
    </row>
    <row r="68" spans="13:18" ht="15" customHeight="1">
      <c r="M68" s="178"/>
      <c r="N68" s="16"/>
      <c r="O68" s="16"/>
      <c r="P68" s="16" t="s">
        <v>228</v>
      </c>
      <c r="Q68" s="16"/>
      <c r="R68" s="16"/>
    </row>
    <row r="69" spans="13:18" ht="15" customHeight="1">
      <c r="M69" s="178"/>
      <c r="N69" s="17"/>
      <c r="O69" s="17"/>
      <c r="P69" s="17" t="s">
        <v>229</v>
      </c>
      <c r="Q69" s="17"/>
      <c r="R69" s="17"/>
    </row>
    <row r="70" spans="13:18" ht="15" customHeight="1">
      <c r="M70" s="178"/>
      <c r="N70" s="16"/>
      <c r="O70" s="16"/>
      <c r="P70" s="16" t="s">
        <v>230</v>
      </c>
      <c r="Q70" s="16"/>
      <c r="R70" s="16"/>
    </row>
    <row r="71" spans="13:18" ht="15" customHeight="1">
      <c r="M71" s="178"/>
      <c r="N71" s="17"/>
      <c r="O71" s="17"/>
      <c r="P71" s="17" t="s">
        <v>231</v>
      </c>
      <c r="Q71" s="17"/>
      <c r="R71" s="17"/>
    </row>
    <row r="72" spans="13:18" ht="15" customHeight="1">
      <c r="M72" s="178"/>
      <c r="N72" s="16"/>
      <c r="O72" s="16"/>
      <c r="P72" s="16" t="s">
        <v>232</v>
      </c>
      <c r="Q72" s="16"/>
      <c r="R72" s="16"/>
    </row>
    <row r="73" spans="13:18" ht="15" customHeight="1">
      <c r="M73" s="178"/>
      <c r="N73" s="17"/>
      <c r="O73" s="17"/>
      <c r="P73" s="17" t="s">
        <v>233</v>
      </c>
      <c r="Q73" s="17"/>
      <c r="R73" s="17"/>
    </row>
    <row r="74" spans="13:18" ht="15" customHeight="1">
      <c r="M74" s="178"/>
      <c r="N74" s="16"/>
      <c r="O74" s="16"/>
      <c r="P74" s="16" t="s">
        <v>234</v>
      </c>
      <c r="Q74" s="16"/>
      <c r="R74" s="16"/>
    </row>
    <row r="75" spans="13:18" ht="15" customHeight="1">
      <c r="M75" s="178"/>
      <c r="N75" s="17"/>
      <c r="O75" s="17"/>
      <c r="P75" s="17" t="s">
        <v>235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58" activePane="bottomLeft" state="frozen"/>
      <selection pane="bottomLeft" activeCell="L476" sqref="L476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23" t="s">
        <v>238</v>
      </c>
      <c r="G1" s="23" t="s">
        <v>239</v>
      </c>
      <c r="H1" s="23" t="s">
        <v>21</v>
      </c>
      <c r="I1" s="23" t="s">
        <v>22</v>
      </c>
      <c r="J1" s="23" t="s">
        <v>240</v>
      </c>
      <c r="K1" s="23" t="s">
        <v>241</v>
      </c>
      <c r="L1" s="23" t="s">
        <v>242</v>
      </c>
      <c r="M1" s="24" t="s">
        <v>243</v>
      </c>
      <c r="N1" s="23" t="s">
        <v>244</v>
      </c>
      <c r="O1" s="23" t="s">
        <v>245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246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246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246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246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246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246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246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246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246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246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246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246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70" t="s">
        <v>247</v>
      </c>
      <c r="B14" s="171"/>
      <c r="C14" s="171"/>
      <c r="D14" s="171"/>
      <c r="E14" s="17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248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246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246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246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249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246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246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246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246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246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246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246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70" t="s">
        <v>250</v>
      </c>
      <c r="B27" s="171"/>
      <c r="C27" s="171"/>
      <c r="D27" s="171"/>
      <c r="E27" s="17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248</v>
      </c>
      <c r="O27" s="39">
        <v>997910</v>
      </c>
    </row>
    <row r="28" spans="1:15" ht="18" customHeight="1">
      <c r="A28" s="167" t="s">
        <v>251</v>
      </c>
      <c r="B28" s="168"/>
      <c r="C28" s="168"/>
      <c r="D28" s="168"/>
      <c r="E28" s="169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252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246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246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253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246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249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246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246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246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246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246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246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70" t="s">
        <v>247</v>
      </c>
      <c r="B41" s="171"/>
      <c r="C41" s="171"/>
      <c r="D41" s="171"/>
      <c r="E41" s="17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248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246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254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246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246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246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246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246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246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246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70" t="s">
        <v>250</v>
      </c>
      <c r="B54" s="171"/>
      <c r="C54" s="171"/>
      <c r="D54" s="171"/>
      <c r="E54" s="17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248</v>
      </c>
      <c r="O54" s="39">
        <v>981310</v>
      </c>
    </row>
    <row r="55" spans="1:15" ht="18" customHeight="1">
      <c r="A55" s="167" t="s">
        <v>251</v>
      </c>
      <c r="B55" s="168"/>
      <c r="C55" s="168"/>
      <c r="D55" s="168"/>
      <c r="E55" s="169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252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246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246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246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246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246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246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246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246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246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246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246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246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70" t="s">
        <v>247</v>
      </c>
      <c r="B68" s="171"/>
      <c r="C68" s="171"/>
      <c r="D68" s="171"/>
      <c r="E68" s="17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248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246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246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255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246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246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246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246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246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246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246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246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70" t="s">
        <v>250</v>
      </c>
      <c r="B81" s="171"/>
      <c r="C81" s="171"/>
      <c r="D81" s="171"/>
      <c r="E81" s="17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248</v>
      </c>
      <c r="O81" s="39">
        <v>1547910</v>
      </c>
    </row>
    <row r="82" spans="1:15" ht="18" customHeight="1">
      <c r="A82" s="167" t="s">
        <v>251</v>
      </c>
      <c r="B82" s="168"/>
      <c r="C82" s="168"/>
      <c r="D82" s="168"/>
      <c r="E82" s="169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252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246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246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246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256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246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246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246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246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246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246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246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70" t="s">
        <v>247</v>
      </c>
      <c r="B95" s="171"/>
      <c r="C95" s="171"/>
      <c r="D95" s="171"/>
      <c r="E95" s="17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248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246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246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246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246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246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246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257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246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246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246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246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246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70" t="s">
        <v>250</v>
      </c>
      <c r="B108" s="171"/>
      <c r="C108" s="171"/>
      <c r="D108" s="171"/>
      <c r="E108" s="17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248</v>
      </c>
      <c r="O108" s="39">
        <v>3156240</v>
      </c>
    </row>
    <row r="109" spans="1:15" ht="18" customHeight="1">
      <c r="A109" s="167" t="s">
        <v>251</v>
      </c>
      <c r="B109" s="168"/>
      <c r="C109" s="168"/>
      <c r="D109" s="168"/>
      <c r="E109" s="169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252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246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246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246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246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246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70" t="s">
        <v>247</v>
      </c>
      <c r="B122" s="171"/>
      <c r="C122" s="171"/>
      <c r="D122" s="171"/>
      <c r="E122" s="17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248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246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246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246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246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246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246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246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246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246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246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246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246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70" t="s">
        <v>250</v>
      </c>
      <c r="B135" s="171"/>
      <c r="C135" s="171"/>
      <c r="D135" s="171"/>
      <c r="E135" s="172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248</v>
      </c>
      <c r="O135" s="39">
        <v>2875180</v>
      </c>
    </row>
    <row r="136" spans="1:15" ht="18" customHeight="1">
      <c r="A136" s="167" t="s">
        <v>251</v>
      </c>
      <c r="B136" s="168"/>
      <c r="C136" s="168"/>
      <c r="D136" s="168"/>
      <c r="E136" s="169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252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246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258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246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246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246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246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246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246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246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246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246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70" t="s">
        <v>247</v>
      </c>
      <c r="B149" s="171"/>
      <c r="C149" s="171"/>
      <c r="D149" s="171"/>
      <c r="E149" s="172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248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246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246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259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246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246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246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246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246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246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246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246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70" t="s">
        <v>250</v>
      </c>
      <c r="B162" s="171"/>
      <c r="C162" s="171"/>
      <c r="D162" s="171"/>
      <c r="E162" s="172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248</v>
      </c>
      <c r="O162" s="44">
        <v>842000</v>
      </c>
    </row>
    <row r="163" spans="1:15" ht="18" customHeight="1">
      <c r="A163" s="167" t="s">
        <v>251</v>
      </c>
      <c r="B163" s="168"/>
      <c r="C163" s="168"/>
      <c r="D163" s="168"/>
      <c r="E163" s="169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252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246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234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260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246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246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246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246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246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246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246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246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246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246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246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70" t="s">
        <v>247</v>
      </c>
      <c r="B176" s="171"/>
      <c r="C176" s="171"/>
      <c r="D176" s="171"/>
      <c r="E176" s="172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248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246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261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246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246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246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246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246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246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246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262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246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246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246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70" t="s">
        <v>250</v>
      </c>
      <c r="B189" s="171"/>
      <c r="C189" s="171"/>
      <c r="D189" s="171"/>
      <c r="E189" s="172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248</v>
      </c>
      <c r="O189" s="39">
        <v>1901630</v>
      </c>
    </row>
    <row r="190" spans="1:15" ht="18" customHeight="1">
      <c r="A190" s="167" t="s">
        <v>251</v>
      </c>
      <c r="B190" s="168"/>
      <c r="C190" s="168"/>
      <c r="D190" s="168"/>
      <c r="E190" s="169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252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246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246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246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263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246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246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246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246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246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246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246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246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70" t="s">
        <v>247</v>
      </c>
      <c r="B203" s="171"/>
      <c r="C203" s="171"/>
      <c r="D203" s="171"/>
      <c r="E203" s="172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248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246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246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246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246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246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246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246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246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246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246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246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246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70" t="s">
        <v>250</v>
      </c>
      <c r="B216" s="171"/>
      <c r="C216" s="171"/>
      <c r="D216" s="171"/>
      <c r="E216" s="172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248</v>
      </c>
      <c r="O216" s="45">
        <v>1852295</v>
      </c>
    </row>
    <row r="217" spans="1:15" ht="18" customHeight="1">
      <c r="A217" s="167" t="s">
        <v>251</v>
      </c>
      <c r="B217" s="168"/>
      <c r="C217" s="168"/>
      <c r="D217" s="168"/>
      <c r="E217" s="169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252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246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246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246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264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246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246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246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246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246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246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246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1" t="s">
        <v>247</v>
      </c>
      <c r="B230" s="162"/>
      <c r="C230" s="162"/>
      <c r="D230" s="162"/>
      <c r="E230" s="16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248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246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246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246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265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265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265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265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265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265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265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265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265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70" t="s">
        <v>250</v>
      </c>
      <c r="B243" s="171"/>
      <c r="C243" s="171"/>
      <c r="D243" s="171"/>
      <c r="E243" s="172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248</v>
      </c>
      <c r="O243" s="39">
        <v>991010</v>
      </c>
    </row>
    <row r="244" spans="1:15" ht="18" customHeight="1">
      <c r="A244" s="167" t="s">
        <v>251</v>
      </c>
      <c r="B244" s="168"/>
      <c r="C244" s="168"/>
      <c r="D244" s="168"/>
      <c r="E244" s="169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252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246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246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246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246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246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266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246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246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246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246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246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246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246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70" t="s">
        <v>247</v>
      </c>
      <c r="B257" s="171"/>
      <c r="C257" s="171"/>
      <c r="D257" s="171"/>
      <c r="E257" s="172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248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267</v>
      </c>
      <c r="E258" s="62" t="s">
        <v>246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267</v>
      </c>
      <c r="E259" s="62" t="s">
        <v>246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267</v>
      </c>
      <c r="E260" s="62" t="s">
        <v>246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267</v>
      </c>
      <c r="E261" s="62" t="s">
        <v>246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267</v>
      </c>
      <c r="E262" s="62" t="s">
        <v>246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267</v>
      </c>
      <c r="E263" s="62" t="s">
        <v>246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267</v>
      </c>
      <c r="E264" s="62" t="s">
        <v>246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267</v>
      </c>
      <c r="E265" s="62" t="s">
        <v>246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267</v>
      </c>
      <c r="E266" s="62" t="s">
        <v>246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267</v>
      </c>
      <c r="E267" s="62" t="s">
        <v>246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267</v>
      </c>
      <c r="E268" s="62" t="s">
        <v>246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267</v>
      </c>
      <c r="E269" s="62" t="s">
        <v>246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70" t="s">
        <v>250</v>
      </c>
      <c r="B270" s="171"/>
      <c r="C270" s="171"/>
      <c r="D270" s="171"/>
      <c r="E270" s="172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248</v>
      </c>
      <c r="O270" s="39">
        <v>1544700</v>
      </c>
    </row>
    <row r="271" spans="1:15" ht="18" customHeight="1">
      <c r="A271" s="167" t="s">
        <v>251</v>
      </c>
      <c r="B271" s="168"/>
      <c r="C271" s="168"/>
      <c r="D271" s="168"/>
      <c r="E271" s="169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252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267</v>
      </c>
      <c r="E272" s="59" t="s">
        <v>246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267</v>
      </c>
      <c r="E273" s="59" t="s">
        <v>246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267</v>
      </c>
      <c r="E274" s="59" t="s">
        <v>246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267</v>
      </c>
      <c r="E275" s="59" t="s">
        <v>246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217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267</v>
      </c>
      <c r="E276" s="59" t="s">
        <v>246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267</v>
      </c>
      <c r="E277" s="59" t="s">
        <v>246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268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267</v>
      </c>
      <c r="E278" s="59" t="s">
        <v>246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267</v>
      </c>
      <c r="E279" s="59" t="s">
        <v>246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267</v>
      </c>
      <c r="E280" s="59" t="s">
        <v>246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267</v>
      </c>
      <c r="E281" s="59" t="s">
        <v>246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267</v>
      </c>
      <c r="E282" s="59" t="s">
        <v>246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267</v>
      </c>
      <c r="E283" s="59" t="s">
        <v>246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70" t="s">
        <v>247</v>
      </c>
      <c r="B284" s="171"/>
      <c r="C284" s="171"/>
      <c r="D284" s="171"/>
      <c r="E284" s="172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248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267</v>
      </c>
      <c r="E285" s="62" t="s">
        <v>262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267</v>
      </c>
      <c r="E286" s="62" t="s">
        <v>262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267</v>
      </c>
      <c r="E287" s="62" t="s">
        <v>262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267</v>
      </c>
      <c r="E288" s="62" t="s">
        <v>262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267</v>
      </c>
      <c r="E289" s="62" t="s">
        <v>262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267</v>
      </c>
      <c r="E290" s="62" t="s">
        <v>262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267</v>
      </c>
      <c r="E291" s="62" t="s">
        <v>262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267</v>
      </c>
      <c r="E292" s="62" t="s">
        <v>262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267</v>
      </c>
      <c r="E293" s="62" t="s">
        <v>262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267</v>
      </c>
      <c r="E294" s="62" t="s">
        <v>262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267</v>
      </c>
      <c r="E295" s="62" t="s">
        <v>262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267</v>
      </c>
      <c r="E296" s="62" t="s">
        <v>262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70" t="s">
        <v>250</v>
      </c>
      <c r="B297" s="171"/>
      <c r="C297" s="171"/>
      <c r="D297" s="171"/>
      <c r="E297" s="172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248</v>
      </c>
      <c r="O297" s="39">
        <v>1715230</v>
      </c>
    </row>
    <row r="298" spans="1:15" ht="18" customHeight="1">
      <c r="A298" s="167" t="s">
        <v>251</v>
      </c>
      <c r="B298" s="168"/>
      <c r="C298" s="168"/>
      <c r="D298" s="168"/>
      <c r="E298" s="169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252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246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234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246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246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246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269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246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246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246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246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246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246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246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246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70" t="s">
        <v>247</v>
      </c>
      <c r="B311" s="171"/>
      <c r="C311" s="171"/>
      <c r="D311" s="171"/>
      <c r="E311" s="172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248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246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246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246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246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246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246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246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246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246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246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246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246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70" t="s">
        <v>250</v>
      </c>
      <c r="B324" s="171"/>
      <c r="C324" s="171"/>
      <c r="D324" s="171"/>
      <c r="E324" s="172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248</v>
      </c>
      <c r="O324" s="39">
        <v>2216340</v>
      </c>
    </row>
    <row r="325" spans="1:15" ht="18" customHeight="1">
      <c r="A325" s="167" t="s">
        <v>251</v>
      </c>
      <c r="B325" s="168"/>
      <c r="C325" s="168"/>
      <c r="D325" s="168"/>
      <c r="E325" s="169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252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212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270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246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246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246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271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246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246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246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246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70" t="s">
        <v>247</v>
      </c>
      <c r="B338" s="171"/>
      <c r="C338" s="171"/>
      <c r="D338" s="171"/>
      <c r="E338" s="172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248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246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246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246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246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246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246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246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246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246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246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246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246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70" t="s">
        <v>250</v>
      </c>
      <c r="B351" s="171"/>
      <c r="C351" s="171"/>
      <c r="D351" s="171"/>
      <c r="E351" s="172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248</v>
      </c>
      <c r="O351" s="39">
        <v>2154990</v>
      </c>
    </row>
    <row r="352" spans="1:15" ht="18" customHeight="1">
      <c r="A352" s="167" t="s">
        <v>251</v>
      </c>
      <c r="B352" s="168"/>
      <c r="C352" s="168"/>
      <c r="D352" s="168"/>
      <c r="E352" s="169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252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246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246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246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246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246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246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262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246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246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246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246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246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70" t="s">
        <v>247</v>
      </c>
      <c r="B365" s="171"/>
      <c r="C365" s="171"/>
      <c r="D365" s="171"/>
      <c r="E365" s="172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248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246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246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246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246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246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246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246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246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246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246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246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246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70" t="s">
        <v>250</v>
      </c>
      <c r="B378" s="171"/>
      <c r="C378" s="171"/>
      <c r="D378" s="171"/>
      <c r="E378" s="172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248</v>
      </c>
      <c r="O378" s="39">
        <v>2614830</v>
      </c>
    </row>
    <row r="379" spans="1:15" ht="18" customHeight="1">
      <c r="A379" s="167" t="s">
        <v>251</v>
      </c>
      <c r="B379" s="168"/>
      <c r="C379" s="168"/>
      <c r="D379" s="168"/>
      <c r="E379" s="169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252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246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246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246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246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246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246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246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246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246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246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246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246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70" t="s">
        <v>247</v>
      </c>
      <c r="B392" s="171"/>
      <c r="C392" s="171"/>
      <c r="D392" s="171"/>
      <c r="E392" s="172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248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246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272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246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246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246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246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246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246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246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246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246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246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246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70" t="s">
        <v>250</v>
      </c>
      <c r="B405" s="171"/>
      <c r="C405" s="171"/>
      <c r="D405" s="171"/>
      <c r="E405" s="172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248</v>
      </c>
      <c r="O405" s="39">
        <v>2612000</v>
      </c>
    </row>
    <row r="406" spans="1:15" ht="18" customHeight="1">
      <c r="A406" s="167" t="s">
        <v>251</v>
      </c>
      <c r="B406" s="168"/>
      <c r="C406" s="168"/>
      <c r="D406" s="168"/>
      <c r="E406" s="169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252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246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246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246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246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246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246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246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246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246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246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246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246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70" t="s">
        <v>247</v>
      </c>
      <c r="B419" s="171"/>
      <c r="C419" s="171"/>
      <c r="D419" s="171"/>
      <c r="E419" s="172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248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246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228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246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273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246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273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246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246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246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246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246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246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246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246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246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70" t="s">
        <v>250</v>
      </c>
      <c r="B432" s="171"/>
      <c r="C432" s="171"/>
      <c r="D432" s="171"/>
      <c r="E432" s="172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248</v>
      </c>
      <c r="O432" s="39">
        <v>2266710</v>
      </c>
    </row>
    <row r="433" spans="1:15" ht="18" customHeight="1">
      <c r="A433" s="167" t="s">
        <v>251</v>
      </c>
      <c r="B433" s="168"/>
      <c r="C433" s="168"/>
      <c r="D433" s="168"/>
      <c r="E433" s="169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252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246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246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246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246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246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246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246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246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246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246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246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246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70" t="s">
        <v>247</v>
      </c>
      <c r="B446" s="171"/>
      <c r="C446" s="171"/>
      <c r="D446" s="171"/>
      <c r="E446" s="172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248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246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274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246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275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246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246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246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246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276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246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277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246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278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246</v>
      </c>
      <c r="F455" s="27">
        <v>35</v>
      </c>
      <c r="G455" s="28">
        <f t="shared" ref="G455:G456" si="97">IF(F455="","",IF(E455="PC 17",F455*4.2,IF(E455="PC 19",F455*5,IF(E455="CB",F455*35,""))))</f>
        <v>175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246</v>
      </c>
      <c r="F456" s="27">
        <v>40</v>
      </c>
      <c r="G456" s="28">
        <f t="shared" si="97"/>
        <v>200</v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246</v>
      </c>
      <c r="F457" s="27">
        <v>35</v>
      </c>
      <c r="G457" s="151">
        <f t="shared" si="94"/>
        <v>175</v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246</v>
      </c>
      <c r="F458" s="27">
        <v>25</v>
      </c>
      <c r="G458" s="28">
        <f t="shared" si="94"/>
        <v>125</v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70" t="s">
        <v>250</v>
      </c>
      <c r="B459" s="171"/>
      <c r="C459" s="171"/>
      <c r="D459" s="171"/>
      <c r="E459" s="172">
        <f>SUM(E447:E458)</f>
        <v>0</v>
      </c>
      <c r="F459" s="36">
        <f>SUM(F447:F458)</f>
        <v>407</v>
      </c>
      <c r="G459" s="36">
        <f>SUM(G447:G458)</f>
        <v>2035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248</v>
      </c>
      <c r="O459" s="39">
        <v>2361680</v>
      </c>
    </row>
    <row r="460" spans="1:15" ht="18" customHeight="1">
      <c r="A460" s="167" t="s">
        <v>251</v>
      </c>
      <c r="B460" s="168"/>
      <c r="C460" s="168"/>
      <c r="D460" s="168"/>
      <c r="E460" s="169">
        <f>E446+E459</f>
        <v>0</v>
      </c>
      <c r="F460" s="40">
        <f>F446+F459</f>
        <v>575</v>
      </c>
      <c r="G460" s="40">
        <f>G446+G459</f>
        <v>2875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252</v>
      </c>
      <c r="O460" s="48">
        <f>IFERROR(O446+O459,"")</f>
        <v>3981060</v>
      </c>
    </row>
    <row r="461" spans="1:15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62" t="s">
        <v>246</v>
      </c>
      <c r="F461" s="27">
        <v>50</v>
      </c>
      <c r="G461" s="34">
        <f t="shared" ref="G461:G472" si="98">IF(F461="","",IF(E461="PC 17",F461*4.2,IF(E461="PC 19",F461*5,IF(E461="CB",F461*35,""))))</f>
        <v>250</v>
      </c>
      <c r="H461" s="33" t="s">
        <v>26</v>
      </c>
      <c r="I461" s="33" t="s">
        <v>30</v>
      </c>
      <c r="J461" s="33" t="s">
        <v>57</v>
      </c>
      <c r="K461" s="29">
        <v>0.6875</v>
      </c>
      <c r="L461" s="29">
        <v>0.71944444444444444</v>
      </c>
      <c r="M461" s="35">
        <f t="shared" ref="M461:M472" ca="1" si="99">IFERROR(IF(K461="","",IF(L461="",MOD(NOW()-K461,1),IF(L461&gt;=K461,L461-K461,L461+1-K461))),"")</f>
        <v>3.1944444444444442E-2</v>
      </c>
      <c r="N461" s="46" t="s">
        <v>279</v>
      </c>
      <c r="O461" s="47"/>
    </row>
    <row r="462" spans="1:15" ht="15" customHeight="1">
      <c r="A462" s="67">
        <v>46252</v>
      </c>
      <c r="B462" s="25">
        <f t="shared" ref="B462:B472" si="100">B461+TIME(0,60,0)</f>
        <v>0.37499999999999967</v>
      </c>
      <c r="C462" s="33" t="s">
        <v>52</v>
      </c>
      <c r="D462" s="62" t="s">
        <v>29</v>
      </c>
      <c r="E462" s="62" t="s">
        <v>246</v>
      </c>
      <c r="F462" s="27">
        <v>50</v>
      </c>
      <c r="G462" s="28">
        <f t="shared" si="98"/>
        <v>250</v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>
      <c r="A463" s="68">
        <v>46252</v>
      </c>
      <c r="B463" s="32">
        <f t="shared" si="100"/>
        <v>0.41666666666666635</v>
      </c>
      <c r="C463" s="33" t="s">
        <v>52</v>
      </c>
      <c r="D463" s="62" t="s">
        <v>29</v>
      </c>
      <c r="E463" s="62" t="s">
        <v>246</v>
      </c>
      <c r="F463" s="27">
        <v>50</v>
      </c>
      <c r="G463" s="34">
        <f t="shared" si="98"/>
        <v>250</v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>
      <c r="A464" s="67">
        <v>46252</v>
      </c>
      <c r="B464" s="25">
        <f t="shared" si="100"/>
        <v>0.45833333333333304</v>
      </c>
      <c r="C464" s="33" t="s">
        <v>52</v>
      </c>
      <c r="D464" s="62" t="s">
        <v>29</v>
      </c>
      <c r="E464" s="62" t="s">
        <v>246</v>
      </c>
      <c r="F464" s="27">
        <v>22</v>
      </c>
      <c r="G464" s="28">
        <f t="shared" si="98"/>
        <v>110</v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>
      <c r="A465" s="68">
        <v>46252</v>
      </c>
      <c r="B465" s="32">
        <f t="shared" si="100"/>
        <v>0.49999999999999972</v>
      </c>
      <c r="C465" s="33" t="s">
        <v>52</v>
      </c>
      <c r="D465" s="62" t="s">
        <v>29</v>
      </c>
      <c r="E465" s="62" t="s">
        <v>246</v>
      </c>
      <c r="F465" s="27">
        <v>20</v>
      </c>
      <c r="G465" s="34">
        <f t="shared" si="98"/>
        <v>100</v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>
      <c r="A466" s="67">
        <v>46252</v>
      </c>
      <c r="B466" s="25">
        <f t="shared" si="100"/>
        <v>0.54166666666666641</v>
      </c>
      <c r="C466" s="33" t="s">
        <v>52</v>
      </c>
      <c r="D466" s="62" t="s">
        <v>29</v>
      </c>
      <c r="E466" s="62" t="s">
        <v>246</v>
      </c>
      <c r="F466" s="27">
        <v>29</v>
      </c>
      <c r="G466" s="28">
        <f>IF(F466="","",IF(E466="PC 17",F466*4.2,IF(E466="PC 19",F466*5,IF(E466="CB",F466*35,""))))</f>
        <v>145</v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>
      <c r="A467" s="68">
        <v>46252</v>
      </c>
      <c r="B467" s="32">
        <f t="shared" si="100"/>
        <v>0.58333333333333304</v>
      </c>
      <c r="C467" s="33" t="s">
        <v>52</v>
      </c>
      <c r="D467" s="62" t="s">
        <v>29</v>
      </c>
      <c r="E467" s="62" t="s">
        <v>246</v>
      </c>
      <c r="F467" s="27">
        <v>45</v>
      </c>
      <c r="G467" s="34">
        <f t="shared" si="98"/>
        <v>225</v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>
      <c r="A468" s="67">
        <v>46252</v>
      </c>
      <c r="B468" s="25">
        <f t="shared" si="100"/>
        <v>0.62499999999999967</v>
      </c>
      <c r="C468" s="33" t="s">
        <v>52</v>
      </c>
      <c r="D468" s="62" t="s">
        <v>29</v>
      </c>
      <c r="E468" s="62" t="s">
        <v>246</v>
      </c>
      <c r="F468" s="27">
        <v>15</v>
      </c>
      <c r="G468" s="28">
        <f t="shared" si="98"/>
        <v>75</v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>
      <c r="A469" s="68">
        <v>46252</v>
      </c>
      <c r="B469" s="32">
        <f t="shared" si="100"/>
        <v>0.6666666666666663</v>
      </c>
      <c r="C469" s="33" t="s">
        <v>52</v>
      </c>
      <c r="D469" s="62" t="s">
        <v>29</v>
      </c>
      <c r="E469" s="62" t="s">
        <v>246</v>
      </c>
      <c r="F469" s="27">
        <v>23</v>
      </c>
      <c r="G469" s="34">
        <f t="shared" si="98"/>
        <v>115</v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>
      <c r="A470" s="67">
        <v>46252</v>
      </c>
      <c r="B470" s="25">
        <f t="shared" si="100"/>
        <v>0.70833333333333293</v>
      </c>
      <c r="C470" s="33" t="s">
        <v>52</v>
      </c>
      <c r="D470" s="62" t="s">
        <v>29</v>
      </c>
      <c r="E470" s="62" t="s">
        <v>246</v>
      </c>
      <c r="F470" s="27">
        <v>19</v>
      </c>
      <c r="G470" s="28">
        <f t="shared" si="98"/>
        <v>95</v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>
      <c r="A471" s="68">
        <v>46252</v>
      </c>
      <c r="B471" s="32">
        <f t="shared" si="100"/>
        <v>0.74999999999999956</v>
      </c>
      <c r="C471" s="33" t="s">
        <v>52</v>
      </c>
      <c r="D471" s="62" t="s">
        <v>29</v>
      </c>
      <c r="E471" s="62" t="s">
        <v>246</v>
      </c>
      <c r="F471" s="27">
        <v>16</v>
      </c>
      <c r="G471" s="34">
        <f t="shared" si="98"/>
        <v>80</v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>
      <c r="A472" s="67">
        <v>46252</v>
      </c>
      <c r="B472" s="25">
        <f t="shared" si="100"/>
        <v>0.79166666666666619</v>
      </c>
      <c r="C472" s="33" t="s">
        <v>52</v>
      </c>
      <c r="D472" s="62" t="s">
        <v>29</v>
      </c>
      <c r="E472" s="62" t="s">
        <v>246</v>
      </c>
      <c r="F472" s="27">
        <v>8</v>
      </c>
      <c r="G472" s="28">
        <f t="shared" si="98"/>
        <v>40</v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>
      <c r="A473" s="170" t="s">
        <v>247</v>
      </c>
      <c r="B473" s="171"/>
      <c r="C473" s="171"/>
      <c r="D473" s="171"/>
      <c r="E473" s="172">
        <f>SUM(E461:E472)</f>
        <v>0</v>
      </c>
      <c r="F473" s="36">
        <f>SUM(F461:F472)</f>
        <v>347</v>
      </c>
      <c r="G473" s="36">
        <f>SUM(G461:G472)</f>
        <v>1735</v>
      </c>
      <c r="H473" s="37"/>
      <c r="I473" s="37"/>
      <c r="J473" s="37"/>
      <c r="K473" s="37"/>
      <c r="L473" s="37"/>
      <c r="M473" s="38">
        <f ca="1">IFERROR(SUM(M461:M472),"")</f>
        <v>3.1944444444444442E-2</v>
      </c>
      <c r="N473" s="36" t="s">
        <v>248</v>
      </c>
      <c r="O473" s="39">
        <v>2284390</v>
      </c>
    </row>
    <row r="474" spans="1:15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59" t="s">
        <v>246</v>
      </c>
      <c r="F474" s="27">
        <v>40</v>
      </c>
      <c r="G474" s="28">
        <f t="shared" ref="G474:G485" si="101">IF(F474="","",IF(E474="PC 17",F474*4.2,IF(E474="PC 19",F474*5,IF(E474="CB",F474*35,""))))</f>
        <v>200</v>
      </c>
      <c r="H474" s="26" t="s">
        <v>27</v>
      </c>
      <c r="I474" s="26" t="s">
        <v>30</v>
      </c>
      <c r="J474" s="26" t="s">
        <v>51</v>
      </c>
      <c r="K474" s="29">
        <v>0.95138888888888884</v>
      </c>
      <c r="L474" s="29">
        <v>0.96180555555555558</v>
      </c>
      <c r="M474" s="30">
        <f t="shared" ref="M474:M485" ca="1" si="102">IFERROR(IF(K474="","",IF(L474="",MOD(NOW()-K474,1),IF(L474&gt;=K474,L474-K474,L474+1-K474))),"")</f>
        <v>1.0416666666666741E-2</v>
      </c>
      <c r="N474" s="46"/>
      <c r="O474" s="47"/>
    </row>
    <row r="475" spans="1:15" ht="15" customHeight="1">
      <c r="A475" s="68">
        <v>46252</v>
      </c>
      <c r="B475" s="32">
        <f t="shared" ref="B475:B485" si="103">B474+TIME(0,60,0)</f>
        <v>0.87499999999999967</v>
      </c>
      <c r="C475" s="26" t="s">
        <v>36</v>
      </c>
      <c r="D475" s="59" t="s">
        <v>29</v>
      </c>
      <c r="E475" s="59" t="s">
        <v>246</v>
      </c>
      <c r="F475" s="27">
        <v>42</v>
      </c>
      <c r="G475" s="34">
        <f t="shared" si="101"/>
        <v>210</v>
      </c>
      <c r="H475" s="33" t="s">
        <v>27</v>
      </c>
      <c r="I475" s="33" t="s">
        <v>30</v>
      </c>
      <c r="J475" s="33" t="s">
        <v>51</v>
      </c>
      <c r="K475" s="29">
        <v>0.10416666666666667</v>
      </c>
      <c r="L475" s="29">
        <v>0.11805555555555555</v>
      </c>
      <c r="M475" s="35">
        <f t="shared" ca="1" si="102"/>
        <v>1.3888888888888881E-2</v>
      </c>
      <c r="N475" s="46"/>
      <c r="O475" s="47"/>
    </row>
    <row r="476" spans="1:15" ht="15" customHeight="1">
      <c r="A476" s="67">
        <v>46252</v>
      </c>
      <c r="B476" s="25">
        <f t="shared" si="103"/>
        <v>0.9166666666666663</v>
      </c>
      <c r="C476" s="26" t="s">
        <v>36</v>
      </c>
      <c r="D476" s="59" t="s">
        <v>29</v>
      </c>
      <c r="E476" s="59" t="s">
        <v>246</v>
      </c>
      <c r="F476" s="27">
        <v>54</v>
      </c>
      <c r="G476" s="28">
        <f t="shared" si="101"/>
        <v>270</v>
      </c>
      <c r="H476" s="26" t="s">
        <v>27</v>
      </c>
      <c r="I476" s="26" t="s">
        <v>30</v>
      </c>
      <c r="J476" s="26" t="s">
        <v>142</v>
      </c>
      <c r="K476" s="29">
        <v>0.13541666666666666</v>
      </c>
      <c r="L476" s="29"/>
      <c r="M476" s="30">
        <f t="shared" ca="1" si="102"/>
        <v>2.4106249999022111E-2</v>
      </c>
      <c r="N476" s="46"/>
      <c r="O476" s="47"/>
    </row>
    <row r="477" spans="1:15" ht="15" customHeight="1">
      <c r="A477" s="68">
        <v>46252</v>
      </c>
      <c r="B477" s="32">
        <f t="shared" si="103"/>
        <v>0.95833333333333293</v>
      </c>
      <c r="C477" s="26" t="s">
        <v>36</v>
      </c>
      <c r="D477" s="59" t="s">
        <v>29</v>
      </c>
      <c r="E477" s="59" t="s">
        <v>246</v>
      </c>
      <c r="F477" s="27">
        <v>72</v>
      </c>
      <c r="G477" s="34">
        <f t="shared" si="101"/>
        <v>360</v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>
      <c r="A478" s="67">
        <v>46252</v>
      </c>
      <c r="B478" s="25">
        <f t="shared" si="103"/>
        <v>0.99999999999999956</v>
      </c>
      <c r="C478" s="26" t="s">
        <v>36</v>
      </c>
      <c r="D478" s="59" t="s">
        <v>29</v>
      </c>
      <c r="E478" s="59" t="s">
        <v>246</v>
      </c>
      <c r="F478" s="27">
        <v>21</v>
      </c>
      <c r="G478" s="28">
        <f t="shared" si="101"/>
        <v>105</v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>
      <c r="A479" s="68">
        <v>46252</v>
      </c>
      <c r="B479" s="32">
        <f t="shared" si="103"/>
        <v>1.0416666666666663</v>
      </c>
      <c r="C479" s="26" t="s">
        <v>36</v>
      </c>
      <c r="D479" s="59" t="s">
        <v>29</v>
      </c>
      <c r="E479" s="59" t="s">
        <v>246</v>
      </c>
      <c r="F479" s="27">
        <v>36</v>
      </c>
      <c r="G479" s="34">
        <f t="shared" si="101"/>
        <v>180</v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>
      <c r="A480" s="67">
        <v>46252</v>
      </c>
      <c r="B480" s="25">
        <f t="shared" si="103"/>
        <v>1.083333333333333</v>
      </c>
      <c r="C480" s="26" t="s">
        <v>36</v>
      </c>
      <c r="D480" s="59" t="s">
        <v>29</v>
      </c>
      <c r="E480" s="59" t="s">
        <v>246</v>
      </c>
      <c r="F480" s="27">
        <v>14</v>
      </c>
      <c r="G480" s="28">
        <f t="shared" si="101"/>
        <v>70</v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>
      <c r="A481" s="68">
        <v>46252</v>
      </c>
      <c r="B481" s="32">
        <f t="shared" si="103"/>
        <v>1.1249999999999998</v>
      </c>
      <c r="C481" s="26" t="s">
        <v>36</v>
      </c>
      <c r="D481" s="59" t="s">
        <v>29</v>
      </c>
      <c r="E481" s="59" t="s">
        <v>246</v>
      </c>
      <c r="F481" s="27"/>
      <c r="G481" s="34" t="str">
        <f t="shared" si="101"/>
        <v/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>
      <c r="A482" s="67">
        <v>46252</v>
      </c>
      <c r="B482" s="25">
        <f t="shared" si="103"/>
        <v>1.1666666666666665</v>
      </c>
      <c r="C482" s="26" t="s">
        <v>36</v>
      </c>
      <c r="D482" s="59" t="s">
        <v>29</v>
      </c>
      <c r="E482" s="59" t="s">
        <v>246</v>
      </c>
      <c r="F482" s="27"/>
      <c r="G482" s="28" t="str">
        <f t="shared" si="101"/>
        <v/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>
      <c r="A483" s="68">
        <v>46252</v>
      </c>
      <c r="B483" s="32">
        <f t="shared" si="103"/>
        <v>1.2083333333333333</v>
      </c>
      <c r="C483" s="26" t="s">
        <v>36</v>
      </c>
      <c r="D483" s="59" t="s">
        <v>29</v>
      </c>
      <c r="E483" s="59" t="s">
        <v>246</v>
      </c>
      <c r="F483" s="27"/>
      <c r="G483" s="34" t="str">
        <f t="shared" si="101"/>
        <v/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>
      <c r="A484" s="67">
        <v>46252</v>
      </c>
      <c r="B484" s="25">
        <f t="shared" si="103"/>
        <v>1.25</v>
      </c>
      <c r="C484" s="26" t="s">
        <v>36</v>
      </c>
      <c r="D484" s="59" t="s">
        <v>29</v>
      </c>
      <c r="E484" s="59" t="s">
        <v>246</v>
      </c>
      <c r="F484" s="27"/>
      <c r="G484" s="28" t="str">
        <f t="shared" si="101"/>
        <v/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>
      <c r="A485" s="68">
        <v>46252</v>
      </c>
      <c r="B485" s="32">
        <f t="shared" si="103"/>
        <v>1.2916666666666667</v>
      </c>
      <c r="C485" s="26" t="s">
        <v>36</v>
      </c>
      <c r="D485" s="59" t="s">
        <v>29</v>
      </c>
      <c r="E485" s="59" t="s">
        <v>246</v>
      </c>
      <c r="F485" s="27"/>
      <c r="G485" s="34" t="str">
        <f t="shared" si="101"/>
        <v/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>
      <c r="A486" s="170" t="s">
        <v>250</v>
      </c>
      <c r="B486" s="171"/>
      <c r="C486" s="171"/>
      <c r="D486" s="171"/>
      <c r="E486" s="172">
        <f>SUM(E474:E485)</f>
        <v>0</v>
      </c>
      <c r="F486" s="36">
        <f>SUM(F474:F485)</f>
        <v>279</v>
      </c>
      <c r="G486" s="36">
        <f>SUM(G474:G485)</f>
        <v>1395</v>
      </c>
      <c r="H486" s="37"/>
      <c r="I486" s="37"/>
      <c r="J486" s="37"/>
      <c r="K486" s="37"/>
      <c r="L486" s="37"/>
      <c r="M486" s="38">
        <f ca="1">IFERROR(SUM(M474:M485),"")</f>
        <v>4.8411805554577733E-2</v>
      </c>
      <c r="N486" s="36" t="s">
        <v>248</v>
      </c>
      <c r="O486" s="39"/>
    </row>
    <row r="487" spans="1:15" ht="18" customHeight="1">
      <c r="A487" s="167" t="s">
        <v>251</v>
      </c>
      <c r="B487" s="168"/>
      <c r="C487" s="168"/>
      <c r="D487" s="168"/>
      <c r="E487" s="169">
        <f>E473+E486</f>
        <v>0</v>
      </c>
      <c r="F487" s="40">
        <f>F473+F486</f>
        <v>626</v>
      </c>
      <c r="G487" s="40">
        <f>G473+G486</f>
        <v>3130</v>
      </c>
      <c r="H487" s="41"/>
      <c r="I487" s="41"/>
      <c r="J487" s="41"/>
      <c r="K487" s="41"/>
      <c r="L487" s="41"/>
      <c r="M487" s="42">
        <f ca="1">IFERROR(M473+M486,"")</f>
        <v>8.0356249999022175E-2</v>
      </c>
      <c r="N487" s="40" t="s">
        <v>252</v>
      </c>
      <c r="O487" s="48">
        <f>IFERROR(O473+O486,"")</f>
        <v>2284390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4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5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6">B488+TIME(0,60,0)</f>
        <v>0.37499999999999967</v>
      </c>
      <c r="C489" s="26"/>
      <c r="D489" s="59"/>
      <c r="E489" s="59"/>
      <c r="F489" s="27"/>
      <c r="G489" s="34" t="str">
        <f t="shared" si="104"/>
        <v/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>
      <c r="A490" s="67">
        <v>46253</v>
      </c>
      <c r="B490" s="25">
        <f t="shared" si="106"/>
        <v>0.41666666666666635</v>
      </c>
      <c r="C490" s="26"/>
      <c r="D490" s="59"/>
      <c r="E490" s="59"/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>
      <c r="A491" s="68">
        <v>46253</v>
      </c>
      <c r="B491" s="32">
        <f t="shared" si="106"/>
        <v>0.45833333333333304</v>
      </c>
      <c r="C491" s="26"/>
      <c r="D491" s="59"/>
      <c r="E491" s="59"/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>
      <c r="A492" s="67">
        <v>46253</v>
      </c>
      <c r="B492" s="25">
        <f t="shared" si="106"/>
        <v>0.49999999999999972</v>
      </c>
      <c r="C492" s="26"/>
      <c r="D492" s="59"/>
      <c r="E492" s="59"/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>
      <c r="A493" s="68">
        <v>46253</v>
      </c>
      <c r="B493" s="32">
        <f t="shared" si="106"/>
        <v>0.54166666666666641</v>
      </c>
      <c r="C493" s="26"/>
      <c r="D493" s="59"/>
      <c r="E493" s="59"/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>
      <c r="A494" s="67">
        <v>46253</v>
      </c>
      <c r="B494" s="25">
        <f t="shared" si="106"/>
        <v>0.58333333333333304</v>
      </c>
      <c r="C494" s="26"/>
      <c r="D494" s="59"/>
      <c r="E494" s="59"/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>
      <c r="A495" s="68">
        <v>46253</v>
      </c>
      <c r="B495" s="32">
        <f t="shared" si="106"/>
        <v>0.62499999999999967</v>
      </c>
      <c r="C495" s="26"/>
      <c r="D495" s="59"/>
      <c r="E495" s="59"/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>
      <c r="A496" s="67">
        <v>46253</v>
      </c>
      <c r="B496" s="25">
        <f t="shared" si="106"/>
        <v>0.6666666666666663</v>
      </c>
      <c r="C496" s="26"/>
      <c r="D496" s="59"/>
      <c r="E496" s="59"/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>
      <c r="A497" s="68">
        <v>46253</v>
      </c>
      <c r="B497" s="32">
        <f t="shared" si="106"/>
        <v>0.70833333333333293</v>
      </c>
      <c r="C497" s="26"/>
      <c r="D497" s="59"/>
      <c r="E497" s="59"/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>
      <c r="A498" s="67">
        <v>46253</v>
      </c>
      <c r="B498" s="25">
        <f t="shared" si="106"/>
        <v>0.74999999999999956</v>
      </c>
      <c r="C498" s="26"/>
      <c r="D498" s="59"/>
      <c r="E498" s="59"/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>
      <c r="A499" s="68">
        <v>46253</v>
      </c>
      <c r="B499" s="32">
        <f t="shared" si="106"/>
        <v>0.79166666666666619</v>
      </c>
      <c r="C499" s="26"/>
      <c r="D499" s="59"/>
      <c r="E499" s="59"/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>
      <c r="A500" s="170" t="s">
        <v>247</v>
      </c>
      <c r="B500" s="171"/>
      <c r="C500" s="171"/>
      <c r="D500" s="171"/>
      <c r="E500" s="17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248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>
      <c r="A503" s="68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>
      <c r="A504" s="67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>
      <c r="A505" s="68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>
      <c r="A506" s="67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>
      <c r="A507" s="68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>
      <c r="A508" s="67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>
      <c r="A509" s="68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>
      <c r="A510" s="67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>
      <c r="A511" s="68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>
      <c r="A512" s="67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>
      <c r="A513" s="170" t="s">
        <v>250</v>
      </c>
      <c r="B513" s="171"/>
      <c r="C513" s="171"/>
      <c r="D513" s="171"/>
      <c r="E513" s="17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248</v>
      </c>
      <c r="O513" s="39"/>
    </row>
    <row r="514" spans="1:15" ht="18" customHeight="1">
      <c r="A514" s="167" t="s">
        <v>251</v>
      </c>
      <c r="B514" s="168"/>
      <c r="C514" s="168"/>
      <c r="D514" s="168"/>
      <c r="E514" s="16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252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>
      <c r="A517" s="68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>
      <c r="A518" s="67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>
      <c r="A519" s="68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>
      <c r="A520" s="67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>
      <c r="A521" s="68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>
      <c r="A522" s="67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>
      <c r="A523" s="68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>
      <c r="A524" s="67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>
      <c r="A525" s="68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>
      <c r="A526" s="67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>
      <c r="A527" s="170" t="s">
        <v>247</v>
      </c>
      <c r="B527" s="171"/>
      <c r="C527" s="171"/>
      <c r="D527" s="171"/>
      <c r="E527" s="17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248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>
      <c r="A531" s="68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>
      <c r="A532" s="67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>
      <c r="A533" s="68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>
      <c r="A534" s="67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>
      <c r="A535" s="68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>
      <c r="A536" s="67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>
      <c r="A537" s="68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>
      <c r="A538" s="67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>
      <c r="A539" s="68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>
      <c r="A540" s="170" t="s">
        <v>250</v>
      </c>
      <c r="B540" s="171"/>
      <c r="C540" s="171"/>
      <c r="D540" s="171"/>
      <c r="E540" s="17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248</v>
      </c>
      <c r="O540" s="39"/>
    </row>
    <row r="541" spans="1:15" ht="18" customHeight="1">
      <c r="A541" s="167" t="s">
        <v>251</v>
      </c>
      <c r="B541" s="168"/>
      <c r="C541" s="168"/>
      <c r="D541" s="168"/>
      <c r="E541" s="16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252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>
      <c r="A544" s="67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>
      <c r="A545" s="68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>
      <c r="A546" s="67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>
      <c r="A547" s="68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>
      <c r="A548" s="67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>
      <c r="A549" s="68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>
      <c r="A550" s="67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>
      <c r="A551" s="68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>
      <c r="A552" s="67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>
      <c r="A553" s="68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>
      <c r="A554" s="170" t="s">
        <v>247</v>
      </c>
      <c r="B554" s="171"/>
      <c r="C554" s="171"/>
      <c r="D554" s="171"/>
      <c r="E554" s="17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248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>
      <c r="A557" s="68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>
      <c r="A558" s="67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>
      <c r="A559" s="68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>
      <c r="A560" s="67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>
      <c r="A561" s="68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>
      <c r="A562" s="67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>
      <c r="A563" s="68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>
      <c r="A564" s="67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>
      <c r="A565" s="68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>
      <c r="A566" s="67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>
      <c r="A567" s="170" t="s">
        <v>250</v>
      </c>
      <c r="B567" s="171"/>
      <c r="C567" s="171"/>
      <c r="D567" s="171"/>
      <c r="E567" s="17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248</v>
      </c>
      <c r="O567" s="39"/>
    </row>
    <row r="568" spans="1:15" ht="18" customHeight="1">
      <c r="A568" s="167" t="s">
        <v>251</v>
      </c>
      <c r="B568" s="168"/>
      <c r="C568" s="168"/>
      <c r="D568" s="168"/>
      <c r="E568" s="16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252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>
      <c r="A571" s="68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>
      <c r="A572" s="67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>
      <c r="A573" s="68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>
      <c r="A574" s="67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>
      <c r="A575" s="68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>
      <c r="A576" s="67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>
      <c r="A577" s="68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>
      <c r="A578" s="67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>
      <c r="A579" s="68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>
      <c r="A580" s="67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>
      <c r="A581" s="170" t="s">
        <v>247</v>
      </c>
      <c r="B581" s="171"/>
      <c r="C581" s="171"/>
      <c r="D581" s="171"/>
      <c r="E581" s="17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248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>
      <c r="A584" s="67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>
      <c r="A585" s="68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>
      <c r="A586" s="67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>
      <c r="A587" s="68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>
      <c r="A588" s="67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>
      <c r="A589" s="68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>
      <c r="A590" s="67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>
      <c r="A591" s="68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>
      <c r="A592" s="67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>
      <c r="A593" s="68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>
      <c r="A594" s="170" t="s">
        <v>250</v>
      </c>
      <c r="B594" s="171"/>
      <c r="C594" s="171"/>
      <c r="D594" s="171"/>
      <c r="E594" s="17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248</v>
      </c>
      <c r="O594" s="39"/>
    </row>
    <row r="595" spans="1:15" ht="18" customHeight="1">
      <c r="A595" s="167" t="s">
        <v>251</v>
      </c>
      <c r="B595" s="168"/>
      <c r="C595" s="168"/>
      <c r="D595" s="168"/>
      <c r="E595" s="16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252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>
      <c r="A598" s="67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>
      <c r="A599" s="68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>
      <c r="A600" s="67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>
      <c r="A601" s="68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>
      <c r="A602" s="67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>
      <c r="A603" s="68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>
      <c r="A604" s="67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>
      <c r="A605" s="68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>
      <c r="A606" s="67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>
      <c r="A607" s="68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>
      <c r="A608" s="170" t="s">
        <v>247</v>
      </c>
      <c r="B608" s="171"/>
      <c r="C608" s="171"/>
      <c r="D608" s="171"/>
      <c r="E608" s="17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248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>
      <c r="A611" s="68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>
      <c r="A612" s="67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>
      <c r="A613" s="68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>
      <c r="A614" s="67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>
      <c r="A615" s="68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>
      <c r="A616" s="67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>
      <c r="A617" s="68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>
      <c r="A618" s="67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>
      <c r="A619" s="68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>
      <c r="A620" s="67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>
      <c r="A621" s="170" t="s">
        <v>250</v>
      </c>
      <c r="B621" s="171"/>
      <c r="C621" s="171"/>
      <c r="D621" s="171"/>
      <c r="E621" s="17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248</v>
      </c>
      <c r="O621" s="39"/>
    </row>
    <row r="622" spans="1:15" ht="18" customHeight="1">
      <c r="A622" s="167" t="s">
        <v>251</v>
      </c>
      <c r="B622" s="168"/>
      <c r="C622" s="168"/>
      <c r="D622" s="168"/>
      <c r="E622" s="16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252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>
      <c r="A625" s="68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>
      <c r="A626" s="67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>
      <c r="A627" s="68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>
      <c r="A628" s="67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>
      <c r="A629" s="68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>
      <c r="A630" s="67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>
      <c r="A631" s="68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>
      <c r="A632" s="67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>
      <c r="A633" s="68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>
      <c r="A634" s="67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>
      <c r="A635" s="170" t="s">
        <v>247</v>
      </c>
      <c r="B635" s="171"/>
      <c r="C635" s="171"/>
      <c r="D635" s="171"/>
      <c r="E635" s="17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248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>
      <c r="A638" s="67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>
      <c r="A639" s="68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>
      <c r="A640" s="67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>
      <c r="A641" s="68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>
      <c r="A642" s="67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>
      <c r="A643" s="68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>
      <c r="A644" s="67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>
      <c r="A645" s="68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>
      <c r="A646" s="67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>
      <c r="A647" s="68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>
      <c r="A648" s="170" t="s">
        <v>250</v>
      </c>
      <c r="B648" s="171"/>
      <c r="C648" s="171"/>
      <c r="D648" s="171"/>
      <c r="E648" s="17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248</v>
      </c>
      <c r="O648" s="39"/>
    </row>
    <row r="649" spans="1:15" ht="18" customHeight="1">
      <c r="A649" s="167" t="s">
        <v>251</v>
      </c>
      <c r="B649" s="168"/>
      <c r="C649" s="168"/>
      <c r="D649" s="168"/>
      <c r="E649" s="16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252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>
      <c r="A652" s="67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>
      <c r="A653" s="68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>
      <c r="A654" s="67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>
      <c r="A655" s="68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>
      <c r="A656" s="67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>
      <c r="A657" s="68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>
      <c r="A658" s="67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>
      <c r="A659" s="68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>
      <c r="A660" s="67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>
      <c r="A661" s="68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>
      <c r="A662" s="170" t="s">
        <v>247</v>
      </c>
      <c r="B662" s="171"/>
      <c r="C662" s="171"/>
      <c r="D662" s="171"/>
      <c r="E662" s="17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248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>
      <c r="A665" s="68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>
      <c r="A666" s="67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>
      <c r="A667" s="68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>
      <c r="A668" s="67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>
      <c r="A669" s="68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>
      <c r="A670" s="67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>
      <c r="A671" s="68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>
      <c r="A672" s="67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>
      <c r="A673" s="68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>
      <c r="A674" s="67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>
      <c r="A675" s="170" t="s">
        <v>250</v>
      </c>
      <c r="B675" s="171"/>
      <c r="C675" s="171"/>
      <c r="D675" s="171"/>
      <c r="E675" s="17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248</v>
      </c>
      <c r="O675" s="39"/>
    </row>
    <row r="676" spans="1:15" ht="18" customHeight="1">
      <c r="A676" s="167" t="s">
        <v>251</v>
      </c>
      <c r="B676" s="168"/>
      <c r="C676" s="168"/>
      <c r="D676" s="168"/>
      <c r="E676" s="16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252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>
      <c r="A679" s="68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>
      <c r="A680" s="67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>
      <c r="A681" s="68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>
      <c r="A682" s="67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>
      <c r="A683" s="68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>
      <c r="A684" s="67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>
      <c r="A685" s="68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>
      <c r="A686" s="67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>
      <c r="A687" s="68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>
      <c r="A688" s="67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>
      <c r="A689" s="170" t="s">
        <v>247</v>
      </c>
      <c r="B689" s="171"/>
      <c r="C689" s="171"/>
      <c r="D689" s="171"/>
      <c r="E689" s="17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248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>
      <c r="A692" s="67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>
      <c r="A693" s="68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>
      <c r="A694" s="67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>
      <c r="A695" s="68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>
      <c r="A696" s="67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>
      <c r="A697" s="68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>
      <c r="A698" s="67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>
      <c r="A699" s="68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>
      <c r="A700" s="67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>
      <c r="A701" s="68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>
      <c r="A702" s="170" t="s">
        <v>250</v>
      </c>
      <c r="B702" s="171"/>
      <c r="C702" s="171"/>
      <c r="D702" s="171"/>
      <c r="E702" s="17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248</v>
      </c>
      <c r="O702" s="39"/>
    </row>
    <row r="703" spans="1:15" ht="18" customHeight="1">
      <c r="A703" s="167" t="s">
        <v>251</v>
      </c>
      <c r="B703" s="168"/>
      <c r="C703" s="168"/>
      <c r="D703" s="168"/>
      <c r="E703" s="16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252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>
      <c r="A706" s="67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>
      <c r="A707" s="68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>
      <c r="A708" s="67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>
      <c r="A709" s="68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>
      <c r="A710" s="67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>
      <c r="A711" s="68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>
      <c r="A712" s="67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>
      <c r="A713" s="68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>
      <c r="A714" s="67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>
      <c r="A715" s="68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>
      <c r="A716" s="170" t="s">
        <v>247</v>
      </c>
      <c r="B716" s="171"/>
      <c r="C716" s="171"/>
      <c r="D716" s="171"/>
      <c r="E716" s="17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248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>
      <c r="A719" s="68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>
      <c r="A720" s="67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>
      <c r="A721" s="68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>
      <c r="A722" s="67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>
      <c r="A723" s="68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>
      <c r="A724" s="67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>
      <c r="A725" s="68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>
      <c r="A726" s="67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>
      <c r="A727" s="68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>
      <c r="A728" s="67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>
      <c r="A729" s="170" t="s">
        <v>250</v>
      </c>
      <c r="B729" s="171"/>
      <c r="C729" s="171"/>
      <c r="D729" s="171"/>
      <c r="E729" s="17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248</v>
      </c>
      <c r="O729" s="39"/>
    </row>
    <row r="730" spans="1:15" ht="18" customHeight="1">
      <c r="A730" s="167" t="s">
        <v>251</v>
      </c>
      <c r="B730" s="168"/>
      <c r="C730" s="168"/>
      <c r="D730" s="168"/>
      <c r="E730" s="16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252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>
      <c r="A733" s="68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>
      <c r="A734" s="67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>
      <c r="A735" s="68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>
      <c r="A736" s="67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>
      <c r="A737" s="68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>
      <c r="A738" s="67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>
      <c r="A739" s="68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>
      <c r="A740" s="67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>
      <c r="A741" s="68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>
      <c r="A742" s="67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>
      <c r="A743" s="170" t="s">
        <v>247</v>
      </c>
      <c r="B743" s="171"/>
      <c r="C743" s="171"/>
      <c r="D743" s="171"/>
      <c r="E743" s="17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248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>
      <c r="A746" s="67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>
      <c r="A747" s="68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>
      <c r="A748" s="67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>
      <c r="A749" s="68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>
      <c r="A750" s="67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>
      <c r="A751" s="68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>
      <c r="A752" s="67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>
      <c r="A753" s="68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>
      <c r="A754" s="67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>
      <c r="A755" s="68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>
      <c r="A756" s="170" t="s">
        <v>250</v>
      </c>
      <c r="B756" s="171"/>
      <c r="C756" s="171"/>
      <c r="D756" s="171"/>
      <c r="E756" s="17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248</v>
      </c>
      <c r="O756" s="39"/>
    </row>
    <row r="757" spans="1:15" ht="18" customHeight="1">
      <c r="A757" s="167" t="s">
        <v>251</v>
      </c>
      <c r="B757" s="168"/>
      <c r="C757" s="168"/>
      <c r="D757" s="168"/>
      <c r="E757" s="16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252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>
      <c r="A760" s="67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>
      <c r="A761" s="68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>
      <c r="A762" s="67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>
      <c r="A763" s="68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>
      <c r="A764" s="67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>
      <c r="A765" s="68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>
      <c r="A766" s="67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>
      <c r="A767" s="68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>
      <c r="A768" s="67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>
      <c r="A769" s="68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>
      <c r="A770" s="170" t="s">
        <v>247</v>
      </c>
      <c r="B770" s="171"/>
      <c r="C770" s="171"/>
      <c r="D770" s="171"/>
      <c r="E770" s="17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248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>
      <c r="A773" s="68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>
      <c r="A774" s="67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>
      <c r="A775" s="68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>
      <c r="A776" s="67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>
      <c r="A777" s="68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>
      <c r="A778" s="67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>
      <c r="A779" s="68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>
      <c r="A780" s="67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>
      <c r="A781" s="68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>
      <c r="A782" s="67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>
      <c r="A783" s="170" t="s">
        <v>250</v>
      </c>
      <c r="B783" s="171"/>
      <c r="C783" s="171"/>
      <c r="D783" s="171"/>
      <c r="E783" s="17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248</v>
      </c>
      <c r="O783" s="39"/>
    </row>
    <row r="784" spans="1:15" ht="18" customHeight="1">
      <c r="A784" s="167" t="s">
        <v>251</v>
      </c>
      <c r="B784" s="168"/>
      <c r="C784" s="168"/>
      <c r="D784" s="168"/>
      <c r="E784" s="16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252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>
      <c r="A787" s="68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>
      <c r="A788" s="67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>
      <c r="A789" s="68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>
      <c r="A790" s="67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>
      <c r="A791" s="68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>
      <c r="A792" s="67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>
      <c r="A793" s="68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>
      <c r="A794" s="67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>
      <c r="A795" s="68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>
      <c r="A796" s="67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>
      <c r="A797" s="170" t="s">
        <v>247</v>
      </c>
      <c r="B797" s="171"/>
      <c r="C797" s="171"/>
      <c r="D797" s="171"/>
      <c r="E797" s="17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248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>
      <c r="A800" s="67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>
      <c r="A801" s="68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>
      <c r="A802" s="67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>
      <c r="A803" s="68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>
      <c r="A804" s="67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>
      <c r="A805" s="68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>
      <c r="A806" s="67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>
      <c r="A807" s="68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>
      <c r="A808" s="67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>
      <c r="A809" s="68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>
      <c r="A810" s="170" t="s">
        <v>250</v>
      </c>
      <c r="B810" s="171"/>
      <c r="C810" s="171"/>
      <c r="D810" s="171"/>
      <c r="E810" s="17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248</v>
      </c>
      <c r="O810" s="39"/>
    </row>
    <row r="811" spans="1:15" ht="18" customHeight="1">
      <c r="A811" s="164" t="s">
        <v>251</v>
      </c>
      <c r="B811" s="165"/>
      <c r="C811" s="165"/>
      <c r="D811" s="165"/>
      <c r="E811" s="16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252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>
      <c r="A814" s="67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>
      <c r="A815" s="68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>
      <c r="A816" s="67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>
      <c r="A817" s="68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>
      <c r="A818" s="67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>
      <c r="A819" s="68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>
      <c r="A820" s="67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>
      <c r="A821" s="68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>
      <c r="A822" s="67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>
      <c r="A823" s="68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>
      <c r="A824" s="170" t="s">
        <v>247</v>
      </c>
      <c r="B824" s="171"/>
      <c r="C824" s="171"/>
      <c r="D824" s="171"/>
      <c r="E824" s="17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248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>
      <c r="A827" s="68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>
      <c r="A828" s="67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>
      <c r="A829" s="68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>
      <c r="A830" s="67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>
      <c r="A831" s="68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>
      <c r="A832" s="67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>
      <c r="A833" s="68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>
      <c r="A834" s="67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>
      <c r="A835" s="68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>
      <c r="A836" s="67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>
      <c r="A837" s="170" t="s">
        <v>250</v>
      </c>
      <c r="B837" s="171"/>
      <c r="C837" s="171"/>
      <c r="D837" s="171"/>
      <c r="E837" s="17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248</v>
      </c>
      <c r="O837" s="39"/>
    </row>
    <row r="838" spans="1:15" ht="18" customHeight="1">
      <c r="A838" s="167" t="s">
        <v>251</v>
      </c>
      <c r="B838" s="168"/>
      <c r="C838" s="168"/>
      <c r="D838" s="168"/>
      <c r="E838" s="169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252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466" activePane="bottomLeft" state="frozen"/>
      <selection pane="bottomLeft" activeCell="L481" sqref="L481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280</v>
      </c>
      <c r="I1" s="133" t="s">
        <v>20</v>
      </c>
      <c r="J1" s="133" t="s">
        <v>281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282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283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284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70" t="s">
        <v>247</v>
      </c>
      <c r="B14" s="171"/>
      <c r="C14" s="171"/>
      <c r="D14" s="171"/>
      <c r="E14" s="171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248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262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262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262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262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262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285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262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286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262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262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262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262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262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262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70" t="s">
        <v>250</v>
      </c>
      <c r="B27" s="171"/>
      <c r="C27" s="171"/>
      <c r="D27" s="171"/>
      <c r="E27" s="171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248</v>
      </c>
      <c r="S27" s="45">
        <v>549860</v>
      </c>
      <c r="T27" s="122"/>
    </row>
    <row r="28" spans="1:20" ht="18" customHeight="1">
      <c r="A28" s="167" t="s">
        <v>251</v>
      </c>
      <c r="B28" s="168"/>
      <c r="C28" s="168"/>
      <c r="D28" s="168"/>
      <c r="E28" s="168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252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262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262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262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262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262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262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262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262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262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262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262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262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70" t="s">
        <v>247</v>
      </c>
      <c r="B41" s="171"/>
      <c r="C41" s="171"/>
      <c r="D41" s="171"/>
      <c r="E41" s="171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248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287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288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289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3.7995138882251922E-2</v>
      </c>
      <c r="R53" s="46" t="s">
        <v>290</v>
      </c>
      <c r="S53" s="31"/>
    </row>
    <row r="54" spans="1:20" ht="15.75" customHeight="1" thickBot="1">
      <c r="A54" s="170" t="s">
        <v>250</v>
      </c>
      <c r="B54" s="171"/>
      <c r="C54" s="171"/>
      <c r="D54" s="171"/>
      <c r="E54" s="171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0.17688402777114082</v>
      </c>
      <c r="R54" s="36" t="s">
        <v>248</v>
      </c>
      <c r="S54" s="75">
        <v>352430</v>
      </c>
      <c r="T54" s="117"/>
    </row>
    <row r="55" spans="1:20" ht="18" customHeight="1">
      <c r="A55" s="167" t="s">
        <v>251</v>
      </c>
      <c r="B55" s="168"/>
      <c r="C55" s="168"/>
      <c r="D55" s="168"/>
      <c r="E55" s="168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0.26160624999336313</v>
      </c>
      <c r="R55" s="40" t="s">
        <v>252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262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262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262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262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262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262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282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262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262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262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262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70" t="s">
        <v>247</v>
      </c>
      <c r="B68" s="171"/>
      <c r="C68" s="171"/>
      <c r="D68" s="171"/>
      <c r="E68" s="171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248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195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210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291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262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262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70" t="s">
        <v>250</v>
      </c>
      <c r="B81" s="171"/>
      <c r="C81" s="171"/>
      <c r="D81" s="171"/>
      <c r="E81" s="171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248</v>
      </c>
      <c r="S81" s="54">
        <v>634210</v>
      </c>
      <c r="T81" s="118"/>
    </row>
    <row r="82" spans="1:20" ht="18" customHeight="1">
      <c r="A82" s="167" t="s">
        <v>251</v>
      </c>
      <c r="B82" s="168"/>
      <c r="C82" s="168"/>
      <c r="D82" s="168"/>
      <c r="E82" s="168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252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262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221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70" t="s">
        <v>247</v>
      </c>
      <c r="B95" s="171"/>
      <c r="C95" s="171"/>
      <c r="D95" s="171"/>
      <c r="E95" s="171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248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292</v>
      </c>
      <c r="Q96" s="30" t="str">
        <f t="shared" ref="Q96:Q107" ca="1" si="22">IFERROR(IF(O96="","",IF(P96="",MOD(NOW()-O96,1),IF(P96&gt;=O96,P96-O96,P96+1-O96))),"")</f>
        <v/>
      </c>
      <c r="R96" s="46" t="s">
        <v>293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249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294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193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295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249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70" t="s">
        <v>250</v>
      </c>
      <c r="B108" s="171"/>
      <c r="C108" s="171"/>
      <c r="D108" s="171"/>
      <c r="E108" s="171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248</v>
      </c>
      <c r="S108" s="54">
        <v>456830</v>
      </c>
      <c r="T108" s="118"/>
    </row>
    <row r="109" spans="1:20" ht="18" customHeight="1">
      <c r="A109" s="167" t="s">
        <v>251</v>
      </c>
      <c r="B109" s="168"/>
      <c r="C109" s="168"/>
      <c r="D109" s="168"/>
      <c r="E109" s="168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252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296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70" t="s">
        <v>247</v>
      </c>
      <c r="B122" s="171"/>
      <c r="C122" s="171"/>
      <c r="D122" s="171"/>
      <c r="E122" s="171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248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70" t="s">
        <v>250</v>
      </c>
      <c r="B135" s="171"/>
      <c r="C135" s="171"/>
      <c r="D135" s="171"/>
      <c r="E135" s="171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248</v>
      </c>
      <c r="S135" s="54">
        <v>756720</v>
      </c>
      <c r="T135" s="118"/>
    </row>
    <row r="136" spans="1:20" ht="18" customHeight="1">
      <c r="A136" s="167" t="s">
        <v>251</v>
      </c>
      <c r="B136" s="168"/>
      <c r="C136" s="168"/>
      <c r="D136" s="168"/>
      <c r="E136" s="168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252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297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298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299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70" t="s">
        <v>247</v>
      </c>
      <c r="B149" s="171"/>
      <c r="C149" s="171"/>
      <c r="D149" s="171"/>
      <c r="E149" s="171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248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300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70" t="s">
        <v>250</v>
      </c>
      <c r="B162" s="171"/>
      <c r="C162" s="171"/>
      <c r="D162" s="171"/>
      <c r="E162" s="171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248</v>
      </c>
      <c r="S162" s="54">
        <v>501750</v>
      </c>
      <c r="T162" s="118"/>
    </row>
    <row r="163" spans="1:20" ht="18" customHeight="1">
      <c r="A163" s="167" t="s">
        <v>251</v>
      </c>
      <c r="B163" s="168"/>
      <c r="C163" s="168"/>
      <c r="D163" s="168"/>
      <c r="E163" s="168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252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262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262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262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262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262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262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262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262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262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262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262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70" t="s">
        <v>247</v>
      </c>
      <c r="B176" s="171"/>
      <c r="C176" s="171"/>
      <c r="D176" s="171"/>
      <c r="E176" s="171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248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262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262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301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262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302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262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262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262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70" t="s">
        <v>250</v>
      </c>
      <c r="B189" s="171"/>
      <c r="C189" s="171"/>
      <c r="D189" s="171"/>
      <c r="E189" s="171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248</v>
      </c>
      <c r="S189" s="45">
        <v>362530</v>
      </c>
      <c r="T189" s="122"/>
    </row>
    <row r="190" spans="1:20" ht="18" customHeight="1">
      <c r="A190" s="167" t="s">
        <v>251</v>
      </c>
      <c r="B190" s="168"/>
      <c r="C190" s="168"/>
      <c r="D190" s="168"/>
      <c r="E190" s="168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252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303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296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70" t="s">
        <v>247</v>
      </c>
      <c r="B203" s="171"/>
      <c r="C203" s="171"/>
      <c r="D203" s="171"/>
      <c r="E203" s="171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248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70" t="s">
        <v>250</v>
      </c>
      <c r="B216" s="171"/>
      <c r="C216" s="171"/>
      <c r="D216" s="171"/>
      <c r="E216" s="171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248</v>
      </c>
      <c r="S216" s="45">
        <v>609740</v>
      </c>
      <c r="T216" s="122"/>
    </row>
    <row r="217" spans="1:20" ht="18" customHeight="1">
      <c r="A217" s="167" t="s">
        <v>251</v>
      </c>
      <c r="B217" s="168"/>
      <c r="C217" s="168"/>
      <c r="D217" s="168"/>
      <c r="E217" s="168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252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291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249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305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306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1" t="s">
        <v>247</v>
      </c>
      <c r="B230" s="162"/>
      <c r="C230" s="162"/>
      <c r="D230" s="162"/>
      <c r="E230" s="16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248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249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70" t="s">
        <v>250</v>
      </c>
      <c r="B243" s="171"/>
      <c r="C243" s="171"/>
      <c r="D243" s="171"/>
      <c r="E243" s="17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248</v>
      </c>
      <c r="S243" s="45">
        <v>825930</v>
      </c>
      <c r="T243" s="122"/>
    </row>
    <row r="244" spans="1:20" ht="18" customHeight="1">
      <c r="A244" s="167" t="s">
        <v>251</v>
      </c>
      <c r="B244" s="168"/>
      <c r="C244" s="168"/>
      <c r="D244" s="168"/>
      <c r="E244" s="168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252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262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262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70" t="s">
        <v>247</v>
      </c>
      <c r="B257" s="171"/>
      <c r="C257" s="171"/>
      <c r="D257" s="171"/>
      <c r="E257" s="171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248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262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262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262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262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262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262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262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262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262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262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262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262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70" t="s">
        <v>250</v>
      </c>
      <c r="B270" s="171"/>
      <c r="C270" s="171"/>
      <c r="D270" s="171"/>
      <c r="E270" s="171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248</v>
      </c>
      <c r="S270" s="45">
        <v>732130</v>
      </c>
      <c r="T270" s="122"/>
    </row>
    <row r="271" spans="1:20" ht="18" customHeight="1">
      <c r="A271" s="167" t="s">
        <v>251</v>
      </c>
      <c r="B271" s="168"/>
      <c r="C271" s="168"/>
      <c r="D271" s="168"/>
      <c r="E271" s="168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252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262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262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262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262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246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262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70" t="s">
        <v>247</v>
      </c>
      <c r="B284" s="171"/>
      <c r="C284" s="171"/>
      <c r="D284" s="171"/>
      <c r="E284" s="171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248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246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246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262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262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246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246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246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246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246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246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246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246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70" t="s">
        <v>250</v>
      </c>
      <c r="B297" s="171"/>
      <c r="C297" s="171"/>
      <c r="D297" s="171"/>
      <c r="E297" s="171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248</v>
      </c>
      <c r="S297" s="45">
        <v>990260</v>
      </c>
      <c r="T297" s="122"/>
    </row>
    <row r="298" spans="1:20" ht="18" customHeight="1">
      <c r="A298" s="167" t="s">
        <v>251</v>
      </c>
      <c r="B298" s="168"/>
      <c r="C298" s="168"/>
      <c r="D298" s="168"/>
      <c r="E298" s="168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252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262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262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262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262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262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262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262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262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262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262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262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262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70" t="s">
        <v>247</v>
      </c>
      <c r="B311" s="171"/>
      <c r="C311" s="171"/>
      <c r="D311" s="171"/>
      <c r="E311" s="171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248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262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262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262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262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262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262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262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262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262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262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262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262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70" t="s">
        <v>250</v>
      </c>
      <c r="B324" s="171"/>
      <c r="C324" s="171"/>
      <c r="D324" s="171"/>
      <c r="E324" s="171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248</v>
      </c>
      <c r="S324" s="149">
        <v>725030</v>
      </c>
      <c r="T324" s="122">
        <f>IFERROR(J324,"")</f>
        <v>104.40432</v>
      </c>
    </row>
    <row r="325" spans="1:20" ht="18" customHeight="1">
      <c r="A325" s="167" t="s">
        <v>251</v>
      </c>
      <c r="B325" s="168"/>
      <c r="C325" s="168"/>
      <c r="D325" s="168"/>
      <c r="E325" s="168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252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307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308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309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246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246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310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311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70" t="s">
        <v>247</v>
      </c>
      <c r="B338" s="171"/>
      <c r="C338" s="171"/>
      <c r="D338" s="171"/>
      <c r="E338" s="171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248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303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206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298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70" t="s">
        <v>250</v>
      </c>
      <c r="B351" s="171"/>
      <c r="C351" s="171"/>
      <c r="D351" s="171"/>
      <c r="E351" s="171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248</v>
      </c>
      <c r="S351" s="45">
        <v>712170</v>
      </c>
      <c r="T351" s="122">
        <f>IFERROR(J351,"")</f>
        <v>149.5557</v>
      </c>
    </row>
    <row r="352" spans="1:20" ht="18" customHeight="1">
      <c r="A352" s="167" t="s">
        <v>251</v>
      </c>
      <c r="B352" s="168"/>
      <c r="C352" s="168"/>
      <c r="D352" s="168"/>
      <c r="E352" s="168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252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291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70" t="s">
        <v>247</v>
      </c>
      <c r="B365" s="171"/>
      <c r="C365" s="171"/>
      <c r="D365" s="171"/>
      <c r="E365" s="171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248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312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70" t="s">
        <v>250</v>
      </c>
      <c r="B378" s="171"/>
      <c r="C378" s="171"/>
      <c r="D378" s="171"/>
      <c r="E378" s="171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248</v>
      </c>
      <c r="S378" s="45">
        <v>806300</v>
      </c>
      <c r="T378" s="122">
        <f>IFERROR(J378,"")</f>
        <v>169.32299999999998</v>
      </c>
    </row>
    <row r="379" spans="1:20" ht="18" customHeight="1">
      <c r="A379" s="167" t="s">
        <v>251</v>
      </c>
      <c r="B379" s="168"/>
      <c r="C379" s="168"/>
      <c r="D379" s="168"/>
      <c r="E379" s="168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252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262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262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313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70" t="s">
        <v>247</v>
      </c>
      <c r="B392" s="171"/>
      <c r="C392" s="171"/>
      <c r="D392" s="171"/>
      <c r="E392" s="171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248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314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70" t="s">
        <v>250</v>
      </c>
      <c r="B405" s="171"/>
      <c r="C405" s="171"/>
      <c r="D405" s="171"/>
      <c r="E405" s="171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248</v>
      </c>
      <c r="S405" s="45">
        <v>774540</v>
      </c>
      <c r="T405" s="122">
        <f>IFERROR(J405,"")</f>
        <v>156.22852721311477</v>
      </c>
    </row>
    <row r="406" spans="1:20" ht="18" customHeight="1">
      <c r="A406" s="167" t="s">
        <v>251</v>
      </c>
      <c r="B406" s="168"/>
      <c r="C406" s="168"/>
      <c r="D406" s="168"/>
      <c r="E406" s="168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252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70" t="s">
        <v>247</v>
      </c>
      <c r="B419" s="171"/>
      <c r="C419" s="171"/>
      <c r="D419" s="171"/>
      <c r="E419" s="171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248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315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250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248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251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252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262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316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317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1.7319342857142856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5.1958028571428567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70" t="s">
        <v>247</v>
      </c>
      <c r="B446" s="171"/>
      <c r="C446" s="171"/>
      <c r="D446" s="171"/>
      <c r="E446" s="171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91.118987142857137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248</v>
      </c>
      <c r="S446" s="45">
        <v>449020</v>
      </c>
      <c r="T446" s="122">
        <f>IFERROR(J446,"")</f>
        <v>91.118987142857137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35.177619047619046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7.3872999999999998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96.738452380952381</v>
      </c>
      <c r="I448" s="135">
        <f>IFERROR(IF($D448="","",VLOOKUP($D448,Cadastro!$C$4:$G$7,5,FALSE)),"")</f>
        <v>0.6</v>
      </c>
      <c r="J448" s="136">
        <f t="shared" si="110"/>
        <v>20.315074999999997</v>
      </c>
      <c r="K448" s="28">
        <f t="shared" si="111"/>
        <v>92.4</v>
      </c>
      <c r="L448" s="26" t="s">
        <v>27</v>
      </c>
      <c r="M448" s="26" t="s">
        <v>131</v>
      </c>
      <c r="N448" s="26" t="s">
        <v>219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48.369226190476191</v>
      </c>
      <c r="I449" s="135">
        <f>IFERROR(IF($D449="","",VLOOKUP($D449,Cadastro!$C$4:$G$7,5,FALSE)),"")</f>
        <v>0.6</v>
      </c>
      <c r="J449" s="136">
        <f t="shared" si="110"/>
        <v>10.157537499999998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09" t="s">
        <v>246</v>
      </c>
      <c r="F450" s="134">
        <f>IFERROR(IF($D450="","",VLOOKUP($D450,Cadastro!$C$4:$E$7,3,FALSE)),"")</f>
        <v>0.24</v>
      </c>
      <c r="G450" s="105">
        <v>13</v>
      </c>
      <c r="H450" s="134">
        <f>IFERROR(IF($G450="","",$G450*$S$459/$G$459/Cadastro!$E$33),"")</f>
        <v>57.163630952380956</v>
      </c>
      <c r="I450" s="135">
        <f>IFERROR(IF($D450="","",VLOOKUP($D450,Cadastro!$C$4:$G$7,5,FALSE)),"")</f>
        <v>0.6</v>
      </c>
      <c r="J450" s="136">
        <f t="shared" si="110"/>
        <v>8.2315628571428565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13</v>
      </c>
      <c r="H451" s="134">
        <f>IFERROR(IF($G451="","",$G451*$S$459/$G$459/Cadastro!$E$33),"")</f>
        <v>57.163630952380956</v>
      </c>
      <c r="I451" s="135">
        <f>IFERROR(IF($D451="","",VLOOKUP($D451,Cadastro!$C$4:$G$7,5,FALSE)),"")</f>
        <v>0.6</v>
      </c>
      <c r="J451" s="136">
        <f t="shared" si="110"/>
        <v>8.2315628571428565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12</v>
      </c>
      <c r="H452" s="134">
        <f>IFERROR(IF($G452="","",$G452*$S$459/$G$459/Cadastro!$E$33),"")</f>
        <v>52.76642857142857</v>
      </c>
      <c r="I452" s="135">
        <f>IFERROR(IF($D452="","",VLOOKUP($D452,Cadastro!$C$4:$G$7,5,FALSE)),"")</f>
        <v>0.6</v>
      </c>
      <c r="J452" s="136">
        <f t="shared" si="110"/>
        <v>7.5983657142857135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318</v>
      </c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35.177619047619046</v>
      </c>
      <c r="I453" s="135">
        <f>IFERROR(IF($D453="","",VLOOKUP($D453,Cadastro!$C$4:$G$7,5,FALSE)),"")</f>
        <v>0.6</v>
      </c>
      <c r="J453" s="136">
        <f t="shared" si="110"/>
        <v>7.3872999999999998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>
        <v>9.375E-2</v>
      </c>
      <c r="P453" s="29">
        <v>0.13541666666666666</v>
      </c>
      <c r="Q453" s="35">
        <f t="shared" ca="1" si="112"/>
        <v>4.1666666666666657E-2</v>
      </c>
      <c r="R453" s="46" t="s">
        <v>319</v>
      </c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4</v>
      </c>
      <c r="H454" s="134">
        <f>IFERROR(IF($G454="","",$G454*$S$459/$G$459/Cadastro!$E$33),"")</f>
        <v>17.588809523809523</v>
      </c>
      <c r="I454" s="135">
        <f>IFERROR(IF($D454="","",VLOOKUP($D454,Cadastro!$C$4:$G$7,5,FALSE)),"")</f>
        <v>0.6</v>
      </c>
      <c r="J454" s="136">
        <f t="shared" si="110"/>
        <v>3.6936499999999999</v>
      </c>
      <c r="K454" s="28">
        <f t="shared" si="111"/>
        <v>16.8</v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24</v>
      </c>
      <c r="H455" s="134">
        <f>IFERROR(IF($G455="","",$G455*$S$459/$G$459/Cadastro!$E$33),"")</f>
        <v>105.53285714285714</v>
      </c>
      <c r="I455" s="135">
        <f>IFERROR(IF($D455="","",VLOOKUP($D455,Cadastro!$C$4:$G$7,5,FALSE)),"")</f>
        <v>0.6</v>
      </c>
      <c r="J455" s="136">
        <f t="shared" si="110"/>
        <v>22.161899999999996</v>
      </c>
      <c r="K455" s="34">
        <f t="shared" si="111"/>
        <v>100.80000000000001</v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23</v>
      </c>
      <c r="H456" s="134">
        <f>IFERROR(IF($G456="","",$G456*$S$459/$G$459/Cadastro!$E$33),"")</f>
        <v>101.13565476190476</v>
      </c>
      <c r="I456" s="135">
        <f>IFERROR(IF($D456="","",VLOOKUP($D456,Cadastro!$C$4:$G$7,5,FALSE)),"")</f>
        <v>0.6</v>
      </c>
      <c r="J456" s="136">
        <f t="shared" si="110"/>
        <v>21.238487499999998</v>
      </c>
      <c r="K456" s="28">
        <f t="shared" si="111"/>
        <v>96.600000000000009</v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20</v>
      </c>
      <c r="H457" s="134">
        <f>IFERROR(IF($G457="","",$G457*$S$459/$G$459/Cadastro!$E$33),"")</f>
        <v>87.944047619047623</v>
      </c>
      <c r="I457" s="135">
        <f>IFERROR(IF($D457="","",VLOOKUP($D457,Cadastro!$C$4:$G$7,5,FALSE)),"")</f>
        <v>0.6</v>
      </c>
      <c r="J457" s="136">
        <f t="shared" si="110"/>
        <v>18.468250000000001</v>
      </c>
      <c r="K457" s="34">
        <f t="shared" si="111"/>
        <v>84</v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10</v>
      </c>
      <c r="H458" s="137">
        <f>IFERROR(IF($G458="","",$G458*$S$459/$G$459/Cadastro!$E$33),"")</f>
        <v>43.972023809523812</v>
      </c>
      <c r="I458" s="138">
        <f>IFERROR(IF($D458="","",VLOOKUP($D458,Cadastro!$C$4:$G$7,5,FALSE)),"")</f>
        <v>0.6</v>
      </c>
      <c r="J458" s="139">
        <f t="shared" si="110"/>
        <v>9.2341250000000006</v>
      </c>
      <c r="K458" s="28">
        <f t="shared" si="111"/>
        <v>42</v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70" t="s">
        <v>250</v>
      </c>
      <c r="B459" s="171"/>
      <c r="C459" s="171"/>
      <c r="D459" s="171"/>
      <c r="E459" s="171">
        <f>SUM(E447:E458)</f>
        <v>0</v>
      </c>
      <c r="F459" s="111"/>
      <c r="G459" s="80">
        <f>SUM(G447:G458)</f>
        <v>168</v>
      </c>
      <c r="H459" s="111">
        <f>IFERROR(SUM(H447:H458),"")</f>
        <v>738.7299999999999</v>
      </c>
      <c r="I459" s="115"/>
      <c r="J459" s="124">
        <f>IFERROR(SUM(J447:J458),"")</f>
        <v>144.10511642857142</v>
      </c>
      <c r="K459" s="36">
        <f>SUM(K447:K458)</f>
        <v>716.00000000000011</v>
      </c>
      <c r="L459" s="37"/>
      <c r="M459" s="37"/>
      <c r="N459" s="37"/>
      <c r="O459" s="37"/>
      <c r="P459" s="37"/>
      <c r="Q459" s="38">
        <f ca="1">IFERROR(SUM(Q447:Q458),"")</f>
        <v>9.5138888888888787E-2</v>
      </c>
      <c r="R459" s="36" t="s">
        <v>248</v>
      </c>
      <c r="S459" s="45">
        <v>738730</v>
      </c>
      <c r="T459" s="122">
        <f>IFERROR(J459,"")</f>
        <v>144.10511642857142</v>
      </c>
    </row>
    <row r="460" spans="1:20" ht="18" customHeight="1">
      <c r="A460" s="167" t="s">
        <v>251</v>
      </c>
      <c r="B460" s="168"/>
      <c r="C460" s="168"/>
      <c r="D460" s="168"/>
      <c r="E460" s="168">
        <f>E446+E459</f>
        <v>0</v>
      </c>
      <c r="F460" s="112"/>
      <c r="G460" s="91">
        <f>G446+G459</f>
        <v>280</v>
      </c>
      <c r="H460" s="112">
        <f>IFERROR(H446+H459,"")</f>
        <v>1187.75</v>
      </c>
      <c r="I460" s="116"/>
      <c r="J460" s="125">
        <f>IFERROR(J446+J459,"")</f>
        <v>235.22410357142854</v>
      </c>
      <c r="K460" s="40">
        <f>K446+K459</f>
        <v>1186.4000000000001</v>
      </c>
      <c r="L460" s="41"/>
      <c r="M460" s="41"/>
      <c r="N460" s="41"/>
      <c r="O460" s="41"/>
      <c r="P460" s="41"/>
      <c r="Q460" s="42">
        <f ca="1">IFERROR(Q446+Q459,"")</f>
        <v>0.16249999999999998</v>
      </c>
      <c r="R460" s="40" t="s">
        <v>252</v>
      </c>
      <c r="S460" s="143">
        <f>IFERROR(S446+S459,"")</f>
        <v>1187750</v>
      </c>
      <c r="T460" s="144">
        <f>IFERROR(J460,"")</f>
        <v>235.22410357142854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262</v>
      </c>
      <c r="F461" s="140">
        <f>IFERROR(IF($D461="","",VLOOKUP($D461,Cadastro!$C$4:$E$7,3,FALSE)),"")</f>
        <v>0.35</v>
      </c>
      <c r="G461" s="105">
        <v>11</v>
      </c>
      <c r="H461" s="140">
        <f>IFERROR(IF($G461="","",$G461*$S$473/$G$473/Cadastro!$E$33),"")</f>
        <v>47.00704663212435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9.8714797927461113</v>
      </c>
      <c r="K461" s="34">
        <f t="shared" ref="K461:K472" si="115">IF(G461="","",IF(E461="PC 17",G461*4.2,IF(E461="PC 19",G461*5,IF(E461="CB",G461*24,""))))</f>
        <v>46.2</v>
      </c>
      <c r="L461" s="33" t="s">
        <v>26</v>
      </c>
      <c r="M461" s="33" t="s">
        <v>46</v>
      </c>
      <c r="N461" s="33" t="s">
        <v>34</v>
      </c>
      <c r="O461" s="29">
        <v>0.29375000000000001</v>
      </c>
      <c r="P461" s="29">
        <v>0.31458333333333333</v>
      </c>
      <c r="Q461" s="35">
        <f t="shared" ref="Q461:Q472" ca="1" si="116">IFERROR(IF(O461="","",IF(P461="",MOD(NOW()-O461,1),IF(P461&gt;=O461,P461-O461,P461+1-O461))),"")</f>
        <v>2.0833333333333315E-2</v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262</v>
      </c>
      <c r="F462" s="134">
        <f>IFERROR(IF($D462="","",VLOOKUP($D462,Cadastro!$C$4:$E$7,3,FALSE)),"")</f>
        <v>0.35</v>
      </c>
      <c r="G462" s="105">
        <v>26</v>
      </c>
      <c r="H462" s="134">
        <f>IFERROR(IF($G462="","",$G462*$S$473/$G$473/Cadastro!$E$33),"")</f>
        <v>111.10756476683937</v>
      </c>
      <c r="I462" s="135">
        <f>IFERROR(IF($D462="","",VLOOKUP($D462,Cadastro!$C$4:$G$7,5,FALSE)),"")</f>
        <v>0.6</v>
      </c>
      <c r="J462" s="136">
        <f t="shared" si="114"/>
        <v>23.332588601036264</v>
      </c>
      <c r="K462" s="28">
        <f t="shared" si="115"/>
        <v>109.2</v>
      </c>
      <c r="L462" s="26" t="s">
        <v>26</v>
      </c>
      <c r="M462" s="26" t="s">
        <v>38</v>
      </c>
      <c r="N462" s="26" t="s">
        <v>34</v>
      </c>
      <c r="O462" s="29">
        <v>0.39583333333333331</v>
      </c>
      <c r="P462" s="29">
        <v>0.41180555555555554</v>
      </c>
      <c r="Q462" s="30">
        <f t="shared" ca="1" si="116"/>
        <v>1.5972222222222221E-2</v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262</v>
      </c>
      <c r="F463" s="134">
        <f>IFERROR(IF($D463="","",VLOOKUP($D463,Cadastro!$C$4:$E$7,3,FALSE)),"")</f>
        <v>0.35</v>
      </c>
      <c r="G463" s="105">
        <v>9</v>
      </c>
      <c r="H463" s="134">
        <f>IFERROR(IF($G463="","",$G463*$S$473/$G$473/Cadastro!$E$33),"")</f>
        <v>38.460310880829013</v>
      </c>
      <c r="I463" s="135">
        <f>IFERROR(IF($D463="","",VLOOKUP($D463,Cadastro!$C$4:$G$7,5,FALSE)),"")</f>
        <v>0.6</v>
      </c>
      <c r="J463" s="136">
        <f t="shared" si="114"/>
        <v>8.0766652849740925</v>
      </c>
      <c r="K463" s="34">
        <f t="shared" si="115"/>
        <v>37.800000000000004</v>
      </c>
      <c r="L463" s="33" t="s">
        <v>26</v>
      </c>
      <c r="M463" s="33" t="s">
        <v>46</v>
      </c>
      <c r="N463" s="33" t="s">
        <v>34</v>
      </c>
      <c r="O463" s="29">
        <v>0.5444444444444444</v>
      </c>
      <c r="P463" s="29">
        <v>0.57013888888888886</v>
      </c>
      <c r="Q463" s="35">
        <f t="shared" ca="1" si="116"/>
        <v>2.5694444444444464E-2</v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262</v>
      </c>
      <c r="F464" s="134">
        <f>IFERROR(IF($D464="","",VLOOKUP($D464,Cadastro!$C$4:$E$7,3,FALSE)),"")</f>
        <v>0.35</v>
      </c>
      <c r="G464" s="105">
        <v>22</v>
      </c>
      <c r="H464" s="134">
        <f>IFERROR(IF($G464="","",$G464*$S$473/$G$473/Cadastro!$E$33),"")</f>
        <v>94.0140932642487</v>
      </c>
      <c r="I464" s="135">
        <f>IFERROR(IF($D464="","",VLOOKUP($D464,Cadastro!$C$4:$G$7,5,FALSE)),"")</f>
        <v>0.6</v>
      </c>
      <c r="J464" s="136">
        <f t="shared" si="114"/>
        <v>19.742959585492223</v>
      </c>
      <c r="K464" s="28">
        <f t="shared" si="115"/>
        <v>92.4</v>
      </c>
      <c r="L464" s="26" t="s">
        <v>26</v>
      </c>
      <c r="M464" s="26" t="s">
        <v>46</v>
      </c>
      <c r="N464" s="26" t="s">
        <v>57</v>
      </c>
      <c r="O464" s="29">
        <v>0.60486111111111107</v>
      </c>
      <c r="P464" s="29">
        <v>0.64027777777777772</v>
      </c>
      <c r="Q464" s="30">
        <f t="shared" ca="1" si="116"/>
        <v>3.5416666666666652E-2</v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262</v>
      </c>
      <c r="F465" s="134">
        <f>IFERROR(IF($D465="","",VLOOKUP($D465,Cadastro!$C$4:$E$7,3,FALSE)),"")</f>
        <v>0.35</v>
      </c>
      <c r="G465" s="105">
        <v>11</v>
      </c>
      <c r="H465" s="134">
        <f>IFERROR(IF($G465="","",$G465*$S$473/$G$473/Cadastro!$E$33),"")</f>
        <v>47.00704663212435</v>
      </c>
      <c r="I465" s="135">
        <f>IFERROR(IF($D465="","",VLOOKUP($D465,Cadastro!$C$4:$G$7,5,FALSE)),"")</f>
        <v>0.6</v>
      </c>
      <c r="J465" s="136">
        <f t="shared" si="114"/>
        <v>9.8714797927461113</v>
      </c>
      <c r="K465" s="34">
        <f t="shared" si="115"/>
        <v>46.2</v>
      </c>
      <c r="L465" s="33" t="s">
        <v>27</v>
      </c>
      <c r="M465" s="33" t="s">
        <v>46</v>
      </c>
      <c r="N465" s="33" t="s">
        <v>43</v>
      </c>
      <c r="O465" s="29">
        <v>0.67638888888888893</v>
      </c>
      <c r="P465" s="29">
        <v>0.69791666666666663</v>
      </c>
      <c r="Q465" s="35">
        <f t="shared" ca="1" si="116"/>
        <v>2.1527777777777701E-2</v>
      </c>
      <c r="R465" s="46" t="s">
        <v>320</v>
      </c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262</v>
      </c>
      <c r="F466" s="134">
        <f>IFERROR(IF($D466="","",VLOOKUP($D466,Cadastro!$C$4:$E$7,3,FALSE)),"")</f>
        <v>0.35</v>
      </c>
      <c r="G466" s="105">
        <v>23</v>
      </c>
      <c r="H466" s="134">
        <f>IFERROR(IF($G466="","",$G466*$S$473/$G$473/Cadastro!$E$33),"")</f>
        <v>98.287461139896379</v>
      </c>
      <c r="I466" s="135">
        <f>IFERROR(IF($D466="","",VLOOKUP($D466,Cadastro!$C$4:$G$7,5,FALSE)),"")</f>
        <v>0.6</v>
      </c>
      <c r="J466" s="136">
        <f t="shared" si="114"/>
        <v>20.640366839378238</v>
      </c>
      <c r="K466" s="28">
        <f t="shared" si="115"/>
        <v>96.600000000000009</v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262</v>
      </c>
      <c r="F467" s="134">
        <f>IFERROR(IF($D467="","",VLOOKUP($D467,Cadastro!$C$4:$E$7,3,FALSE)),"")</f>
        <v>0.35</v>
      </c>
      <c r="G467" s="105">
        <v>23</v>
      </c>
      <c r="H467" s="134">
        <f>IFERROR(IF($G467="","",$G467*$S$473/$G$473/Cadastro!$E$33),"")</f>
        <v>98.287461139896379</v>
      </c>
      <c r="I467" s="135">
        <f>IFERROR(IF($D467="","",VLOOKUP($D467,Cadastro!$C$4:$G$7,5,FALSE)),"")</f>
        <v>0.6</v>
      </c>
      <c r="J467" s="136">
        <f t="shared" si="114"/>
        <v>20.640366839378238</v>
      </c>
      <c r="K467" s="34">
        <f t="shared" si="115"/>
        <v>96.600000000000009</v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262</v>
      </c>
      <c r="F468" s="134">
        <f>IFERROR(IF($D468="","",VLOOKUP($D468,Cadastro!$C$4:$E$7,3,FALSE)),"")</f>
        <v>0.35</v>
      </c>
      <c r="G468" s="105">
        <v>10</v>
      </c>
      <c r="H468" s="134">
        <f>IFERROR(IF($G468="","",$G468*$S$473/$G$473/Cadastro!$E$33),"")</f>
        <v>42.733678756476685</v>
      </c>
      <c r="I468" s="135">
        <f>IFERROR(IF($D468="","",VLOOKUP($D468,Cadastro!$C$4:$G$7,5,FALSE)),"")</f>
        <v>0.6</v>
      </c>
      <c r="J468" s="136">
        <f t="shared" si="114"/>
        <v>8.9740725388601028</v>
      </c>
      <c r="K468" s="28">
        <f t="shared" si="115"/>
        <v>42</v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262</v>
      </c>
      <c r="F469" s="134">
        <f>IFERROR(IF($D469="","",VLOOKUP($D469,Cadastro!$C$4:$E$7,3,FALSE)),"")</f>
        <v>0.35</v>
      </c>
      <c r="G469" s="105">
        <v>19</v>
      </c>
      <c r="H469" s="134">
        <f>IFERROR(IF($G469="","",$G469*$S$473/$G$473/Cadastro!$E$33),"")</f>
        <v>81.193989637305691</v>
      </c>
      <c r="I469" s="135">
        <f>IFERROR(IF($D469="","",VLOOKUP($D469,Cadastro!$C$4:$G$7,5,FALSE)),"")</f>
        <v>0.6</v>
      </c>
      <c r="J469" s="136">
        <f t="shared" si="114"/>
        <v>17.050737823834194</v>
      </c>
      <c r="K469" s="34">
        <f t="shared" si="115"/>
        <v>79.8</v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262</v>
      </c>
      <c r="F470" s="134">
        <f>IFERROR(IF($D470="","",VLOOKUP($D470,Cadastro!$C$4:$E$7,3,FALSE)),"")</f>
        <v>0.35</v>
      </c>
      <c r="G470" s="105">
        <v>10</v>
      </c>
      <c r="H470" s="134">
        <f>IFERROR(IF($G470="","",$G470*$S$473/$G$473/Cadastro!$E$33),"")</f>
        <v>42.733678756476685</v>
      </c>
      <c r="I470" s="135">
        <f>IFERROR(IF($D470="","",VLOOKUP($D470,Cadastro!$C$4:$G$7,5,FALSE)),"")</f>
        <v>0.6</v>
      </c>
      <c r="J470" s="136">
        <f t="shared" si="114"/>
        <v>8.9740725388601028</v>
      </c>
      <c r="K470" s="28">
        <f t="shared" si="115"/>
        <v>42</v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262</v>
      </c>
      <c r="F471" s="134">
        <f>IFERROR(IF($D471="","",VLOOKUP($D471,Cadastro!$C$4:$E$7,3,FALSE)),"")</f>
        <v>0.35</v>
      </c>
      <c r="G471" s="105">
        <v>17</v>
      </c>
      <c r="H471" s="134">
        <f>IFERROR(IF($G471="","",$G471*$S$473/$G$473/Cadastro!$E$33),"")</f>
        <v>72.647253886010361</v>
      </c>
      <c r="I471" s="135">
        <f>IFERROR(IF($D471="","",VLOOKUP($D471,Cadastro!$C$4:$G$7,5,FALSE)),"")</f>
        <v>0.6</v>
      </c>
      <c r="J471" s="136">
        <f t="shared" si="114"/>
        <v>15.255923316062175</v>
      </c>
      <c r="K471" s="34">
        <f t="shared" si="115"/>
        <v>71.400000000000006</v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262</v>
      </c>
      <c r="F472" s="137">
        <f>IFERROR(IF($D472="","",VLOOKUP($D472,Cadastro!$C$4:$E$7,3,FALSE)),"")</f>
        <v>0.35</v>
      </c>
      <c r="G472" s="105">
        <v>12</v>
      </c>
      <c r="H472" s="137">
        <f>IFERROR(IF($G472="","",$G472*$S$473/$G$473/Cadastro!$E$33),"")</f>
        <v>51.280414507772022</v>
      </c>
      <c r="I472" s="138">
        <f>IFERROR(IF($D472="","",VLOOKUP($D472,Cadastro!$C$4:$G$7,5,FALSE)),"")</f>
        <v>0.6</v>
      </c>
      <c r="J472" s="139">
        <f t="shared" si="114"/>
        <v>10.768887046632123</v>
      </c>
      <c r="K472" s="28">
        <f t="shared" si="115"/>
        <v>50.400000000000006</v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70" t="s">
        <v>247</v>
      </c>
      <c r="B473" s="171"/>
      <c r="C473" s="171"/>
      <c r="D473" s="171"/>
      <c r="E473" s="171">
        <f>SUM(E461:E472)</f>
        <v>0</v>
      </c>
      <c r="F473" s="110"/>
      <c r="G473" s="80">
        <f>SUM(G461:G472)</f>
        <v>193</v>
      </c>
      <c r="H473" s="110">
        <f>IFERROR(SUM(H461:H472),"")</f>
        <v>824.76</v>
      </c>
      <c r="I473" s="114"/>
      <c r="J473" s="123">
        <f>IFERROR(SUM(J461:J472),"")</f>
        <v>173.19959999999998</v>
      </c>
      <c r="K473" s="36">
        <f>SUM(K461:K472)</f>
        <v>810.59999999999991</v>
      </c>
      <c r="L473" s="37"/>
      <c r="M473" s="37"/>
      <c r="N473" s="37"/>
      <c r="O473" s="37"/>
      <c r="P473" s="37"/>
      <c r="Q473" s="38">
        <f ca="1">IFERROR(SUM(Q461:Q472),"")</f>
        <v>0.11944444444444435</v>
      </c>
      <c r="R473" s="36" t="s">
        <v>248</v>
      </c>
      <c r="S473" s="45">
        <v>824760</v>
      </c>
      <c r="T473" s="122">
        <f>IFERROR(J473,"")</f>
        <v>173.19959999999998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262</v>
      </c>
      <c r="F474" s="140">
        <f>IFERROR(IF($D474="","",VLOOKUP($D474,Cadastro!$C$4:$E$7,3,FALSE)),"")</f>
        <v>0.35</v>
      </c>
      <c r="G474" s="105">
        <v>17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0</v>
      </c>
      <c r="K474" s="28">
        <f t="shared" ref="K474:K485" si="119">IF(G474="","",IF(E474="PC 17",G474*4.2,IF(E474="PC 19",G474*5,IF(E474="CB",G474*24,""))))</f>
        <v>71.400000000000006</v>
      </c>
      <c r="L474" s="26" t="s">
        <v>26</v>
      </c>
      <c r="M474" s="26" t="s">
        <v>46</v>
      </c>
      <c r="N474" s="26" t="s">
        <v>34</v>
      </c>
      <c r="O474" s="29">
        <v>0.87222222222222223</v>
      </c>
      <c r="P474" s="29">
        <v>0.88263888888888886</v>
      </c>
      <c r="Q474" s="30">
        <f t="shared" ref="Q474:Q485" ca="1" si="120">IFERROR(IF(O474="","",IF(P474="",MOD(NOW()-O474,1),IF(P474&gt;=O474,P474-O474,P474+1-O474))),"")</f>
        <v>1.041666666666663E-2</v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29</v>
      </c>
      <c r="E475" s="108" t="s">
        <v>262</v>
      </c>
      <c r="F475" s="134">
        <f>IFERROR(IF($D475="","",VLOOKUP($D475,Cadastro!$C$4:$E$7,3,FALSE)),"")</f>
        <v>0.35</v>
      </c>
      <c r="G475" s="105">
        <v>19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8"/>
        <v>0</v>
      </c>
      <c r="K475" s="34">
        <f t="shared" si="119"/>
        <v>79.8</v>
      </c>
      <c r="L475" s="33" t="s">
        <v>26</v>
      </c>
      <c r="M475" s="33" t="s">
        <v>38</v>
      </c>
      <c r="N475" s="33" t="s">
        <v>34</v>
      </c>
      <c r="O475" s="29">
        <v>0.88263888888888886</v>
      </c>
      <c r="P475" s="29">
        <v>0.89652777777777781</v>
      </c>
      <c r="Q475" s="35">
        <f t="shared" ca="1" si="120"/>
        <v>1.3888888888888951E-2</v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29</v>
      </c>
      <c r="E476" s="108" t="s">
        <v>262</v>
      </c>
      <c r="F476" s="134">
        <f>IFERROR(IF($D476="","",VLOOKUP($D476,Cadastro!$C$4:$E$7,3,FALSE)),"")</f>
        <v>0.35</v>
      </c>
      <c r="G476" s="105">
        <v>7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8"/>
        <v>0</v>
      </c>
      <c r="K476" s="28">
        <f t="shared" si="119"/>
        <v>29.400000000000002</v>
      </c>
      <c r="L476" s="26" t="s">
        <v>27</v>
      </c>
      <c r="M476" s="26" t="s">
        <v>38</v>
      </c>
      <c r="N476" s="26" t="s">
        <v>58</v>
      </c>
      <c r="O476" s="29">
        <v>0.89722222222222225</v>
      </c>
      <c r="P476" s="29">
        <v>0.91527777777777775</v>
      </c>
      <c r="Q476" s="30">
        <f t="shared" ca="1" si="120"/>
        <v>1.8055555555555491E-2</v>
      </c>
      <c r="R476" s="46" t="s">
        <v>321</v>
      </c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29</v>
      </c>
      <c r="E477" s="108" t="s">
        <v>262</v>
      </c>
      <c r="F477" s="134">
        <f>IFERROR(IF($D477="","",VLOOKUP($D477,Cadastro!$C$4:$E$7,3,FALSE)),"")</f>
        <v>0.35</v>
      </c>
      <c r="G477" s="105">
        <v>13</v>
      </c>
      <c r="H477" s="134">
        <f>IFERROR(IF($G477="","",$G477*$S$486/$G$486/Cadastro!$E$33),"")</f>
        <v>0</v>
      </c>
      <c r="I477" s="135">
        <f>IFERROR(IF($D477="","",VLOOKUP($D477,Cadastro!$C$4:$G$7,5,FALSE)),"")</f>
        <v>0.6</v>
      </c>
      <c r="J477" s="136">
        <f t="shared" si="118"/>
        <v>0</v>
      </c>
      <c r="K477" s="34">
        <f t="shared" si="119"/>
        <v>54.6</v>
      </c>
      <c r="L477" s="33" t="s">
        <v>27</v>
      </c>
      <c r="M477" s="33" t="s">
        <v>46</v>
      </c>
      <c r="N477" s="33" t="s">
        <v>58</v>
      </c>
      <c r="O477" s="29">
        <v>0.95277777777777772</v>
      </c>
      <c r="P477" s="29">
        <v>0.96250000000000002</v>
      </c>
      <c r="Q477" s="35">
        <f t="shared" ca="1" si="120"/>
        <v>9.7222222222222987E-3</v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29</v>
      </c>
      <c r="E478" s="108" t="s">
        <v>262</v>
      </c>
      <c r="F478" s="134">
        <f>IFERROR(IF($D478="","",VLOOKUP($D478,Cadastro!$C$4:$E$7,3,FALSE)),"")</f>
        <v>0.35</v>
      </c>
      <c r="G478" s="105">
        <v>10</v>
      </c>
      <c r="H478" s="134">
        <f>IFERROR(IF($G478="","",$G478*$S$486/$G$486/Cadastro!$E$33),"")</f>
        <v>0</v>
      </c>
      <c r="I478" s="135">
        <f>IFERROR(IF($D478="","",VLOOKUP($D478,Cadastro!$C$4:$G$7,5,FALSE)),"")</f>
        <v>0.6</v>
      </c>
      <c r="J478" s="136">
        <f t="shared" si="118"/>
        <v>0</v>
      </c>
      <c r="K478" s="28">
        <f t="shared" si="119"/>
        <v>42</v>
      </c>
      <c r="L478" s="26" t="s">
        <v>25</v>
      </c>
      <c r="M478" s="26" t="s">
        <v>134</v>
      </c>
      <c r="N478" s="26" t="s">
        <v>192</v>
      </c>
      <c r="O478" s="29">
        <v>0.98750000000000004</v>
      </c>
      <c r="P478" s="29">
        <v>1.3888888888888889E-3</v>
      </c>
      <c r="Q478" s="30">
        <f t="shared" ca="1" si="120"/>
        <v>1.388888888888884E-2</v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29</v>
      </c>
      <c r="E479" s="108" t="s">
        <v>262</v>
      </c>
      <c r="F479" s="134">
        <f>IFERROR(IF($D479="","",VLOOKUP($D479,Cadastro!$C$4:$E$7,3,FALSE)),"")</f>
        <v>0.35</v>
      </c>
      <c r="G479" s="105">
        <v>14</v>
      </c>
      <c r="H479" s="134">
        <f>IFERROR(IF($G479="","",$G479*$S$486/$G$486/Cadastro!$E$33),"")</f>
        <v>0</v>
      </c>
      <c r="I479" s="135">
        <f>IFERROR(IF($D479="","",VLOOKUP($D479,Cadastro!$C$4:$G$7,5,FALSE)),"")</f>
        <v>0.6</v>
      </c>
      <c r="J479" s="136">
        <f t="shared" si="118"/>
        <v>0</v>
      </c>
      <c r="K479" s="34">
        <f t="shared" si="119"/>
        <v>58.800000000000004</v>
      </c>
      <c r="L479" s="33" t="s">
        <v>27</v>
      </c>
      <c r="M479" s="33" t="s">
        <v>38</v>
      </c>
      <c r="N479" s="33" t="s">
        <v>58</v>
      </c>
      <c r="O479" s="29">
        <v>5.4166666666666669E-2</v>
      </c>
      <c r="P479" s="29">
        <v>7.9166666666666663E-2</v>
      </c>
      <c r="Q479" s="35">
        <f t="shared" ca="1" si="120"/>
        <v>2.4999999999999994E-2</v>
      </c>
      <c r="R479" s="46" t="s">
        <v>322</v>
      </c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29</v>
      </c>
      <c r="E480" s="108" t="s">
        <v>262</v>
      </c>
      <c r="F480" s="134">
        <f>IFERROR(IF($D480="","",VLOOKUP($D480,Cadastro!$C$4:$E$7,3,FALSE)),"")</f>
        <v>0.35</v>
      </c>
      <c r="G480" s="105">
        <v>10</v>
      </c>
      <c r="H480" s="134">
        <f>IFERROR(IF($G480="","",$G480*$S$486/$G$486/Cadastro!$E$33),"")</f>
        <v>0</v>
      </c>
      <c r="I480" s="135">
        <f>IFERROR(IF($D480="","",VLOOKUP($D480,Cadastro!$C$4:$G$7,5,FALSE)),"")</f>
        <v>0.6</v>
      </c>
      <c r="J480" s="136">
        <f t="shared" si="118"/>
        <v>0</v>
      </c>
      <c r="K480" s="28">
        <f t="shared" si="119"/>
        <v>42</v>
      </c>
      <c r="L480" s="26" t="s">
        <v>26</v>
      </c>
      <c r="M480" s="26" t="s">
        <v>38</v>
      </c>
      <c r="N480" s="26" t="s">
        <v>34</v>
      </c>
      <c r="O480" s="29">
        <v>0.14166666666666666</v>
      </c>
      <c r="P480" s="29">
        <v>0.15069444444444444</v>
      </c>
      <c r="Q480" s="30">
        <f t="shared" ca="1" si="120"/>
        <v>9.0277777777777735E-3</v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29</v>
      </c>
      <c r="E481" s="108" t="s">
        <v>262</v>
      </c>
      <c r="F481" s="134">
        <f>IFERROR(IF($D481="","",VLOOKUP($D481,Cadastro!$C$4:$E$7,3,FALSE)),"")</f>
        <v>0.35</v>
      </c>
      <c r="G481" s="105">
        <v>12</v>
      </c>
      <c r="H481" s="134">
        <f>IFERROR(IF($G481="","",$G481*$S$486/$G$486/Cadastro!$E$33),"")</f>
        <v>0</v>
      </c>
      <c r="I481" s="135">
        <f>IFERROR(IF($D481="","",VLOOKUP($D481,Cadastro!$C$4:$G$7,5,FALSE)),"")</f>
        <v>0.6</v>
      </c>
      <c r="J481" s="136">
        <f t="shared" si="118"/>
        <v>0</v>
      </c>
      <c r="K481" s="34">
        <f t="shared" si="119"/>
        <v>50.400000000000006</v>
      </c>
      <c r="L481" s="33" t="s">
        <v>26</v>
      </c>
      <c r="M481" s="33" t="s">
        <v>46</v>
      </c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29</v>
      </c>
      <c r="E482" s="108" t="s">
        <v>262</v>
      </c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29</v>
      </c>
      <c r="E483" s="108" t="s">
        <v>262</v>
      </c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29</v>
      </c>
      <c r="E484" s="108"/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29</v>
      </c>
      <c r="E485" s="108"/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70" t="s">
        <v>250</v>
      </c>
      <c r="B486" s="171"/>
      <c r="C486" s="171"/>
      <c r="D486" s="171"/>
      <c r="E486" s="171">
        <f>SUM(E474:E485)</f>
        <v>0</v>
      </c>
      <c r="F486" s="111"/>
      <c r="G486" s="80">
        <f>SUM(G474:G485)</f>
        <v>102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428.4</v>
      </c>
      <c r="L486" s="37"/>
      <c r="M486" s="37"/>
      <c r="N486" s="37"/>
      <c r="O486" s="37"/>
      <c r="P486" s="37"/>
      <c r="Q486" s="38">
        <f ca="1">IFERROR(SUM(Q474:Q485),"")</f>
        <v>9.9999999999999978E-2</v>
      </c>
      <c r="R486" s="36" t="s">
        <v>248</v>
      </c>
      <c r="S486" s="45"/>
      <c r="T486" s="122">
        <f>IFERROR(J486,"")</f>
        <v>0</v>
      </c>
    </row>
    <row r="487" spans="1:20" ht="18" customHeight="1">
      <c r="A487" s="167" t="s">
        <v>251</v>
      </c>
      <c r="B487" s="168"/>
      <c r="C487" s="168"/>
      <c r="D487" s="168"/>
      <c r="E487" s="168">
        <f>E473+E486</f>
        <v>0</v>
      </c>
      <c r="F487" s="112"/>
      <c r="G487" s="91">
        <f>G473+G486</f>
        <v>295</v>
      </c>
      <c r="H487" s="112">
        <f>IFERROR(H473+H486,"")</f>
        <v>824.76</v>
      </c>
      <c r="I487" s="116"/>
      <c r="J487" s="125">
        <f>IFERROR(J473+J486,"")</f>
        <v>173.19959999999998</v>
      </c>
      <c r="K487" s="40">
        <f>K473+K486</f>
        <v>1239</v>
      </c>
      <c r="L487" s="41"/>
      <c r="M487" s="41"/>
      <c r="N487" s="41"/>
      <c r="O487" s="41"/>
      <c r="P487" s="41"/>
      <c r="Q487" s="42">
        <f ca="1">IFERROR(Q473+Q486,"")</f>
        <v>0.21944444444444433</v>
      </c>
      <c r="R487" s="40" t="s">
        <v>252</v>
      </c>
      <c r="S487" s="143">
        <f>IFERROR(S473+S486,"")</f>
        <v>824760</v>
      </c>
      <c r="T487" s="144">
        <f>IFERROR(J487,"")</f>
        <v>173.19959999999998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70" t="s">
        <v>247</v>
      </c>
      <c r="B500" s="171"/>
      <c r="C500" s="171"/>
      <c r="D500" s="171"/>
      <c r="E500" s="17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248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250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248</v>
      </c>
      <c r="S513" s="45"/>
      <c r="T513" s="122">
        <f>IFERROR(J513,"")</f>
        <v>0</v>
      </c>
    </row>
    <row r="514" spans="1:20" ht="18" customHeight="1">
      <c r="A514" s="83" t="s">
        <v>251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252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70" t="s">
        <v>247</v>
      </c>
      <c r="B527" s="171"/>
      <c r="C527" s="171"/>
      <c r="D527" s="171"/>
      <c r="E527" s="17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248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70" t="s">
        <v>250</v>
      </c>
      <c r="B540" s="171"/>
      <c r="C540" s="171"/>
      <c r="D540" s="171"/>
      <c r="E540" s="17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248</v>
      </c>
      <c r="S540" s="45"/>
      <c r="T540" s="122">
        <f>IFERROR(J540,"")</f>
        <v>0</v>
      </c>
    </row>
    <row r="541" spans="1:20" ht="18" customHeight="1">
      <c r="A541" s="167" t="s">
        <v>251</v>
      </c>
      <c r="B541" s="168"/>
      <c r="C541" s="168"/>
      <c r="D541" s="168"/>
      <c r="E541" s="168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252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70" t="s">
        <v>247</v>
      </c>
      <c r="B554" s="171"/>
      <c r="C554" s="171"/>
      <c r="D554" s="171"/>
      <c r="E554" s="17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248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70" t="s">
        <v>250</v>
      </c>
      <c r="B567" s="171"/>
      <c r="C567" s="171"/>
      <c r="D567" s="171"/>
      <c r="E567" s="17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248</v>
      </c>
      <c r="S567" s="45"/>
      <c r="T567" s="122">
        <f>IFERROR(J567,"")</f>
        <v>0</v>
      </c>
    </row>
    <row r="568" spans="1:20" ht="18" customHeight="1">
      <c r="A568" s="167" t="s">
        <v>251</v>
      </c>
      <c r="B568" s="168"/>
      <c r="C568" s="168"/>
      <c r="D568" s="168"/>
      <c r="E568" s="168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252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70" t="s">
        <v>247</v>
      </c>
      <c r="B581" s="171"/>
      <c r="C581" s="171"/>
      <c r="D581" s="171"/>
      <c r="E581" s="17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248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70" t="s">
        <v>250</v>
      </c>
      <c r="B594" s="171"/>
      <c r="C594" s="171"/>
      <c r="D594" s="171"/>
      <c r="E594" s="17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248</v>
      </c>
      <c r="S594" s="45"/>
      <c r="T594" s="122">
        <f>IFERROR(J594,"")</f>
        <v>0</v>
      </c>
    </row>
    <row r="595" spans="1:20" ht="18" customHeight="1">
      <c r="A595" s="167" t="s">
        <v>251</v>
      </c>
      <c r="B595" s="168"/>
      <c r="C595" s="168"/>
      <c r="D595" s="168"/>
      <c r="E595" s="168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252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70" t="s">
        <v>247</v>
      </c>
      <c r="B608" s="171"/>
      <c r="C608" s="171"/>
      <c r="D608" s="171"/>
      <c r="E608" s="17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248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70" t="s">
        <v>250</v>
      </c>
      <c r="B621" s="171"/>
      <c r="C621" s="171"/>
      <c r="D621" s="171"/>
      <c r="E621" s="17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248</v>
      </c>
      <c r="S621" s="45"/>
      <c r="T621" s="122">
        <f>IFERROR(J621,"")</f>
        <v>0</v>
      </c>
    </row>
    <row r="622" spans="1:20" ht="18" customHeight="1">
      <c r="A622" s="167" t="s">
        <v>251</v>
      </c>
      <c r="B622" s="168"/>
      <c r="C622" s="168"/>
      <c r="D622" s="168"/>
      <c r="E622" s="168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252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70" t="s">
        <v>247</v>
      </c>
      <c r="B635" s="171"/>
      <c r="C635" s="171"/>
      <c r="D635" s="171"/>
      <c r="E635" s="17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248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70" t="s">
        <v>250</v>
      </c>
      <c r="B648" s="171"/>
      <c r="C648" s="171"/>
      <c r="D648" s="171"/>
      <c r="E648" s="17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248</v>
      </c>
      <c r="S648" s="45"/>
      <c r="T648" s="122">
        <f>IFERROR(J648,"")</f>
        <v>0</v>
      </c>
    </row>
    <row r="649" spans="1:20" ht="18" customHeight="1">
      <c r="A649" s="167" t="s">
        <v>251</v>
      </c>
      <c r="B649" s="168"/>
      <c r="C649" s="168"/>
      <c r="D649" s="168"/>
      <c r="E649" s="168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252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70" t="s">
        <v>247</v>
      </c>
      <c r="B662" s="171"/>
      <c r="C662" s="171"/>
      <c r="D662" s="171"/>
      <c r="E662" s="17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248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70" t="s">
        <v>250</v>
      </c>
      <c r="B675" s="171"/>
      <c r="C675" s="171"/>
      <c r="D675" s="171"/>
      <c r="E675" s="17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248</v>
      </c>
      <c r="S675" s="45"/>
      <c r="T675" s="122">
        <f>IFERROR(J675,"")</f>
        <v>0</v>
      </c>
    </row>
    <row r="676" spans="1:20" ht="18" customHeight="1">
      <c r="A676" s="167" t="s">
        <v>251</v>
      </c>
      <c r="B676" s="168"/>
      <c r="C676" s="168"/>
      <c r="D676" s="168"/>
      <c r="E676" s="168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252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70" t="s">
        <v>247</v>
      </c>
      <c r="B689" s="171"/>
      <c r="C689" s="171"/>
      <c r="D689" s="171"/>
      <c r="E689" s="17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248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70" t="s">
        <v>250</v>
      </c>
      <c r="B702" s="171"/>
      <c r="C702" s="171"/>
      <c r="D702" s="171"/>
      <c r="E702" s="17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248</v>
      </c>
      <c r="S702" s="45"/>
      <c r="T702" s="122">
        <f>IFERROR(J702,"")</f>
        <v>0</v>
      </c>
    </row>
    <row r="703" spans="1:20" ht="18" customHeight="1">
      <c r="A703" s="167" t="s">
        <v>251</v>
      </c>
      <c r="B703" s="168"/>
      <c r="C703" s="168"/>
      <c r="D703" s="168"/>
      <c r="E703" s="168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252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70" t="s">
        <v>247</v>
      </c>
      <c r="B716" s="171"/>
      <c r="C716" s="171"/>
      <c r="D716" s="171"/>
      <c r="E716" s="17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248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70" t="s">
        <v>250</v>
      </c>
      <c r="B729" s="171"/>
      <c r="C729" s="171"/>
      <c r="D729" s="171"/>
      <c r="E729" s="17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248</v>
      </c>
      <c r="S729" s="45"/>
      <c r="T729" s="122">
        <f>IFERROR(J729,"")</f>
        <v>0</v>
      </c>
    </row>
    <row r="730" spans="1:20" ht="18" customHeight="1">
      <c r="A730" s="167" t="s">
        <v>251</v>
      </c>
      <c r="B730" s="168"/>
      <c r="C730" s="168"/>
      <c r="D730" s="168"/>
      <c r="E730" s="168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252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70" t="s">
        <v>247</v>
      </c>
      <c r="B743" s="171"/>
      <c r="C743" s="171"/>
      <c r="D743" s="171"/>
      <c r="E743" s="17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248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70" t="s">
        <v>250</v>
      </c>
      <c r="B756" s="171"/>
      <c r="C756" s="171"/>
      <c r="D756" s="171"/>
      <c r="E756" s="17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7" t="s">
        <v>251</v>
      </c>
      <c r="B757" s="168"/>
      <c r="C757" s="168"/>
      <c r="D757" s="168"/>
      <c r="E757" s="168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252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70" t="s">
        <v>247</v>
      </c>
      <c r="B770" s="171"/>
      <c r="C770" s="171"/>
      <c r="D770" s="171"/>
      <c r="E770" s="17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248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70" t="s">
        <v>250</v>
      </c>
      <c r="B783" s="171"/>
      <c r="C783" s="171"/>
      <c r="D783" s="171"/>
      <c r="E783" s="17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7" t="s">
        <v>251</v>
      </c>
      <c r="B784" s="168"/>
      <c r="C784" s="168"/>
      <c r="D784" s="168"/>
      <c r="E784" s="168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252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70" t="s">
        <v>247</v>
      </c>
      <c r="B797" s="171"/>
      <c r="C797" s="171"/>
      <c r="D797" s="171"/>
      <c r="E797" s="17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248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70" t="s">
        <v>250</v>
      </c>
      <c r="B810" s="171"/>
      <c r="C810" s="171"/>
      <c r="D810" s="171"/>
      <c r="E810" s="17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7" t="s">
        <v>251</v>
      </c>
      <c r="B811" s="168"/>
      <c r="C811" s="168"/>
      <c r="D811" s="168"/>
      <c r="E811" s="168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252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70" t="s">
        <v>247</v>
      </c>
      <c r="B824" s="171"/>
      <c r="C824" s="171"/>
      <c r="D824" s="171"/>
      <c r="E824" s="17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248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70" t="s">
        <v>250</v>
      </c>
      <c r="B837" s="171"/>
      <c r="C837" s="171"/>
      <c r="D837" s="171"/>
      <c r="E837" s="17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248</v>
      </c>
      <c r="S837" s="75"/>
      <c r="T837" s="117">
        <f>IFERROR(J837,"")</f>
        <v>0</v>
      </c>
    </row>
    <row r="838" spans="1:20" ht="18" customHeight="1">
      <c r="A838" s="167" t="s">
        <v>251</v>
      </c>
      <c r="B838" s="168"/>
      <c r="C838" s="168"/>
      <c r="D838" s="168"/>
      <c r="E838" s="168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252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65" activePane="bottomLeft" state="frozen"/>
      <selection pane="bottomLeft" activeCell="G481" sqref="G481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280</v>
      </c>
      <c r="I1" s="133" t="s">
        <v>20</v>
      </c>
      <c r="J1" s="133" t="s">
        <v>281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70" t="s">
        <v>247</v>
      </c>
      <c r="B14" s="171"/>
      <c r="C14" s="171"/>
      <c r="D14" s="171"/>
      <c r="E14" s="171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248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262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323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262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262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262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285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262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324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262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262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262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262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262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262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262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70" t="s">
        <v>250</v>
      </c>
      <c r="B27" s="171"/>
      <c r="C27" s="171"/>
      <c r="D27" s="171"/>
      <c r="E27" s="171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248</v>
      </c>
      <c r="S27" s="39">
        <v>358000</v>
      </c>
      <c r="T27" s="119">
        <f>IFERROR(J27,"")</f>
        <v>0</v>
      </c>
    </row>
    <row r="28" spans="1:20" ht="18" customHeight="1">
      <c r="A28" s="167" t="s">
        <v>251</v>
      </c>
      <c r="B28" s="168"/>
      <c r="C28" s="168"/>
      <c r="D28" s="168"/>
      <c r="E28" s="168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252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262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262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262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262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262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262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262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262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262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262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262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262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70" t="s">
        <v>247</v>
      </c>
      <c r="B41" s="171"/>
      <c r="C41" s="171"/>
      <c r="D41" s="171"/>
      <c r="E41" s="171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248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291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323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323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70" t="s">
        <v>250</v>
      </c>
      <c r="B54" s="171"/>
      <c r="C54" s="171"/>
      <c r="D54" s="171"/>
      <c r="E54" s="171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248</v>
      </c>
      <c r="S54" s="39">
        <v>279980</v>
      </c>
      <c r="T54" s="119">
        <f>IFERROR(J54,"")</f>
        <v>0</v>
      </c>
    </row>
    <row r="55" spans="1:20" ht="18" customHeight="1">
      <c r="A55" s="167" t="s">
        <v>251</v>
      </c>
      <c r="B55" s="168"/>
      <c r="C55" s="168"/>
      <c r="D55" s="168"/>
      <c r="E55" s="168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252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262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262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262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262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262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325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262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262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262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262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262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70" t="s">
        <v>247</v>
      </c>
      <c r="B68" s="171"/>
      <c r="C68" s="171"/>
      <c r="D68" s="171"/>
      <c r="E68" s="171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248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326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195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70" t="s">
        <v>250</v>
      </c>
      <c r="B81" s="171"/>
      <c r="C81" s="171"/>
      <c r="D81" s="171"/>
      <c r="E81" s="171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248</v>
      </c>
      <c r="S81" s="39">
        <v>185920</v>
      </c>
      <c r="T81" s="119">
        <f>IFERROR(J81,"")</f>
        <v>0</v>
      </c>
    </row>
    <row r="82" spans="1:20" ht="18" customHeight="1">
      <c r="A82" s="167" t="s">
        <v>251</v>
      </c>
      <c r="B82" s="168"/>
      <c r="C82" s="168"/>
      <c r="D82" s="168"/>
      <c r="E82" s="168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252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262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327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328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70" t="s">
        <v>247</v>
      </c>
      <c r="B95" s="171"/>
      <c r="C95" s="171"/>
      <c r="D95" s="171"/>
      <c r="E95" s="171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248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329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70" t="s">
        <v>250</v>
      </c>
      <c r="B108" s="171"/>
      <c r="C108" s="171"/>
      <c r="D108" s="171"/>
      <c r="E108" s="171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248</v>
      </c>
      <c r="S108" s="39">
        <v>434370</v>
      </c>
      <c r="T108" s="119">
        <f>IFERROR(J108,"")</f>
        <v>0</v>
      </c>
    </row>
    <row r="109" spans="1:20" ht="18" customHeight="1">
      <c r="A109" s="167" t="s">
        <v>251</v>
      </c>
      <c r="B109" s="168"/>
      <c r="C109" s="168"/>
      <c r="D109" s="168"/>
      <c r="E109" s="168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252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70" t="s">
        <v>247</v>
      </c>
      <c r="B122" s="171"/>
      <c r="C122" s="171"/>
      <c r="D122" s="171"/>
      <c r="E122" s="171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248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330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208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70" t="s">
        <v>250</v>
      </c>
      <c r="B135" s="171"/>
      <c r="C135" s="171"/>
      <c r="D135" s="171"/>
      <c r="E135" s="171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248</v>
      </c>
      <c r="S135" s="39">
        <v>416350</v>
      </c>
      <c r="T135" s="119">
        <f>IFERROR(J135,"")</f>
        <v>0</v>
      </c>
    </row>
    <row r="136" spans="1:20" ht="18" customHeight="1">
      <c r="A136" s="167" t="s">
        <v>251</v>
      </c>
      <c r="B136" s="168"/>
      <c r="C136" s="168"/>
      <c r="D136" s="168"/>
      <c r="E136" s="168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252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331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214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299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70" t="s">
        <v>247</v>
      </c>
      <c r="B149" s="171"/>
      <c r="C149" s="171"/>
      <c r="D149" s="171"/>
      <c r="E149" s="171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248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291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70" t="s">
        <v>250</v>
      </c>
      <c r="B162" s="171"/>
      <c r="C162" s="171"/>
      <c r="D162" s="171"/>
      <c r="E162" s="171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248</v>
      </c>
      <c r="S162" s="39">
        <v>169760</v>
      </c>
      <c r="T162" s="119">
        <f>IFERROR(J162,"")</f>
        <v>0</v>
      </c>
    </row>
    <row r="163" spans="1:20" ht="18" customHeight="1">
      <c r="A163" s="167" t="s">
        <v>251</v>
      </c>
      <c r="B163" s="168"/>
      <c r="C163" s="168"/>
      <c r="D163" s="168"/>
      <c r="E163" s="168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252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262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262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332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262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262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262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262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262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262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262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262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262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70" t="s">
        <v>247</v>
      </c>
      <c r="B176" s="171"/>
      <c r="C176" s="171"/>
      <c r="D176" s="171"/>
      <c r="E176" s="171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248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262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333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262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262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302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262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302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262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262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70" t="s">
        <v>250</v>
      </c>
      <c r="B189" s="171"/>
      <c r="C189" s="171"/>
      <c r="D189" s="171"/>
      <c r="E189" s="171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248</v>
      </c>
      <c r="S189" s="39">
        <v>72220</v>
      </c>
      <c r="T189" s="119">
        <f>IFERROR(J189,"")</f>
        <v>0</v>
      </c>
    </row>
    <row r="190" spans="1:20" ht="18" customHeight="1">
      <c r="A190" s="167" t="s">
        <v>251</v>
      </c>
      <c r="B190" s="168"/>
      <c r="C190" s="168"/>
      <c r="D190" s="168"/>
      <c r="E190" s="168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252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70" t="s">
        <v>247</v>
      </c>
      <c r="B203" s="171"/>
      <c r="C203" s="171"/>
      <c r="D203" s="171"/>
      <c r="E203" s="171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248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334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70" t="s">
        <v>250</v>
      </c>
      <c r="B216" s="171"/>
      <c r="C216" s="171"/>
      <c r="D216" s="171"/>
      <c r="E216" s="171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248</v>
      </c>
      <c r="S216" s="39">
        <v>148720</v>
      </c>
      <c r="T216" s="119">
        <f>IFERROR(J216,"")</f>
        <v>0</v>
      </c>
    </row>
    <row r="217" spans="1:20" ht="18" customHeight="1">
      <c r="A217" s="167" t="s">
        <v>251</v>
      </c>
      <c r="B217" s="168"/>
      <c r="C217" s="168"/>
      <c r="D217" s="168"/>
      <c r="E217" s="168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252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335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336</v>
      </c>
      <c r="Q222" s="30" t="str">
        <f t="shared" ca="1" si="49"/>
        <v/>
      </c>
      <c r="R222" s="27" t="s">
        <v>337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70" t="s">
        <v>247</v>
      </c>
      <c r="B230" s="171"/>
      <c r="C230" s="171"/>
      <c r="D230" s="171"/>
      <c r="E230" s="171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248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70" t="s">
        <v>250</v>
      </c>
      <c r="B243" s="171"/>
      <c r="C243" s="171"/>
      <c r="D243" s="171"/>
      <c r="E243" s="171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248</v>
      </c>
      <c r="S243" s="39">
        <v>352720</v>
      </c>
      <c r="T243" s="119">
        <f>IFERROR(J243,"")</f>
        <v>0</v>
      </c>
    </row>
    <row r="244" spans="1:20" ht="18" customHeight="1">
      <c r="A244" s="167" t="s">
        <v>251</v>
      </c>
      <c r="B244" s="168"/>
      <c r="C244" s="168"/>
      <c r="D244" s="168"/>
      <c r="E244" s="168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252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338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246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246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70" t="s">
        <v>247</v>
      </c>
      <c r="B257" s="171"/>
      <c r="C257" s="171"/>
      <c r="D257" s="171"/>
      <c r="E257" s="171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248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262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262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262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262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262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262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262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262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262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262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262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262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70" t="s">
        <v>250</v>
      </c>
      <c r="B270" s="171"/>
      <c r="C270" s="171"/>
      <c r="D270" s="171"/>
      <c r="E270" s="171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248</v>
      </c>
      <c r="S270" s="39">
        <v>327900</v>
      </c>
      <c r="T270" s="119">
        <f>IFERROR(J270,"")</f>
        <v>0</v>
      </c>
    </row>
    <row r="271" spans="1:20" ht="18" customHeight="1">
      <c r="A271" s="167" t="s">
        <v>251</v>
      </c>
      <c r="B271" s="168"/>
      <c r="C271" s="168"/>
      <c r="D271" s="168"/>
      <c r="E271" s="168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252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262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262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262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262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246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262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70" t="s">
        <v>247</v>
      </c>
      <c r="B284" s="171"/>
      <c r="C284" s="171"/>
      <c r="D284" s="171"/>
      <c r="E284" s="171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248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246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246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262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246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246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246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246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246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246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246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246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246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70" t="s">
        <v>250</v>
      </c>
      <c r="B297" s="171"/>
      <c r="C297" s="171"/>
      <c r="D297" s="171"/>
      <c r="E297" s="171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248</v>
      </c>
      <c r="S297" s="39">
        <v>462190</v>
      </c>
      <c r="T297" s="119">
        <f>IFERROR(J297,"")</f>
        <v>0</v>
      </c>
    </row>
    <row r="298" spans="1:20" ht="18" customHeight="1">
      <c r="A298" s="167" t="s">
        <v>251</v>
      </c>
      <c r="B298" s="168"/>
      <c r="C298" s="168"/>
      <c r="D298" s="168"/>
      <c r="E298" s="168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252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262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208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262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208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262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193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262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262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262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262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262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262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262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262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262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70" t="s">
        <v>247</v>
      </c>
      <c r="B311" s="171"/>
      <c r="C311" s="171"/>
      <c r="D311" s="171"/>
      <c r="E311" s="171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248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262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262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262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262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262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262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262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262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262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262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262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262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70" t="s">
        <v>250</v>
      </c>
      <c r="B324" s="171"/>
      <c r="C324" s="171"/>
      <c r="D324" s="171"/>
      <c r="E324" s="171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248</v>
      </c>
      <c r="S324" s="39">
        <v>289490</v>
      </c>
      <c r="T324" s="119">
        <f>IFERROR(J324,"")</f>
        <v>41.68656</v>
      </c>
    </row>
    <row r="325" spans="1:20" ht="18" customHeight="1">
      <c r="A325" s="167" t="s">
        <v>251</v>
      </c>
      <c r="B325" s="168"/>
      <c r="C325" s="168"/>
      <c r="D325" s="168"/>
      <c r="E325" s="168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252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309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339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310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246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70" t="s">
        <v>247</v>
      </c>
      <c r="B338" s="171"/>
      <c r="C338" s="171"/>
      <c r="D338" s="171"/>
      <c r="E338" s="171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248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70" t="s">
        <v>250</v>
      </c>
      <c r="B351" s="171"/>
      <c r="C351" s="171"/>
      <c r="D351" s="171"/>
      <c r="E351" s="171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248</v>
      </c>
      <c r="S351" s="39">
        <v>256170</v>
      </c>
      <c r="T351" s="119">
        <f>IFERROR(J351,"")</f>
        <v>53.795699999999997</v>
      </c>
    </row>
    <row r="352" spans="1:20" ht="18" customHeight="1">
      <c r="A352" s="167" t="s">
        <v>251</v>
      </c>
      <c r="B352" s="168"/>
      <c r="C352" s="168"/>
      <c r="D352" s="168"/>
      <c r="E352" s="168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252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291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70" t="s">
        <v>247</v>
      </c>
      <c r="B365" s="171"/>
      <c r="C365" s="171"/>
      <c r="D365" s="171"/>
      <c r="E365" s="171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248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214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70" t="s">
        <v>250</v>
      </c>
      <c r="B378" s="171"/>
      <c r="C378" s="171"/>
      <c r="D378" s="171"/>
      <c r="E378" s="171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248</v>
      </c>
      <c r="S378" s="39">
        <v>360560</v>
      </c>
      <c r="T378" s="119">
        <f>IFERROR(J378,"")</f>
        <v>75.71759999999999</v>
      </c>
    </row>
    <row r="379" spans="1:20" ht="18" customHeight="1">
      <c r="A379" s="167" t="s">
        <v>251</v>
      </c>
      <c r="B379" s="168"/>
      <c r="C379" s="168"/>
      <c r="D379" s="168"/>
      <c r="E379" s="168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252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262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340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313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70" t="s">
        <v>247</v>
      </c>
      <c r="B392" s="171"/>
      <c r="C392" s="171"/>
      <c r="D392" s="171"/>
      <c r="E392" s="171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248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70" t="s">
        <v>250</v>
      </c>
      <c r="B405" s="171"/>
      <c r="C405" s="171"/>
      <c r="D405" s="171"/>
      <c r="E405" s="171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248</v>
      </c>
      <c r="S405" s="39">
        <v>489360</v>
      </c>
      <c r="T405" s="119">
        <f>IFERROR(J405,"")</f>
        <v>99.305125714285708</v>
      </c>
    </row>
    <row r="406" spans="1:20" ht="18" customHeight="1">
      <c r="A406" s="167" t="s">
        <v>251</v>
      </c>
      <c r="B406" s="168"/>
      <c r="C406" s="168"/>
      <c r="D406" s="168"/>
      <c r="E406" s="168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252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341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70" t="s">
        <v>247</v>
      </c>
      <c r="B419" s="171"/>
      <c r="C419" s="171"/>
      <c r="D419" s="171"/>
      <c r="E419" s="171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248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342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70" t="s">
        <v>250</v>
      </c>
      <c r="B432" s="171"/>
      <c r="C432" s="171"/>
      <c r="D432" s="171"/>
      <c r="E432" s="171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248</v>
      </c>
      <c r="S432" s="39">
        <v>180150</v>
      </c>
      <c r="T432" s="119">
        <f>IFERROR(J432,"")</f>
        <v>25.941599999999998</v>
      </c>
    </row>
    <row r="433" spans="1:20" ht="18" customHeight="1">
      <c r="A433" s="167" t="s">
        <v>251</v>
      </c>
      <c r="B433" s="168"/>
      <c r="C433" s="168"/>
      <c r="D433" s="168"/>
      <c r="E433" s="168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252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262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343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343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262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8.5733195294117639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7.2543472941176459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70" t="s">
        <v>247</v>
      </c>
      <c r="B446" s="171"/>
      <c r="C446" s="171"/>
      <c r="D446" s="171"/>
      <c r="E446" s="171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74.494452705882338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248</v>
      </c>
      <c r="S446" s="39">
        <v>389280</v>
      </c>
      <c r="T446" s="119">
        <f>IFERROR(J446,"")</f>
        <v>74.494452705882338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63.77162162162162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13.39204054054054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219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68.023063063063063</v>
      </c>
      <c r="I448" s="135">
        <f>IFERROR(IF($D448="","",VLOOKUP($D448,Cadastro!$C$4:$G$7,5,FALSE)),"")</f>
        <v>0.6</v>
      </c>
      <c r="J448" s="136">
        <f t="shared" si="108"/>
        <v>14.284843243243243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25.508648648648649</v>
      </c>
      <c r="I449" s="135">
        <f>IFERROR(IF($D449="","",VLOOKUP($D449,Cadastro!$C$4:$G$7,5,FALSE)),"")</f>
        <v>0.6</v>
      </c>
      <c r="J449" s="136">
        <f t="shared" si="108"/>
        <v>5.3568162162162158</v>
      </c>
      <c r="K449" s="34">
        <f t="shared" si="109"/>
        <v>25.200000000000003</v>
      </c>
      <c r="L449" s="33" t="s">
        <v>27</v>
      </c>
      <c r="M449" s="33"/>
      <c r="N449" s="33" t="s">
        <v>208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344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37</v>
      </c>
      <c r="E450" s="109" t="s">
        <v>262</v>
      </c>
      <c r="F450" s="134">
        <f>IFERROR(IF($D450="","",VLOOKUP($D450,Cadastro!$C$4:$E$7,3,FALSE)),"")</f>
        <v>0.24</v>
      </c>
      <c r="G450" s="105">
        <v>11</v>
      </c>
      <c r="H450" s="134">
        <f>IFERROR(IF($G450="","",$G450*$S$459/$G$459/Cadastro!$E$33),"")</f>
        <v>46.765855855855861</v>
      </c>
      <c r="I450" s="135">
        <f>IFERROR(IF($D450="","",VLOOKUP($D450,Cadastro!$C$4:$G$7,5,FALSE)),"")</f>
        <v>0.6</v>
      </c>
      <c r="J450" s="136">
        <f t="shared" si="108"/>
        <v>6.7342832432432429</v>
      </c>
      <c r="K450" s="28">
        <f t="shared" si="109"/>
        <v>46.2</v>
      </c>
      <c r="L450" s="26" t="s">
        <v>26</v>
      </c>
      <c r="M450" s="26" t="s">
        <v>54</v>
      </c>
      <c r="N450" s="26" t="s">
        <v>34</v>
      </c>
      <c r="O450" s="29">
        <v>0.16666666666666666</v>
      </c>
      <c r="P450" s="29">
        <v>0.19305555555555556</v>
      </c>
      <c r="Q450" s="30">
        <f t="shared" ca="1" si="110"/>
        <v>2.6388888888888906E-2</v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3</v>
      </c>
      <c r="H451" s="134">
        <f>IFERROR(IF($G451="","",$G451*$S$459/$G$459/Cadastro!$E$33),"")</f>
        <v>12.754324324324324</v>
      </c>
      <c r="I451" s="135">
        <f>IFERROR(IF($D451="","",VLOOKUP($D451,Cadastro!$C$4:$G$7,5,FALSE)),"")</f>
        <v>0.6</v>
      </c>
      <c r="J451" s="136">
        <f t="shared" si="108"/>
        <v>1.8366227027027024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34.011531531531531</v>
      </c>
      <c r="I452" s="135">
        <f>IFERROR(IF($D452="","",VLOOKUP($D452,Cadastro!$C$4:$G$7,5,FALSE)),"")</f>
        <v>0.6</v>
      </c>
      <c r="J452" s="136">
        <f t="shared" si="108"/>
        <v>4.8976605405405396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42.514414414414418</v>
      </c>
      <c r="I453" s="135">
        <f>IFERROR(IF($D453="","",VLOOKUP($D453,Cadastro!$C$4:$G$7,5,FALSE)),"")</f>
        <v>0.6</v>
      </c>
      <c r="J453" s="136">
        <f t="shared" si="108"/>
        <v>8.9280270270270279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2</v>
      </c>
      <c r="H454" s="134">
        <f>IFERROR(IF($G454="","",$G454*$S$459/$G$459/Cadastro!$E$33),"")</f>
        <v>8.5028828828828829</v>
      </c>
      <c r="I454" s="135">
        <f>IFERROR(IF($D454="","",VLOOKUP($D454,Cadastro!$C$4:$G$7,5,FALSE)),"")</f>
        <v>0.6</v>
      </c>
      <c r="J454" s="136">
        <f t="shared" si="108"/>
        <v>1.7856054054054054</v>
      </c>
      <c r="K454" s="28">
        <f t="shared" si="109"/>
        <v>8.4</v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16</v>
      </c>
      <c r="H455" s="134">
        <f>IFERROR(IF($G455="","",$G455*$S$459/$G$459/Cadastro!$E$33),"")</f>
        <v>68.023063063063063</v>
      </c>
      <c r="I455" s="135">
        <f>IFERROR(IF($D455="","",VLOOKUP($D455,Cadastro!$C$4:$G$7,5,FALSE)),"")</f>
        <v>0.6</v>
      </c>
      <c r="J455" s="136">
        <f t="shared" si="108"/>
        <v>14.284843243243243</v>
      </c>
      <c r="K455" s="34">
        <f t="shared" si="109"/>
        <v>67.2</v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7</v>
      </c>
      <c r="H456" s="134">
        <f>IFERROR(IF($G456="","",$G456*$S$459/$G$459/Cadastro!$E$33),"")</f>
        <v>29.760090090090088</v>
      </c>
      <c r="I456" s="135">
        <f>IFERROR(IF($D456="","",VLOOKUP($D456,Cadastro!$C$4:$G$7,5,FALSE)),"")</f>
        <v>0.6</v>
      </c>
      <c r="J456" s="136">
        <f t="shared" si="108"/>
        <v>6.2496189189189177</v>
      </c>
      <c r="K456" s="28">
        <f t="shared" si="109"/>
        <v>29.400000000000002</v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13</v>
      </c>
      <c r="H457" s="134">
        <f>IFERROR(IF($G457="","",$G457*$S$459/$G$459/Cadastro!$E$33),"")</f>
        <v>55.268738738738733</v>
      </c>
      <c r="I457" s="135">
        <f>IFERROR(IF($D457="","",VLOOKUP($D457,Cadastro!$C$4:$G$7,5,FALSE)),"")</f>
        <v>0.6</v>
      </c>
      <c r="J457" s="136">
        <f t="shared" si="108"/>
        <v>11.606435135135133</v>
      </c>
      <c r="K457" s="34">
        <f t="shared" si="109"/>
        <v>54.6</v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4</v>
      </c>
      <c r="H458" s="137">
        <f>IFERROR(IF($G458="","",$G458*$S$459/$G$459/Cadastro!$E$33),"")</f>
        <v>17.005765765765766</v>
      </c>
      <c r="I458" s="138">
        <f>IFERROR(IF($D458="","",VLOOKUP($D458,Cadastro!$C$4:$G$7,5,FALSE)),"")</f>
        <v>0.6</v>
      </c>
      <c r="J458" s="139">
        <f t="shared" si="108"/>
        <v>3.5712108108108107</v>
      </c>
      <c r="K458" s="28">
        <f t="shared" si="109"/>
        <v>16.8</v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70" t="s">
        <v>250</v>
      </c>
      <c r="B459" s="171"/>
      <c r="C459" s="171"/>
      <c r="D459" s="171"/>
      <c r="E459" s="171">
        <f>SUM(E447:E458)</f>
        <v>0</v>
      </c>
      <c r="F459" s="111"/>
      <c r="G459" s="80">
        <f>SUM(G447:G458)</f>
        <v>111</v>
      </c>
      <c r="H459" s="111">
        <f>IFERROR(SUM(H447:H458),"")</f>
        <v>471.91000000000008</v>
      </c>
      <c r="I459" s="115"/>
      <c r="J459" s="124">
        <f>IFERROR(SUM(J447:J458),"")</f>
        <v>92.928007027027007</v>
      </c>
      <c r="K459" s="36">
        <f>SUM(K447:K458)</f>
        <v>466.19999999999993</v>
      </c>
      <c r="L459" s="37"/>
      <c r="M459" s="37"/>
      <c r="N459" s="37"/>
      <c r="O459" s="37"/>
      <c r="P459" s="37"/>
      <c r="Q459" s="38">
        <f ca="1">IFERROR(SUM(Q447:Q458),"")</f>
        <v>6.5972222222222182E-2</v>
      </c>
      <c r="R459" s="36" t="s">
        <v>248</v>
      </c>
      <c r="S459" s="39">
        <v>471910</v>
      </c>
      <c r="T459" s="119">
        <f>IFERROR(J459,"")</f>
        <v>92.928007027027007</v>
      </c>
    </row>
    <row r="460" spans="1:20" ht="18" customHeight="1">
      <c r="A460" s="167" t="s">
        <v>251</v>
      </c>
      <c r="B460" s="168"/>
      <c r="C460" s="168"/>
      <c r="D460" s="168"/>
      <c r="E460" s="168">
        <f>E446+E459</f>
        <v>0</v>
      </c>
      <c r="F460" s="112"/>
      <c r="G460" s="91">
        <f>G446+G459</f>
        <v>196</v>
      </c>
      <c r="H460" s="112">
        <f>IFERROR(H446+H459,"")</f>
        <v>861.19</v>
      </c>
      <c r="I460" s="116"/>
      <c r="J460" s="125">
        <f>IFERROR(J446+J459,"")</f>
        <v>167.42245973290935</v>
      </c>
      <c r="K460" s="40">
        <f>K446+K459</f>
        <v>823.2</v>
      </c>
      <c r="L460" s="41"/>
      <c r="M460" s="41"/>
      <c r="N460" s="41"/>
      <c r="O460" s="41"/>
      <c r="P460" s="41"/>
      <c r="Q460" s="42">
        <f ca="1">IFERROR(Q446+Q459,"")</f>
        <v>0.11111111111111108</v>
      </c>
      <c r="R460" s="40" t="s">
        <v>252</v>
      </c>
      <c r="S460" s="48">
        <f>IFERROR(S446+S459,"")</f>
        <v>861190</v>
      </c>
      <c r="T460" s="121">
        <f>IFERROR(J460,"")</f>
        <v>167.42245973290935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262</v>
      </c>
      <c r="F461" s="140">
        <f>IFERROR(IF($D461="","",VLOOKUP($D461,Cadastro!$C$4:$E$7,3,FALSE)),"")</f>
        <v>0.35</v>
      </c>
      <c r="G461" s="105">
        <v>4</v>
      </c>
      <c r="H461" s="140">
        <f>IFERROR(IF($G461="","",$G461*$S$473/$G$473/Cadastro!$E$33),"")</f>
        <v>21.432727272727274</v>
      </c>
      <c r="I461" s="141">
        <f>IFERROR(IF($D461="","",VLOOKUP($D461,Cadastro!$C$4:$G$7,5,FALSE)),"")</f>
        <v>0.6</v>
      </c>
      <c r="J461" s="142">
        <f t="shared" ref="J461:J472" si="112">IFERROR(IF($H461="","",$H461*$F461*$I461),"")</f>
        <v>4.5008727272727267</v>
      </c>
      <c r="K461" s="34">
        <f t="shared" ref="K461:K472" si="113">IF(G461="","",IF(E461="PC 17",G461*4.2,IF(E461="PC 19",G461*5,IF(E461="CB",G461*24,""))))</f>
        <v>16.8</v>
      </c>
      <c r="L461" s="33" t="s">
        <v>25</v>
      </c>
      <c r="M461" s="33" t="s">
        <v>54</v>
      </c>
      <c r="N461" s="33" t="s">
        <v>41</v>
      </c>
      <c r="O461" s="29">
        <v>0.43263888888888891</v>
      </c>
      <c r="P461" s="29">
        <v>0.65763888888888888</v>
      </c>
      <c r="Q461" s="35">
        <f t="shared" ref="Q461:Q472" ca="1" si="114">IFERROR(IF(O461="","",IF(P461="",MOD(NOW()-O461,1),IF(P461&gt;=O461,P461-O461,P461+1-O461))),"")</f>
        <v>0.22499999999999998</v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 t="s">
        <v>52</v>
      </c>
      <c r="D462" s="62" t="s">
        <v>29</v>
      </c>
      <c r="E462" s="109" t="s">
        <v>262</v>
      </c>
      <c r="F462" s="134">
        <f>IFERROR(IF($D462="","",VLOOKUP($D462,Cadastro!$C$4:$E$7,3,FALSE)),"")</f>
        <v>0.35</v>
      </c>
      <c r="G462" s="105">
        <v>21</v>
      </c>
      <c r="H462" s="134">
        <f>IFERROR(IF($G462="","",$G462*$S$473/$G$473/Cadastro!$E$33),"")</f>
        <v>112.52181818181818</v>
      </c>
      <c r="I462" s="135">
        <f>IFERROR(IF($D462="","",VLOOKUP($D462,Cadastro!$C$4:$G$7,5,FALSE)),"")</f>
        <v>0.6</v>
      </c>
      <c r="J462" s="136">
        <f t="shared" si="112"/>
        <v>23.629581818181816</v>
      </c>
      <c r="K462" s="28">
        <f t="shared" si="113"/>
        <v>88.2</v>
      </c>
      <c r="L462" s="26" t="s">
        <v>23</v>
      </c>
      <c r="M462" s="26" t="s">
        <v>54</v>
      </c>
      <c r="N462" s="26" t="s">
        <v>65</v>
      </c>
      <c r="O462" s="29">
        <v>0.72013888888888888</v>
      </c>
      <c r="P462" s="29">
        <v>0.78680555555555554</v>
      </c>
      <c r="Q462" s="30">
        <f t="shared" ca="1" si="114"/>
        <v>6.6666666666666652E-2</v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 t="s">
        <v>52</v>
      </c>
      <c r="D463" s="62" t="s">
        <v>29</v>
      </c>
      <c r="E463" s="109" t="s">
        <v>262</v>
      </c>
      <c r="F463" s="134">
        <f>IFERROR(IF($D463="","",VLOOKUP($D463,Cadastro!$C$4:$E$7,3,FALSE)),"")</f>
        <v>0.35</v>
      </c>
      <c r="G463" s="105">
        <v>13</v>
      </c>
      <c r="H463" s="134">
        <f>IFERROR(IF($G463="","",$G463*$S$473/$G$473/Cadastro!$E$33),"")</f>
        <v>69.656363636363636</v>
      </c>
      <c r="I463" s="135">
        <f>IFERROR(IF($D463="","",VLOOKUP($D463,Cadastro!$C$4:$G$7,5,FALSE)),"")</f>
        <v>0.6</v>
      </c>
      <c r="J463" s="136">
        <f t="shared" si="112"/>
        <v>14.627836363636362</v>
      </c>
      <c r="K463" s="34">
        <f t="shared" si="113"/>
        <v>54.6</v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 t="s">
        <v>52</v>
      </c>
      <c r="D464" s="62" t="s">
        <v>29</v>
      </c>
      <c r="E464" s="109" t="s">
        <v>262</v>
      </c>
      <c r="F464" s="134">
        <f>IFERROR(IF($D464="","",VLOOKUP($D464,Cadastro!$C$4:$E$7,3,FALSE)),"")</f>
        <v>0.35</v>
      </c>
      <c r="G464" s="105">
        <v>8</v>
      </c>
      <c r="H464" s="134">
        <f>IFERROR(IF($G464="","",$G464*$S$473/$G$473/Cadastro!$E$33),"")</f>
        <v>42.865454545454547</v>
      </c>
      <c r="I464" s="135">
        <f>IFERROR(IF($D464="","",VLOOKUP($D464,Cadastro!$C$4:$G$7,5,FALSE)),"")</f>
        <v>0.6</v>
      </c>
      <c r="J464" s="136">
        <f t="shared" si="112"/>
        <v>9.0017454545454534</v>
      </c>
      <c r="K464" s="28">
        <f t="shared" si="113"/>
        <v>33.6</v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 t="s">
        <v>52</v>
      </c>
      <c r="D465" s="62" t="s">
        <v>29</v>
      </c>
      <c r="E465" s="109" t="s">
        <v>262</v>
      </c>
      <c r="F465" s="134">
        <f>IFERROR(IF($D465="","",VLOOKUP($D465,Cadastro!$C$4:$E$7,3,FALSE)),"")</f>
        <v>0.35</v>
      </c>
      <c r="G465" s="105">
        <v>0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2"/>
        <v>0</v>
      </c>
      <c r="K465" s="34">
        <f t="shared" si="113"/>
        <v>0</v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 t="s">
        <v>52</v>
      </c>
      <c r="D466" s="62" t="s">
        <v>29</v>
      </c>
      <c r="E466" s="109" t="s">
        <v>262</v>
      </c>
      <c r="F466" s="134">
        <f>IFERROR(IF($D466="","",VLOOKUP($D466,Cadastro!$C$4:$E$7,3,FALSE)),"")</f>
        <v>0.35</v>
      </c>
      <c r="G466" s="105">
        <v>0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2"/>
        <v>0</v>
      </c>
      <c r="K466" s="28">
        <f t="shared" si="113"/>
        <v>0</v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 t="s">
        <v>52</v>
      </c>
      <c r="D467" s="62" t="s">
        <v>29</v>
      </c>
      <c r="E467" s="109" t="s">
        <v>262</v>
      </c>
      <c r="F467" s="134">
        <f>IFERROR(IF($D467="","",VLOOKUP($D467,Cadastro!$C$4:$E$7,3,FALSE)),"")</f>
        <v>0.35</v>
      </c>
      <c r="G467" s="105">
        <v>0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2"/>
        <v>0</v>
      </c>
      <c r="K467" s="34">
        <f t="shared" si="113"/>
        <v>0</v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 t="s">
        <v>52</v>
      </c>
      <c r="D468" s="62" t="s">
        <v>29</v>
      </c>
      <c r="E468" s="109" t="s">
        <v>262</v>
      </c>
      <c r="F468" s="134">
        <f>IFERROR(IF($D468="","",VLOOKUP($D468,Cadastro!$C$4:$E$7,3,FALSE)),"")</f>
        <v>0.35</v>
      </c>
      <c r="G468" s="105">
        <v>0</v>
      </c>
      <c r="H468" s="134">
        <f>IFERROR(IF($G468="","",$G468*$S$473/$G$473/Cadastro!$E$33),"")</f>
        <v>0</v>
      </c>
      <c r="I468" s="135">
        <f>IFERROR(IF($D468="","",VLOOKUP($D468,Cadastro!$C$4:$G$7,5,FALSE)),"")</f>
        <v>0.6</v>
      </c>
      <c r="J468" s="136">
        <f t="shared" si="112"/>
        <v>0</v>
      </c>
      <c r="K468" s="28">
        <f t="shared" si="113"/>
        <v>0</v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 t="s">
        <v>52</v>
      </c>
      <c r="D469" s="62" t="s">
        <v>29</v>
      </c>
      <c r="E469" s="109" t="s">
        <v>262</v>
      </c>
      <c r="F469" s="134">
        <f>IFERROR(IF($D469="","",VLOOKUP($D469,Cadastro!$C$4:$E$7,3,FALSE)),"")</f>
        <v>0.35</v>
      </c>
      <c r="G469" s="105">
        <v>0</v>
      </c>
      <c r="H469" s="134">
        <f>IFERROR(IF($G469="","",$G469*$S$473/$G$473/Cadastro!$E$33),"")</f>
        <v>0</v>
      </c>
      <c r="I469" s="135">
        <f>IFERROR(IF($D469="","",VLOOKUP($D469,Cadastro!$C$4:$G$7,5,FALSE)),"")</f>
        <v>0.6</v>
      </c>
      <c r="J469" s="136">
        <f t="shared" si="112"/>
        <v>0</v>
      </c>
      <c r="K469" s="34">
        <f t="shared" si="113"/>
        <v>0</v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 t="s">
        <v>52</v>
      </c>
      <c r="D470" s="62" t="s">
        <v>29</v>
      </c>
      <c r="E470" s="109" t="s">
        <v>262</v>
      </c>
      <c r="F470" s="134">
        <f>IFERROR(IF($D470="","",VLOOKUP($D470,Cadastro!$C$4:$E$7,3,FALSE)),"")</f>
        <v>0.35</v>
      </c>
      <c r="G470" s="105">
        <v>20</v>
      </c>
      <c r="H470" s="134">
        <f>IFERROR(IF($G470="","",$G470*$S$473/$G$473/Cadastro!$E$33),"")</f>
        <v>107.16363636363637</v>
      </c>
      <c r="I470" s="135">
        <f>IFERROR(IF($D470="","",VLOOKUP($D470,Cadastro!$C$4:$G$7,5,FALSE)),"")</f>
        <v>0.6</v>
      </c>
      <c r="J470" s="136">
        <f t="shared" si="112"/>
        <v>22.504363636363635</v>
      </c>
      <c r="K470" s="28">
        <f t="shared" si="113"/>
        <v>84</v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 t="s">
        <v>52</v>
      </c>
      <c r="D471" s="62" t="s">
        <v>29</v>
      </c>
      <c r="E471" s="109" t="s">
        <v>262</v>
      </c>
      <c r="F471" s="134">
        <f>IFERROR(IF($D471="","",VLOOKUP($D471,Cadastro!$C$4:$E$7,3,FALSE)),"")</f>
        <v>0.35</v>
      </c>
      <c r="G471" s="105">
        <v>0</v>
      </c>
      <c r="H471" s="134">
        <f>IFERROR(IF($G471="","",$G471*$S$473/$G$473/Cadastro!$E$33),"")</f>
        <v>0</v>
      </c>
      <c r="I471" s="135">
        <f>IFERROR(IF($D471="","",VLOOKUP($D471,Cadastro!$C$4:$G$7,5,FALSE)),"")</f>
        <v>0.6</v>
      </c>
      <c r="J471" s="136">
        <f t="shared" si="112"/>
        <v>0</v>
      </c>
      <c r="K471" s="34">
        <f t="shared" si="113"/>
        <v>0</v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 t="s">
        <v>52</v>
      </c>
      <c r="D472" s="62" t="s">
        <v>29</v>
      </c>
      <c r="E472" s="109" t="s">
        <v>262</v>
      </c>
      <c r="F472" s="137">
        <f>IFERROR(IF($D472="","",VLOOKUP($D472,Cadastro!$C$4:$E$7,3,FALSE)),"")</f>
        <v>0.35</v>
      </c>
      <c r="G472" s="105">
        <v>0</v>
      </c>
      <c r="H472" s="137">
        <f>IFERROR(IF($G472="","",$G472*$S$473/$G$473/Cadastro!$E$33),"")</f>
        <v>0</v>
      </c>
      <c r="I472" s="138">
        <f>IFERROR(IF($D472="","",VLOOKUP($D472,Cadastro!$C$4:$G$7,5,FALSE)),"")</f>
        <v>0.6</v>
      </c>
      <c r="J472" s="139">
        <f t="shared" si="112"/>
        <v>0</v>
      </c>
      <c r="K472" s="28">
        <f t="shared" si="113"/>
        <v>0</v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70" t="s">
        <v>247</v>
      </c>
      <c r="B473" s="171"/>
      <c r="C473" s="171"/>
      <c r="D473" s="171"/>
      <c r="E473" s="171">
        <f>SUM(E461:E472)</f>
        <v>0</v>
      </c>
      <c r="F473" s="110"/>
      <c r="G473" s="80">
        <f>SUM(G461:G472)</f>
        <v>66</v>
      </c>
      <c r="H473" s="110">
        <f>IFERROR(SUM(H461:H472),"")</f>
        <v>353.64</v>
      </c>
      <c r="I473" s="114"/>
      <c r="J473" s="123">
        <f>IFERROR(SUM(J461:J472),"")</f>
        <v>74.264399999999995</v>
      </c>
      <c r="K473" s="36">
        <f>SUM(K461:K472)</f>
        <v>277.2</v>
      </c>
      <c r="L473" s="37"/>
      <c r="M473" s="37"/>
      <c r="N473" s="37"/>
      <c r="O473" s="37"/>
      <c r="P473" s="37"/>
      <c r="Q473" s="38">
        <f ca="1">IFERROR(SUM(Q461:Q472),"")</f>
        <v>0.29166666666666663</v>
      </c>
      <c r="R473" s="36" t="s">
        <v>248</v>
      </c>
      <c r="S473" s="39">
        <v>353640</v>
      </c>
      <c r="T473" s="119">
        <f>IFERROR(J473,"")</f>
        <v>74.264399999999995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262</v>
      </c>
      <c r="F474" s="140">
        <f>IFERROR(IF($D474="","",VLOOKUP($D474,Cadastro!$C$4:$E$7,3,FALSE)),"")</f>
        <v>0.35</v>
      </c>
      <c r="G474" s="105">
        <v>0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6">IFERROR(IF($H474="","",$H474*$F474*$I474),"")</f>
        <v>0</v>
      </c>
      <c r="K474" s="28">
        <f t="shared" ref="K474:K485" si="117">IF(G474="","",IF(E474="PC 17",G474*4.2,IF(E474="PC 19",G474*5,IF(E474="CB",G474*24,""))))</f>
        <v>0</v>
      </c>
      <c r="L474" s="26" t="s">
        <v>23</v>
      </c>
      <c r="M474" s="26" t="s">
        <v>54</v>
      </c>
      <c r="N474" s="26" t="s">
        <v>65</v>
      </c>
      <c r="O474" s="29">
        <v>0.79166666666666663</v>
      </c>
      <c r="P474" s="29">
        <v>0.86250000000000004</v>
      </c>
      <c r="Q474" s="30">
        <f t="shared" ref="Q474:Q485" ca="1" si="118">IFERROR(IF(O474="","",IF(P474="",MOD(NOW()-O474,1),IF(P474&gt;=O474,P474-O474,P474+1-O474))),"")</f>
        <v>7.0833333333333415E-2</v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 t="s">
        <v>36</v>
      </c>
      <c r="D475" s="59" t="s">
        <v>29</v>
      </c>
      <c r="E475" s="108" t="s">
        <v>262</v>
      </c>
      <c r="F475" s="134">
        <f>IFERROR(IF($D475="","",VLOOKUP($D475,Cadastro!$C$4:$E$7,3,FALSE)),"")</f>
        <v>0.35</v>
      </c>
      <c r="G475" s="105">
        <v>4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6"/>
        <v>0</v>
      </c>
      <c r="K475" s="34">
        <f t="shared" si="117"/>
        <v>16.8</v>
      </c>
      <c r="L475" s="33" t="s">
        <v>25</v>
      </c>
      <c r="M475" s="33" t="s">
        <v>134</v>
      </c>
      <c r="N475" s="33" t="s">
        <v>192</v>
      </c>
      <c r="O475" s="29">
        <v>0.98750000000000004</v>
      </c>
      <c r="P475" s="29">
        <v>1.3888888888888889E-3</v>
      </c>
      <c r="Q475" s="35">
        <f t="shared" ca="1" si="118"/>
        <v>1.388888888888884E-2</v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 t="s">
        <v>36</v>
      </c>
      <c r="D476" s="59" t="s">
        <v>29</v>
      </c>
      <c r="E476" s="108" t="s">
        <v>262</v>
      </c>
      <c r="F476" s="134">
        <f>IFERROR(IF($D476="","",VLOOKUP($D476,Cadastro!$C$4:$E$7,3,FALSE)),"")</f>
        <v>0.35</v>
      </c>
      <c r="G476" s="105">
        <v>5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6"/>
        <v>0</v>
      </c>
      <c r="K476" s="28">
        <f t="shared" si="117"/>
        <v>21</v>
      </c>
      <c r="L476" s="26"/>
      <c r="M476" s="26"/>
      <c r="N476" s="26"/>
      <c r="O476" s="29">
        <v>4.4444444444444446E-2</v>
      </c>
      <c r="P476" s="29"/>
      <c r="Q476" s="30">
        <f t="shared" ca="1" si="118"/>
        <v>0.11507847221946577</v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 t="s">
        <v>36</v>
      </c>
      <c r="D477" s="59" t="s">
        <v>29</v>
      </c>
      <c r="E477" s="108" t="s">
        <v>262</v>
      </c>
      <c r="F477" s="134">
        <f>IFERROR(IF($D477="","",VLOOKUP($D477,Cadastro!$C$4:$E$7,3,FALSE)),"")</f>
        <v>0.35</v>
      </c>
      <c r="G477" s="105">
        <v>5</v>
      </c>
      <c r="H477" s="134">
        <f>IFERROR(IF($G477="","",$G477*$S$486/$G$486/Cadastro!$E$33),"")</f>
        <v>0</v>
      </c>
      <c r="I477" s="135">
        <f>IFERROR(IF($D477="","",VLOOKUP($D477,Cadastro!$C$4:$G$7,5,FALSE)),"")</f>
        <v>0.6</v>
      </c>
      <c r="J477" s="136">
        <f t="shared" si="116"/>
        <v>0</v>
      </c>
      <c r="K477" s="34">
        <f t="shared" si="117"/>
        <v>21</v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 t="s">
        <v>36</v>
      </c>
      <c r="D478" s="59" t="s">
        <v>29</v>
      </c>
      <c r="E478" s="108" t="s">
        <v>262</v>
      </c>
      <c r="F478" s="134">
        <f>IFERROR(IF($D478="","",VLOOKUP($D478,Cadastro!$C$4:$E$7,3,FALSE)),"")</f>
        <v>0.35</v>
      </c>
      <c r="G478" s="105">
        <v>10</v>
      </c>
      <c r="H478" s="134">
        <f>IFERROR(IF($G478="","",$G478*$S$486/$G$486/Cadastro!$E$33),"")</f>
        <v>0</v>
      </c>
      <c r="I478" s="135">
        <f>IFERROR(IF($D478="","",VLOOKUP($D478,Cadastro!$C$4:$G$7,5,FALSE)),"")</f>
        <v>0.6</v>
      </c>
      <c r="J478" s="136">
        <f t="shared" si="116"/>
        <v>0</v>
      </c>
      <c r="K478" s="28">
        <f t="shared" si="117"/>
        <v>42</v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 t="s">
        <v>36</v>
      </c>
      <c r="D479" s="59" t="s">
        <v>29</v>
      </c>
      <c r="E479" s="108" t="s">
        <v>262</v>
      </c>
      <c r="F479" s="134">
        <f>IFERROR(IF($D479="","",VLOOKUP($D479,Cadastro!$C$4:$E$7,3,FALSE)),"")</f>
        <v>0.35</v>
      </c>
      <c r="G479" s="105">
        <v>10</v>
      </c>
      <c r="H479" s="134">
        <f>IFERROR(IF($G479="","",$G479*$S$486/$G$486/Cadastro!$E$33),"")</f>
        <v>0</v>
      </c>
      <c r="I479" s="135">
        <f>IFERROR(IF($D479="","",VLOOKUP($D479,Cadastro!$C$4:$G$7,5,FALSE)),"")</f>
        <v>0.6</v>
      </c>
      <c r="J479" s="136">
        <f t="shared" si="116"/>
        <v>0</v>
      </c>
      <c r="K479" s="34">
        <f t="shared" si="117"/>
        <v>42</v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 t="s">
        <v>36</v>
      </c>
      <c r="D480" s="59" t="s">
        <v>29</v>
      </c>
      <c r="E480" s="108" t="s">
        <v>262</v>
      </c>
      <c r="F480" s="134">
        <f>IFERROR(IF($D480="","",VLOOKUP($D480,Cadastro!$C$4:$E$7,3,FALSE)),"")</f>
        <v>0.35</v>
      </c>
      <c r="G480" s="105">
        <v>3</v>
      </c>
      <c r="H480" s="134">
        <f>IFERROR(IF($G480="","",$G480*$S$486/$G$486/Cadastro!$E$33),"")</f>
        <v>0</v>
      </c>
      <c r="I480" s="135">
        <f>IFERROR(IF($D480="","",VLOOKUP($D480,Cadastro!$C$4:$G$7,5,FALSE)),"")</f>
        <v>0.6</v>
      </c>
      <c r="J480" s="136">
        <f t="shared" si="116"/>
        <v>0</v>
      </c>
      <c r="K480" s="28">
        <f t="shared" si="117"/>
        <v>12.600000000000001</v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 t="s">
        <v>36</v>
      </c>
      <c r="D481" s="59" t="s">
        <v>29</v>
      </c>
      <c r="E481" s="108" t="s">
        <v>262</v>
      </c>
      <c r="F481" s="134">
        <f>IFERROR(IF($D481="","",VLOOKUP($D481,Cadastro!$C$4:$E$7,3,FALSE)),"")</f>
        <v>0.35</v>
      </c>
      <c r="G481" s="105"/>
      <c r="H481" s="134" t="str">
        <f>IFERROR(IF($G481="","",$G481*$S$486/$G$486/Cadastro!$E$33),"")</f>
        <v/>
      </c>
      <c r="I481" s="135">
        <f>IFERROR(IF($D481="","",VLOOKUP($D481,Cadastro!$C$4:$G$7,5,FALSE)),"")</f>
        <v>0.6</v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 t="s">
        <v>36</v>
      </c>
      <c r="D482" s="59" t="s">
        <v>29</v>
      </c>
      <c r="E482" s="108" t="s">
        <v>262</v>
      </c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 t="s">
        <v>36</v>
      </c>
      <c r="D483" s="59" t="s">
        <v>29</v>
      </c>
      <c r="E483" s="108" t="s">
        <v>262</v>
      </c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 t="s">
        <v>36</v>
      </c>
      <c r="D484" s="59" t="s">
        <v>29</v>
      </c>
      <c r="E484" s="108" t="s">
        <v>262</v>
      </c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 t="s">
        <v>36</v>
      </c>
      <c r="D485" s="59" t="s">
        <v>29</v>
      </c>
      <c r="E485" s="108" t="s">
        <v>262</v>
      </c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70" t="s">
        <v>250</v>
      </c>
      <c r="B486" s="171"/>
      <c r="C486" s="171"/>
      <c r="D486" s="171"/>
      <c r="E486" s="171">
        <f>SUM(E474:E485)</f>
        <v>0</v>
      </c>
      <c r="F486" s="111"/>
      <c r="G486" s="80">
        <f>SUM(G474:G485)</f>
        <v>37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155.4</v>
      </c>
      <c r="L486" s="37"/>
      <c r="M486" s="37"/>
      <c r="N486" s="37"/>
      <c r="O486" s="37"/>
      <c r="P486" s="37"/>
      <c r="Q486" s="38">
        <f ca="1">IFERROR(SUM(Q474:Q485),"")</f>
        <v>0.19980069444168802</v>
      </c>
      <c r="R486" s="36" t="s">
        <v>248</v>
      </c>
      <c r="S486" s="39"/>
      <c r="T486" s="119">
        <f>IFERROR(J486,"")</f>
        <v>0</v>
      </c>
    </row>
    <row r="487" spans="1:20" ht="18" customHeight="1">
      <c r="A487" s="167" t="s">
        <v>251</v>
      </c>
      <c r="B487" s="168"/>
      <c r="C487" s="168"/>
      <c r="D487" s="168"/>
      <c r="E487" s="168">
        <f>E473+E486</f>
        <v>0</v>
      </c>
      <c r="F487" s="112"/>
      <c r="G487" s="91">
        <f>G473+G486</f>
        <v>103</v>
      </c>
      <c r="H487" s="112">
        <f>IFERROR(H473+H486,"")</f>
        <v>353.64</v>
      </c>
      <c r="I487" s="116"/>
      <c r="J487" s="125">
        <f>IFERROR(J473+J486,"")</f>
        <v>74.264399999999995</v>
      </c>
      <c r="K487" s="40">
        <f>K473+K486</f>
        <v>432.6</v>
      </c>
      <c r="L487" s="41"/>
      <c r="M487" s="41"/>
      <c r="N487" s="41"/>
      <c r="O487" s="41"/>
      <c r="P487" s="41"/>
      <c r="Q487" s="42">
        <f ca="1">IFERROR(Q473+Q486,"")</f>
        <v>0.49146736110835465</v>
      </c>
      <c r="R487" s="40" t="s">
        <v>252</v>
      </c>
      <c r="S487" s="48">
        <f>IFERROR(S473+S486,"")</f>
        <v>353640</v>
      </c>
      <c r="T487" s="121">
        <f>IFERROR(J487,"")</f>
        <v>74.264399999999995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70" t="s">
        <v>247</v>
      </c>
      <c r="B500" s="171"/>
      <c r="C500" s="171"/>
      <c r="D500" s="171"/>
      <c r="E500" s="17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248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70" t="s">
        <v>250</v>
      </c>
      <c r="B513" s="171"/>
      <c r="C513" s="171"/>
      <c r="D513" s="171"/>
      <c r="E513" s="17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248</v>
      </c>
      <c r="S513" s="39"/>
      <c r="T513" s="119">
        <f>IFERROR(J513,"")</f>
        <v>0</v>
      </c>
    </row>
    <row r="514" spans="1:20" ht="18" customHeight="1">
      <c r="A514" s="167" t="s">
        <v>251</v>
      </c>
      <c r="B514" s="168"/>
      <c r="C514" s="168"/>
      <c r="D514" s="168"/>
      <c r="E514" s="168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252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70" t="s">
        <v>247</v>
      </c>
      <c r="B527" s="171"/>
      <c r="C527" s="171"/>
      <c r="D527" s="171"/>
      <c r="E527" s="17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248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70" t="s">
        <v>250</v>
      </c>
      <c r="B540" s="171"/>
      <c r="C540" s="171"/>
      <c r="D540" s="171"/>
      <c r="E540" s="17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248</v>
      </c>
      <c r="S540" s="39"/>
      <c r="T540" s="119">
        <f>IFERROR(J540,"")</f>
        <v>0</v>
      </c>
    </row>
    <row r="541" spans="1:20" ht="18" customHeight="1">
      <c r="A541" s="167" t="s">
        <v>251</v>
      </c>
      <c r="B541" s="168"/>
      <c r="C541" s="168"/>
      <c r="D541" s="168"/>
      <c r="E541" s="168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252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70" t="s">
        <v>247</v>
      </c>
      <c r="B554" s="171"/>
      <c r="C554" s="171"/>
      <c r="D554" s="171"/>
      <c r="E554" s="17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248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70" t="s">
        <v>250</v>
      </c>
      <c r="B567" s="171"/>
      <c r="C567" s="171"/>
      <c r="D567" s="171"/>
      <c r="E567" s="17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248</v>
      </c>
      <c r="S567" s="39"/>
      <c r="T567" s="119">
        <f>IFERROR(J567,"")</f>
        <v>0</v>
      </c>
    </row>
    <row r="568" spans="1:20" ht="18" customHeight="1">
      <c r="A568" s="167" t="s">
        <v>251</v>
      </c>
      <c r="B568" s="168"/>
      <c r="C568" s="168"/>
      <c r="D568" s="168"/>
      <c r="E568" s="168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252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70" t="s">
        <v>247</v>
      </c>
      <c r="B581" s="171"/>
      <c r="C581" s="171"/>
      <c r="D581" s="171"/>
      <c r="E581" s="17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248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70" t="s">
        <v>250</v>
      </c>
      <c r="B594" s="171"/>
      <c r="C594" s="171"/>
      <c r="D594" s="171"/>
      <c r="E594" s="17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248</v>
      </c>
      <c r="S594" s="39"/>
      <c r="T594" s="119">
        <f>IFERROR(J594,"")</f>
        <v>0</v>
      </c>
    </row>
    <row r="595" spans="1:20" ht="18" customHeight="1">
      <c r="A595" s="167" t="s">
        <v>251</v>
      </c>
      <c r="B595" s="168"/>
      <c r="C595" s="168"/>
      <c r="D595" s="168"/>
      <c r="E595" s="168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252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70" t="s">
        <v>247</v>
      </c>
      <c r="B608" s="171"/>
      <c r="C608" s="171"/>
      <c r="D608" s="171"/>
      <c r="E608" s="17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248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70" t="s">
        <v>250</v>
      </c>
      <c r="B621" s="171"/>
      <c r="C621" s="171"/>
      <c r="D621" s="171"/>
      <c r="E621" s="17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248</v>
      </c>
      <c r="S621" s="39"/>
      <c r="T621" s="119">
        <f>IFERROR(J621,"")</f>
        <v>0</v>
      </c>
    </row>
    <row r="622" spans="1:20" ht="18" customHeight="1">
      <c r="A622" s="167" t="s">
        <v>251</v>
      </c>
      <c r="B622" s="168"/>
      <c r="C622" s="168"/>
      <c r="D622" s="168"/>
      <c r="E622" s="168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252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70" t="s">
        <v>247</v>
      </c>
      <c r="B635" s="171"/>
      <c r="C635" s="171"/>
      <c r="D635" s="171"/>
      <c r="E635" s="17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248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70" t="s">
        <v>250</v>
      </c>
      <c r="B648" s="171"/>
      <c r="C648" s="171"/>
      <c r="D648" s="171"/>
      <c r="E648" s="17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248</v>
      </c>
      <c r="S648" s="39"/>
      <c r="T648" s="119">
        <f>IFERROR(J648,"")</f>
        <v>0</v>
      </c>
    </row>
    <row r="649" spans="1:20" ht="18" customHeight="1">
      <c r="A649" s="167" t="s">
        <v>251</v>
      </c>
      <c r="B649" s="168"/>
      <c r="C649" s="168"/>
      <c r="D649" s="168"/>
      <c r="E649" s="168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252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70" t="s">
        <v>247</v>
      </c>
      <c r="B662" s="171"/>
      <c r="C662" s="171"/>
      <c r="D662" s="171"/>
      <c r="E662" s="17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248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70" t="s">
        <v>250</v>
      </c>
      <c r="B675" s="171"/>
      <c r="C675" s="171"/>
      <c r="D675" s="171"/>
      <c r="E675" s="17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248</v>
      </c>
      <c r="S675" s="39"/>
      <c r="T675" s="119">
        <f>IFERROR(J675,"")</f>
        <v>0</v>
      </c>
    </row>
    <row r="676" spans="1:20" ht="18" customHeight="1">
      <c r="A676" s="167" t="s">
        <v>251</v>
      </c>
      <c r="B676" s="168"/>
      <c r="C676" s="168"/>
      <c r="D676" s="168"/>
      <c r="E676" s="168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252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70" t="s">
        <v>247</v>
      </c>
      <c r="B689" s="171"/>
      <c r="C689" s="171"/>
      <c r="D689" s="171"/>
      <c r="E689" s="17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248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70" t="s">
        <v>250</v>
      </c>
      <c r="B702" s="171"/>
      <c r="C702" s="171"/>
      <c r="D702" s="171"/>
      <c r="E702" s="17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248</v>
      </c>
      <c r="S702" s="39"/>
      <c r="T702" s="119">
        <f>IFERROR(J702,"")</f>
        <v>0</v>
      </c>
    </row>
    <row r="703" spans="1:20" ht="18" customHeight="1">
      <c r="A703" s="167" t="s">
        <v>251</v>
      </c>
      <c r="B703" s="168"/>
      <c r="C703" s="168"/>
      <c r="D703" s="168"/>
      <c r="E703" s="168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252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70" t="s">
        <v>247</v>
      </c>
      <c r="B716" s="171"/>
      <c r="C716" s="171"/>
      <c r="D716" s="171"/>
      <c r="E716" s="17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248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70" t="s">
        <v>250</v>
      </c>
      <c r="B729" s="171"/>
      <c r="C729" s="171"/>
      <c r="D729" s="171"/>
      <c r="E729" s="17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248</v>
      </c>
      <c r="S729" s="39"/>
      <c r="T729" s="119">
        <f>IFERROR(J729,"")</f>
        <v>0</v>
      </c>
    </row>
    <row r="730" spans="1:20" ht="18" customHeight="1">
      <c r="A730" s="167" t="s">
        <v>251</v>
      </c>
      <c r="B730" s="168"/>
      <c r="C730" s="168"/>
      <c r="D730" s="168"/>
      <c r="E730" s="168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252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70" t="s">
        <v>247</v>
      </c>
      <c r="B743" s="171"/>
      <c r="C743" s="171"/>
      <c r="D743" s="171"/>
      <c r="E743" s="17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248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70" t="s">
        <v>250</v>
      </c>
      <c r="B756" s="171"/>
      <c r="C756" s="171"/>
      <c r="D756" s="171"/>
      <c r="E756" s="17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7" t="s">
        <v>251</v>
      </c>
      <c r="B757" s="168"/>
      <c r="C757" s="168"/>
      <c r="D757" s="168"/>
      <c r="E757" s="168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252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70" t="s">
        <v>247</v>
      </c>
      <c r="B770" s="171"/>
      <c r="C770" s="171"/>
      <c r="D770" s="171"/>
      <c r="E770" s="17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248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70" t="s">
        <v>250</v>
      </c>
      <c r="B783" s="171"/>
      <c r="C783" s="171"/>
      <c r="D783" s="171"/>
      <c r="E783" s="17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7" t="s">
        <v>251</v>
      </c>
      <c r="B784" s="168"/>
      <c r="C784" s="168"/>
      <c r="D784" s="168"/>
      <c r="E784" s="168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252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70" t="s">
        <v>247</v>
      </c>
      <c r="B797" s="171"/>
      <c r="C797" s="171"/>
      <c r="D797" s="171"/>
      <c r="E797" s="17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248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70" t="s">
        <v>250</v>
      </c>
      <c r="B810" s="171"/>
      <c r="C810" s="171"/>
      <c r="D810" s="171"/>
      <c r="E810" s="17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7" t="s">
        <v>251</v>
      </c>
      <c r="B811" s="168"/>
      <c r="C811" s="168"/>
      <c r="D811" s="168"/>
      <c r="E811" s="168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252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70" t="s">
        <v>247</v>
      </c>
      <c r="B824" s="171"/>
      <c r="C824" s="171"/>
      <c r="D824" s="171"/>
      <c r="E824" s="17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248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70" t="s">
        <v>250</v>
      </c>
      <c r="B837" s="171"/>
      <c r="C837" s="171"/>
      <c r="D837" s="171"/>
      <c r="E837" s="17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248</v>
      </c>
      <c r="S837" s="39"/>
      <c r="T837" s="119">
        <f>IFERROR(J837,"")</f>
        <v>0</v>
      </c>
    </row>
    <row r="838" spans="1:20" ht="18" customHeight="1">
      <c r="A838" s="167" t="s">
        <v>251</v>
      </c>
      <c r="B838" s="168"/>
      <c r="C838" s="168"/>
      <c r="D838" s="168"/>
      <c r="E838" s="168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252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46" activePane="bottomLeft" state="frozen"/>
      <selection pane="bottomLeft" activeCell="G482" sqref="G482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280</v>
      </c>
      <c r="I1" s="133" t="s">
        <v>20</v>
      </c>
      <c r="J1" s="133" t="s">
        <v>281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70" t="s">
        <v>247</v>
      </c>
      <c r="B14" s="171"/>
      <c r="C14" s="171"/>
      <c r="D14" s="171"/>
      <c r="E14" s="171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248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262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262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345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262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288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262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323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262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346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262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262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262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347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262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262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262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262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70" t="s">
        <v>250</v>
      </c>
      <c r="B27" s="171"/>
      <c r="C27" s="171"/>
      <c r="D27" s="171"/>
      <c r="E27" s="171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248</v>
      </c>
      <c r="S27" s="39">
        <v>491520</v>
      </c>
      <c r="T27" s="119">
        <f>IFERROR(J27,"")</f>
        <v>0</v>
      </c>
    </row>
    <row r="28" spans="1:20" ht="18" customHeight="1">
      <c r="A28" s="167" t="s">
        <v>251</v>
      </c>
      <c r="B28" s="168"/>
      <c r="C28" s="168"/>
      <c r="D28" s="168"/>
      <c r="E28" s="168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252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262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262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262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262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262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262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262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262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262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262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262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262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70" t="s">
        <v>247</v>
      </c>
      <c r="B41" s="171"/>
      <c r="C41" s="171"/>
      <c r="D41" s="171"/>
      <c r="E41" s="171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248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348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70" t="s">
        <v>250</v>
      </c>
      <c r="B54" s="171"/>
      <c r="C54" s="171"/>
      <c r="D54" s="171"/>
      <c r="E54" s="171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248</v>
      </c>
      <c r="S54" s="39">
        <v>352430</v>
      </c>
      <c r="T54" s="119">
        <f>IFERROR(J54,"")</f>
        <v>0</v>
      </c>
    </row>
    <row r="55" spans="1:20" ht="18" customHeight="1">
      <c r="A55" s="167" t="s">
        <v>251</v>
      </c>
      <c r="B55" s="168"/>
      <c r="C55" s="168"/>
      <c r="D55" s="168"/>
      <c r="E55" s="168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252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262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216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262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349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262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350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262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262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262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262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262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262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262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70" t="s">
        <v>247</v>
      </c>
      <c r="B68" s="171"/>
      <c r="C68" s="171"/>
      <c r="D68" s="171"/>
      <c r="E68" s="171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248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228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351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323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216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262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70" t="s">
        <v>250</v>
      </c>
      <c r="B81" s="171"/>
      <c r="C81" s="171"/>
      <c r="D81" s="171"/>
      <c r="E81" s="171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248</v>
      </c>
      <c r="S81" s="39">
        <v>612410</v>
      </c>
      <c r="T81" s="119">
        <f>IFERROR(J81,"")</f>
        <v>0</v>
      </c>
    </row>
    <row r="82" spans="1:20" ht="18" customHeight="1">
      <c r="A82" s="167" t="s">
        <v>251</v>
      </c>
      <c r="B82" s="168"/>
      <c r="C82" s="168"/>
      <c r="D82" s="168"/>
      <c r="E82" s="168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252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262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70" t="s">
        <v>247</v>
      </c>
      <c r="B95" s="171"/>
      <c r="C95" s="171"/>
      <c r="D95" s="171"/>
      <c r="E95" s="171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248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323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70" t="s">
        <v>250</v>
      </c>
      <c r="B108" s="171"/>
      <c r="C108" s="171"/>
      <c r="D108" s="171"/>
      <c r="E108" s="171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248</v>
      </c>
      <c r="S108" s="39">
        <v>956070</v>
      </c>
      <c r="T108" s="119">
        <f>IFERROR(J108,"")</f>
        <v>0</v>
      </c>
    </row>
    <row r="109" spans="1:20" ht="18" customHeight="1">
      <c r="A109" s="167" t="s">
        <v>251</v>
      </c>
      <c r="B109" s="168"/>
      <c r="C109" s="168"/>
      <c r="D109" s="168"/>
      <c r="E109" s="168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252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228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233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233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352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70" t="s">
        <v>247</v>
      </c>
      <c r="B122" s="171"/>
      <c r="C122" s="171"/>
      <c r="D122" s="171"/>
      <c r="E122" s="171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248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216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353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291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323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70" t="s">
        <v>250</v>
      </c>
      <c r="B135" s="171"/>
      <c r="C135" s="171"/>
      <c r="D135" s="171"/>
      <c r="E135" s="171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248</v>
      </c>
      <c r="S135" s="39">
        <v>912240</v>
      </c>
      <c r="T135" s="119">
        <f>IFERROR(J135,"")</f>
        <v>0</v>
      </c>
    </row>
    <row r="136" spans="1:22" ht="18" customHeight="1">
      <c r="A136" s="167" t="s">
        <v>251</v>
      </c>
      <c r="B136" s="168"/>
      <c r="C136" s="168"/>
      <c r="D136" s="168"/>
      <c r="E136" s="168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252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354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355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299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247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248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356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357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70" t="s">
        <v>250</v>
      </c>
      <c r="B162" s="171"/>
      <c r="C162" s="171"/>
      <c r="D162" s="171"/>
      <c r="E162" s="171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248</v>
      </c>
      <c r="S162" s="39">
        <v>573230</v>
      </c>
      <c r="T162" s="119">
        <f>IFERROR(J162,"")</f>
        <v>0</v>
      </c>
    </row>
    <row r="163" spans="1:20" ht="18" customHeight="1">
      <c r="A163" s="167" t="s">
        <v>251</v>
      </c>
      <c r="B163" s="168"/>
      <c r="C163" s="168"/>
      <c r="D163" s="168"/>
      <c r="E163" s="168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252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262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193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262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262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262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262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262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358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262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262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262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262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262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70" t="s">
        <v>247</v>
      </c>
      <c r="B176" s="171"/>
      <c r="C176" s="171"/>
      <c r="D176" s="171"/>
      <c r="E176" s="171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248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359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262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262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262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262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262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262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70" t="s">
        <v>250</v>
      </c>
      <c r="B189" s="171"/>
      <c r="C189" s="171"/>
      <c r="D189" s="171"/>
      <c r="E189" s="171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248</v>
      </c>
      <c r="S189" s="39">
        <v>692750</v>
      </c>
      <c r="T189" s="119">
        <f>IFERROR(J189,"")</f>
        <v>0</v>
      </c>
    </row>
    <row r="190" spans="1:20" ht="18" customHeight="1">
      <c r="A190" s="167" t="s">
        <v>251</v>
      </c>
      <c r="B190" s="168"/>
      <c r="C190" s="168"/>
      <c r="D190" s="168"/>
      <c r="E190" s="168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252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360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70" t="s">
        <v>247</v>
      </c>
      <c r="B203" s="171"/>
      <c r="C203" s="171"/>
      <c r="D203" s="171"/>
      <c r="E203" s="171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248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361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362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363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70" t="s">
        <v>250</v>
      </c>
      <c r="B216" s="171"/>
      <c r="C216" s="171"/>
      <c r="D216" s="171"/>
      <c r="E216" s="171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248</v>
      </c>
      <c r="S216" s="45">
        <v>607180</v>
      </c>
      <c r="T216" s="122">
        <f>IFERROR(J216,"")</f>
        <v>0</v>
      </c>
    </row>
    <row r="217" spans="1:20" ht="18" customHeight="1">
      <c r="A217" s="167" t="s">
        <v>251</v>
      </c>
      <c r="B217" s="168"/>
      <c r="C217" s="168"/>
      <c r="D217" s="168"/>
      <c r="E217" s="168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252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364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365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70" t="s">
        <v>247</v>
      </c>
      <c r="B230" s="171"/>
      <c r="C230" s="171"/>
      <c r="D230" s="171"/>
      <c r="E230" s="171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248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366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367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70" t="s">
        <v>250</v>
      </c>
      <c r="B243" s="171"/>
      <c r="C243" s="171"/>
      <c r="D243" s="171"/>
      <c r="E243" s="17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248</v>
      </c>
      <c r="S243" s="39">
        <v>795250</v>
      </c>
      <c r="T243" s="119">
        <f>IFERROR(J243,"")</f>
        <v>0</v>
      </c>
    </row>
    <row r="244" spans="1:20" ht="18" customHeight="1">
      <c r="A244" s="167" t="s">
        <v>251</v>
      </c>
      <c r="B244" s="168"/>
      <c r="C244" s="168"/>
      <c r="D244" s="168"/>
      <c r="E244" s="168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252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27" t="s">
        <v>272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368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262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262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70" t="s">
        <v>247</v>
      </c>
      <c r="B257" s="171"/>
      <c r="C257" s="171"/>
      <c r="D257" s="171"/>
      <c r="E257" s="171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248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262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262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262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262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262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262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262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262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262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262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262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262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70" t="s">
        <v>250</v>
      </c>
      <c r="B270" s="171"/>
      <c r="C270" s="171"/>
      <c r="D270" s="171"/>
      <c r="E270" s="171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248</v>
      </c>
      <c r="S270" s="39">
        <v>683360</v>
      </c>
      <c r="T270" s="119">
        <f>IFERROR(J270,"")</f>
        <v>0</v>
      </c>
    </row>
    <row r="271" spans="1:20" ht="18" customHeight="1">
      <c r="A271" s="167" t="s">
        <v>251</v>
      </c>
      <c r="B271" s="168"/>
      <c r="C271" s="168"/>
      <c r="D271" s="168"/>
      <c r="E271" s="168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252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262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262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262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262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262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262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70" t="s">
        <v>247</v>
      </c>
      <c r="B284" s="171"/>
      <c r="C284" s="171"/>
      <c r="D284" s="171"/>
      <c r="E284" s="171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248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246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246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262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246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246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246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246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246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246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246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246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246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70" t="s">
        <v>250</v>
      </c>
      <c r="B297" s="171"/>
      <c r="C297" s="171"/>
      <c r="D297" s="171"/>
      <c r="E297" s="171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248</v>
      </c>
      <c r="S297" s="39">
        <v>904710</v>
      </c>
      <c r="T297" s="119">
        <f>IFERROR(J297,"")</f>
        <v>0</v>
      </c>
    </row>
    <row r="298" spans="1:20" ht="18" customHeight="1">
      <c r="A298" s="167" t="s">
        <v>251</v>
      </c>
      <c r="B298" s="168"/>
      <c r="C298" s="168"/>
      <c r="D298" s="168"/>
      <c r="E298" s="168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252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262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193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262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262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262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262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262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262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262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262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262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262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262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70" t="s">
        <v>247</v>
      </c>
      <c r="B311" s="171"/>
      <c r="C311" s="171"/>
      <c r="D311" s="171"/>
      <c r="E311" s="171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248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262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262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262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262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262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262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262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262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262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262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262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262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70" t="s">
        <v>250</v>
      </c>
      <c r="B324" s="171"/>
      <c r="C324" s="171"/>
      <c r="D324" s="171"/>
      <c r="E324" s="171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248</v>
      </c>
      <c r="S324" s="39">
        <v>1049720</v>
      </c>
      <c r="T324" s="119">
        <f>IFERROR(J324,"")</f>
        <v>151.15967999999998</v>
      </c>
    </row>
    <row r="325" spans="1:20" ht="18" customHeight="1">
      <c r="A325" s="167" t="s">
        <v>251</v>
      </c>
      <c r="B325" s="168"/>
      <c r="C325" s="168"/>
      <c r="D325" s="168"/>
      <c r="E325" s="168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252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262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246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70" t="s">
        <v>247</v>
      </c>
      <c r="B338" s="171"/>
      <c r="C338" s="171"/>
      <c r="D338" s="171"/>
      <c r="E338" s="171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248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369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370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70" t="s">
        <v>250</v>
      </c>
      <c r="B351" s="171"/>
      <c r="C351" s="171"/>
      <c r="D351" s="171"/>
      <c r="E351" s="171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248</v>
      </c>
      <c r="S351" s="39">
        <v>1058130</v>
      </c>
      <c r="T351" s="119">
        <f>IFERROR(J351,"")</f>
        <v>222.20729999999995</v>
      </c>
    </row>
    <row r="352" spans="1:20" ht="18" customHeight="1">
      <c r="A352" s="167" t="s">
        <v>251</v>
      </c>
      <c r="B352" s="168"/>
      <c r="C352" s="168"/>
      <c r="D352" s="168"/>
      <c r="E352" s="168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252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371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372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247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248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373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70" t="s">
        <v>250</v>
      </c>
      <c r="B378" s="171"/>
      <c r="C378" s="171"/>
      <c r="D378" s="171"/>
      <c r="E378" s="171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248</v>
      </c>
      <c r="S378" s="39">
        <v>1137080</v>
      </c>
      <c r="T378" s="119">
        <f>IFERROR(J378,"")</f>
        <v>238.78679999999994</v>
      </c>
    </row>
    <row r="379" spans="1:20" ht="18" customHeight="1">
      <c r="A379" s="167" t="s">
        <v>251</v>
      </c>
      <c r="B379" s="168"/>
      <c r="C379" s="168"/>
      <c r="D379" s="168"/>
      <c r="E379" s="168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252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262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262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313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374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70" t="s">
        <v>247</v>
      </c>
      <c r="B392" s="171"/>
      <c r="C392" s="171"/>
      <c r="D392" s="171"/>
      <c r="E392" s="171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248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228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375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70" t="s">
        <v>250</v>
      </c>
      <c r="B405" s="171"/>
      <c r="C405" s="171"/>
      <c r="D405" s="171"/>
      <c r="E405" s="171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248</v>
      </c>
      <c r="S405" s="39">
        <v>989450</v>
      </c>
      <c r="T405" s="119">
        <f>IFERROR(J405,"")</f>
        <v>195.72390675675675</v>
      </c>
    </row>
    <row r="406" spans="1:20" ht="18" customHeight="1">
      <c r="A406" s="167" t="s">
        <v>251</v>
      </c>
      <c r="B406" s="168"/>
      <c r="C406" s="168"/>
      <c r="D406" s="168"/>
      <c r="E406" s="168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252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235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376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70" t="s">
        <v>247</v>
      </c>
      <c r="B419" s="171"/>
      <c r="C419" s="171"/>
      <c r="D419" s="171"/>
      <c r="E419" s="171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248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377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70" t="s">
        <v>250</v>
      </c>
      <c r="B432" s="171"/>
      <c r="C432" s="171"/>
      <c r="D432" s="171"/>
      <c r="E432" s="171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248</v>
      </c>
      <c r="S432" s="39">
        <v>766030</v>
      </c>
      <c r="T432" s="119">
        <f>IFERROR(J432,"")</f>
        <v>110.30832000000001</v>
      </c>
    </row>
    <row r="433" spans="1:21" ht="18" customHeight="1">
      <c r="A433" s="167" t="s">
        <v>251</v>
      </c>
      <c r="B433" s="168"/>
      <c r="C433" s="168"/>
      <c r="D433" s="168"/>
      <c r="E433" s="168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252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262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262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7.8743921311475393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9.8429901639344255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70" t="s">
        <v>247</v>
      </c>
      <c r="B446" s="171"/>
      <c r="C446" s="171"/>
      <c r="D446" s="171"/>
      <c r="E446" s="171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161.58908852459015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248</v>
      </c>
      <c r="S446" s="39">
        <v>833920</v>
      </c>
      <c r="T446" s="119">
        <f>IFERROR(J446,"")</f>
        <v>161.58908852459015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180.4898678414097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37.902872246696035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378</v>
      </c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189.5143612334802</v>
      </c>
      <c r="I448" s="135">
        <f>IFERROR(IF($D448="","",VLOOKUP($D448,Cadastro!$C$4:$G$7,5,FALSE)),"")</f>
        <v>0.6</v>
      </c>
      <c r="J448" s="136">
        <f t="shared" si="110"/>
        <v>39.798015859030841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49.63471365638766</v>
      </c>
      <c r="I449" s="135">
        <f>IFERROR(IF($D449="","",VLOOKUP($D449,Cadastro!$C$4:$G$7,5,FALSE)),"")</f>
        <v>0.6</v>
      </c>
      <c r="J449" s="136">
        <f t="shared" si="110"/>
        <v>10.423289867841406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59" t="s">
        <v>262</v>
      </c>
      <c r="F450" s="134">
        <f>IFERROR(IF($D450="","",VLOOKUP($D450,Cadastro!$C$4:$E$7,3,FALSE)),"")</f>
        <v>0.24</v>
      </c>
      <c r="G450" s="105">
        <v>24</v>
      </c>
      <c r="H450" s="134">
        <f>IFERROR(IF($G450="","",$G450*$S$459/$G$459/Cadastro!$E$33),"")</f>
        <v>108.29392070484582</v>
      </c>
      <c r="I450" s="135">
        <f>IFERROR(IF($D450="","",VLOOKUP($D450,Cadastro!$C$4:$G$7,5,FALSE)),"")</f>
        <v>0.6</v>
      </c>
      <c r="J450" s="136">
        <f t="shared" si="110"/>
        <v>15.594324581497798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9</v>
      </c>
      <c r="H451" s="134">
        <f>IFERROR(IF($G451="","",$G451*$S$459/$G$459/Cadastro!$E$33),"")</f>
        <v>40.610220264317185</v>
      </c>
      <c r="I451" s="135">
        <f>IFERROR(IF($D451="","",VLOOKUP($D451,Cadastro!$C$4:$G$7,5,FALSE)),"")</f>
        <v>0.6</v>
      </c>
      <c r="J451" s="136">
        <f t="shared" si="110"/>
        <v>5.8478717180616746</v>
      </c>
      <c r="K451" s="151">
        <f>IF(G451="","",IF(E452="PC 17",G451*4.2,IF(E452="PC 19",G451*5,"")))</f>
        <v>37.800000000000004</v>
      </c>
      <c r="L451" s="33" t="s">
        <v>27</v>
      </c>
      <c r="M451" s="33" t="s">
        <v>64</v>
      </c>
      <c r="N451" s="33" t="s">
        <v>210</v>
      </c>
      <c r="O451" s="29">
        <v>0.18055555555555555</v>
      </c>
      <c r="P451" s="29">
        <v>0.2048611111111111</v>
      </c>
      <c r="Q451" s="35">
        <f t="shared" ca="1" si="112"/>
        <v>2.4305555555555552E-2</v>
      </c>
      <c r="R451" s="27" t="s">
        <v>372</v>
      </c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36.097973568281937</v>
      </c>
      <c r="I452" s="135">
        <f>IFERROR(IF($D452="","",VLOOKUP($D452,Cadastro!$C$4:$G$7,5,FALSE)),"")</f>
        <v>0.6</v>
      </c>
      <c r="J452" s="136">
        <f t="shared" si="110"/>
        <v>5.1981081938325984</v>
      </c>
      <c r="K452" s="28">
        <f>IF(G452="","",IF(E453="PC 17",G452*4.2,IF(E453="PC 19",G452*5,"")))</f>
        <v>33.6</v>
      </c>
      <c r="L452" s="26" t="s">
        <v>25</v>
      </c>
      <c r="M452" s="26" t="s">
        <v>64</v>
      </c>
      <c r="N452" s="26" t="s">
        <v>41</v>
      </c>
      <c r="O452" s="29">
        <v>0.22222222222222221</v>
      </c>
      <c r="P452" s="29">
        <v>0.2638888888888889</v>
      </c>
      <c r="Q452" s="30">
        <f t="shared" ca="1" si="112"/>
        <v>4.1666666666666685E-2</v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67.683700440528625</v>
      </c>
      <c r="I453" s="135">
        <f>IFERROR(IF($D453="","",VLOOKUP($D453,Cadastro!$C$4:$G$7,5,FALSE)),"")</f>
        <v>0.6</v>
      </c>
      <c r="J453" s="136">
        <f t="shared" si="110"/>
        <v>14.213577092511011</v>
      </c>
      <c r="K453" s="151">
        <f>IF(G453="","",IF(E454="PC 17",G453*4.2,IF(E454="PC 19",G453*5,"")))</f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25</v>
      </c>
      <c r="H454" s="134">
        <f>IFERROR(IF($G454="","",$G454*$S$459/$G$459/Cadastro!$E$33),"")</f>
        <v>112.80616740088105</v>
      </c>
      <c r="I454" s="135">
        <f>IFERROR(IF($D454="","",VLOOKUP($D454,Cadastro!$C$4:$G$7,5,FALSE)),"")</f>
        <v>0.6</v>
      </c>
      <c r="J454" s="136">
        <f t="shared" si="110"/>
        <v>23.689295154185018</v>
      </c>
      <c r="K454" s="28">
        <f>IF(G454="","",IF(E455="PC 17",G454*4.2,IF(E455="PC 19",G454*5,"")))</f>
        <v>105</v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31</v>
      </c>
      <c r="H455" s="134">
        <f>IFERROR(IF($G455="","",$G455*$S$459/$G$459/Cadastro!$E$33),"")</f>
        <v>139.87964757709253</v>
      </c>
      <c r="I455" s="135">
        <f>IFERROR(IF($D455="","",VLOOKUP($D455,Cadastro!$C$4:$G$7,5,FALSE)),"")</f>
        <v>0.6</v>
      </c>
      <c r="J455" s="136">
        <f t="shared" si="110"/>
        <v>29.374725991189429</v>
      </c>
      <c r="K455" s="151">
        <f>IF(G455="","",IF(E456="PC 17",G455*4.2,IF(E456="PC 19",G455*5,"")))</f>
        <v>130.20000000000002</v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13</v>
      </c>
      <c r="H456" s="134">
        <f>IFERROR(IF($G456="","",$G456*$S$459/$G$459/Cadastro!$E$33),"")</f>
        <v>58.65920704845815</v>
      </c>
      <c r="I456" s="135">
        <f>IFERROR(IF($D456="","",VLOOKUP($D456,Cadastro!$C$4:$G$7,5,FALSE)),"")</f>
        <v>0.6</v>
      </c>
      <c r="J456" s="136">
        <f t="shared" si="110"/>
        <v>12.318433480176211</v>
      </c>
      <c r="K456" s="28">
        <f>IF(G456="","",IF(E457="PC 17",G456*4.2,IF(E457="PC 19",G456*5,"")))</f>
        <v>54.6</v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9</v>
      </c>
      <c r="H457" s="134">
        <f>IFERROR(IF($G457="","",$G457*$S$459/$G$459/Cadastro!$E$33),"")</f>
        <v>40.610220264317185</v>
      </c>
      <c r="I457" s="135">
        <f>IFERROR(IF($D457="","",VLOOKUP($D457,Cadastro!$C$4:$G$7,5,FALSE)),"")</f>
        <v>0.6</v>
      </c>
      <c r="J457" s="136">
        <f t="shared" si="110"/>
        <v>8.5281462555066074</v>
      </c>
      <c r="K457" s="151">
        <f>IF(G457="","",IF(E458="PC 17",G457*4.2,IF(E458="PC 19",G457*5,"")))</f>
        <v>37.800000000000004</v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0</v>
      </c>
      <c r="H458" s="137">
        <f>IFERROR(IF($G458="","",$G458*$S$459/$G$459/Cadastro!$E$33),"")</f>
        <v>0</v>
      </c>
      <c r="I458" s="138">
        <f>IFERROR(IF($D458="","",VLOOKUP($D458,Cadastro!$C$4:$G$7,5,FALSE)),"")</f>
        <v>0.6</v>
      </c>
      <c r="J458" s="139">
        <f t="shared" si="110"/>
        <v>0</v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70" t="s">
        <v>250</v>
      </c>
      <c r="B459" s="171"/>
      <c r="C459" s="171"/>
      <c r="D459" s="171"/>
      <c r="E459" s="171">
        <f>SUM(E447:E458)</f>
        <v>0</v>
      </c>
      <c r="F459" s="111"/>
      <c r="G459" s="80">
        <f>SUM(G447:G458)</f>
        <v>227</v>
      </c>
      <c r="H459" s="111">
        <f>IFERROR(SUM(H447:H458),"")</f>
        <v>1024.28</v>
      </c>
      <c r="I459" s="115"/>
      <c r="J459" s="124">
        <f>IFERROR(SUM(J447:J458),"")</f>
        <v>202.88866044052861</v>
      </c>
      <c r="K459" s="36">
        <f>SUM(K447:K458)</f>
        <v>953.4</v>
      </c>
      <c r="L459" s="37"/>
      <c r="M459" s="37"/>
      <c r="N459" s="37"/>
      <c r="O459" s="61"/>
      <c r="P459" s="61"/>
      <c r="Q459" s="38">
        <f ca="1">IFERROR(SUM(Q447:Q458),"")</f>
        <v>0.12708333333333338</v>
      </c>
      <c r="R459" s="36" t="s">
        <v>248</v>
      </c>
      <c r="S459" s="39">
        <v>1024280</v>
      </c>
      <c r="T459" s="119">
        <f>IFERROR(J459,"")</f>
        <v>202.88866044052861</v>
      </c>
    </row>
    <row r="460" spans="1:20" ht="18" customHeight="1">
      <c r="A460" s="167" t="s">
        <v>251</v>
      </c>
      <c r="B460" s="168"/>
      <c r="C460" s="168"/>
      <c r="D460" s="168"/>
      <c r="E460" s="168">
        <f>E446+E459</f>
        <v>0</v>
      </c>
      <c r="F460" s="112"/>
      <c r="G460" s="91">
        <f>G446+G459</f>
        <v>410</v>
      </c>
      <c r="H460" s="112">
        <f>IFERROR(H446+H459,"")</f>
        <v>1858.2000000000003</v>
      </c>
      <c r="I460" s="116"/>
      <c r="J460" s="125">
        <f>IFERROR(J446+J459,"")</f>
        <v>364.47774896511874</v>
      </c>
      <c r="K460" s="40">
        <f>K446+K459</f>
        <v>1722</v>
      </c>
      <c r="L460" s="41"/>
      <c r="M460" s="41"/>
      <c r="N460" s="41"/>
      <c r="O460" s="63"/>
      <c r="P460" s="63"/>
      <c r="Q460" s="42">
        <f ca="1">IFERROR(Q446+Q459,"")</f>
        <v>0.16319444444444448</v>
      </c>
      <c r="R460" s="40" t="s">
        <v>252</v>
      </c>
      <c r="S460" s="48">
        <f>IFERROR(S446+S459,"")</f>
        <v>1858200</v>
      </c>
      <c r="T460" s="121">
        <f>IFERROR(J460,"")</f>
        <v>364.47774896511874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262</v>
      </c>
      <c r="F461" s="140">
        <f>IFERROR(IF($D461="","",VLOOKUP($D461,Cadastro!$C$4:$E$7,3,FALSE)),"")</f>
        <v>0.35</v>
      </c>
      <c r="G461" s="105">
        <v>13</v>
      </c>
      <c r="H461" s="140">
        <f>IFERROR(IF($G461="","",$G461*$S$473/$G$473/Cadastro!$E$33),"")</f>
        <v>62.367077922077925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13.097086363636363</v>
      </c>
      <c r="K461" s="34">
        <f t="shared" ref="K461:K472" si="115">IF(G461="","",IF(E461="PC 17",G461*4.2,IF(E461="PC 19",G461*5,IF(E461="CB",G461*24,""))))</f>
        <v>54.6</v>
      </c>
      <c r="L461" s="33" t="s">
        <v>25</v>
      </c>
      <c r="M461" s="33" t="s">
        <v>64</v>
      </c>
      <c r="N461" s="33" t="s">
        <v>41</v>
      </c>
      <c r="O461" s="29">
        <v>0.2986111111111111</v>
      </c>
      <c r="P461" s="29">
        <v>0.53888888888888886</v>
      </c>
      <c r="Q461" s="35">
        <f t="shared" ref="Q461:Q472" ca="1" si="116">IFERROR(IF(O461="","",IF(P461="",MOD(NOW()-O461,1),IF(P461&gt;=O461,P461-O461,P461+1-O461))),"")</f>
        <v>0.24027777777777776</v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262</v>
      </c>
      <c r="F462" s="134">
        <f>IFERROR(IF($D462="","",VLOOKUP($D462,Cadastro!$C$4:$E$7,3,FALSE)),"")</f>
        <v>0.35</v>
      </c>
      <c r="G462" s="105">
        <v>16</v>
      </c>
      <c r="H462" s="134">
        <f>IFERROR(IF($G462="","",$G462*$S$473/$G$473/Cadastro!$E$33),"")</f>
        <v>76.759480519480519</v>
      </c>
      <c r="I462" s="135">
        <f>IFERROR(IF($D462="","",VLOOKUP($D462,Cadastro!$C$4:$G$7,5,FALSE)),"")</f>
        <v>0.6</v>
      </c>
      <c r="J462" s="136">
        <f t="shared" si="114"/>
        <v>16.119490909090906</v>
      </c>
      <c r="K462" s="28">
        <f t="shared" si="115"/>
        <v>67.2</v>
      </c>
      <c r="L462" s="26" t="s">
        <v>26</v>
      </c>
      <c r="M462" s="26" t="s">
        <v>59</v>
      </c>
      <c r="N462" s="26" t="s">
        <v>34</v>
      </c>
      <c r="O462" s="29">
        <v>0.51875000000000004</v>
      </c>
      <c r="P462" s="29">
        <v>0.54027777777777775</v>
      </c>
      <c r="Q462" s="30">
        <f t="shared" ca="1" si="116"/>
        <v>2.1527777777777701E-2</v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262</v>
      </c>
      <c r="F463" s="134">
        <f>IFERROR(IF($D463="","",VLOOKUP($D463,Cadastro!$C$4:$E$7,3,FALSE)),"")</f>
        <v>0.35</v>
      </c>
      <c r="G463" s="105">
        <v>10</v>
      </c>
      <c r="H463" s="134">
        <f>IFERROR(IF($G463="","",$G463*$S$473/$G$473/Cadastro!$E$33),"")</f>
        <v>47.974675324675324</v>
      </c>
      <c r="I463" s="135">
        <f>IFERROR(IF($D463="","",VLOOKUP($D463,Cadastro!$C$4:$G$7,5,FALSE)),"")</f>
        <v>0.6</v>
      </c>
      <c r="J463" s="136">
        <f t="shared" si="114"/>
        <v>10.074681818181817</v>
      </c>
      <c r="K463" s="34">
        <f t="shared" si="115"/>
        <v>42</v>
      </c>
      <c r="L463" s="33" t="s">
        <v>27</v>
      </c>
      <c r="M463" s="33"/>
      <c r="N463" s="33" t="s">
        <v>81</v>
      </c>
      <c r="O463" s="29">
        <v>0.66527777777777775</v>
      </c>
      <c r="P463" s="29">
        <v>0.67152777777777772</v>
      </c>
      <c r="Q463" s="35">
        <f t="shared" ca="1" si="116"/>
        <v>6.2499999999999778E-3</v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262</v>
      </c>
      <c r="F464" s="134">
        <f>IFERROR(IF($D464="","",VLOOKUP($D464,Cadastro!$C$4:$E$7,3,FALSE)),"")</f>
        <v>0.35</v>
      </c>
      <c r="G464" s="105">
        <v>14</v>
      </c>
      <c r="H464" s="134">
        <f>IFERROR(IF($G464="","",$G464*$S$473/$G$473/Cadastro!$E$33),"")</f>
        <v>67.164545454545461</v>
      </c>
      <c r="I464" s="135">
        <f>IFERROR(IF($D464="","",VLOOKUP($D464,Cadastro!$C$4:$G$7,5,FALSE)),"")</f>
        <v>0.6</v>
      </c>
      <c r="J464" s="136">
        <f t="shared" si="114"/>
        <v>14.104554545454546</v>
      </c>
      <c r="K464" s="28">
        <f t="shared" si="115"/>
        <v>58.800000000000004</v>
      </c>
      <c r="L464" s="26" t="s">
        <v>27</v>
      </c>
      <c r="M464" s="26" t="s">
        <v>137</v>
      </c>
      <c r="N464" s="26" t="s">
        <v>121</v>
      </c>
      <c r="O464" s="29">
        <v>0.68541666666666667</v>
      </c>
      <c r="P464" s="29">
        <v>0.69444444444444442</v>
      </c>
      <c r="Q464" s="30">
        <f t="shared" ca="1" si="116"/>
        <v>9.0277777777777457E-3</v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262</v>
      </c>
      <c r="F465" s="134">
        <f>IFERROR(IF($D465="","",VLOOKUP($D465,Cadastro!$C$4:$E$7,3,FALSE)),"")</f>
        <v>0.35</v>
      </c>
      <c r="G465" s="105">
        <v>8</v>
      </c>
      <c r="H465" s="134">
        <f>IFERROR(IF($G465="","",$G465*$S$473/$G$473/Cadastro!$E$33),"")</f>
        <v>38.379740259740259</v>
      </c>
      <c r="I465" s="135">
        <f>IFERROR(IF($D465="","",VLOOKUP($D465,Cadastro!$C$4:$G$7,5,FALSE)),"")</f>
        <v>0.6</v>
      </c>
      <c r="J465" s="136">
        <f t="shared" si="114"/>
        <v>8.0597454545454532</v>
      </c>
      <c r="K465" s="34">
        <f t="shared" si="115"/>
        <v>33.6</v>
      </c>
      <c r="L465" s="33" t="s">
        <v>27</v>
      </c>
      <c r="M465" s="33" t="s">
        <v>137</v>
      </c>
      <c r="N465" s="33" t="s">
        <v>121</v>
      </c>
      <c r="O465" s="29">
        <v>0.73750000000000004</v>
      </c>
      <c r="P465" s="29">
        <v>0.75347222222222221</v>
      </c>
      <c r="Q465" s="35">
        <f t="shared" ca="1" si="116"/>
        <v>1.5972222222222165E-2</v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262</v>
      </c>
      <c r="F466" s="134">
        <f>IFERROR(IF($D466="","",VLOOKUP($D466,Cadastro!$C$4:$E$7,3,FALSE)),"")</f>
        <v>0.35</v>
      </c>
      <c r="G466" s="105">
        <v>9</v>
      </c>
      <c r="H466" s="134">
        <f>IFERROR(IF($G466="","",$G466*$S$473/$G$473/Cadastro!$E$33),"")</f>
        <v>43.177207792207795</v>
      </c>
      <c r="I466" s="135">
        <f>IFERROR(IF($D466="","",VLOOKUP($D466,Cadastro!$C$4:$G$7,5,FALSE)),"")</f>
        <v>0.6</v>
      </c>
      <c r="J466" s="136">
        <f t="shared" si="114"/>
        <v>9.0672136363636362</v>
      </c>
      <c r="K466" s="28">
        <f t="shared" si="115"/>
        <v>37.800000000000004</v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262</v>
      </c>
      <c r="F467" s="134">
        <f>IFERROR(IF($D467="","",VLOOKUP($D467,Cadastro!$C$4:$E$7,3,FALSE)),"")</f>
        <v>0.35</v>
      </c>
      <c r="G467" s="105">
        <v>10</v>
      </c>
      <c r="H467" s="134">
        <f>IFERROR(IF($G467="","",$G467*$S$473/$G$473/Cadastro!$E$33),"")</f>
        <v>47.974675324675324</v>
      </c>
      <c r="I467" s="135">
        <f>IFERROR(IF($D467="","",VLOOKUP($D467,Cadastro!$C$4:$G$7,5,FALSE)),"")</f>
        <v>0.6</v>
      </c>
      <c r="J467" s="136">
        <f t="shared" si="114"/>
        <v>10.074681818181817</v>
      </c>
      <c r="K467" s="34">
        <f t="shared" si="115"/>
        <v>42</v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262</v>
      </c>
      <c r="F468" s="134">
        <f>IFERROR(IF($D468="","",VLOOKUP($D468,Cadastro!$C$4:$E$7,3,FALSE)),"")</f>
        <v>0.35</v>
      </c>
      <c r="G468" s="105">
        <v>24</v>
      </c>
      <c r="H468" s="134">
        <f>IFERROR(IF($G468="","",$G468*$S$473/$G$473/Cadastro!$E$33),"")</f>
        <v>115.13922077922078</v>
      </c>
      <c r="I468" s="135">
        <f>IFERROR(IF($D468="","",VLOOKUP($D468,Cadastro!$C$4:$G$7,5,FALSE)),"")</f>
        <v>0.6</v>
      </c>
      <c r="J468" s="136">
        <f t="shared" si="114"/>
        <v>24.17923636363636</v>
      </c>
      <c r="K468" s="28">
        <f t="shared" si="115"/>
        <v>100.80000000000001</v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262</v>
      </c>
      <c r="F469" s="134">
        <f>IFERROR(IF($D469="","",VLOOKUP($D469,Cadastro!$C$4:$E$7,3,FALSE)),"")</f>
        <v>0.35</v>
      </c>
      <c r="G469" s="105">
        <v>16</v>
      </c>
      <c r="H469" s="134">
        <f>IFERROR(IF($G469="","",$G469*$S$473/$G$473/Cadastro!$E$33),"")</f>
        <v>76.759480519480519</v>
      </c>
      <c r="I469" s="135">
        <f>IFERROR(IF($D469="","",VLOOKUP($D469,Cadastro!$C$4:$G$7,5,FALSE)),"")</f>
        <v>0.6</v>
      </c>
      <c r="J469" s="136">
        <f t="shared" si="114"/>
        <v>16.119490909090906</v>
      </c>
      <c r="K469" s="34">
        <f t="shared" si="115"/>
        <v>67.2</v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262</v>
      </c>
      <c r="F470" s="134">
        <f>IFERROR(IF($D470="","",VLOOKUP($D470,Cadastro!$C$4:$E$7,3,FALSE)),"")</f>
        <v>0.35</v>
      </c>
      <c r="G470" s="105">
        <v>15</v>
      </c>
      <c r="H470" s="134">
        <f>IFERROR(IF($G470="","",$G470*$S$473/$G$473/Cadastro!$E$33),"")</f>
        <v>71.962012987012983</v>
      </c>
      <c r="I470" s="135">
        <f>IFERROR(IF($D470="","",VLOOKUP($D470,Cadastro!$C$4:$G$7,5,FALSE)),"")</f>
        <v>0.6</v>
      </c>
      <c r="J470" s="136">
        <f t="shared" si="114"/>
        <v>15.112022727272725</v>
      </c>
      <c r="K470" s="28">
        <f t="shared" si="115"/>
        <v>63</v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262</v>
      </c>
      <c r="F471" s="134">
        <f>IFERROR(IF($D471="","",VLOOKUP($D471,Cadastro!$C$4:$E$7,3,FALSE)),"")</f>
        <v>0.35</v>
      </c>
      <c r="G471" s="105">
        <v>11</v>
      </c>
      <c r="H471" s="134">
        <f>IFERROR(IF($G471="","",$G471*$S$473/$G$473/Cadastro!$E$33),"")</f>
        <v>52.772142857142853</v>
      </c>
      <c r="I471" s="135">
        <f>IFERROR(IF($D471="","",VLOOKUP($D471,Cadastro!$C$4:$G$7,5,FALSE)),"")</f>
        <v>0.6</v>
      </c>
      <c r="J471" s="136">
        <f t="shared" si="114"/>
        <v>11.082149999999997</v>
      </c>
      <c r="K471" s="34">
        <f t="shared" si="115"/>
        <v>46.2</v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262</v>
      </c>
      <c r="F472" s="137">
        <f>IFERROR(IF($D472="","",VLOOKUP($D472,Cadastro!$C$4:$E$7,3,FALSE)),"")</f>
        <v>0.35</v>
      </c>
      <c r="G472" s="105">
        <v>8</v>
      </c>
      <c r="H472" s="137">
        <f>IFERROR(IF($G472="","",$G472*$S$473/$G$473/Cadastro!$E$33),"")</f>
        <v>38.379740259740259</v>
      </c>
      <c r="I472" s="138">
        <f>IFERROR(IF($D472="","",VLOOKUP($D472,Cadastro!$C$4:$G$7,5,FALSE)),"")</f>
        <v>0.6</v>
      </c>
      <c r="J472" s="139">
        <f t="shared" si="114"/>
        <v>8.0597454545454532</v>
      </c>
      <c r="K472" s="28">
        <f t="shared" si="115"/>
        <v>33.6</v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70" t="s">
        <v>247</v>
      </c>
      <c r="B473" s="171"/>
      <c r="C473" s="171"/>
      <c r="D473" s="171"/>
      <c r="E473" s="171">
        <f>SUM(E461:E472)</f>
        <v>0</v>
      </c>
      <c r="F473" s="110"/>
      <c r="G473" s="80">
        <f>SUM(G461:G472)</f>
        <v>154</v>
      </c>
      <c r="H473" s="110">
        <f>IFERROR(SUM(H461:H472),"")</f>
        <v>738.81000000000006</v>
      </c>
      <c r="I473" s="114"/>
      <c r="J473" s="123">
        <f>IFERROR(SUM(J461:J472),"")</f>
        <v>155.15009999999998</v>
      </c>
      <c r="K473" s="36">
        <f>SUM(K461:K472)</f>
        <v>646.80000000000007</v>
      </c>
      <c r="L473" s="37"/>
      <c r="M473" s="37"/>
      <c r="N473" s="37"/>
      <c r="O473" s="61"/>
      <c r="P473" s="61"/>
      <c r="Q473" s="38">
        <f ca="1">IFERROR(SUM(Q461:Q472),"")</f>
        <v>0.29305555555555535</v>
      </c>
      <c r="R473" s="36" t="s">
        <v>248</v>
      </c>
      <c r="S473" s="39">
        <v>738810</v>
      </c>
      <c r="T473" s="119">
        <f>IFERROR(J473,"")</f>
        <v>155.15009999999998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262</v>
      </c>
      <c r="F474" s="140">
        <f>IFERROR(IF($D474="","",VLOOKUP($D474,Cadastro!$C$4:$E$7,3,FALSE)),"")</f>
        <v>0.35</v>
      </c>
      <c r="G474" s="105">
        <v>14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0</v>
      </c>
      <c r="K474" s="28">
        <f t="shared" ref="K474:K485" si="119">IF(G474="","",IF(E474="PC 17",G474*4.2,IF(E474="PC 19",G474*5,IF(E474="CB",G474*24,""))))</f>
        <v>58.800000000000004</v>
      </c>
      <c r="L474" s="26" t="s">
        <v>26</v>
      </c>
      <c r="M474" s="26" t="s">
        <v>171</v>
      </c>
      <c r="N474" s="26" t="s">
        <v>34</v>
      </c>
      <c r="O474" s="29">
        <v>0.80277777777777781</v>
      </c>
      <c r="P474" s="29">
        <v>0.81597222222222221</v>
      </c>
      <c r="Q474" s="30">
        <f t="shared" ref="Q474:Q485" ca="1" si="120">IFERROR(IF(O474="","",IF(P474="",MOD(NOW()-O474,1),IF(P474&gt;=O474,P474-O474,P474+1-O474))),"")</f>
        <v>1.3194444444444398E-2</v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29</v>
      </c>
      <c r="E475" s="108" t="s">
        <v>262</v>
      </c>
      <c r="F475" s="134">
        <f>IFERROR(IF($D475="","",VLOOKUP($D475,Cadastro!$C$4:$E$7,3,FALSE)),"")</f>
        <v>0.35</v>
      </c>
      <c r="G475" s="105">
        <v>24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8"/>
        <v>0</v>
      </c>
      <c r="K475" s="34">
        <f t="shared" si="119"/>
        <v>100.80000000000001</v>
      </c>
      <c r="L475" s="33" t="s">
        <v>27</v>
      </c>
      <c r="M475" s="33" t="s">
        <v>166</v>
      </c>
      <c r="N475" s="33" t="s">
        <v>81</v>
      </c>
      <c r="O475" s="29">
        <v>0.86319444444444449</v>
      </c>
      <c r="P475" s="29">
        <v>0.86458333333333337</v>
      </c>
      <c r="Q475" s="35">
        <f t="shared" ca="1" si="120"/>
        <v>1.388888888888884E-3</v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29</v>
      </c>
      <c r="E476" s="108" t="s">
        <v>262</v>
      </c>
      <c r="F476" s="134">
        <f>IFERROR(IF($D476="","",VLOOKUP($D476,Cadastro!$C$4:$E$7,3,FALSE)),"")</f>
        <v>0.35</v>
      </c>
      <c r="G476" s="105">
        <v>0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8"/>
        <v>0</v>
      </c>
      <c r="K476" s="28">
        <f t="shared" si="119"/>
        <v>0</v>
      </c>
      <c r="L476" s="26" t="s">
        <v>25</v>
      </c>
      <c r="M476" s="26" t="s">
        <v>137</v>
      </c>
      <c r="N476" s="26"/>
      <c r="O476" s="29">
        <v>0.88263888888888886</v>
      </c>
      <c r="P476" s="29">
        <v>0.98472222222222228</v>
      </c>
      <c r="Q476" s="30">
        <f t="shared" ca="1" si="120"/>
        <v>0.10208333333333341</v>
      </c>
      <c r="R476" s="27" t="s">
        <v>379</v>
      </c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29</v>
      </c>
      <c r="E477" s="108" t="s">
        <v>262</v>
      </c>
      <c r="F477" s="134">
        <f>IFERROR(IF($D477="","",VLOOKUP($D477,Cadastro!$C$4:$E$7,3,FALSE)),"")</f>
        <v>0.35</v>
      </c>
      <c r="G477" s="105">
        <v>8</v>
      </c>
      <c r="H477" s="134">
        <f>IFERROR(IF($G477="","",$G477*$S$486/$G$486/Cadastro!$E$33),"")</f>
        <v>0</v>
      </c>
      <c r="I477" s="135">
        <f>IFERROR(IF($D477="","",VLOOKUP($D477,Cadastro!$C$4:$G$7,5,FALSE)),"")</f>
        <v>0.6</v>
      </c>
      <c r="J477" s="136">
        <f t="shared" si="118"/>
        <v>0</v>
      </c>
      <c r="K477" s="34">
        <f t="shared" si="119"/>
        <v>33.6</v>
      </c>
      <c r="L477" s="33" t="s">
        <v>27</v>
      </c>
      <c r="M477" s="33" t="s">
        <v>64</v>
      </c>
      <c r="N477" s="33" t="s">
        <v>43</v>
      </c>
      <c r="O477" s="29">
        <v>0.05</v>
      </c>
      <c r="P477" s="29">
        <v>5.9027777777777776E-2</v>
      </c>
      <c r="Q477" s="35">
        <f t="shared" ca="1" si="120"/>
        <v>9.0277777777777735E-3</v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29</v>
      </c>
      <c r="E478" s="108" t="s">
        <v>262</v>
      </c>
      <c r="F478" s="134">
        <f>IFERROR(IF($D478="","",VLOOKUP($D478,Cadastro!$C$4:$E$7,3,FALSE)),"")</f>
        <v>0.35</v>
      </c>
      <c r="G478" s="105">
        <v>12</v>
      </c>
      <c r="H478" s="134">
        <f>IFERROR(IF($G478="","",$G478*$S$486/$G$486/Cadastro!$E$33),"")</f>
        <v>0</v>
      </c>
      <c r="I478" s="135">
        <f>IFERROR(IF($D478="","",VLOOKUP($D478,Cadastro!$C$4:$G$7,5,FALSE)),"")</f>
        <v>0.6</v>
      </c>
      <c r="J478" s="136">
        <f t="shared" si="118"/>
        <v>0</v>
      </c>
      <c r="K478" s="28">
        <f t="shared" si="119"/>
        <v>50.400000000000006</v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29</v>
      </c>
      <c r="E479" s="108" t="s">
        <v>262</v>
      </c>
      <c r="F479" s="134">
        <f>IFERROR(IF($D479="","",VLOOKUP($D479,Cadastro!$C$4:$E$7,3,FALSE)),"")</f>
        <v>0.35</v>
      </c>
      <c r="G479" s="105">
        <v>12</v>
      </c>
      <c r="H479" s="134">
        <f>IFERROR(IF($G479="","",$G479*$S$486/$G$486/Cadastro!$E$33),"")</f>
        <v>0</v>
      </c>
      <c r="I479" s="135">
        <f>IFERROR(IF($D479="","",VLOOKUP($D479,Cadastro!$C$4:$G$7,5,FALSE)),"")</f>
        <v>0.6</v>
      </c>
      <c r="J479" s="136">
        <f t="shared" si="118"/>
        <v>0</v>
      </c>
      <c r="K479" s="34">
        <f t="shared" si="119"/>
        <v>50.400000000000006</v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29</v>
      </c>
      <c r="E480" s="108" t="s">
        <v>262</v>
      </c>
      <c r="F480" s="134">
        <f>IFERROR(IF($D480="","",VLOOKUP($D480,Cadastro!$C$4:$E$7,3,FALSE)),"")</f>
        <v>0.35</v>
      </c>
      <c r="G480" s="105">
        <v>17</v>
      </c>
      <c r="H480" s="134">
        <f>IFERROR(IF($G480="","",$G480*$S$486/$G$486/Cadastro!$E$33),"")</f>
        <v>0</v>
      </c>
      <c r="I480" s="135">
        <f>IFERROR(IF($D480="","",VLOOKUP($D480,Cadastro!$C$4:$G$7,5,FALSE)),"")</f>
        <v>0.6</v>
      </c>
      <c r="J480" s="136">
        <f t="shared" si="118"/>
        <v>0</v>
      </c>
      <c r="K480" s="28">
        <f t="shared" si="119"/>
        <v>71.400000000000006</v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29</v>
      </c>
      <c r="E481" s="108" t="s">
        <v>262</v>
      </c>
      <c r="F481" s="134">
        <f>IFERROR(IF($D481="","",VLOOKUP($D481,Cadastro!$C$4:$E$7,3,FALSE)),"")</f>
        <v>0.35</v>
      </c>
      <c r="G481" s="105">
        <v>4</v>
      </c>
      <c r="H481" s="134">
        <f>IFERROR(IF($G481="","",$G481*$S$486/$G$486/Cadastro!$E$33),"")</f>
        <v>0</v>
      </c>
      <c r="I481" s="135">
        <f>IFERROR(IF($D481="","",VLOOKUP($D481,Cadastro!$C$4:$G$7,5,FALSE)),"")</f>
        <v>0.6</v>
      </c>
      <c r="J481" s="136">
        <f t="shared" si="118"/>
        <v>0</v>
      </c>
      <c r="K481" s="34">
        <f t="shared" si="119"/>
        <v>16.8</v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29</v>
      </c>
      <c r="E482" s="108" t="s">
        <v>262</v>
      </c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29</v>
      </c>
      <c r="E483" s="108" t="s">
        <v>262</v>
      </c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29</v>
      </c>
      <c r="E484" s="108" t="s">
        <v>262</v>
      </c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29</v>
      </c>
      <c r="E485" s="108" t="s">
        <v>262</v>
      </c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70" t="s">
        <v>250</v>
      </c>
      <c r="B486" s="171"/>
      <c r="C486" s="171"/>
      <c r="D486" s="171"/>
      <c r="E486" s="171">
        <f>SUM(E474:E485)</f>
        <v>0</v>
      </c>
      <c r="F486" s="111"/>
      <c r="G486" s="80">
        <f>SUM(G474:G485)</f>
        <v>91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382.2</v>
      </c>
      <c r="L486" s="37"/>
      <c r="M486" s="37"/>
      <c r="N486" s="37"/>
      <c r="O486" s="61"/>
      <c r="P486" s="61"/>
      <c r="Q486" s="38">
        <f ca="1">IFERROR(SUM(Q474:Q485),"")</f>
        <v>0.12569444444444447</v>
      </c>
      <c r="R486" s="36" t="s">
        <v>248</v>
      </c>
      <c r="S486" s="39"/>
      <c r="T486" s="119">
        <f>IFERROR(J486,"")</f>
        <v>0</v>
      </c>
    </row>
    <row r="487" spans="1:20" ht="18" customHeight="1">
      <c r="A487" s="167" t="s">
        <v>251</v>
      </c>
      <c r="B487" s="168"/>
      <c r="C487" s="168"/>
      <c r="D487" s="168"/>
      <c r="E487" s="168">
        <f>E473+E486</f>
        <v>0</v>
      </c>
      <c r="F487" s="112"/>
      <c r="G487" s="91">
        <f>G473+G486</f>
        <v>245</v>
      </c>
      <c r="H487" s="112">
        <f>IFERROR(H473+H486,"")</f>
        <v>738.81000000000006</v>
      </c>
      <c r="I487" s="116"/>
      <c r="J487" s="125">
        <f>IFERROR(J473+J486,"")</f>
        <v>155.15009999999998</v>
      </c>
      <c r="K487" s="40">
        <f>K473+K486</f>
        <v>1029</v>
      </c>
      <c r="L487" s="41"/>
      <c r="M487" s="41"/>
      <c r="N487" s="41"/>
      <c r="O487" s="63"/>
      <c r="P487" s="63"/>
      <c r="Q487" s="42">
        <f ca="1">IFERROR(Q473+Q486,"")</f>
        <v>0.41874999999999984</v>
      </c>
      <c r="R487" s="40" t="s">
        <v>252</v>
      </c>
      <c r="S487" s="48">
        <f>IFERROR(S473+S486,"")</f>
        <v>738810</v>
      </c>
      <c r="T487" s="121">
        <f>IFERROR(J487,"")</f>
        <v>155.15009999999998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70" t="s">
        <v>247</v>
      </c>
      <c r="B500" s="171"/>
      <c r="C500" s="171"/>
      <c r="D500" s="171"/>
      <c r="E500" s="17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248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70" t="s">
        <v>250</v>
      </c>
      <c r="B513" s="171"/>
      <c r="C513" s="171"/>
      <c r="D513" s="171"/>
      <c r="E513" s="17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248</v>
      </c>
      <c r="S513" s="39"/>
      <c r="T513" s="119">
        <f>IFERROR(J513,"")</f>
        <v>0</v>
      </c>
    </row>
    <row r="514" spans="1:20" ht="18" customHeight="1">
      <c r="A514" s="167" t="s">
        <v>251</v>
      </c>
      <c r="B514" s="168"/>
      <c r="C514" s="168"/>
      <c r="D514" s="168"/>
      <c r="E514" s="168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252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70" t="s">
        <v>247</v>
      </c>
      <c r="B527" s="171"/>
      <c r="C527" s="171"/>
      <c r="D527" s="171"/>
      <c r="E527" s="17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248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70" t="s">
        <v>250</v>
      </c>
      <c r="B540" s="171"/>
      <c r="C540" s="171"/>
      <c r="D540" s="171"/>
      <c r="E540" s="17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248</v>
      </c>
      <c r="S540" s="39"/>
      <c r="T540" s="119">
        <f>IFERROR(J540,"")</f>
        <v>0</v>
      </c>
    </row>
    <row r="541" spans="1:20" ht="18" customHeight="1">
      <c r="A541" s="167" t="s">
        <v>251</v>
      </c>
      <c r="B541" s="168"/>
      <c r="C541" s="168"/>
      <c r="D541" s="168"/>
      <c r="E541" s="168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252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70" t="s">
        <v>247</v>
      </c>
      <c r="B554" s="171"/>
      <c r="C554" s="171"/>
      <c r="D554" s="171"/>
      <c r="E554" s="17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248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70" t="s">
        <v>250</v>
      </c>
      <c r="B567" s="171"/>
      <c r="C567" s="171"/>
      <c r="D567" s="171"/>
      <c r="E567" s="17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248</v>
      </c>
      <c r="S567" s="39"/>
      <c r="T567" s="119">
        <f>IFERROR(J567,"")</f>
        <v>0</v>
      </c>
    </row>
    <row r="568" spans="1:20" ht="18" customHeight="1">
      <c r="A568" s="167" t="s">
        <v>251</v>
      </c>
      <c r="B568" s="168"/>
      <c r="C568" s="168"/>
      <c r="D568" s="168"/>
      <c r="E568" s="168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252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70" t="s">
        <v>247</v>
      </c>
      <c r="B581" s="171"/>
      <c r="C581" s="171"/>
      <c r="D581" s="171"/>
      <c r="E581" s="17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248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70" t="s">
        <v>250</v>
      </c>
      <c r="B594" s="171"/>
      <c r="C594" s="171"/>
      <c r="D594" s="171"/>
      <c r="E594" s="17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248</v>
      </c>
      <c r="S594" s="39"/>
      <c r="T594" s="119">
        <f>IFERROR(J594,"")</f>
        <v>0</v>
      </c>
    </row>
    <row r="595" spans="1:20" ht="18" customHeight="1">
      <c r="A595" s="167" t="s">
        <v>251</v>
      </c>
      <c r="B595" s="168"/>
      <c r="C595" s="168"/>
      <c r="D595" s="168"/>
      <c r="E595" s="168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252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70" t="s">
        <v>247</v>
      </c>
      <c r="B608" s="171"/>
      <c r="C608" s="171"/>
      <c r="D608" s="171"/>
      <c r="E608" s="17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248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70" t="s">
        <v>250</v>
      </c>
      <c r="B621" s="171"/>
      <c r="C621" s="171"/>
      <c r="D621" s="171"/>
      <c r="E621" s="17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248</v>
      </c>
      <c r="S621" s="39"/>
      <c r="T621" s="119">
        <f>IFERROR(J621,"")</f>
        <v>0</v>
      </c>
    </row>
    <row r="622" spans="1:20" ht="18" customHeight="1">
      <c r="A622" s="167" t="s">
        <v>251</v>
      </c>
      <c r="B622" s="168"/>
      <c r="C622" s="168"/>
      <c r="D622" s="168"/>
      <c r="E622" s="168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252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70" t="s">
        <v>247</v>
      </c>
      <c r="B635" s="171"/>
      <c r="C635" s="171"/>
      <c r="D635" s="171"/>
      <c r="E635" s="17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248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70" t="s">
        <v>250</v>
      </c>
      <c r="B648" s="171"/>
      <c r="C648" s="171"/>
      <c r="D648" s="171"/>
      <c r="E648" s="17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248</v>
      </c>
      <c r="S648" s="39"/>
      <c r="T648" s="119">
        <f>IFERROR(J648,"")</f>
        <v>0</v>
      </c>
    </row>
    <row r="649" spans="1:20" ht="18" customHeight="1">
      <c r="A649" s="167" t="s">
        <v>251</v>
      </c>
      <c r="B649" s="168"/>
      <c r="C649" s="168"/>
      <c r="D649" s="168"/>
      <c r="E649" s="168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252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70" t="s">
        <v>247</v>
      </c>
      <c r="B662" s="171"/>
      <c r="C662" s="171"/>
      <c r="D662" s="171"/>
      <c r="E662" s="17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248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70" t="s">
        <v>250</v>
      </c>
      <c r="B675" s="171"/>
      <c r="C675" s="171"/>
      <c r="D675" s="171"/>
      <c r="E675" s="17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248</v>
      </c>
      <c r="S675" s="39"/>
      <c r="T675" s="119">
        <f>IFERROR(J675,"")</f>
        <v>0</v>
      </c>
    </row>
    <row r="676" spans="1:20" ht="18" customHeight="1">
      <c r="A676" s="167" t="s">
        <v>251</v>
      </c>
      <c r="B676" s="168"/>
      <c r="C676" s="168"/>
      <c r="D676" s="168"/>
      <c r="E676" s="168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252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70" t="s">
        <v>247</v>
      </c>
      <c r="B689" s="171"/>
      <c r="C689" s="171"/>
      <c r="D689" s="171"/>
      <c r="E689" s="17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248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70" t="s">
        <v>250</v>
      </c>
      <c r="B702" s="171"/>
      <c r="C702" s="171"/>
      <c r="D702" s="171"/>
      <c r="E702" s="17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248</v>
      </c>
      <c r="S702" s="39"/>
      <c r="T702" s="119">
        <f>IFERROR(J702,"")</f>
        <v>0</v>
      </c>
    </row>
    <row r="703" spans="1:20" ht="18" customHeight="1">
      <c r="A703" s="167" t="s">
        <v>251</v>
      </c>
      <c r="B703" s="168"/>
      <c r="C703" s="168"/>
      <c r="D703" s="168"/>
      <c r="E703" s="168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252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70" t="s">
        <v>247</v>
      </c>
      <c r="B716" s="171"/>
      <c r="C716" s="171"/>
      <c r="D716" s="171"/>
      <c r="E716" s="17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248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70" t="s">
        <v>250</v>
      </c>
      <c r="B729" s="171"/>
      <c r="C729" s="171"/>
      <c r="D729" s="171"/>
      <c r="E729" s="17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248</v>
      </c>
      <c r="S729" s="39"/>
      <c r="T729" s="119">
        <f>IFERROR(J729,"")</f>
        <v>0</v>
      </c>
    </row>
    <row r="730" spans="1:20" ht="18" customHeight="1">
      <c r="A730" s="167" t="s">
        <v>251</v>
      </c>
      <c r="B730" s="168"/>
      <c r="C730" s="168"/>
      <c r="D730" s="168"/>
      <c r="E730" s="168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252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70" t="s">
        <v>247</v>
      </c>
      <c r="B743" s="171"/>
      <c r="C743" s="171"/>
      <c r="D743" s="171"/>
      <c r="E743" s="17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248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70" t="s">
        <v>250</v>
      </c>
      <c r="B756" s="171"/>
      <c r="C756" s="171"/>
      <c r="D756" s="171"/>
      <c r="E756" s="17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7" t="s">
        <v>251</v>
      </c>
      <c r="B757" s="168"/>
      <c r="C757" s="168"/>
      <c r="D757" s="168"/>
      <c r="E757" s="168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252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70" t="s">
        <v>247</v>
      </c>
      <c r="B770" s="171"/>
      <c r="C770" s="171"/>
      <c r="D770" s="171"/>
      <c r="E770" s="17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248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70" t="s">
        <v>250</v>
      </c>
      <c r="B783" s="171"/>
      <c r="C783" s="171"/>
      <c r="D783" s="171"/>
      <c r="E783" s="17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7" t="s">
        <v>251</v>
      </c>
      <c r="B784" s="168"/>
      <c r="C784" s="168"/>
      <c r="D784" s="168"/>
      <c r="E784" s="168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252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70" t="s">
        <v>247</v>
      </c>
      <c r="B797" s="171"/>
      <c r="C797" s="171"/>
      <c r="D797" s="171"/>
      <c r="E797" s="17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248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70" t="s">
        <v>250</v>
      </c>
      <c r="B810" s="171"/>
      <c r="C810" s="171"/>
      <c r="D810" s="171"/>
      <c r="E810" s="17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7" t="s">
        <v>251</v>
      </c>
      <c r="B811" s="168"/>
      <c r="C811" s="168"/>
      <c r="D811" s="168"/>
      <c r="E811" s="168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252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70" t="s">
        <v>247</v>
      </c>
      <c r="B824" s="171"/>
      <c r="C824" s="171"/>
      <c r="D824" s="171"/>
      <c r="E824" s="17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248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70" t="s">
        <v>250</v>
      </c>
      <c r="B837" s="171"/>
      <c r="C837" s="171"/>
      <c r="D837" s="171"/>
      <c r="E837" s="17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248</v>
      </c>
      <c r="S837" s="39"/>
      <c r="T837" s="119">
        <f>IFERROR(J837,"")</f>
        <v>0</v>
      </c>
    </row>
    <row r="838" spans="1:20" ht="18" customHeight="1">
      <c r="A838" s="167" t="s">
        <v>251</v>
      </c>
      <c r="B838" s="168"/>
      <c r="C838" s="168"/>
      <c r="D838" s="168"/>
      <c r="E838" s="168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252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2026-08-19T07:50:09Z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