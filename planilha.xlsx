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70" documentId="8_{AF585B22-221D-4780-BB9C-493D365A6A02}" xr6:coauthVersionLast="47" xr6:coauthVersionMax="47" xr10:uidLastSave="{2B878598-BE64-4DE1-A498-BD2CAB172CF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<sst xmlns="http://schemas.openxmlformats.org/spreadsheetml/2006/main" count="5906" uniqueCount="314">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</sst>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0" activePane="bottomLeft" state="frozen"/>
      <selection pane="bottomLeft" activeCell="L353" sqref="L3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/>
      <c r="M353" s="35">
        <f t="shared" ref="M353:M364" ca="1" si="79">IFERROR(IF(K353="","",IF(L353="",MOD(NOW()-K353,1),IF(L353&gt;=K353,L353-K353,L353+1-K353))),"")</f>
        <v>6.9841203701798804E-2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11</v>
      </c>
      <c r="G365" s="36">
        <f>SUM(G353:G364)</f>
        <v>55</v>
      </c>
      <c r="H365" s="37"/>
      <c r="I365" s="37"/>
      <c r="J365" s="37"/>
      <c r="K365" s="37"/>
      <c r="L365" s="37"/>
      <c r="M365" s="38">
        <f ca="1">IFERROR(SUM(M353:M364),"")</f>
        <v>6.9841203701798804E-2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</v>
      </c>
      <c r="G379" s="40">
        <f>G365+G378</f>
        <v>55</v>
      </c>
      <c r="H379" s="41"/>
      <c r="I379" s="41"/>
      <c r="J379" s="41"/>
      <c r="K379" s="41"/>
      <c r="L379" s="41"/>
      <c r="M379" s="42">
        <f ca="1">IFERROR(M365+M378,"")</f>
        <v>6.9841203701798804E-2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5" sqref="F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/>
      <c r="M353" s="35">
        <f t="shared" ref="M353:M364" ca="1" si="79">IFERROR(IF(K353="","",IF(L353="",MOD(NOW()-K353,1),IF(L353&gt;=K353,L353-K353,L353+1-K353))),"")</f>
        <v>7.3412037017988041E-3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26</v>
      </c>
      <c r="G365" s="36">
        <f>SUM(G353:G364)</f>
        <v>109.2</v>
      </c>
      <c r="H365" s="37"/>
      <c r="I365" s="37"/>
      <c r="J365" s="37"/>
      <c r="K365" s="37"/>
      <c r="L365" s="37"/>
      <c r="M365" s="38">
        <f ca="1">IFERROR(SUM(M353:M364),"")</f>
        <v>7.3412037017988041E-3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</v>
      </c>
      <c r="G379" s="40">
        <f>G365+G378</f>
        <v>109.2</v>
      </c>
      <c r="H379" s="41"/>
      <c r="I379" s="41"/>
      <c r="J379" s="41"/>
      <c r="K379" s="41"/>
      <c r="L379" s="41"/>
      <c r="M379" s="42">
        <f ca="1">IFERROR(M365+M378,"")</f>
        <v>7.3412037017988041E-3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4" zoomScale="50" zoomScaleNormal="50" workbookViewId="0">
      <selection activeCell="F355" sqref="F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0</v>
      </c>
      <c r="G354" s="28">
        <f t="shared" si="78"/>
        <v>0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37" activePane="bottomLeft" state="frozen"/>
      <selection pane="bottomLeft" activeCell="F355" sqref="F3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0.126091203703254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0.32539675925880962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0.69275787036992065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</v>
      </c>
      <c r="G365" s="36">
        <f>SUM(G353:G364)</f>
        <v>46.2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</v>
      </c>
      <c r="G379" s="40">
        <f>G365+G378</f>
        <v>46.2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2026-07-14T13:00:38Z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