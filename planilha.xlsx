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328" documentId="13_ncr:1_{A6DBCFB4-28D9-4249-9038-216934055CA6}" xr6:coauthVersionLast="47" xr6:coauthVersionMax="47" xr10:uidLastSave="{6A2CE67A-ED1D-475A-B24C-B7DEF351403E}"/>
  <bookViews>
    <workbookView xWindow="-110" yWindow="-110" windowWidth="25820" windowHeight="15500" tabRatio="500" firstSheet="6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73" i="5" l="1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<sst xmlns="http://schemas.openxmlformats.org/spreadsheetml/2006/main" count="9854" uniqueCount="422">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</sst>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2640170</v>
      </c>
      <c r="D25" s="26">
        <f>IFERROR('Linha 1'!S595,"")</f>
        <v>175540</v>
      </c>
      <c r="E25" s="26">
        <f>IFERROR('Linha 2'!S595,"")</f>
        <v>631330</v>
      </c>
      <c r="F25" s="26">
        <f>IFERROR('Linha 3'!S595,"")</f>
        <v>759800</v>
      </c>
      <c r="G25" s="27">
        <f t="shared" si="0"/>
        <v>1566670</v>
      </c>
      <c r="H25" s="21">
        <f>IFERROR('Linha 1'!T595+'Linha 2'!T595+'Linha 3'!T595,0)</f>
        <v>329.00069999999994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77741110</v>
      </c>
      <c r="D35" s="30">
        <f t="shared" si="2"/>
        <v>24834990</v>
      </c>
      <c r="E35" s="30">
        <f t="shared" si="2"/>
        <v>14126950</v>
      </c>
      <c r="F35" s="30">
        <f t="shared" si="2"/>
        <v>33428650</v>
      </c>
      <c r="G35" s="30">
        <f t="shared" si="2"/>
        <v>72390590</v>
      </c>
      <c r="H35" s="31">
        <f t="shared" si="2"/>
        <v>6787.4583326915117</v>
      </c>
      <c r="I35" s="31">
        <f t="shared" si="2"/>
        <v>4967.05</v>
      </c>
      <c r="J35" s="32">
        <f>I35/H35</f>
        <v>0.73179823087479001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59" activePane="bottomLeft" state="frozen"/>
      <selection pane="bottomLeft" activeCell="G585" sqref="G585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177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215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301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262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260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260</v>
      </c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260</v>
      </c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260</v>
      </c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260</v>
      </c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260</v>
      </c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/>
      <c r="E588" s="62" t="s">
        <v>260</v>
      </c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/>
      <c r="E589" s="62" t="s">
        <v>260</v>
      </c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/>
      <c r="E590" s="62" t="s">
        <v>260</v>
      </c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/>
      <c r="E591" s="62" t="s">
        <v>260</v>
      </c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/>
      <c r="E592" s="62" t="s">
        <v>260</v>
      </c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/>
      <c r="E593" s="62" t="s">
        <v>260</v>
      </c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50</v>
      </c>
      <c r="G594" s="2">
        <f>SUM(G582:G593)</f>
        <v>250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428</v>
      </c>
      <c r="G595" s="1">
        <f>G581+G594</f>
        <v>2140</v>
      </c>
      <c r="H595" s="76"/>
      <c r="I595" s="76"/>
      <c r="J595" s="76"/>
      <c r="K595" s="76"/>
      <c r="L595" s="76"/>
      <c r="M595" s="77">
        <f ca="1">IFERROR(M581+M594,"")</f>
        <v>7.7083333333333282E-2</v>
      </c>
      <c r="N595" s="1" t="s">
        <v>265</v>
      </c>
      <c r="O595" s="82">
        <f>IFERROR(O581+O594,"")</f>
        <v>2640170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73" activePane="bottomLeft" state="frozen"/>
      <selection pane="bottomLeft" activeCell="K587" sqref="K587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304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305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306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308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309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310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311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0.75487777777743759</v>
      </c>
      <c r="R53" s="80" t="s">
        <v>312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0.89376666666632532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0.97848888888854813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304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313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314</v>
      </c>
      <c r="Q96" s="66" t="str">
        <f t="shared" ref="Q96:Q107" ca="1" si="22">IFERROR(IF(O96="","",IF(P96="",MOD(NOW()-O96,1),IF(P96&gt;=O96,P96-O96,P96+1-O96))),"")</f>
        <v/>
      </c>
      <c r="R96" s="80" t="s">
        <v>315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316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317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318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319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320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321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323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324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325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318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313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327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328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329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330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331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332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333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325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320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313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334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335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336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337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338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339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340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341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342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343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320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344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345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346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262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16.8</v>
      </c>
      <c r="L583" s="70" t="s">
        <v>29</v>
      </c>
      <c r="M583" s="70" t="s">
        <v>136</v>
      </c>
      <c r="N583" s="70" t="s">
        <v>123</v>
      </c>
      <c r="O583" s="65">
        <v>0.82638888888888884</v>
      </c>
      <c r="P583" s="65"/>
      <c r="Q583" s="71">
        <f t="shared" ca="1" si="152"/>
        <v>5.0016435183351859E-2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/>
      <c r="H584" s="88" t="str">
        <f>IFERROR(IF($G584="","",$G584*$S$594/$G$594/Cadastro!$E$33),"")</f>
        <v/>
      </c>
      <c r="I584" s="90">
        <f>IFERROR(IF($D584="","",VLOOKUP($D584,Cadastro!$C$4:$G$7,5,FALSE())),"")</f>
        <v>0.6</v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/>
      <c r="H585" s="88" t="str">
        <f>IFERROR(IF($G585="","",$G585*$S$594/$G$594/Cadastro!$E$33),"")</f>
        <v/>
      </c>
      <c r="I585" s="90">
        <f>IFERROR(IF($D585="","",VLOOKUP($D585,Cadastro!$C$4:$G$7,5,FALSE())),"")</f>
        <v>0.6</v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/>
      <c r="H586" s="88" t="str">
        <f>IFERROR(IF($G586="","",$G586*$S$594/$G$594/Cadastro!$E$33),"")</f>
        <v/>
      </c>
      <c r="I586" s="90">
        <f>IFERROR(IF($D586="","",VLOOKUP($D586,Cadastro!$C$4:$G$7,5,FALSE())),"")</f>
        <v>0.6</v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/>
      <c r="E587" s="87" t="s">
        <v>275</v>
      </c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8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33.6</v>
      </c>
      <c r="L594" s="72"/>
      <c r="M594" s="72"/>
      <c r="N594" s="72"/>
      <c r="O594" s="72"/>
      <c r="P594" s="72"/>
      <c r="Q594" s="73">
        <f ca="1">IFERROR(SUM(Q582:Q593),"")</f>
        <v>6.3210879627796368E-2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57</v>
      </c>
      <c r="H595" s="108">
        <f>IFERROR(H581+H594,"")</f>
        <v>175.53999999999996</v>
      </c>
      <c r="I595" s="110"/>
      <c r="J595" s="111">
        <f>IFERROR(J581+J594,"")</f>
        <v>36.863399999999999</v>
      </c>
      <c r="K595" s="1">
        <f>K581+K594</f>
        <v>239.4</v>
      </c>
      <c r="L595" s="76"/>
      <c r="M595" s="76"/>
      <c r="N595" s="76"/>
      <c r="O595" s="76"/>
      <c r="P595" s="76"/>
      <c r="Q595" s="77">
        <f ca="1">IFERROR(Q581+Q594,"")</f>
        <v>0.46737754629446299</v>
      </c>
      <c r="R595" s="1" t="s">
        <v>265</v>
      </c>
      <c r="S595" s="82">
        <f>IFERROR(S581+S594,"")</f>
        <v>175540</v>
      </c>
      <c r="T595" s="118">
        <f>IFERROR(J595,"")</f>
        <v>36.863399999999999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75" activePane="bottomLeft" state="frozen"/>
      <selection pane="bottomLeft" activeCell="R583" sqref="R583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307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313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321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313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324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360</v>
      </c>
      <c r="Q222" s="66" t="str">
        <f t="shared" ca="1" si="49"/>
        <v/>
      </c>
      <c r="R222" s="63" t="s">
        <v>361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331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332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313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335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313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372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313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373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374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313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375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347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313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159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262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0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47"/>
        <v>0</v>
      </c>
      <c r="K583" s="69">
        <f t="shared" si="148"/>
        <v>21</v>
      </c>
      <c r="L583" s="70" t="s">
        <v>29</v>
      </c>
      <c r="M583" s="70" t="s">
        <v>136</v>
      </c>
      <c r="N583" s="70" t="s">
        <v>123</v>
      </c>
      <c r="O583" s="65">
        <v>0.82638888888888884</v>
      </c>
      <c r="P583" s="65"/>
      <c r="Q583" s="71">
        <f t="shared" ca="1" si="149"/>
        <v>5.0016435183351859E-2</v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/>
      <c r="H584" s="88" t="str">
        <f>IFERROR(IF($G584="","",$G584*$S$594/$G$594/Cadastro!$E$33),"")</f>
        <v/>
      </c>
      <c r="I584" s="90">
        <f>IFERROR(IF($D584="","",VLOOKUP($D584,Cadastro!$C$4:$G$7,5,FALSE())),"")</f>
        <v>0.6</v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/>
      <c r="H585" s="88" t="str">
        <f>IFERROR(IF($G585="","",$G585*$S$594/$G$594/Cadastro!$E$33),"")</f>
        <v/>
      </c>
      <c r="I585" s="90">
        <f>IFERROR(IF($D585="","",VLOOKUP($D585,Cadastro!$C$4:$G$7,5,FALSE())),"")</f>
        <v>0.6</v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/>
      <c r="H586" s="88" t="str">
        <f>IFERROR(IF($G586="","",$G586*$S$594/$G$594/Cadastro!$E$33),"")</f>
        <v/>
      </c>
      <c r="I586" s="90">
        <f>IFERROR(IF($D586="","",VLOOKUP($D586,Cadastro!$C$4:$G$7,5,FALSE())),"")</f>
        <v>0.6</v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/>
      <c r="F588" s="88">
        <f>IFERROR(IF($D588="","",VLOOKUP($D588,Cadastro!$C$4:$E$7,3,FALSE())),"")</f>
        <v>0.35</v>
      </c>
      <c r="G588" s="89"/>
      <c r="H588" s="88" t="str">
        <f>IFERROR(IF($G588="","",$G588*$S$594/$G$594/Cadastro!$E$33),"")</f>
        <v/>
      </c>
      <c r="I588" s="90">
        <f>IFERROR(IF($D588="","",VLOOKUP($D588,Cadastro!$C$4:$G$7,5,FALSE())),"")</f>
        <v>0.6</v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/>
      <c r="F589" s="88">
        <f>IFERROR(IF($D589="","",VLOOKUP($D589,Cadastro!$C$4:$E$7,3,FALSE())),"")</f>
        <v>0.35</v>
      </c>
      <c r="G589" s="89"/>
      <c r="H589" s="88" t="str">
        <f>IFERROR(IF($G589="","",$G589*$S$594/$G$594/Cadastro!$E$33),"")</f>
        <v/>
      </c>
      <c r="I589" s="90">
        <f>IFERROR(IF($D589="","",VLOOKUP($D589,Cadastro!$C$4:$G$7,5,FALSE())),"")</f>
        <v>0.6</v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68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/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/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/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/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9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37.799999999999997</v>
      </c>
      <c r="L594" s="72"/>
      <c r="M594" s="72"/>
      <c r="N594" s="72"/>
      <c r="O594" s="72"/>
      <c r="P594" s="72"/>
      <c r="Q594" s="73">
        <f ca="1">IFERROR(SUM(Q582:Q593),"")</f>
        <v>6.3210879627796368E-2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172</v>
      </c>
      <c r="H595" s="108">
        <f>IFERROR(H581+H594,"")</f>
        <v>631.32999999999993</v>
      </c>
      <c r="I595" s="110"/>
      <c r="J595" s="111">
        <f>IFERROR(J581+J594,"")</f>
        <v>132.57929999999996</v>
      </c>
      <c r="K595" s="1">
        <f>K581+K594</f>
        <v>731.2</v>
      </c>
      <c r="L595" s="76"/>
      <c r="M595" s="76"/>
      <c r="N595" s="76"/>
      <c r="O595" s="76"/>
      <c r="P595" s="76"/>
      <c r="Q595" s="77">
        <f ca="1">IFERROR(Q581+Q594,"")</f>
        <v>0.21946087962779637</v>
      </c>
      <c r="R595" s="1" t="s">
        <v>265</v>
      </c>
      <c r="S595" s="82">
        <f>IFERROR(S581+S594,"")</f>
        <v>631330</v>
      </c>
      <c r="T595" s="118">
        <f>IFERROR(J595,"")</f>
        <v>132.57929999999996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74" activePane="bottomLeft" state="frozen"/>
      <selection pane="bottomLeft" activeCell="L584" sqref="L584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376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310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377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378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379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380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381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382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383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384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313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385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386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321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387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389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390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391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392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393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394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395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396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397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398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399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400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401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402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403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404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335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405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406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407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408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409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403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410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411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412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413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414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415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416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417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418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419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402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403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420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168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262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50.400000000000006</v>
      </c>
      <c r="L583" s="70" t="s">
        <v>29</v>
      </c>
      <c r="M583" s="70" t="s">
        <v>173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421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/>
      <c r="H584" s="88" t="str">
        <f>IFERROR(IF($G584="","",$G584*$S$594/$G$594/Cadastro!$E$33),"")</f>
        <v/>
      </c>
      <c r="I584" s="90">
        <f>IFERROR(IF($D584="","",VLOOKUP($D584,Cadastro!$C$4:$G$7,5,FALSE())),"")</f>
        <v>0.6</v>
      </c>
      <c r="J584" s="91" t="str">
        <f t="shared" si="150"/>
        <v/>
      </c>
      <c r="K584" s="64" t="str">
        <f t="shared" si="151"/>
        <v/>
      </c>
      <c r="L584" s="61" t="s">
        <v>29</v>
      </c>
      <c r="M584" s="61" t="s">
        <v>61</v>
      </c>
      <c r="N584" s="61"/>
      <c r="O584" s="65">
        <v>0.85972222222222228</v>
      </c>
      <c r="P584" s="65"/>
      <c r="Q584" s="66">
        <f t="shared" ca="1" si="152"/>
        <v>1.668310185050359E-2</v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/>
      <c r="H585" s="88" t="str">
        <f>IFERROR(IF($G585="","",$G585*$S$594/$G$594/Cadastro!$E$33),"")</f>
        <v/>
      </c>
      <c r="I585" s="90">
        <f>IFERROR(IF($D585="","",VLOOKUP($D585,Cadastro!$C$4:$G$7,5,FALSE())),"")</f>
        <v>0.6</v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/>
      <c r="H586" s="88" t="str">
        <f>IFERROR(IF($G586="","",$G586*$S$594/$G$594/Cadastro!$E$33),"")</f>
        <v/>
      </c>
      <c r="I586" s="90">
        <f>IFERROR(IF($D586="","",VLOOKUP($D586,Cadastro!$C$4:$G$7,5,FALSE())),"")</f>
        <v>0.6</v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/>
      <c r="E587" s="87" t="s">
        <v>275</v>
      </c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/>
      <c r="E588" s="87" t="s">
        <v>275</v>
      </c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/>
      <c r="E589" s="87" t="s">
        <v>275</v>
      </c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/>
      <c r="E590" s="87" t="s">
        <v>275</v>
      </c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/>
      <c r="E591" s="87" t="s">
        <v>275</v>
      </c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/>
      <c r="E592" s="87" t="s">
        <v>275</v>
      </c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/>
      <c r="E593" s="87" t="s">
        <v>275</v>
      </c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28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117.60000000000001</v>
      </c>
      <c r="L594" s="72"/>
      <c r="M594" s="72"/>
      <c r="N594" s="72"/>
      <c r="O594" s="134"/>
      <c r="P594" s="134"/>
      <c r="Q594" s="73">
        <f ca="1">IFERROR(SUM(Q582:Q593),"")</f>
        <v>4.1683101850503612E-2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230</v>
      </c>
      <c r="H595" s="108">
        <f>IFERROR(H581+H594,"")</f>
        <v>759.8</v>
      </c>
      <c r="I595" s="110"/>
      <c r="J595" s="111">
        <f>IFERROR(J581+J594,"")</f>
        <v>159.55799999999996</v>
      </c>
      <c r="K595" s="1">
        <f>K581+K594</f>
        <v>982.00000000000011</v>
      </c>
      <c r="L595" s="76"/>
      <c r="M595" s="76"/>
      <c r="N595" s="76"/>
      <c r="O595" s="135"/>
      <c r="P595" s="135"/>
      <c r="Q595" s="77">
        <f ca="1">IFERROR(Q581+Q594,"")</f>
        <v>0.17571087962828147</v>
      </c>
      <c r="R595" s="1" t="s">
        <v>265</v>
      </c>
      <c r="S595" s="82">
        <f>IFERROR(S581+S594,"")</f>
        <v>759800</v>
      </c>
      <c r="T595" s="118">
        <f>IFERROR(J595,"")</f>
        <v>159.55799999999996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2026-08-23T01:02:10Z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