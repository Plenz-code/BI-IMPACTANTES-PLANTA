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13" documentId="8_{AF585B22-221D-4780-BB9C-493D365A6A02}" xr6:coauthVersionLast="47" xr6:coauthVersionMax="47" xr10:uidLastSave="{B7CDB562-FF5E-4F63-B2D5-F01AB641556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<sst xmlns="http://schemas.openxmlformats.org/spreadsheetml/2006/main" count="5546" uniqueCount="310">
  <si>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</si>
  <si>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</si>
  <si>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</si>
  <si>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</si>
  <si>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</si>
  <si>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</si>
  <si>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</si>
  <si>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</si>
  <si>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</si>
  <si>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</si>
  <si>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</si>
  <si>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</si>
  <si>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</si>
  <si>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</si>
  <si>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</si>
  <si>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</si>
  <si>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</si>
  <si>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</si>
  <si>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</si>
  <si>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</si>
  <si>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</si>
  <si>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</si>
  <si>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</si>
  <si>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</si>
  <si>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</si>
  <si>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</si>
  <si>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</si>
  <si>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</si>
  <si>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</si>
  <si>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</si>
  <si>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</si>
  <si>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</si>
  <si>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</si>
  <si>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</si>
  <si>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</si>
  <si>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</si>
  <si>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</si>
  <si>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</si>
  <si>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</si>
  <si>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</si>
  <si>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</si>
  <si>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</si>
  <si>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</si>
  <si>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</si>
  <si>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</si>
  <si>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</si>
  <si>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</si>
  <si>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</si>
  <si>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</si>
  <si>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</si>
  <si>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</si>
  <si>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</si>
  <si>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</si>
  <si>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</si>
  <si>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</si>
  <si>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</si>
  <si>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</si>
  <si>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</si>
  <si>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</si>
  <si>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</si>
  <si>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</si>
  <si>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</si>
  <si>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</si>
  <si>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</si>
  <si>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</si>
  <si>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</si>
  <si>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</si>
  <si>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</si>
  <si>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</si>
  <si>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</si>
  <si>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</si>
  <si>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</si>
  <si>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</si>
  <si>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</si>
  <si>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</si>
  <si>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</si>
  <si>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</si>
  <si>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</si>
  <si>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</si>
  <si>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</si>
  <si>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</si>
  <si>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</si>
  <si>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</si>
  <si>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</si>
  <si>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</si>
  <si>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</si>
  <si>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</si>
  <si>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</si>
  <si>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</si>
  <si>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</si>
  <si>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</si>
  <si>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</si>
  <si>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</si>
  <si>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</si>
  <si>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</si>
  <si>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</si>
  <si>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</si>
  <si>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</si>
  <si>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</si>
  <si>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</si>
  <si>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</si>
  <si>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</si>
  <si>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</si>
  <si>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</si>
  <si>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</si>
  <si>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</si>
  <si>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</si>
  <si>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</si>
  <si>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</si>
  <si>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</si>
  <si>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</si>
  <si>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</si>
  <si>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</si>
  <si>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</si>
  <si>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</si>
  <si>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</si>
  <si>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</si>
  <si>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</si>
  <si>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</si>
  <si>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</si>
  <si>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</si>
  <si>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</si>
  <si>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</si>
  <si>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</si>
  <si>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</si>
  <si>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</si>
  <si>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</si>
  <si>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</si>
  <si>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</si>
  <si>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</si>
  <si>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</si>
  <si>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</si>
  <si>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</si>
  <si>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</si>
  <si>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</si>
  <si>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</si>
  <si>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</si>
  <si>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</si>
  <si>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</si>
  <si>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</si>
  <si>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</si>
  <si>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</si>
  <si>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</si>
  <si>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</si>
  <si>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</si>
  <si>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</si>
  <si>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</si>
  <si>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</si>
  <si>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</si>
  <si>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</si>
  <si>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</si>
  <si>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</si>
  <si>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</si>
  <si>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</si>
  <si>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</si>
  <si>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</si>
  <si>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</si>
  <si>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</si>
  <si>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</si>
  <si>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</si>
  <si>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</si>
  <si>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</si>
  <si>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</si>
  <si>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</si>
  <si>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</si>
  <si>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</si>
  <si>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</si>
  <si>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</si>
  <si>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</si>
  <si>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</si>
  <si>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</si>
  <si>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</si>
  <si>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</si>
  <si>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</si>
  <si>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</si>
  <si>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</si>
  <si>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</si>
  <si>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</si>
  <si>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</si>
  <si>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</si>
  <si>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</si>
  <si>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</si>
  <si>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</si>
  <si>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</si>
  <si>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</si>
  <si>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</si>
  <si>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</si>
  <si>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</si>
  <si>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</si>
  <si>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</si>
  <si>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</si>
  <si>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</si>
  <si>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</si>
  <si>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</si>
  <si>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</si>
  <si>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</si>
  <si>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</si>
  <si>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</si>
  <si>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</si>
  <si>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</si>
  <si>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</si>
  <si>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</si>
  <si>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</si>
  <si>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</si>
  <si>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</si>
  <si>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</si>
  <si>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</si>
  <si>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</si>
  <si>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</si>
  <si>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</si>
  <si>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</si>
  <si>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</si>
  <si>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</si>
  <si>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</si>
  <si>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</si>
  <si>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</si>
  <si>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</si>
  <si>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</si>
  <si>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</si>
  <si>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</si>
  <si>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</si>
  <si>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</si>
  <si>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</si>
  <si>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</si>
  <si>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</si>
  <si>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</si>
  <si>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</si>
  <si>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</si>
  <si>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</si>
  <si>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</si>
  <si>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</si>
  <si>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</si>
  <si>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</si>
  <si>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</si>
  <si>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balata arrebentou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</si>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</sst>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N327" sqref="N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/>
      <c r="M326" s="30">
        <f t="shared" ref="M326:M337" ca="1" si="73">IFERROR(IF(K326="","",IF(L326="",MOD(NOW()-K326,1),IF(L326&gt;=K326,L326-K326,L326+1-K326))),"")</f>
        <v>3.017280092171859E-2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293</v>
      </c>
      <c r="G338" s="36">
        <f>SUM(G326:G337)</f>
        <v>1465</v>
      </c>
      <c r="H338" s="37"/>
      <c r="I338" s="37"/>
      <c r="J338" s="37"/>
      <c r="K338" s="37"/>
      <c r="L338" s="37"/>
      <c r="M338" s="38">
        <f ca="1">IFERROR(SUM(M326:M337),"")</f>
        <v>3.017280092171859E-2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293</v>
      </c>
      <c r="G352" s="40">
        <f>G338+G351</f>
        <v>1465</v>
      </c>
      <c r="H352" s="41"/>
      <c r="I352" s="41"/>
      <c r="J352" s="41"/>
      <c r="K352" s="41"/>
      <c r="L352" s="41"/>
      <c r="M352" s="42">
        <f ca="1">IFERROR(M338+M351,"")</f>
        <v>3.017280092171859E-2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1" activePane="bottomLeft" state="frozen"/>
      <selection pane="bottomLeft" activeCell="N330" sqref="N3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/>
      <c r="M329" s="35">
        <f t="shared" ca="1" si="73"/>
        <v>2.1144907404959667E-2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155</v>
      </c>
      <c r="G338" s="36">
        <f>SUM(G326:G337)</f>
        <v>660.60000000000014</v>
      </c>
      <c r="H338" s="37"/>
      <c r="I338" s="37"/>
      <c r="J338" s="37"/>
      <c r="K338" s="37"/>
      <c r="L338" s="37"/>
      <c r="M338" s="38">
        <f ca="1">IFERROR(SUM(M326:M337),"")</f>
        <v>6.6283796293848563E-2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155</v>
      </c>
      <c r="G352" s="40">
        <f>G338+G351</f>
        <v>660.60000000000014</v>
      </c>
      <c r="H352" s="41"/>
      <c r="I352" s="41"/>
      <c r="J352" s="41"/>
      <c r="K352" s="41"/>
      <c r="L352" s="41"/>
      <c r="M352" s="42">
        <f ca="1">IFERROR(M338+M351,"")</f>
        <v>6.6283796293848563E-2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L332" sqref="L3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/>
      <c r="M332" s="30">
        <f t="shared" ca="1" si="73"/>
        <v>2.394907409325242E-3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33</v>
      </c>
      <c r="G338" s="36">
        <f>SUM(G326:G337)</f>
        <v>138.60000000000002</v>
      </c>
      <c r="H338" s="37"/>
      <c r="I338" s="37"/>
      <c r="J338" s="37"/>
      <c r="K338" s="37"/>
      <c r="L338" s="37"/>
      <c r="M338" s="38">
        <f ca="1">IFERROR(SUM(M326:M337),"")</f>
        <v>0.2211449074093253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33</v>
      </c>
      <c r="G352" s="40">
        <f>G338+G351</f>
        <v>138.60000000000002</v>
      </c>
      <c r="H352" s="41"/>
      <c r="I352" s="41"/>
      <c r="J352" s="41"/>
      <c r="K352" s="41"/>
      <c r="L352" s="41"/>
      <c r="M352" s="42">
        <f ca="1">IFERROR(M338+M351,"")</f>
        <v>0.2211449074093253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L329" sqref="L3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0.45586724537133705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0.65517280092689267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1.0225339120380037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161</v>
      </c>
      <c r="G338" s="36">
        <f>SUM(G326:G337)</f>
        <v>688.2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161</v>
      </c>
      <c r="G352" s="40">
        <f>G338+G351</f>
        <v>688.2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2026-07-13T20:56:38Z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