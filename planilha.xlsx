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77" documentId="8_{AF585B22-221D-4780-BB9C-493D365A6A02}" xr6:coauthVersionLast="47" xr6:coauthVersionMax="47" xr10:uidLastSave="{3C14C01C-19A2-4657-9698-8F103BE0C5ED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<sst xmlns="http://schemas.openxmlformats.org/spreadsheetml/2006/main" count="5650" uniqueCount="309">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</sst>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16" activePane="bottomLeft" state="frozen"/>
      <selection pane="bottomLeft" activeCell="N342" sqref="N34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9.7916666666666652E-2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20" activePane="bottomLeft" state="frozen"/>
      <selection pane="bottomLeft" activeCell="G339" sqref="G3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22</v>
      </c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22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219</v>
      </c>
      <c r="G352" s="40">
        <f>G338+G351</f>
        <v>837.00000000000011</v>
      </c>
      <c r="H352" s="41"/>
      <c r="I352" s="41"/>
      <c r="J352" s="41"/>
      <c r="K352" s="41"/>
      <c r="L352" s="41"/>
      <c r="M352" s="42">
        <f ca="1">IFERROR(M338+M351,"")</f>
        <v>6.9444444444444475E-2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F340" sqref="F3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17</v>
      </c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17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57</v>
      </c>
      <c r="G352" s="40">
        <f>G338+G351</f>
        <v>168.00000000000003</v>
      </c>
      <c r="H352" s="41"/>
      <c r="I352" s="41"/>
      <c r="J352" s="41"/>
      <c r="K352" s="41"/>
      <c r="L352" s="41"/>
      <c r="M352" s="42">
        <f ca="1">IFERROR(M338+M351,"")</f>
        <v>0.23402777777777789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21" activePane="bottomLeft" state="frozen"/>
      <selection pane="bottomLeft" activeCell="F340" sqref="F34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0.60637094907724531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0.80567650463280094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1.173037615743912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10</v>
      </c>
      <c r="G339" s="34" t="str">
        <f t="shared" ref="G339:G350" si="75">IF(F339="","",IF(E339="PC 17",F339*4.2,IF(E339="PC 19",F339*5,"")))</f>
        <v/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10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2.9861111111111116E-2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193</v>
      </c>
      <c r="G352" s="40">
        <f>G338+G351</f>
        <v>780.6</v>
      </c>
      <c r="H352" s="41"/>
      <c r="I352" s="41"/>
      <c r="J352" s="41"/>
      <c r="K352" s="63"/>
      <c r="L352" s="63"/>
      <c r="M352" s="42">
        <f ca="1">IFERROR(M338+M351,"")</f>
        <v>0.13888888888888884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2026-07-14T00:32:21Z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