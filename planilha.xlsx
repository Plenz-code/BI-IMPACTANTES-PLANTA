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60" documentId="8_{C51EB6CB-002B-4D6B-B68F-DDEBDB4460C0}" xr6:coauthVersionLast="47" xr6:coauthVersionMax="47" xr10:uidLastSave="{1ACA53D4-0A57-44B6-BB15-1CB45348AE6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<sst xmlns="http://schemas.openxmlformats.org/spreadsheetml/2006/main" count="3266" uniqueCount="283">
  <si>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</si>
  <si>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</si>
  <si>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</si>
  <si>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</si>
  <si>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</si>
  <si>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</si>
  <si>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</si>
  <si>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</si>
  <si>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</si>
  <si>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</si>
  <si>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</si>
  <si>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</si>
  <si>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</si>
  <si>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</si>
  <si>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</si>
  <si>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</si>
  <si>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</si>
  <si>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</si>
  <si>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</si>
  <si>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</si>
  <si>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</si>
  <si>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</si>
  <si>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</si>
  <si>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</si>
  <si>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</si>
  <si>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</si>
  <si>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</si>
  <si>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</si>
  <si>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</si>
  <si>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</si>
  <si>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</si>
  <si>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</si>
  <si>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</si>
  <si>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</si>
  <si>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</si>
  <si>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</si>
  <si>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</si>
  <si>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</si>
  <si>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</si>
  <si>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</si>
  <si>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</si>
  <si>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</si>
  <si>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</si>
  <si>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</si>
  <si>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</si>
  <si>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</si>
  <si>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</si>
  <si>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</si>
  <si>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</si>
  <si>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</si>
  <si>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</si>
  <si>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</si>
  <si>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</si>
  <si>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</si>
  <si>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</si>
  <si>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</si>
  <si>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</si>
  <si>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</si>
  <si>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</si>
  <si>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</si>
  <si>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</si>
  <si>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</si>
  <si>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</si>
  <si>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</si>
  <si>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</si>
  <si>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</si>
  <si>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</si>
  <si>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</si>
  <si>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</si>
  <si>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</si>
  <si>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</si>
  <si>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</si>
  <si>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</si>
  <si>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</si>
  <si>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</si>
  <si>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</si>
  <si>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</si>
  <si>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</si>
  <si>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</si>
  <si>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</si>
  <si>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</si>
  <si>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</si>
  <si>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</si>
  <si>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</si>
  <si>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</si>
  <si>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</si>
  <si>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</si>
  <si>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</si>
  <si>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</si>
  <si>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</si>
  <si>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</si>
  <si>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</si>
  <si>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</si>
  <si>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</si>
  <si>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</si>
  <si>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</si>
  <si>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</si>
  <si>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</si>
  <si>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</si>
  <si>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</si>
  <si>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</si>
  <si>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</si>
  <si>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</si>
  <si>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</si>
  <si>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</si>
  <si>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</si>
  <si>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</si>
  <si>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</si>
  <si>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</si>
  <si>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</si>
  <si>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</si>
  <si>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</si>
  <si>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</si>
  <si>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</si>
  <si>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</si>
  <si>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</si>
  <si>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</si>
  <si>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</si>
  <si>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</si>
  <si>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</si>
  <si>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</si>
  <si>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</si>
  <si>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</si>
  <si>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</si>
  <si>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</si>
  <si>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</si>
  <si>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</si>
  <si>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</si>
  <si>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</si>
  <si>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</si>
  <si>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</si>
  <si>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</si>
  <si>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</si>
  <si>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</si>
  <si>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</si>
  <si>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</si>
  <si>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</si>
  <si>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</si>
  <si>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</si>
  <si>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</si>
  <si>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</si>
  <si>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</si>
  <si>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</si>
  <si>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</si>
  <si>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</si>
  <si>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</si>
  <si>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</si>
  <si>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</si>
  <si>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</si>
  <si>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</si>
  <si>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</si>
  <si>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</si>
  <si>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</si>
  <si>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</si>
  <si>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</si>
  <si>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</si>
  <si>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</si>
  <si>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</si>
  <si>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</si>
  <si>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</si>
  <si>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</si>
  <si>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</si>
  <si>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</si>
  <si>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</si>
  <si>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</si>
  <si>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</si>
  <si>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</si>
  <si>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</si>
  <si>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</si>
  <si>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</si>
  <si>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</si>
  <si>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</si>
  <si>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</si>
  <si>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</si>
  <si>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</si>
  <si>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</si>
  <si>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</si>
  <si>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</si>
  <si>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</si>
  <si>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</si>
  <si>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</si>
  <si>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</si>
  <si>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</si>
  <si>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</si>
  <si>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</si>
  <si>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</si>
  <si>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</si>
  <si>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</si>
  <si>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</si>
  <si>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</si>
  <si>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</si>
  <si>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</si>
  <si>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</si>
  <si>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</si>
  <si>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</si>
  <si>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</si>
  <si>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</si>
  <si>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</si>
  <si>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</si>
  <si>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</si>
  <si>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</si>
  <si>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</si>
  <si>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</si>
  <si>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</si>
  <si>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</si>
  <si>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</si>
  <si>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</si>
  <si>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</si>
  <si>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</si>
  <si>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</si>
  <si>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</si>
  <si>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</si>
  <si>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</si>
  <si>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</si>
  <si>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</si>
  <si>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</si>
  <si>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</si>
  <si>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</si>
  <si>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</si>
  <si>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</si>
  <si>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</si>
  <si>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</si>
  <si>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</si>
  <si>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</si>
  <si>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</si>
  <si>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</si>
  <si>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</si>
  <si>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</si>
  <si>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</si>
  <si>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</si>
  <si>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</si>
  <si>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</si>
  <si>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</si>
  <si>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</si>
  <si>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</si>
  <si>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</si>
  <si>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</si>
  <si>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</si>
  <si>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</si>
  <si>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</si>
  <si>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</si>
  <si>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</si>
  <si>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</si>
  <si>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</si>
  <si>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</si>
  <si>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</si>
  <si>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</si>
  <si>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</si>
  <si>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</si>
  <si>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</si>
  <si>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</si>
  <si>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</si>
  <si>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</si>
  <si>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</si>
  <si>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</si>
  <si>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</si>
  <si>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</si>
  <si>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</si>
  <si>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</si>
  <si>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</si>
  <si>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</si>
  <si>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</si>
  <si>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</si>
  <si>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</si>
  <si>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</si>
  <si>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</si>
  <si>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</si>
  <si>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</si>
  <si>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</si>
  <si>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</si>
  <si>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</si>
  <si>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</si>
  <si>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</si>
  <si>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</si>
  <si>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</si>
  <si>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</si>
  <si>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</si>
  <si>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</si>
  <si>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</si>
  <si>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</si>
  <si>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</si>
  <si>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</si>
  <si>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13:10500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</si>
</sst>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41" sqref="F1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>
        <v>30</v>
      </c>
      <c r="G140" s="28">
        <f t="shared" si="30"/>
        <v>150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150</v>
      </c>
      <c r="G149" s="36">
        <f>SUM(G137:G148)</f>
        <v>750</v>
      </c>
      <c r="H149" s="37"/>
      <c r="I149" s="37"/>
      <c r="J149" s="37"/>
      <c r="K149" s="37"/>
      <c r="L149" s="37"/>
      <c r="M149" s="38">
        <f ca="1">IFERROR(SUM(M137:M148),"")</f>
        <v>2.7777777777777846E-2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150</v>
      </c>
      <c r="G163" s="40">
        <f>G149+G162</f>
        <v>750</v>
      </c>
      <c r="H163" s="41"/>
      <c r="I163" s="41"/>
      <c r="J163" s="41"/>
      <c r="K163" s="41"/>
      <c r="L163" s="41"/>
      <c r="M163" s="42">
        <f ca="1">IFERROR(M149+M162,"")</f>
        <v>2.7777777777777846E-2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42" sqref="F1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0.43968414351547835</v>
      </c>
      <c r="N53" s="46" t="s">
        <v>252</v>
      </c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0.57857303240436719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0.66329525462658956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116</v>
      </c>
      <c r="K142" s="29">
        <v>0.52638888888888891</v>
      </c>
      <c r="L142" s="29"/>
      <c r="M142" s="30">
        <f t="shared" ca="1" si="30"/>
        <v>3.4823032408894505E-2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93</v>
      </c>
      <c r="G149" s="36">
        <f>SUM(G137:G148)</f>
        <v>390.6</v>
      </c>
      <c r="H149" s="37"/>
      <c r="I149" s="37"/>
      <c r="J149" s="37"/>
      <c r="K149" s="37"/>
      <c r="L149" s="37"/>
      <c r="M149" s="38">
        <f ca="1">IFERROR(SUM(M137:M148),"")</f>
        <v>8.5517476853338936E-2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93</v>
      </c>
      <c r="G163" s="40">
        <f>G149+G162</f>
        <v>390.6</v>
      </c>
      <c r="H163" s="41"/>
      <c r="I163" s="41"/>
      <c r="J163" s="41"/>
      <c r="K163" s="41"/>
      <c r="L163" s="41"/>
      <c r="M163" s="42">
        <f ca="1">IFERROR(M149+M162,"")</f>
        <v>8.5517476853338936E-2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3" zoomScale="50" zoomScaleNormal="50" workbookViewId="0">
      <selection activeCell="K140" sqref="K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202</v>
      </c>
      <c r="K139" s="29">
        <v>0.52083333333333337</v>
      </c>
      <c r="L139" s="29"/>
      <c r="M139" s="35">
        <f t="shared" ca="1" si="31"/>
        <v>4.0378587960731238E-2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0</v>
      </c>
      <c r="G140" s="28">
        <f t="shared" si="30"/>
        <v>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>
        <v>3</v>
      </c>
      <c r="G141" s="34">
        <f t="shared" si="30"/>
        <v>12.600000000000001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12</v>
      </c>
      <c r="G149" s="36">
        <f>SUM(G137:G148)</f>
        <v>50.4</v>
      </c>
      <c r="H149" s="37"/>
      <c r="I149" s="37"/>
      <c r="J149" s="37"/>
      <c r="K149" s="37"/>
      <c r="L149" s="37"/>
      <c r="M149" s="38">
        <f ca="1">IFERROR(SUM(M137:M148),"")</f>
        <v>0.10426747684962018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12</v>
      </c>
      <c r="G163" s="40">
        <f>G149+G162</f>
        <v>50.4</v>
      </c>
      <c r="H163" s="41"/>
      <c r="I163" s="41"/>
      <c r="J163" s="41"/>
      <c r="K163" s="41"/>
      <c r="L163" s="41"/>
      <c r="M163" s="42">
        <f ca="1">IFERROR(M149+M162,"")</f>
        <v>0.10426747684962018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5" activePane="bottomLeft" state="frozen"/>
      <selection pane="bottomLeft" activeCell="J142" sqref="J1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231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>
        <v>18</v>
      </c>
      <c r="G141" s="34">
        <f t="shared" si="30"/>
        <v>75.600000000000009</v>
      </c>
      <c r="H141" s="33" t="s">
        <v>20</v>
      </c>
      <c r="I141" s="33" t="s">
        <v>139</v>
      </c>
      <c r="J141" s="33" t="s">
        <v>74</v>
      </c>
      <c r="K141" s="29">
        <v>0.53611111111111109</v>
      </c>
      <c r="L141" s="29" t="s">
        <v>282</v>
      </c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/>
      <c r="M142" s="30">
        <f t="shared" ca="1" si="31"/>
        <v>1.4896990760462359E-3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109</v>
      </c>
      <c r="G149" s="36">
        <f>SUM(G137:G148)</f>
        <v>457.80000000000007</v>
      </c>
      <c r="H149" s="37"/>
      <c r="I149" s="37"/>
      <c r="J149" s="37"/>
      <c r="K149" s="61"/>
      <c r="L149" s="61"/>
      <c r="M149" s="38">
        <f ca="1">IFERROR(SUM(M137:M148),"")</f>
        <v>3.5517476853823948E-2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109</v>
      </c>
      <c r="G163" s="40">
        <f>G149+G162</f>
        <v>457.80000000000007</v>
      </c>
      <c r="H163" s="41"/>
      <c r="I163" s="41"/>
      <c r="J163" s="41"/>
      <c r="K163" s="63"/>
      <c r="L163" s="63"/>
      <c r="M163" s="42">
        <f ca="1">IFERROR(M149+M162,"")</f>
        <v>3.5517476853823948E-2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231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2026-08-06T17:28:36Z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