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14" documentId="8_{AF585B22-221D-4780-BB9C-493D365A6A02}" xr6:coauthVersionLast="47" xr6:coauthVersionMax="47" xr10:uidLastSave="{4B60CC60-21C1-45F3-AF31-C7CC3D2146C9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<sst xmlns="http://schemas.openxmlformats.org/spreadsheetml/2006/main" count="4331" uniqueCount="280">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</sst>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24" activePane="bottomLeft" state="frozen"/>
      <selection pane="bottomLeft" activeCell="F246" sqref="F24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>
        <v>1545480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210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210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210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210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210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210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15</v>
      </c>
      <c r="G257" s="36">
        <f>SUM(G245:G256)</f>
        <v>75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15</v>
      </c>
      <c r="G271" s="40">
        <f>G257+G270</f>
        <v>75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24" activePane="bottomLeft" state="frozen"/>
      <selection pane="bottomLeft" activeCell="F246" sqref="F2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>
        <v>849060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20</v>
      </c>
      <c r="G245" s="28">
        <f t="shared" ref="G245:G256" si="54">IF(F245="","",IF(E245="PC 17",F245*4.2,IF(E245="PC 19",F245*5,"")))</f>
        <v>84</v>
      </c>
      <c r="H245" s="33"/>
      <c r="I245" s="33"/>
      <c r="J245" s="33"/>
      <c r="K245" s="29">
        <v>0.33333333333333331</v>
      </c>
      <c r="L245" s="29"/>
      <c r="M245" s="35">
        <f t="shared" ref="M245:M256" ca="1" si="55">IFERROR(IF(K245="","",IF(L245="",MOD(NOW()-K245,1),IF(L245&gt;=K245,L245-K245,L245+1-K245))),"")</f>
        <v>7.4944444422726519E-3</v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20</v>
      </c>
      <c r="G257" s="36">
        <f>SUM(G245:G256)</f>
        <v>84</v>
      </c>
      <c r="H257" s="37"/>
      <c r="I257" s="37"/>
      <c r="J257" s="37"/>
      <c r="K257" s="37"/>
      <c r="L257" s="37"/>
      <c r="M257" s="38">
        <f ca="1">IFERROR(SUM(M245:M256),"")</f>
        <v>7.4944444422726519E-3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20</v>
      </c>
      <c r="G271" s="40">
        <f>G257+G270</f>
        <v>84</v>
      </c>
      <c r="H271" s="41"/>
      <c r="I271" s="41"/>
      <c r="J271" s="41"/>
      <c r="K271" s="41"/>
      <c r="L271" s="41"/>
      <c r="M271" s="42">
        <f ca="1">IFERROR(M257+M270,"")</f>
        <v>7.4944444422726519E-3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23" zoomScale="50" zoomScaleNormal="50" workbookViewId="0">
      <selection activeCell="F246" sqref="F2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253</v>
      </c>
      <c r="N166" s="27" t="s">
        <v>254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213</v>
      </c>
      <c r="O243" s="39">
        <v>575930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38</v>
      </c>
      <c r="E245" s="59" t="s">
        <v>223</v>
      </c>
      <c r="F245" s="27">
        <v>25</v>
      </c>
      <c r="G245" s="28">
        <f t="shared" ref="G245:G256" si="54">IF(F245="","",IF(E245="PC 17",F245*4.2,IF(E245="PC 19",F245*5,"")))</f>
        <v>105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38</v>
      </c>
      <c r="E246" s="59" t="s">
        <v>223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38</v>
      </c>
      <c r="E247" s="59" t="s">
        <v>223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38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38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38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25</v>
      </c>
      <c r="G257" s="36">
        <f>SUM(G245:G256)</f>
        <v>105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25</v>
      </c>
      <c r="G271" s="40">
        <f>G257+G270</f>
        <v>105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7" activePane="bottomLeft" state="frozen"/>
      <selection pane="bottomLeft" activeCell="F246" sqref="F24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260</v>
      </c>
      <c r="L58" s="29">
        <v>0.54097222222222219</v>
      </c>
      <c r="M58" s="30" t="str">
        <f t="shared" ca="1" si="13"/>
        <v/>
      </c>
      <c r="N58" s="27" t="s">
        <v>261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9.152222222473938E-2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0.290827777780295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0.65818888889140603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213</v>
      </c>
      <c r="O243" s="39">
        <v>982340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15</v>
      </c>
      <c r="G245" s="28">
        <f t="shared" ref="G245:G256" si="54">IF(F245="","",IF(E245="PC 17",F245*4.2,IF(E245="PC 19",F245*5,"")))</f>
        <v>63</v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15</v>
      </c>
      <c r="G257" s="36">
        <f>SUM(G245:G256)</f>
        <v>63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15</v>
      </c>
      <c r="G271" s="40">
        <f>G257+G270</f>
        <v>63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2026-07-10T12:11:41Z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