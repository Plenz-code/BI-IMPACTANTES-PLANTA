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74" documentId="8_{AF585B22-221D-4780-BB9C-493D365A6A02}" xr6:coauthVersionLast="47" xr6:coauthVersionMax="47" xr10:uidLastSave="{C00B1A5C-D941-4CE4-8D3A-3183DABDFEE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<sst xmlns="http://schemas.openxmlformats.org/spreadsheetml/2006/main" count="8158" uniqueCount="356">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</sst>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/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E526" sqref="E5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7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229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231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1" t="s">
        <v>232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229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231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1" t="s">
        <v>232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229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231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1" t="s">
        <v>232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229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231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1" t="s">
        <v>232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229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231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1" t="s">
        <v>232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229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231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1" t="s">
        <v>232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229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231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1" t="s">
        <v>232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229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231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1" t="s">
        <v>232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229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231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1" t="s">
        <v>232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229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231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1" t="s">
        <v>232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229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8" t="s">
        <v>231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1" t="s">
        <v>232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229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231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1" t="s">
        <v>232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229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231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1" t="s">
        <v>232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229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231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1" t="s">
        <v>232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229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231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1" t="s">
        <v>232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229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231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1" t="s">
        <v>232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229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231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1" t="s">
        <v>232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229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231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1" t="s">
        <v>232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229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231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1" t="s">
        <v>232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227</v>
      </c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/>
      <c r="M515" s="35">
        <f t="shared" ref="M515:M526" ca="1" si="115">IFERROR(IF(K515="","",IF(L515="",MOD(NOW()-K515,1),IF(L515&gt;=K515,L515-K515,L515+1-K515))),"")</f>
        <v>5.4282291668641847E-2</v>
      </c>
      <c r="N515" s="46" t="s">
        <v>255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227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227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227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227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227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227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227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227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227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227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227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229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5.4282291668641847E-2</v>
      </c>
      <c r="N527" s="36" t="s">
        <v>230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231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1" t="s">
        <v>232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5.4282291668641847E-2</v>
      </c>
      <c r="N541" s="40" t="s">
        <v>233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229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231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1" t="s">
        <v>232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229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231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1" t="s">
        <v>232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229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231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1" t="s">
        <v>232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229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231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1" t="s">
        <v>232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229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231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1" t="s">
        <v>232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229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231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1" t="s">
        <v>232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229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231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1" t="s">
        <v>232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229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231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1" t="s">
        <v>232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229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231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1" t="s">
        <v>232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229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231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94" activePane="bottomLeft" state="frozen"/>
      <selection pane="bottomLeft" activeCell="H505" sqref="H5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229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231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7">
        <v>393200</v>
      </c>
    </row>
    <row r="28" spans="1:15" ht="18" customHeight="1">
      <c r="A28" s="101" t="s">
        <v>232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229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231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4">
        <v>276360</v>
      </c>
    </row>
    <row r="55" spans="1:15" ht="18" customHeight="1">
      <c r="A55" s="101" t="s">
        <v>232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259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229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231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1" t="s">
        <v>232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229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231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1" t="s">
        <v>232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229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231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1" t="s">
        <v>232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229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231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1" t="s">
        <v>232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229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231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7"/>
    </row>
    <row r="190" spans="1:15" ht="18" customHeight="1">
      <c r="A190" s="101" t="s">
        <v>232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229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231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7">
        <v>648410</v>
      </c>
    </row>
    <row r="217" spans="1:15" ht="18" customHeight="1">
      <c r="A217" s="101" t="s">
        <v>232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229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231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7">
        <v>849060</v>
      </c>
    </row>
    <row r="244" spans="1:15" ht="18" customHeight="1">
      <c r="A244" s="101" t="s">
        <v>232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229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231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7">
        <v>625070</v>
      </c>
    </row>
    <row r="271" spans="1:15" ht="18" customHeight="1">
      <c r="A271" s="101" t="s">
        <v>232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229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231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7">
        <v>761660</v>
      </c>
    </row>
    <row r="298" spans="1:15" ht="18" customHeight="1">
      <c r="A298" s="101" t="s">
        <v>232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229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231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7">
        <v>524410</v>
      </c>
    </row>
    <row r="325" spans="1:15" ht="18" customHeight="1">
      <c r="A325" s="101" t="s">
        <v>232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229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231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7">
        <v>598420</v>
      </c>
    </row>
    <row r="352" spans="1:15" ht="18" customHeight="1">
      <c r="A352" s="101" t="s">
        <v>232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229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0.11608784722193377</v>
      </c>
      <c r="N377" s="46"/>
      <c r="O377" s="47"/>
    </row>
    <row r="378" spans="1:15" ht="15.75" customHeight="1">
      <c r="A378" s="98" t="s">
        <v>231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0.27372673611082265</v>
      </c>
      <c r="N378" s="36" t="s">
        <v>230</v>
      </c>
      <c r="O378" s="77">
        <v>511980</v>
      </c>
    </row>
    <row r="379" spans="1:15" ht="18" customHeight="1">
      <c r="A379" s="101" t="s">
        <v>232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0.38344895833304482</v>
      </c>
      <c r="N379" s="40" t="s">
        <v>233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229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231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7">
        <v>552440</v>
      </c>
    </row>
    <row r="406" spans="1:15" ht="18" customHeight="1">
      <c r="A406" s="101" t="s">
        <v>232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229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9.4560069446743E-2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0.26539340278007639</v>
      </c>
      <c r="N432" s="36" t="s">
        <v>230</v>
      </c>
      <c r="O432" s="77">
        <v>484540</v>
      </c>
    </row>
    <row r="433" spans="1:15" ht="18" customHeight="1">
      <c r="A433" s="93" t="s">
        <v>232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0.41053229166896527</v>
      </c>
      <c r="N433" s="40" t="s">
        <v>233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229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231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7">
        <v>631190</v>
      </c>
    </row>
    <row r="460" spans="1:15" ht="18" customHeight="1">
      <c r="A460" s="101" t="s">
        <v>232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229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231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7">
        <v>969510</v>
      </c>
    </row>
    <row r="487" spans="1:15" ht="18" customHeight="1">
      <c r="A487" s="101" t="s">
        <v>232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229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7">
        <v>556040</v>
      </c>
    </row>
    <row r="514" spans="1:15" ht="18" customHeight="1">
      <c r="A514" s="93" t="s">
        <v>232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229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231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1" t="s">
        <v>232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229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231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1" t="s">
        <v>232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229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231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1" t="s">
        <v>232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229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231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1" t="s">
        <v>232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229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231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1" t="s">
        <v>232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229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231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1" t="s">
        <v>232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229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231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1" t="s">
        <v>232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229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231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1" t="s">
        <v>232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229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231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1" t="s">
        <v>232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229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231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1" t="s">
        <v>232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229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231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1" t="s">
        <v>232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24" sqref="E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229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231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1" t="s">
        <v>232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229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231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1" t="s">
        <v>232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229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231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1" t="s">
        <v>232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229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231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1" t="s">
        <v>232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229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231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1" t="s">
        <v>232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269</v>
      </c>
      <c r="K141" s="29">
        <v>0.71597222222222223</v>
      </c>
      <c r="L141" s="29" t="s">
        <v>304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229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231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1" t="s">
        <v>232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306</v>
      </c>
      <c r="N166" s="27" t="s">
        <v>307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229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231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1" t="s">
        <v>232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229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231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1" t="s">
        <v>232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229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231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1" t="s">
        <v>232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229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231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1" t="s">
        <v>232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229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231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1" t="s">
        <v>232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229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231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1" t="s">
        <v>232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229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231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1" t="s">
        <v>232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229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231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1" t="s">
        <v>232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229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231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1" t="s">
        <v>232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229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289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231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1" t="s">
        <v>232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229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231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1" t="s">
        <v>232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229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231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1" t="s">
        <v>232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229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231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1" t="s">
        <v>232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229</v>
      </c>
      <c r="B527" s="99"/>
      <c r="C527" s="99"/>
      <c r="D527" s="99"/>
      <c r="E527" s="100">
        <f>SUM(E515:E526)</f>
        <v>0</v>
      </c>
      <c r="F527" s="36">
        <f>SUM(F515:F526)</f>
        <v>9</v>
      </c>
      <c r="G527" s="36">
        <f>SUM(G515:G526)</f>
        <v>37.800000000000004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231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1" t="s">
        <v>232</v>
      </c>
      <c r="B541" s="102"/>
      <c r="C541" s="102"/>
      <c r="D541" s="102"/>
      <c r="E541" s="103">
        <f>E527+E540</f>
        <v>0</v>
      </c>
      <c r="F541" s="40">
        <f>F527+F540</f>
        <v>9</v>
      </c>
      <c r="G541" s="40">
        <f>G527+G540</f>
        <v>37.800000000000004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229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231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1" t="s">
        <v>232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229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231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1" t="s">
        <v>232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229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231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1" t="s">
        <v>232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229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231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1" t="s">
        <v>232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229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231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1" t="s">
        <v>232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229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231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1" t="s">
        <v>232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229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231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1" t="s">
        <v>232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229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231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1" t="s">
        <v>232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229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231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1" t="s">
        <v>232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229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231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1" t="s">
        <v>232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L503" sqref="L5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229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231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1" t="s">
        <v>232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229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231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1" t="s">
        <v>232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323</v>
      </c>
      <c r="L58" s="29">
        <v>0.54097222222222219</v>
      </c>
      <c r="M58" s="30" t="str">
        <f t="shared" ca="1" si="13"/>
        <v/>
      </c>
      <c r="N58" s="27" t="s">
        <v>324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229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231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1" t="s">
        <v>232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229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231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1" t="s">
        <v>232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229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0.1063656250044005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231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0.30567118055995612</v>
      </c>
      <c r="N135" s="36" t="s">
        <v>230</v>
      </c>
      <c r="O135" s="39">
        <v>729290</v>
      </c>
    </row>
    <row r="136" spans="1:18" ht="18" customHeight="1">
      <c r="A136" s="101" t="s">
        <v>232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0.67303229167106715</v>
      </c>
      <c r="N136" s="40" t="s">
        <v>233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229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231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1" t="s">
        <v>232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229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231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1" t="s">
        <v>232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229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231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1" t="s">
        <v>232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229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231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1" t="s">
        <v>232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229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231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1" t="s">
        <v>232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229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231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1" t="s">
        <v>232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229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231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1" t="s">
        <v>232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229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231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1" t="s">
        <v>232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231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1" t="s">
        <v>232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229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231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1" t="s">
        <v>232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229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231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1" t="s">
        <v>232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229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231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1" t="s">
        <v>232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229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231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1" t="s">
        <v>232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229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231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1" t="s">
        <v>232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0</v>
      </c>
      <c r="G515" s="34">
        <f t="shared" ref="G515:G526" si="114">IF(F515="","",IF(E515="PC 17",F515*4.2,IF(E515="PC 19",F515*5,"")))</f>
        <v>0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229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231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1" t="s">
        <v>232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229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231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1" t="s">
        <v>232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229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231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1" t="s">
        <v>232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229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231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1" t="s">
        <v>232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229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231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1" t="s">
        <v>232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229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231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1" t="s">
        <v>232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229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231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1" t="s">
        <v>232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229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231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1" t="s">
        <v>232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229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231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1" t="s">
        <v>232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229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231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1" t="s">
        <v>232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229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231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1" t="s">
        <v>232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2026-07-20T12:33:51Z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