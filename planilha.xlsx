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083" documentId="8_{AF585B22-221D-4780-BB9C-493D365A6A02}" xr6:coauthVersionLast="47" xr6:coauthVersionMax="47" xr10:uidLastSave="{0CA7C2D0-9C04-4A5C-9F8E-693205B78EB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<sst xmlns="http://schemas.openxmlformats.org/spreadsheetml/2006/main" count="7110" uniqueCount="340">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</sst>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0" sqref="K7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5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5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5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5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5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5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5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5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5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5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5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5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5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5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5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5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5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5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5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5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5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5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5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5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5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5"/>
      <c r="I55" s="17"/>
      <c r="J55" s="17"/>
      <c r="K55" s="17" t="s">
        <v>200</v>
      </c>
      <c r="L55" s="17"/>
      <c r="M55" s="17"/>
    </row>
    <row r="56" spans="1:13" ht="15" customHeight="1">
      <c r="H56" s="105"/>
      <c r="I56" s="16"/>
      <c r="J56" s="16"/>
      <c r="K56" s="16" t="s">
        <v>201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202</v>
      </c>
      <c r="L58" s="16"/>
      <c r="M58" s="16"/>
    </row>
    <row r="59" spans="1:13" ht="15" customHeight="1">
      <c r="H59" s="105"/>
      <c r="I59" s="17"/>
      <c r="J59" s="17"/>
      <c r="K59" s="17" t="s">
        <v>203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204</v>
      </c>
      <c r="L61" s="17"/>
      <c r="M61" s="17"/>
    </row>
    <row r="62" spans="1:13" ht="15" customHeight="1">
      <c r="H62" s="105"/>
      <c r="I62" s="16"/>
      <c r="J62" s="16"/>
      <c r="K62" s="16" t="s">
        <v>205</v>
      </c>
      <c r="L62" s="16"/>
      <c r="M62" s="16"/>
    </row>
    <row r="63" spans="1:13" ht="15" customHeight="1">
      <c r="H63" s="105"/>
      <c r="I63" s="17"/>
      <c r="J63" s="17"/>
      <c r="K63" s="17" t="s">
        <v>206</v>
      </c>
      <c r="L63" s="17"/>
      <c r="M63" s="17"/>
    </row>
    <row r="64" spans="1:13" ht="15" customHeight="1">
      <c r="H64" s="105"/>
      <c r="I64" s="16"/>
      <c r="J64" s="16"/>
      <c r="K64" s="16" t="s">
        <v>207</v>
      </c>
      <c r="L64" s="16"/>
      <c r="M64" s="16"/>
    </row>
    <row r="65" spans="8:13" ht="15" customHeight="1">
      <c r="H65" s="105"/>
      <c r="I65" s="17"/>
      <c r="J65" s="17"/>
      <c r="K65" s="17" t="s">
        <v>208</v>
      </c>
      <c r="L65" s="17"/>
      <c r="M65" s="17"/>
    </row>
    <row r="66" spans="8:13" ht="15" customHeight="1">
      <c r="H66" s="105"/>
      <c r="I66" s="16"/>
      <c r="J66" s="16"/>
      <c r="K66" s="16" t="s">
        <v>209</v>
      </c>
      <c r="L66" s="16"/>
      <c r="M66" s="16"/>
    </row>
    <row r="67" spans="8:13" ht="15" customHeight="1">
      <c r="H67" s="105"/>
      <c r="I67" s="17"/>
      <c r="J67" s="17"/>
      <c r="K67" s="17" t="s">
        <v>210</v>
      </c>
      <c r="L67" s="17"/>
      <c r="M67" s="17"/>
    </row>
    <row r="68" spans="8:13" ht="15" customHeight="1">
      <c r="H68" s="105"/>
      <c r="I68" s="16"/>
      <c r="J68" s="16"/>
      <c r="K68" s="16" t="s">
        <v>211</v>
      </c>
      <c r="L68" s="16"/>
      <c r="M68" s="16"/>
    </row>
    <row r="69" spans="8:13" ht="15" customHeight="1">
      <c r="H69" s="105"/>
      <c r="I69" s="17"/>
      <c r="J69" s="17"/>
      <c r="K69" s="17" t="s">
        <v>212</v>
      </c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28" activePane="bottomLeft" state="frozen"/>
      <selection pane="bottomLeft" activeCell="F436" sqref="F43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7</v>
      </c>
      <c r="G446" s="36">
        <f>SUM(G434:G445)</f>
        <v>35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7</v>
      </c>
      <c r="G460" s="40">
        <f>G446+G459</f>
        <v>35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J384" sqref="J3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0.18088078703294741</v>
      </c>
      <c r="N377" s="46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0.33851967592183629</v>
      </c>
      <c r="N378" s="36" t="s">
        <v>227</v>
      </c>
      <c r="O378" s="78">
        <v>511980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0.44824189814405846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0.15935300925775664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0.33018634259109003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0.4753252314799789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40</v>
      </c>
      <c r="G446" s="36">
        <f>SUM(G434:G445)</f>
        <v>168</v>
      </c>
      <c r="H446" s="37"/>
      <c r="I446" s="37"/>
      <c r="J446" s="37"/>
      <c r="K446" s="37"/>
      <c r="L446" s="37"/>
      <c r="M446" s="38">
        <f ca="1">IFERROR(SUM(M434:M445),"")</f>
        <v>1.7361111111111105E-2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40</v>
      </c>
      <c r="G460" s="40">
        <f>G446+G459</f>
        <v>168</v>
      </c>
      <c r="H460" s="41"/>
      <c r="I460" s="41"/>
      <c r="J460" s="41"/>
      <c r="K460" s="41"/>
      <c r="L460" s="41"/>
      <c r="M460" s="42">
        <f ca="1">IFERROR(M446+M459,"")</f>
        <v>1.7361111111111105E-2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36" sqref="F4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296</v>
      </c>
      <c r="N166" s="27" t="s">
        <v>297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109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108">
        <f t="shared" ca="1" si="94"/>
        <v>1.5972222222222276E-2</v>
      </c>
      <c r="N421" s="110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10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15</v>
      </c>
      <c r="G446" s="36">
        <f>SUM(G434:G445)</f>
        <v>63.000000000000007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15</v>
      </c>
      <c r="G460" s="40">
        <f>G446+G459</f>
        <v>63.000000000000007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37" sqref="F4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311</v>
      </c>
      <c r="L58" s="29">
        <v>0.54097222222222219</v>
      </c>
      <c r="M58" s="30" t="str">
        <f t="shared" ca="1" si="13"/>
        <v/>
      </c>
      <c r="N58" s="27" t="s">
        <v>312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0.17115856481541414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0.37046412037096976</v>
      </c>
      <c r="N135" s="36" t="s">
        <v>227</v>
      </c>
      <c r="O135" s="39">
        <v>729290</v>
      </c>
    </row>
    <row r="136" spans="1:18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0.73782523148208079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226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339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34</v>
      </c>
      <c r="G446" s="36">
        <f>SUM(G434:G445)</f>
        <v>142.80000000000001</v>
      </c>
      <c r="H446" s="37"/>
      <c r="I446" s="37"/>
      <c r="J446" s="37"/>
      <c r="K446" s="61"/>
      <c r="L446" s="61"/>
      <c r="M446" s="38">
        <f ca="1">IFERROR(SUM(M434:M445),"")</f>
        <v>2.083333333333337E-2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34</v>
      </c>
      <c r="G460" s="40">
        <f>G446+G459</f>
        <v>142.80000000000001</v>
      </c>
      <c r="H460" s="41"/>
      <c r="I460" s="41"/>
      <c r="J460" s="41"/>
      <c r="K460" s="63"/>
      <c r="L460" s="63"/>
      <c r="M460" s="42">
        <f ca="1">IFERROR(M446+M459,"")</f>
        <v>2.083333333333337E-2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2026-07-17T14:07:32Z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