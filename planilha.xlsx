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40" documentId="8_{C51EB6CB-002B-4D6B-B68F-DDEBDB4460C0}" xr6:coauthVersionLast="47" xr6:coauthVersionMax="47" xr10:uidLastSave="{5BDA3010-36D2-46CC-8199-61F3C7973062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<sst xmlns="http://schemas.openxmlformats.org/spreadsheetml/2006/main" count="2227" uniqueCount="265">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</sst>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4" activePane="bottomLeft" state="frozen"/>
      <selection pane="bottomLeft" activeCell="E70" sqref="E7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58.800000000000004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</v>
      </c>
      <c r="G81" s="36">
        <f>SUM(G69:G80)</f>
        <v>58.800000000000004</v>
      </c>
      <c r="H81" s="37"/>
      <c r="I81" s="37"/>
      <c r="J81" s="37"/>
      <c r="K81" s="37"/>
      <c r="L81" s="37"/>
      <c r="M81" s="38">
        <f ca="1">IFERROR(SUM(M69:M80),"")</f>
        <v>1.6666666666666718E-2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389</v>
      </c>
      <c r="G82" s="40">
        <f>G68+G81</f>
        <v>1933.8</v>
      </c>
      <c r="H82" s="41"/>
      <c r="I82" s="41"/>
      <c r="J82" s="41"/>
      <c r="K82" s="41"/>
      <c r="L82" s="41"/>
      <c r="M82" s="42">
        <f ca="1">IFERROR(M68+M81,"")</f>
        <v>4.9305555555555713E-2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53" activePane="bottomLeft" state="frozen"/>
      <selection pane="bottomLeft" activeCell="H70" sqref="H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0.73819907406868879</v>
      </c>
      <c r="N53" s="46" t="s">
        <v>252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0.87708796295757763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0.96181018517979999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243</v>
      </c>
      <c r="F70" s="27"/>
      <c r="G70" s="28" t="str">
        <f t="shared" si="15"/>
        <v/>
      </c>
      <c r="H70" s="26" t="s">
        <v>17</v>
      </c>
      <c r="I70" s="26" t="s">
        <v>132</v>
      </c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243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243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243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21</v>
      </c>
      <c r="G81" s="36">
        <f>SUM(G69:G80)</f>
        <v>88.2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157</v>
      </c>
      <c r="G82" s="40">
        <f>G68+G81</f>
        <v>659.40000000000009</v>
      </c>
      <c r="H82" s="41"/>
      <c r="I82" s="41"/>
      <c r="J82" s="41"/>
      <c r="K82" s="41"/>
      <c r="L82" s="41"/>
      <c r="M82" s="42">
        <f ca="1">IFERROR(M68+M81,"")</f>
        <v>0.1159722222222222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8" zoomScale="50" zoomScaleNormal="50" workbookViewId="0">
      <selection activeCell="E70" sqref="E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/>
      <c r="F70" s="27"/>
      <c r="G70" s="28" t="str">
        <f t="shared" si="15"/>
        <v/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6</v>
      </c>
      <c r="G81" s="36">
        <f>SUM(G69:G80)</f>
        <v>25.200000000000003</v>
      </c>
      <c r="H81" s="37"/>
      <c r="I81" s="37"/>
      <c r="J81" s="37"/>
      <c r="K81" s="37"/>
      <c r="L81" s="37"/>
      <c r="M81" s="38">
        <f ca="1">IFERROR(SUM(M69:M80),"")</f>
        <v>2.1527777777777812E-2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56</v>
      </c>
      <c r="G82" s="40">
        <f>G68+G81</f>
        <v>235.2</v>
      </c>
      <c r="H82" s="41"/>
      <c r="I82" s="41"/>
      <c r="J82" s="41"/>
      <c r="K82" s="41"/>
      <c r="L82" s="41"/>
      <c r="M82" s="42">
        <f ca="1">IFERROR(M68+M81,"")</f>
        <v>0.10486111111111124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2" activePane="bottomLeft" state="frozen"/>
      <selection pane="bottomLeft" activeCell="L70" sqref="L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243</v>
      </c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243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243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243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243</v>
      </c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243</v>
      </c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243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243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7</v>
      </c>
      <c r="G81" s="36">
        <f>SUM(G69:G80)</f>
        <v>29.400000000000002</v>
      </c>
      <c r="H81" s="37"/>
      <c r="I81" s="37"/>
      <c r="J81" s="37"/>
      <c r="K81" s="61"/>
      <c r="L81" s="61"/>
      <c r="M81" s="38">
        <f ca="1">IFERROR(SUM(M69:M80),"")</f>
        <v>4.9305555555555602E-2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122</v>
      </c>
      <c r="G82" s="40">
        <f>G68+G81</f>
        <v>512.4</v>
      </c>
      <c r="H82" s="41"/>
      <c r="I82" s="41"/>
      <c r="J82" s="41"/>
      <c r="K82" s="63"/>
      <c r="L82" s="63"/>
      <c r="M82" s="42">
        <f ca="1">IFERROR(M68+M81,"")</f>
        <v>0.19444444444444459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2026-08-04T00:38:01Z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