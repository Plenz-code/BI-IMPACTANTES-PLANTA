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68" documentId="8_{AF585B22-221D-4780-BB9C-493D365A6A02}" xr6:coauthVersionLast="47" xr6:coauthVersionMax="47" xr10:uidLastSave="{F9C27594-CB09-4E81-94AD-579F1ED6ACDF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E55" i="5" l="1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<sst xmlns="http://schemas.openxmlformats.org/spreadsheetml/2006/main" count="1476" uniqueCount="204">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</sst>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>
        <v>1183060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188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188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188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188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188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188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188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188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188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188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188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188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11</v>
      </c>
      <c r="G41" s="36">
        <f>SUM(G29:G40)</f>
        <v>55</v>
      </c>
      <c r="H41" s="37"/>
      <c r="I41" s="37"/>
      <c r="J41" s="37"/>
      <c r="K41" s="37"/>
      <c r="L41" s="37"/>
      <c r="M41" s="38">
        <f ca="1">IFERROR(SUM(M29:M40),"")</f>
        <v>4.7222222222222221E-2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11</v>
      </c>
      <c r="G55" s="40">
        <f>G41+G54</f>
        <v>55</v>
      </c>
      <c r="H55" s="41"/>
      <c r="I55" s="41"/>
      <c r="J55" s="41"/>
      <c r="K55" s="41"/>
      <c r="L55" s="41"/>
      <c r="M55" s="42">
        <f ca="1">IFERROR(M41+M54,"")</f>
        <v>4.7222222222222221E-2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30" sqref="F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90">
        <v>393200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/>
      <c r="M29" s="35">
        <f t="shared" ref="M29:M40" ca="1" si="7">IFERROR(IF(K29="","",IF(L29="",MOD(NOW()-K29,1),IF(L29&gt;=K29,L29-K29,L29+1-K29))),"")</f>
        <v>6.5435532407718711E-2</v>
      </c>
      <c r="N29" s="46" t="s">
        <v>196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11</v>
      </c>
      <c r="G41" s="36">
        <f>SUM(G29:G40)</f>
        <v>46.2</v>
      </c>
      <c r="H41" s="37"/>
      <c r="I41" s="37"/>
      <c r="J41" s="37"/>
      <c r="K41" s="37"/>
      <c r="L41" s="37"/>
      <c r="M41" s="38">
        <f ca="1">IFERROR(SUM(M29:M40),"")</f>
        <v>6.5435532407718711E-2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11</v>
      </c>
      <c r="G55" s="40">
        <f>G41+G54</f>
        <v>46.2</v>
      </c>
      <c r="H55" s="41"/>
      <c r="I55" s="41"/>
      <c r="J55" s="41"/>
      <c r="K55" s="41"/>
      <c r="L55" s="41"/>
      <c r="M55" s="42">
        <f ca="1">IFERROR(M41+M54,"")</f>
        <v>6.5435532407718711E-2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N30" sqref="N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191</v>
      </c>
      <c r="O27" s="39">
        <v>308500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/>
      <c r="M29" s="35">
        <f t="shared" ref="M29:M40" ca="1" si="7">IFERROR(IF(K29="","",IF(L29="",MOD(NOW()-K29,1),IF(L29&gt;=K29,L29-K29,L29+1-K29))),"")</f>
        <v>8.1407754631072748E-2</v>
      </c>
      <c r="N29" s="27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8.1407754631072748E-2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8.1407754631072748E-2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N29" sqref="N2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191</v>
      </c>
      <c r="O27" s="39">
        <v>202230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/>
      <c r="K29" s="29">
        <v>0.34027777777777779</v>
      </c>
      <c r="L29" s="29"/>
      <c r="M29" s="30">
        <f t="shared" ref="M29:M40" ca="1" si="7">IFERROR(IF(K29="","",IF(L29="",MOD(NOW()-K29,1),IF(L29&gt;=K29,L29-K29,L29+1-K29))),"")</f>
        <v>3.2796759252960328E-2</v>
      </c>
      <c r="N29" s="27" t="s">
        <v>203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12</v>
      </c>
      <c r="G41" s="36">
        <f>SUM(G29:G40)</f>
        <v>50.400000000000006</v>
      </c>
      <c r="H41" s="37"/>
      <c r="I41" s="37"/>
      <c r="J41" s="37"/>
      <c r="K41" s="61"/>
      <c r="L41" s="61"/>
      <c r="M41" s="38">
        <f ca="1">IFERROR(SUM(M29:M40),"")</f>
        <v>3.2796759252960328E-2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12</v>
      </c>
      <c r="G55" s="40">
        <f>G41+G54</f>
        <v>50.400000000000006</v>
      </c>
      <c r="H55" s="41"/>
      <c r="I55" s="41"/>
      <c r="J55" s="41"/>
      <c r="K55" s="63"/>
      <c r="L55" s="63"/>
      <c r="M55" s="42">
        <f ca="1">IFERROR(M41+M54,"")</f>
        <v>3.2796759252960328E-2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2026-07-02T12:57:35Z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