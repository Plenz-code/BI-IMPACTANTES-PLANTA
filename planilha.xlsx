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43" documentId="8_{AF585B22-221D-4780-BB9C-493D365A6A02}" xr6:coauthVersionLast="47" xr6:coauthVersionMax="47" xr10:uidLastSave="{5C5B9A45-7B8E-4D4A-BB75-E32CBDFE63B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<sst xmlns="http://schemas.openxmlformats.org/spreadsheetml/2006/main" count="12575" uniqueCount="445">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</sst>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L827" sqref="L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174</v>
      </c>
      <c r="G837" s="109">
        <f>SUM(G825:G836)</f>
        <v>870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307</v>
      </c>
      <c r="G838" s="111">
        <f>G824+G837</f>
        <v>870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N829" sqref="N8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0.86023587962699821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1.0178747685158871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1.1275969907381094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0.83870810185180744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1.0095414351851408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1.1546803240740298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/>
      <c r="M829" s="79">
        <f ca="1">IFERROR(IF(K829="","",IF(L829="",MOD(NOW()-K829,1),IF(L829&gt;=K829,L829-K829,L829+1-K829))),"")</f>
        <v>1.0930324075161479E-2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143</v>
      </c>
      <c r="G837" s="109">
        <f>SUM(G825:G836)</f>
        <v>613.40000000000009</v>
      </c>
      <c r="H837" s="37"/>
      <c r="I837" s="37"/>
      <c r="J837" s="37"/>
      <c r="K837" s="37"/>
      <c r="L837" s="37"/>
      <c r="M837" s="110">
        <f ca="1">IFERROR(SUM(M825:M836),"")</f>
        <v>3.8708101852939186E-2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312</v>
      </c>
      <c r="G838" s="111">
        <f>G824+G837</f>
        <v>1323.2000000000003</v>
      </c>
      <c r="H838" s="41"/>
      <c r="I838" s="41"/>
      <c r="J838" s="41"/>
      <c r="K838" s="41"/>
      <c r="L838" s="41"/>
      <c r="M838" s="112">
        <f ca="1">IFERROR(M824+M837,"")</f>
        <v>0.14356921296405031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L826" sqref="L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91</v>
      </c>
      <c r="G837" s="109">
        <f>SUM(G825:G836)</f>
        <v>391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186</v>
      </c>
      <c r="G838" s="111">
        <f>G824+G837</f>
        <v>790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2" sqref="F8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0.85051365740946494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1.0498192129650206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1.4171803240761316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79</v>
      </c>
      <c r="G837" s="109">
        <f>SUM(G825:G836)</f>
        <v>331.8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198</v>
      </c>
      <c r="G838" s="111">
        <f>G824+G837</f>
        <v>831.60000000000014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2026-08-01T06:24:16Z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