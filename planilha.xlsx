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41" documentId="8_{AF585B22-221D-4780-BB9C-493D365A6A02}" xr6:coauthVersionLast="47" xr6:coauthVersionMax="47" xr10:uidLastSave="{8F98DC72-13C3-45B0-8B29-E584938E8233}"/>
  <bookViews>
    <workbookView xWindow="-11170" yWindow="-10910" windowWidth="19420" windowHeight="103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<sst xmlns="http://schemas.openxmlformats.org/spreadsheetml/2006/main" count="10756" uniqueCount="404">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</sst>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25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25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25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25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25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25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25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25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25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25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25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25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25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25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25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25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25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25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25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25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25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25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25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25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/>
    </row>
    <row r="58" spans="1:13" ht="15" customHeight="1" x14ac:dyDescent="0.25">
      <c r="H58" s="113"/>
      <c r="I58" s="16"/>
      <c r="J58" s="16"/>
      <c r="K58" s="16" t="s">
        <v>205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206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207</v>
      </c>
      <c r="L61" s="17"/>
      <c r="M61" s="17"/>
    </row>
    <row r="62" spans="1:13" ht="15" customHeight="1" x14ac:dyDescent="0.25">
      <c r="H62" s="113"/>
      <c r="I62" s="16"/>
      <c r="J62" s="16"/>
      <c r="K62" s="16" t="s">
        <v>208</v>
      </c>
      <c r="L62" s="16"/>
      <c r="M62" s="16"/>
    </row>
    <row r="63" spans="1:13" ht="15" customHeight="1" x14ac:dyDescent="0.25">
      <c r="H63" s="113"/>
      <c r="I63" s="17"/>
      <c r="J63" s="17"/>
      <c r="K63" s="17" t="s">
        <v>209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210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211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212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213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214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215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216</v>
      </c>
      <c r="L70" s="16"/>
      <c r="M70" s="16"/>
    </row>
    <row r="71" spans="8:13" ht="15" customHeight="1" x14ac:dyDescent="0.25">
      <c r="H71" s="113"/>
      <c r="I71" s="17"/>
      <c r="J71" s="17"/>
      <c r="K71" s="17" t="s">
        <v>217</v>
      </c>
      <c r="L71" s="17"/>
      <c r="M71" s="17"/>
    </row>
    <row r="72" spans="8:13" ht="15" customHeight="1" x14ac:dyDescent="0.25">
      <c r="H72" s="113"/>
      <c r="I72" s="16"/>
      <c r="J72" s="16"/>
      <c r="K72" s="16" t="s">
        <v>218</v>
      </c>
      <c r="L72" s="16"/>
      <c r="M72" s="16"/>
    </row>
    <row r="73" spans="8:13" ht="15" customHeight="1" x14ac:dyDescent="0.25">
      <c r="H73" s="113"/>
      <c r="I73" s="17"/>
      <c r="J73" s="17"/>
      <c r="K73" s="17" t="s">
        <v>219</v>
      </c>
      <c r="L73" s="17"/>
      <c r="M73" s="17"/>
    </row>
    <row r="74" spans="8:13" ht="15" customHeight="1" x14ac:dyDescent="0.25">
      <c r="H74" s="113"/>
      <c r="I74" s="16"/>
      <c r="J74" s="16"/>
      <c r="K74" s="16"/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88" activePane="bottomLeft" state="frozen"/>
      <selection pane="bottomLeft" activeCell="F711" sqref="F711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 x14ac:dyDescent="0.25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 x14ac:dyDescent="0.25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 x14ac:dyDescent="0.25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 x14ac:dyDescent="0.25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 x14ac:dyDescent="0.25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 x14ac:dyDescent="0.25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 x14ac:dyDescent="0.25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 x14ac:dyDescent="0.25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 x14ac:dyDescent="0.25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 x14ac:dyDescent="0.25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 x14ac:dyDescent="0.25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 x14ac:dyDescent="0.25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 x14ac:dyDescent="0.25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 x14ac:dyDescent="0.25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 x14ac:dyDescent="0.25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 x14ac:dyDescent="0.25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 x14ac:dyDescent="0.25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 x14ac:dyDescent="0.25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 x14ac:dyDescent="0.25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 x14ac:dyDescent="0.25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 x14ac:dyDescent="0.25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 x14ac:dyDescent="0.25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 x14ac:dyDescent="0.25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 x14ac:dyDescent="0.25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 x14ac:dyDescent="0.25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 x14ac:dyDescent="0.25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 x14ac:dyDescent="0.25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168</v>
      </c>
      <c r="G716" s="36">
        <f>SUM(G704:G715)</f>
        <v>840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25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840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25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25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25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1" sqref="F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 x14ac:dyDescent="0.25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 x14ac:dyDescent="0.25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 x14ac:dyDescent="0.25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 x14ac:dyDescent="0.25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 x14ac:dyDescent="0.25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 x14ac:dyDescent="0.25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 x14ac:dyDescent="0.25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 x14ac:dyDescent="0.25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 x14ac:dyDescent="0.25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 x14ac:dyDescent="0.25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 x14ac:dyDescent="0.25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 x14ac:dyDescent="0.25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 x14ac:dyDescent="0.25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0.37253136574145174</v>
      </c>
      <c r="N377" s="46"/>
      <c r="O377" s="47"/>
    </row>
    <row r="378" spans="1:15" ht="15.75" customHeight="1" x14ac:dyDescent="0.25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0.53017025463034062</v>
      </c>
      <c r="N378" s="36" t="s">
        <v>234</v>
      </c>
      <c r="O378" s="77">
        <v>511980</v>
      </c>
    </row>
    <row r="379" spans="1:15" ht="18" customHeight="1" x14ac:dyDescent="0.25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0.63989247685256279</v>
      </c>
      <c r="N379" s="40" t="s">
        <v>237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 x14ac:dyDescent="0.25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0.35100358796626097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0.52183692129959436</v>
      </c>
      <c r="N432" s="36" t="s">
        <v>234</v>
      </c>
      <c r="O432" s="77">
        <v>484540</v>
      </c>
    </row>
    <row r="433" spans="1:15" ht="18" customHeight="1" x14ac:dyDescent="0.25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0.66697581018848329</v>
      </c>
      <c r="N433" s="40" t="s">
        <v>237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 x14ac:dyDescent="0.25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 x14ac:dyDescent="0.25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 x14ac:dyDescent="0.25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 x14ac:dyDescent="0.25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 x14ac:dyDescent="0.25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 x14ac:dyDescent="0.25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 x14ac:dyDescent="0.25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 x14ac:dyDescent="0.25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 x14ac:dyDescent="0.25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 x14ac:dyDescent="0.25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9.4753587967716157E-2</v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86</v>
      </c>
      <c r="G716" s="36">
        <f>SUM(G704:G715)</f>
        <v>361.20000000000005</v>
      </c>
      <c r="H716" s="37"/>
      <c r="I716" s="37"/>
      <c r="J716" s="37"/>
      <c r="K716" s="37"/>
      <c r="L716" s="37"/>
      <c r="M716" s="38">
        <f ca="1">IFERROR(SUM(M704:M715),"")</f>
        <v>0.14614247685660503</v>
      </c>
      <c r="N716" s="36" t="s">
        <v>234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 x14ac:dyDescent="0.25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361.20000000000005</v>
      </c>
      <c r="H730" s="41"/>
      <c r="I730" s="41"/>
      <c r="J730" s="41"/>
      <c r="K730" s="41"/>
      <c r="L730" s="41"/>
      <c r="M730" s="42">
        <f ca="1">IFERROR(M716+M729,"")</f>
        <v>0.14614247685660503</v>
      </c>
      <c r="N730" s="40" t="s">
        <v>237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25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25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25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1" sqref="F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 x14ac:dyDescent="0.25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 x14ac:dyDescent="0.25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 x14ac:dyDescent="0.25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 x14ac:dyDescent="0.25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 x14ac:dyDescent="0.25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 x14ac:dyDescent="0.25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 x14ac:dyDescent="0.25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 x14ac:dyDescent="0.25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 x14ac:dyDescent="0.25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 x14ac:dyDescent="0.25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 x14ac:dyDescent="0.25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 x14ac:dyDescent="0.25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 x14ac:dyDescent="0.25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 x14ac:dyDescent="0.25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 x14ac:dyDescent="0.25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 x14ac:dyDescent="0.25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 x14ac:dyDescent="0.25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 x14ac:dyDescent="0.25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 x14ac:dyDescent="0.25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 x14ac:dyDescent="0.25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 x14ac:dyDescent="0.25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 x14ac:dyDescent="0.25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 x14ac:dyDescent="0.25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 x14ac:dyDescent="0.25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 x14ac:dyDescent="0.25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 x14ac:dyDescent="0.25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59</v>
      </c>
      <c r="G716" s="36">
        <f>SUM(G704:G715)</f>
        <v>247.8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25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59</v>
      </c>
      <c r="G730" s="40">
        <f>G716+G729</f>
        <v>247.8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25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25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25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60" zoomScaleNormal="60" workbookViewId="0">
      <pane ySplit="1" topLeftCell="A704" activePane="bottomLeft" state="frozen"/>
      <selection pane="bottomLeft" activeCell="H719" sqref="H719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 x14ac:dyDescent="0.25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 x14ac:dyDescent="0.25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 x14ac:dyDescent="0.25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 x14ac:dyDescent="0.25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0.36280914352391846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0.56211469907947409</v>
      </c>
      <c r="N135" s="36" t="s">
        <v>234</v>
      </c>
      <c r="O135" s="39">
        <v>729290</v>
      </c>
    </row>
    <row r="136" spans="1:18" ht="18" customHeight="1" x14ac:dyDescent="0.25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0.92947581019058512</v>
      </c>
      <c r="N136" s="40" t="s">
        <v>237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 x14ac:dyDescent="0.25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 x14ac:dyDescent="0.25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 x14ac:dyDescent="0.25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 x14ac:dyDescent="0.25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 x14ac:dyDescent="0.25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 x14ac:dyDescent="0.25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 x14ac:dyDescent="0.25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 x14ac:dyDescent="0.25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 x14ac:dyDescent="0.25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 x14ac:dyDescent="0.25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 x14ac:dyDescent="0.25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 x14ac:dyDescent="0.25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 x14ac:dyDescent="0.25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 x14ac:dyDescent="0.25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 x14ac:dyDescent="0.25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 x14ac:dyDescent="0.25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 x14ac:dyDescent="0.25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 x14ac:dyDescent="0.25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 x14ac:dyDescent="0.25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 x14ac:dyDescent="0.25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 x14ac:dyDescent="0.25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93</v>
      </c>
      <c r="G716" s="36">
        <f>SUM(G704:G715)</f>
        <v>390.6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 t="s">
        <v>18</v>
      </c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25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93</v>
      </c>
      <c r="G730" s="40">
        <f>G716+G729</f>
        <v>390.6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25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25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25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2026-07-27T18:42:06Z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