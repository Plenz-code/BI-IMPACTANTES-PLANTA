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6" documentId="8_{AF585B22-221D-4780-BB9C-493D365A6A02}" xr6:coauthVersionLast="47" xr6:coauthVersionMax="47" xr10:uidLastSave="{F1FEE5D3-3E67-406C-9B7F-B6BD35FB1664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<sst xmlns="http://schemas.openxmlformats.org/spreadsheetml/2006/main" count="1669" uniqueCount="210">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</sst>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6" sqref="F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38</v>
      </c>
      <c r="G54" s="36">
        <f>SUM(G42:G53)</f>
        <v>190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59</v>
      </c>
      <c r="G55" s="40">
        <f>G41+G54</f>
        <v>295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L42" sqref="L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/>
      <c r="M42" s="30">
        <f ca="1">IFERROR(IF(K42="","",IF(L42="",MOD(NOW()-K42,1),IF(L42&gt;=K42,L42-K42,L42+1-K42))),"")</f>
        <v>4.2856481479248032E-2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/>
      <c r="I43" s="33"/>
      <c r="J43" s="33"/>
      <c r="K43" s="29"/>
      <c r="L43" s="29"/>
      <c r="M43" s="35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25</v>
      </c>
      <c r="G54" s="36">
        <f>SUM(G42:G53)</f>
        <v>105</v>
      </c>
      <c r="H54" s="37"/>
      <c r="I54" s="37"/>
      <c r="J54" s="37"/>
      <c r="K54" s="37"/>
      <c r="L54" s="37"/>
      <c r="M54" s="38">
        <f ca="1">IFERROR(SUM(M42:M53),"")</f>
        <v>4.2856481479248032E-2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113</v>
      </c>
      <c r="G55" s="40">
        <f>G41+G54</f>
        <v>474.6</v>
      </c>
      <c r="H55" s="41"/>
      <c r="I55" s="41"/>
      <c r="J55" s="41"/>
      <c r="K55" s="41"/>
      <c r="L55" s="41"/>
      <c r="M55" s="42">
        <f ca="1">IFERROR(M41+M54,"")</f>
        <v>0.12271759259035914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6" sqref="F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/>
      <c r="M42" s="30">
        <f t="shared" ref="M42:M53" ca="1" si="10">IFERROR(IF(K42="","",IF(L42="",MOD(NOW()-K42,1),IF(L42&gt;=K42,L42-K42,L42+1-K42))),"")</f>
        <v>8.79953703697538E-2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14</v>
      </c>
      <c r="G54" s="36">
        <f>SUM(G42:G53)</f>
        <v>58.800000000000004</v>
      </c>
      <c r="H54" s="37"/>
      <c r="I54" s="37"/>
      <c r="J54" s="37"/>
      <c r="K54" s="37"/>
      <c r="L54" s="37"/>
      <c r="M54" s="38">
        <f ca="1">IFERROR(SUM(M42:M53),"")</f>
        <v>8.79953703697538E-2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0.24285648148086486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6" sqref="F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3" t="s">
        <v>193</v>
      </c>
      <c r="B14" s="84"/>
      <c r="C14" s="84"/>
      <c r="D14" s="84"/>
      <c r="E14" s="8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3" t="s">
        <v>195</v>
      </c>
      <c r="B27" s="84"/>
      <c r="C27" s="84"/>
      <c r="D27" s="84"/>
      <c r="E27" s="8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3" t="s">
        <v>193</v>
      </c>
      <c r="B41" s="84"/>
      <c r="C41" s="84"/>
      <c r="D41" s="84"/>
      <c r="E41" s="8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3" t="s">
        <v>195</v>
      </c>
      <c r="B54" s="84"/>
      <c r="C54" s="84"/>
      <c r="D54" s="84"/>
      <c r="E54" s="85">
        <f>SUM(E42:E53)</f>
        <v>0</v>
      </c>
      <c r="F54" s="36">
        <f>SUM(F42:F53)</f>
        <v>55</v>
      </c>
      <c r="G54" s="36">
        <f>SUM(G42:G53)</f>
        <v>231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140</v>
      </c>
      <c r="G55" s="40">
        <f>G41+G54</f>
        <v>588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3" t="s">
        <v>193</v>
      </c>
      <c r="B68" s="84"/>
      <c r="C68" s="84"/>
      <c r="D68" s="84"/>
      <c r="E68" s="8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3" t="s">
        <v>195</v>
      </c>
      <c r="B81" s="84"/>
      <c r="C81" s="84"/>
      <c r="D81" s="84"/>
      <c r="E81" s="85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3" t="s">
        <v>193</v>
      </c>
      <c r="B95" s="84"/>
      <c r="C95" s="84"/>
      <c r="D95" s="84"/>
      <c r="E95" s="85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3" t="s">
        <v>195</v>
      </c>
      <c r="B108" s="84"/>
      <c r="C108" s="84"/>
      <c r="D108" s="84"/>
      <c r="E108" s="8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3" t="s">
        <v>193</v>
      </c>
      <c r="B122" s="84"/>
      <c r="C122" s="84"/>
      <c r="D122" s="84"/>
      <c r="E122" s="85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3" t="s">
        <v>195</v>
      </c>
      <c r="B135" s="84"/>
      <c r="C135" s="84"/>
      <c r="D135" s="84"/>
      <c r="E135" s="85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3" t="s">
        <v>193</v>
      </c>
      <c r="B149" s="84"/>
      <c r="C149" s="84"/>
      <c r="D149" s="84"/>
      <c r="E149" s="85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3" t="s">
        <v>195</v>
      </c>
      <c r="B162" s="84"/>
      <c r="C162" s="84"/>
      <c r="D162" s="84"/>
      <c r="E162" s="85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3" t="s">
        <v>193</v>
      </c>
      <c r="B176" s="84"/>
      <c r="C176" s="84"/>
      <c r="D176" s="84"/>
      <c r="E176" s="8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3" t="s">
        <v>195</v>
      </c>
      <c r="B189" s="84"/>
      <c r="C189" s="84"/>
      <c r="D189" s="84"/>
      <c r="E189" s="8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3" t="s">
        <v>193</v>
      </c>
      <c r="B203" s="84"/>
      <c r="C203" s="84"/>
      <c r="D203" s="84"/>
      <c r="E203" s="8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3" t="s">
        <v>195</v>
      </c>
      <c r="B216" s="84"/>
      <c r="C216" s="84"/>
      <c r="D216" s="84"/>
      <c r="E216" s="85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3" t="s">
        <v>193</v>
      </c>
      <c r="B230" s="84"/>
      <c r="C230" s="84"/>
      <c r="D230" s="84"/>
      <c r="E230" s="85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3" t="s">
        <v>195</v>
      </c>
      <c r="B243" s="84"/>
      <c r="C243" s="84"/>
      <c r="D243" s="84"/>
      <c r="E243" s="85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3" t="s">
        <v>193</v>
      </c>
      <c r="B257" s="84"/>
      <c r="C257" s="84"/>
      <c r="D257" s="84"/>
      <c r="E257" s="85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3" t="s">
        <v>195</v>
      </c>
      <c r="B270" s="84"/>
      <c r="C270" s="84"/>
      <c r="D270" s="84"/>
      <c r="E270" s="8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3" t="s">
        <v>193</v>
      </c>
      <c r="B284" s="84"/>
      <c r="C284" s="84"/>
      <c r="D284" s="84"/>
      <c r="E284" s="8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3" t="s">
        <v>195</v>
      </c>
      <c r="B297" s="84"/>
      <c r="C297" s="84"/>
      <c r="D297" s="84"/>
      <c r="E297" s="8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3" t="s">
        <v>193</v>
      </c>
      <c r="B311" s="84"/>
      <c r="C311" s="84"/>
      <c r="D311" s="84"/>
      <c r="E311" s="8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3" t="s">
        <v>195</v>
      </c>
      <c r="B324" s="84"/>
      <c r="C324" s="84"/>
      <c r="D324" s="84"/>
      <c r="E324" s="8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3" t="s">
        <v>193</v>
      </c>
      <c r="B338" s="84"/>
      <c r="C338" s="84"/>
      <c r="D338" s="84"/>
      <c r="E338" s="8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3" t="s">
        <v>195</v>
      </c>
      <c r="B351" s="84"/>
      <c r="C351" s="84"/>
      <c r="D351" s="84"/>
      <c r="E351" s="8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3" t="s">
        <v>193</v>
      </c>
      <c r="B365" s="84"/>
      <c r="C365" s="84"/>
      <c r="D365" s="84"/>
      <c r="E365" s="8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3" t="s">
        <v>195</v>
      </c>
      <c r="B378" s="84"/>
      <c r="C378" s="84"/>
      <c r="D378" s="84"/>
      <c r="E378" s="8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3" t="s">
        <v>193</v>
      </c>
      <c r="B392" s="84"/>
      <c r="C392" s="84"/>
      <c r="D392" s="84"/>
      <c r="E392" s="8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3" t="s">
        <v>195</v>
      </c>
      <c r="B405" s="84"/>
      <c r="C405" s="84"/>
      <c r="D405" s="84"/>
      <c r="E405" s="8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3" t="s">
        <v>193</v>
      </c>
      <c r="B419" s="84"/>
      <c r="C419" s="84"/>
      <c r="D419" s="84"/>
      <c r="E419" s="8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3" t="s">
        <v>195</v>
      </c>
      <c r="B432" s="84"/>
      <c r="C432" s="84"/>
      <c r="D432" s="84"/>
      <c r="E432" s="8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3" t="s">
        <v>193</v>
      </c>
      <c r="B446" s="84"/>
      <c r="C446" s="84"/>
      <c r="D446" s="84"/>
      <c r="E446" s="8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3" t="s">
        <v>195</v>
      </c>
      <c r="B459" s="84"/>
      <c r="C459" s="84"/>
      <c r="D459" s="84"/>
      <c r="E459" s="8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3" t="s">
        <v>193</v>
      </c>
      <c r="B473" s="84"/>
      <c r="C473" s="84"/>
      <c r="D473" s="84"/>
      <c r="E473" s="8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3" t="s">
        <v>195</v>
      </c>
      <c r="B486" s="84"/>
      <c r="C486" s="84"/>
      <c r="D486" s="84"/>
      <c r="E486" s="8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3" t="s">
        <v>193</v>
      </c>
      <c r="B500" s="84"/>
      <c r="C500" s="84"/>
      <c r="D500" s="84"/>
      <c r="E500" s="8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3" t="s">
        <v>195</v>
      </c>
      <c r="B513" s="84"/>
      <c r="C513" s="84"/>
      <c r="D513" s="84"/>
      <c r="E513" s="8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3" t="s">
        <v>193</v>
      </c>
      <c r="B527" s="84"/>
      <c r="C527" s="84"/>
      <c r="D527" s="84"/>
      <c r="E527" s="8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3" t="s">
        <v>195</v>
      </c>
      <c r="B540" s="84"/>
      <c r="C540" s="84"/>
      <c r="D540" s="84"/>
      <c r="E540" s="8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3" t="s">
        <v>193</v>
      </c>
      <c r="B554" s="84"/>
      <c r="C554" s="84"/>
      <c r="D554" s="84"/>
      <c r="E554" s="8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3" t="s">
        <v>195</v>
      </c>
      <c r="B567" s="84"/>
      <c r="C567" s="84"/>
      <c r="D567" s="84"/>
      <c r="E567" s="8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3" t="s">
        <v>193</v>
      </c>
      <c r="B581" s="84"/>
      <c r="C581" s="84"/>
      <c r="D581" s="84"/>
      <c r="E581" s="8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3" t="s">
        <v>195</v>
      </c>
      <c r="B594" s="84"/>
      <c r="C594" s="84"/>
      <c r="D594" s="84"/>
      <c r="E594" s="8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3" t="s">
        <v>193</v>
      </c>
      <c r="B608" s="84"/>
      <c r="C608" s="84"/>
      <c r="D608" s="84"/>
      <c r="E608" s="8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3" t="s">
        <v>195</v>
      </c>
      <c r="B621" s="84"/>
      <c r="C621" s="84"/>
      <c r="D621" s="84"/>
      <c r="E621" s="8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3" t="s">
        <v>193</v>
      </c>
      <c r="B635" s="84"/>
      <c r="C635" s="84"/>
      <c r="D635" s="84"/>
      <c r="E635" s="8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3" t="s">
        <v>195</v>
      </c>
      <c r="B648" s="84"/>
      <c r="C648" s="84"/>
      <c r="D648" s="84"/>
      <c r="E648" s="8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3" t="s">
        <v>193</v>
      </c>
      <c r="B662" s="84"/>
      <c r="C662" s="84"/>
      <c r="D662" s="84"/>
      <c r="E662" s="8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3" t="s">
        <v>195</v>
      </c>
      <c r="B675" s="84"/>
      <c r="C675" s="84"/>
      <c r="D675" s="84"/>
      <c r="E675" s="8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3" t="s">
        <v>193</v>
      </c>
      <c r="B689" s="84"/>
      <c r="C689" s="84"/>
      <c r="D689" s="84"/>
      <c r="E689" s="8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3" t="s">
        <v>195</v>
      </c>
      <c r="B702" s="84"/>
      <c r="C702" s="84"/>
      <c r="D702" s="84"/>
      <c r="E702" s="8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3" t="s">
        <v>193</v>
      </c>
      <c r="B716" s="84"/>
      <c r="C716" s="84"/>
      <c r="D716" s="84"/>
      <c r="E716" s="8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3" t="s">
        <v>195</v>
      </c>
      <c r="B729" s="84"/>
      <c r="C729" s="84"/>
      <c r="D729" s="84"/>
      <c r="E729" s="8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3" t="s">
        <v>193</v>
      </c>
      <c r="B743" s="84"/>
      <c r="C743" s="84"/>
      <c r="D743" s="84"/>
      <c r="E743" s="8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3" t="s">
        <v>195</v>
      </c>
      <c r="B756" s="84"/>
      <c r="C756" s="84"/>
      <c r="D756" s="84"/>
      <c r="E756" s="8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3" t="s">
        <v>193</v>
      </c>
      <c r="B770" s="84"/>
      <c r="C770" s="84"/>
      <c r="D770" s="84"/>
      <c r="E770" s="8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3" t="s">
        <v>195</v>
      </c>
      <c r="B783" s="84"/>
      <c r="C783" s="84"/>
      <c r="D783" s="84"/>
      <c r="E783" s="8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3" t="s">
        <v>193</v>
      </c>
      <c r="B797" s="84"/>
      <c r="C797" s="84"/>
      <c r="D797" s="84"/>
      <c r="E797" s="8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3" t="s">
        <v>195</v>
      </c>
      <c r="B810" s="84"/>
      <c r="C810" s="84"/>
      <c r="D810" s="84"/>
      <c r="E810" s="8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2026-07-03T03:16:54Z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