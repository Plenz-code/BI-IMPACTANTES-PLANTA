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4" documentId="13_ncr:1_{A6DBCFB4-28D9-4249-9038-216934055CA6}" xr6:coauthVersionLast="47" xr6:coauthVersionMax="47" xr10:uidLastSave="{026869F3-2735-446F-90C6-CCD1D85FB777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<sst xmlns="http://schemas.openxmlformats.org/spreadsheetml/2006/main" count="10482" uniqueCount="434">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</sst>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7909.4386946384147</v>
      </c>
      <c r="I35" s="31">
        <f t="shared" si="2"/>
        <v>4967.05</v>
      </c>
      <c r="J35" s="32">
        <f>I35/H35</f>
        <v>0.62799020155084118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9" activePane="bottomLeft" state="frozen"/>
      <selection pane="bottomLeft" activeCell="F633" sqref="F63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329</v>
      </c>
      <c r="G635" s="2">
        <f>SUM(G623:G634)</f>
        <v>1645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329</v>
      </c>
      <c r="G649" s="1">
        <f>G635+G648</f>
        <v>1645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G635" sqref="G63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0.65305347221874399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0.79194236110763172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0.87666458332985453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62"/>
        <v>0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0</v>
      </c>
      <c r="I634" s="93">
        <f>IFERROR(IF($D634="","",VLOOKUP($D634,Cadastro!$C$4:$G$7,5,FALSE())),"")</f>
        <v>0.6</v>
      </c>
      <c r="J634" s="94">
        <f t="shared" si="162"/>
        <v>0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5" sqref="G63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0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59"/>
        <v>0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59"/>
        <v>0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59"/>
        <v>0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59"/>
        <v>0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59"/>
        <v>0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59"/>
        <v>0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59"/>
        <v>0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59"/>
        <v>0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59"/>
        <v>0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59"/>
        <v>0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0</v>
      </c>
      <c r="I634" s="93">
        <f>IFERROR(IF($D634="","",VLOOKUP($D634,Cadastro!$C$4:$G$7,5,FALSE())),"")</f>
        <v>0.6</v>
      </c>
      <c r="J634" s="94">
        <f t="shared" si="159"/>
        <v>0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22" activePane="bottomLeft" state="frozen"/>
      <selection pane="bottomLeft" activeCell="G635" sqref="G63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62"/>
        <v>0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0</v>
      </c>
      <c r="I634" s="93">
        <f>IFERROR(IF($D634="","",VLOOKUP($D634,Cadastro!$C$4:$G$7,5,FALSE())),"")</f>
        <v>0.6</v>
      </c>
      <c r="J634" s="94">
        <f t="shared" si="162"/>
        <v>0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2026-08-24T22:37:14Z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