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" documentId="13_ncr:1_{0A10D8D4-8450-4366-8075-B53B08E6B7EA}" xr6:coauthVersionLast="47" xr6:coauthVersionMax="47" xr10:uidLastSave="{A0C83EF5-AFA6-4C39-AF82-9ED9AF99FAE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<sst xmlns="http://schemas.openxmlformats.org/spreadsheetml/2006/main" count="5535" uniqueCount="332">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</sst>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38" t="s">
        <v>0</v>
      </c>
      <c r="B1" s="139"/>
      <c r="C1" s="139"/>
      <c r="D1" s="139"/>
      <c r="E1" s="139"/>
      <c r="F1" s="139"/>
      <c r="G1" s="139"/>
      <c r="H1" s="139"/>
      <c r="I1" s="139"/>
      <c r="J1" s="139"/>
    </row>
    <row r="2" spans="1:10" ht="24.75" customHeight="1">
      <c r="A2" s="136"/>
      <c r="B2" s="13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37" t="s">
        <v>12</v>
      </c>
      <c r="B35" s="137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40" t="s">
        <v>13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1"/>
      <c r="N1" s="142" t="s">
        <v>14</v>
      </c>
      <c r="O1" s="142"/>
      <c r="P1" s="142"/>
      <c r="Q1" s="142"/>
      <c r="R1" s="142"/>
    </row>
    <row r="2" spans="1:18" ht="4.5" customHeight="1">
      <c r="M2" s="141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41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41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41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41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41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41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41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41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41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41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41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41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41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41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41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41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41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41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41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41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41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41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41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41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41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41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41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41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41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41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45" t="s">
        <v>160</v>
      </c>
      <c r="E33" s="114">
        <v>1000</v>
      </c>
      <c r="J33" s="17"/>
      <c r="L33" s="17" t="s">
        <v>161</v>
      </c>
      <c r="M33" s="141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41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41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41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41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41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41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41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41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41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41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41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41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41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41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41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41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41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41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41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41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41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41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41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41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41"/>
      <c r="N58" s="16"/>
      <c r="O58" s="16"/>
      <c r="P58" s="16" t="s">
        <v>214</v>
      </c>
      <c r="Q58" s="16"/>
      <c r="R58" s="16"/>
    </row>
    <row r="59" spans="1:18" ht="15" customHeight="1">
      <c r="M59" s="141"/>
      <c r="N59" s="17"/>
      <c r="O59" s="17"/>
      <c r="P59" s="17" t="s">
        <v>215</v>
      </c>
      <c r="Q59" s="17"/>
      <c r="R59" s="17"/>
    </row>
    <row r="60" spans="1:18" ht="15" customHeight="1">
      <c r="M60" s="141"/>
      <c r="N60" s="16"/>
      <c r="O60" s="16"/>
      <c r="P60" s="78" t="s">
        <v>110</v>
      </c>
      <c r="Q60" s="16"/>
      <c r="R60" s="16"/>
    </row>
    <row r="61" spans="1:18" ht="15" customHeight="1">
      <c r="M61" s="141"/>
      <c r="N61" s="17"/>
      <c r="O61" s="17"/>
      <c r="P61" s="17" t="s">
        <v>216</v>
      </c>
      <c r="Q61" s="17"/>
      <c r="R61" s="17"/>
    </row>
    <row r="62" spans="1:18" ht="15" customHeight="1">
      <c r="M62" s="141"/>
      <c r="N62" s="16"/>
      <c r="O62" s="16"/>
      <c r="P62" s="16" t="s">
        <v>217</v>
      </c>
      <c r="Q62" s="16"/>
      <c r="R62" s="16"/>
    </row>
    <row r="63" spans="1:18" ht="15" customHeight="1">
      <c r="M63" s="141"/>
      <c r="N63" s="17"/>
      <c r="O63" s="17"/>
      <c r="P63" s="17" t="s">
        <v>218</v>
      </c>
      <c r="Q63" s="17"/>
      <c r="R63" s="17"/>
    </row>
    <row r="64" spans="1:18" ht="15" customHeight="1">
      <c r="M64" s="141"/>
      <c r="N64" s="16"/>
      <c r="O64" s="16"/>
      <c r="P64" s="16" t="s">
        <v>219</v>
      </c>
      <c r="Q64" s="16"/>
      <c r="R64" s="16"/>
    </row>
    <row r="65" spans="13:18" ht="15" customHeight="1">
      <c r="M65" s="141"/>
      <c r="N65" s="17"/>
      <c r="O65" s="17"/>
      <c r="P65" s="17" t="s">
        <v>220</v>
      </c>
      <c r="Q65" s="17"/>
      <c r="R65" s="17"/>
    </row>
    <row r="66" spans="13:18" ht="15" customHeight="1">
      <c r="M66" s="141"/>
      <c r="N66" s="16"/>
      <c r="O66" s="16"/>
      <c r="P66" s="16" t="s">
        <v>221</v>
      </c>
      <c r="Q66" s="16"/>
      <c r="R66" s="16"/>
    </row>
    <row r="67" spans="13:18" ht="15" customHeight="1">
      <c r="M67" s="141"/>
      <c r="N67" s="17"/>
      <c r="O67" s="17"/>
      <c r="P67" s="17" t="s">
        <v>222</v>
      </c>
      <c r="Q67" s="17"/>
      <c r="R67" s="17"/>
    </row>
    <row r="68" spans="13:18" ht="15" customHeight="1">
      <c r="M68" s="141"/>
      <c r="N68" s="16"/>
      <c r="O68" s="16"/>
      <c r="P68" s="16" t="s">
        <v>223</v>
      </c>
      <c r="Q68" s="16"/>
      <c r="R68" s="16"/>
    </row>
    <row r="69" spans="13:18" ht="15" customHeight="1">
      <c r="M69" s="141"/>
      <c r="N69" s="17"/>
      <c r="O69" s="17"/>
      <c r="P69" s="17" t="s">
        <v>224</v>
      </c>
      <c r="Q69" s="17"/>
      <c r="R69" s="17"/>
    </row>
    <row r="70" spans="13:18" ht="15" customHeight="1">
      <c r="M70" s="141"/>
      <c r="N70" s="16"/>
      <c r="O70" s="16"/>
      <c r="P70" s="16" t="s">
        <v>225</v>
      </c>
      <c r="Q70" s="16"/>
      <c r="R70" s="16"/>
    </row>
    <row r="71" spans="13:18" ht="15" customHeight="1">
      <c r="M71" s="141"/>
      <c r="N71" s="17"/>
      <c r="O71" s="17"/>
      <c r="P71" s="17" t="s">
        <v>226</v>
      </c>
      <c r="Q71" s="17"/>
      <c r="R71" s="17"/>
    </row>
    <row r="72" spans="13:18" ht="15" customHeight="1">
      <c r="M72" s="141"/>
      <c r="N72" s="16"/>
      <c r="O72" s="16"/>
      <c r="P72" s="16" t="s">
        <v>227</v>
      </c>
      <c r="Q72" s="16"/>
      <c r="R72" s="16"/>
    </row>
    <row r="73" spans="13:18" ht="15" customHeight="1">
      <c r="M73" s="141"/>
      <c r="N73" s="17"/>
      <c r="O73" s="17"/>
      <c r="P73" s="17" t="s">
        <v>228</v>
      </c>
      <c r="Q73" s="17"/>
      <c r="R73" s="17"/>
    </row>
    <row r="74" spans="13:18" ht="15" customHeight="1">
      <c r="M74" s="141"/>
      <c r="N74" s="16"/>
      <c r="O74" s="16"/>
      <c r="P74" s="16" t="s">
        <v>229</v>
      </c>
      <c r="Q74" s="16"/>
      <c r="R74" s="16"/>
    </row>
    <row r="75" spans="13:18" ht="15" customHeight="1">
      <c r="M75" s="141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76" activePane="bottomLeft" state="frozen"/>
      <selection pane="bottomLeft" activeCell="H289" sqref="H2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32" t="s">
        <v>241</v>
      </c>
      <c r="B14" s="133"/>
      <c r="C14" s="133"/>
      <c r="D14" s="133"/>
      <c r="E14" s="14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32" t="s">
        <v>244</v>
      </c>
      <c r="B27" s="133"/>
      <c r="C27" s="133"/>
      <c r="D27" s="133"/>
      <c r="E27" s="14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34" t="s">
        <v>245</v>
      </c>
      <c r="B28" s="135"/>
      <c r="C28" s="135"/>
      <c r="D28" s="135"/>
      <c r="E28" s="14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32" t="s">
        <v>241</v>
      </c>
      <c r="B41" s="133"/>
      <c r="C41" s="133"/>
      <c r="D41" s="133"/>
      <c r="E41" s="14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32" t="s">
        <v>244</v>
      </c>
      <c r="B54" s="133"/>
      <c r="C54" s="133"/>
      <c r="D54" s="133"/>
      <c r="E54" s="14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34" t="s">
        <v>245</v>
      </c>
      <c r="B55" s="135"/>
      <c r="C55" s="135"/>
      <c r="D55" s="135"/>
      <c r="E55" s="14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32" t="s">
        <v>241</v>
      </c>
      <c r="B68" s="133"/>
      <c r="C68" s="133"/>
      <c r="D68" s="133"/>
      <c r="E68" s="14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32" t="s">
        <v>244</v>
      </c>
      <c r="B81" s="133"/>
      <c r="C81" s="133"/>
      <c r="D81" s="133"/>
      <c r="E81" s="14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34" t="s">
        <v>245</v>
      </c>
      <c r="B82" s="135"/>
      <c r="C82" s="135"/>
      <c r="D82" s="135"/>
      <c r="E82" s="14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32" t="s">
        <v>241</v>
      </c>
      <c r="B95" s="133"/>
      <c r="C95" s="133"/>
      <c r="D95" s="133"/>
      <c r="E95" s="14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32" t="s">
        <v>244</v>
      </c>
      <c r="B108" s="133"/>
      <c r="C108" s="133"/>
      <c r="D108" s="133"/>
      <c r="E108" s="14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34" t="s">
        <v>245</v>
      </c>
      <c r="B109" s="135"/>
      <c r="C109" s="135"/>
      <c r="D109" s="135"/>
      <c r="E109" s="14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32" t="s">
        <v>241</v>
      </c>
      <c r="B122" s="133"/>
      <c r="C122" s="133"/>
      <c r="D122" s="133"/>
      <c r="E122" s="14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32" t="s">
        <v>244</v>
      </c>
      <c r="B135" s="133"/>
      <c r="C135" s="133"/>
      <c r="D135" s="133"/>
      <c r="E135" s="14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34" t="s">
        <v>245</v>
      </c>
      <c r="B136" s="135"/>
      <c r="C136" s="135"/>
      <c r="D136" s="135"/>
      <c r="E136" s="14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32" t="s">
        <v>241</v>
      </c>
      <c r="B149" s="133"/>
      <c r="C149" s="133"/>
      <c r="D149" s="133"/>
      <c r="E149" s="14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32" t="s">
        <v>244</v>
      </c>
      <c r="B162" s="133"/>
      <c r="C162" s="133"/>
      <c r="D162" s="133"/>
      <c r="E162" s="14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34" t="s">
        <v>245</v>
      </c>
      <c r="B163" s="135"/>
      <c r="C163" s="135"/>
      <c r="D163" s="135"/>
      <c r="E163" s="14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32" t="s">
        <v>241</v>
      </c>
      <c r="B176" s="133"/>
      <c r="C176" s="133"/>
      <c r="D176" s="133"/>
      <c r="E176" s="14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32" t="s">
        <v>244</v>
      </c>
      <c r="B189" s="133"/>
      <c r="C189" s="133"/>
      <c r="D189" s="133"/>
      <c r="E189" s="14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34" t="s">
        <v>245</v>
      </c>
      <c r="B190" s="135"/>
      <c r="C190" s="135"/>
      <c r="D190" s="135"/>
      <c r="E190" s="14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32" t="s">
        <v>241</v>
      </c>
      <c r="B203" s="133"/>
      <c r="C203" s="133"/>
      <c r="D203" s="133"/>
      <c r="E203" s="14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32" t="s">
        <v>244</v>
      </c>
      <c r="B216" s="133"/>
      <c r="C216" s="133"/>
      <c r="D216" s="133"/>
      <c r="E216" s="14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34" t="s">
        <v>245</v>
      </c>
      <c r="B217" s="135"/>
      <c r="C217" s="135"/>
      <c r="D217" s="135"/>
      <c r="E217" s="14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46" t="s">
        <v>241</v>
      </c>
      <c r="B230" s="147"/>
      <c r="C230" s="147"/>
      <c r="D230" s="147"/>
      <c r="E230" s="14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32" t="s">
        <v>244</v>
      </c>
      <c r="B243" s="133"/>
      <c r="C243" s="133"/>
      <c r="D243" s="133"/>
      <c r="E243" s="14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34" t="s">
        <v>245</v>
      </c>
      <c r="B244" s="135"/>
      <c r="C244" s="135"/>
      <c r="D244" s="135"/>
      <c r="E244" s="14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32" t="s">
        <v>241</v>
      </c>
      <c r="B257" s="133"/>
      <c r="C257" s="133"/>
      <c r="D257" s="133"/>
      <c r="E257" s="14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32" t="s">
        <v>244</v>
      </c>
      <c r="B270" s="133"/>
      <c r="C270" s="133"/>
      <c r="D270" s="133"/>
      <c r="E270" s="14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34" t="s">
        <v>245</v>
      </c>
      <c r="B271" s="135"/>
      <c r="C271" s="135"/>
      <c r="D271" s="135"/>
      <c r="E271" s="14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32" t="s">
        <v>241</v>
      </c>
      <c r="B284" s="133"/>
      <c r="C284" s="133"/>
      <c r="D284" s="133"/>
      <c r="E284" s="14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32" t="s">
        <v>244</v>
      </c>
      <c r="B297" s="133"/>
      <c r="C297" s="133"/>
      <c r="D297" s="133"/>
      <c r="E297" s="14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34" t="s">
        <v>245</v>
      </c>
      <c r="B298" s="135"/>
      <c r="C298" s="135"/>
      <c r="D298" s="135"/>
      <c r="E298" s="14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32" t="s">
        <v>244</v>
      </c>
      <c r="B324" s="133"/>
      <c r="C324" s="133"/>
      <c r="D324" s="133"/>
      <c r="E324" s="14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34" t="s">
        <v>245</v>
      </c>
      <c r="B325" s="135"/>
      <c r="C325" s="135"/>
      <c r="D325" s="135"/>
      <c r="E325" s="144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/>
      <c r="D327" s="59"/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/>
      <c r="D328" s="59"/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/>
      <c r="D329" s="59"/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/>
      <c r="D330" s="59"/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/>
      <c r="D331" s="59"/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/>
      <c r="D332" s="59"/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/>
      <c r="D333" s="59"/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/>
      <c r="D334" s="59"/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/>
      <c r="D335" s="59"/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/>
      <c r="D336" s="59"/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/>
      <c r="D337" s="59"/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32" t="s">
        <v>241</v>
      </c>
      <c r="B338" s="133"/>
      <c r="C338" s="133"/>
      <c r="D338" s="133"/>
      <c r="E338" s="14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32" t="s">
        <v>244</v>
      </c>
      <c r="B351" s="133"/>
      <c r="C351" s="133"/>
      <c r="D351" s="133"/>
      <c r="E351" s="14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34" t="s">
        <v>245</v>
      </c>
      <c r="B352" s="135"/>
      <c r="C352" s="135"/>
      <c r="D352" s="135"/>
      <c r="E352" s="14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32" t="s">
        <v>241</v>
      </c>
      <c r="B365" s="133"/>
      <c r="C365" s="133"/>
      <c r="D365" s="133"/>
      <c r="E365" s="14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32" t="s">
        <v>244</v>
      </c>
      <c r="B378" s="133"/>
      <c r="C378" s="133"/>
      <c r="D378" s="133"/>
      <c r="E378" s="14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34" t="s">
        <v>245</v>
      </c>
      <c r="B379" s="135"/>
      <c r="C379" s="135"/>
      <c r="D379" s="135"/>
      <c r="E379" s="14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32" t="s">
        <v>241</v>
      </c>
      <c r="B392" s="133"/>
      <c r="C392" s="133"/>
      <c r="D392" s="133"/>
      <c r="E392" s="14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32" t="s">
        <v>244</v>
      </c>
      <c r="B405" s="133"/>
      <c r="C405" s="133"/>
      <c r="D405" s="133"/>
      <c r="E405" s="14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34" t="s">
        <v>245</v>
      </c>
      <c r="B406" s="135"/>
      <c r="C406" s="135"/>
      <c r="D406" s="135"/>
      <c r="E406" s="14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32" t="s">
        <v>241</v>
      </c>
      <c r="B419" s="133"/>
      <c r="C419" s="133"/>
      <c r="D419" s="133"/>
      <c r="E419" s="14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32" t="s">
        <v>244</v>
      </c>
      <c r="B432" s="133"/>
      <c r="C432" s="133"/>
      <c r="D432" s="133"/>
      <c r="E432" s="14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34" t="s">
        <v>245</v>
      </c>
      <c r="B433" s="135"/>
      <c r="C433" s="135"/>
      <c r="D433" s="135"/>
      <c r="E433" s="14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32" t="s">
        <v>241</v>
      </c>
      <c r="B446" s="133"/>
      <c r="C446" s="133"/>
      <c r="D446" s="133"/>
      <c r="E446" s="14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32" t="s">
        <v>244</v>
      </c>
      <c r="B459" s="133"/>
      <c r="C459" s="133"/>
      <c r="D459" s="133"/>
      <c r="E459" s="14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34" t="s">
        <v>245</v>
      </c>
      <c r="B460" s="135"/>
      <c r="C460" s="135"/>
      <c r="D460" s="135"/>
      <c r="E460" s="14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32" t="s">
        <v>241</v>
      </c>
      <c r="B473" s="133"/>
      <c r="C473" s="133"/>
      <c r="D473" s="133"/>
      <c r="E473" s="14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32" t="s">
        <v>244</v>
      </c>
      <c r="B486" s="133"/>
      <c r="C486" s="133"/>
      <c r="D486" s="133"/>
      <c r="E486" s="14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34" t="s">
        <v>245</v>
      </c>
      <c r="B487" s="135"/>
      <c r="C487" s="135"/>
      <c r="D487" s="135"/>
      <c r="E487" s="14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32" t="s">
        <v>241</v>
      </c>
      <c r="B500" s="133"/>
      <c r="C500" s="133"/>
      <c r="D500" s="133"/>
      <c r="E500" s="14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32" t="s">
        <v>244</v>
      </c>
      <c r="B513" s="133"/>
      <c r="C513" s="133"/>
      <c r="D513" s="133"/>
      <c r="E513" s="14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34" t="s">
        <v>245</v>
      </c>
      <c r="B514" s="135"/>
      <c r="C514" s="135"/>
      <c r="D514" s="135"/>
      <c r="E514" s="14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32" t="s">
        <v>241</v>
      </c>
      <c r="B527" s="133"/>
      <c r="C527" s="133"/>
      <c r="D527" s="133"/>
      <c r="E527" s="14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32" t="s">
        <v>244</v>
      </c>
      <c r="B540" s="133"/>
      <c r="C540" s="133"/>
      <c r="D540" s="133"/>
      <c r="E540" s="14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34" t="s">
        <v>245</v>
      </c>
      <c r="B541" s="135"/>
      <c r="C541" s="135"/>
      <c r="D541" s="135"/>
      <c r="E541" s="14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32" t="s">
        <v>241</v>
      </c>
      <c r="B554" s="133"/>
      <c r="C554" s="133"/>
      <c r="D554" s="133"/>
      <c r="E554" s="14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32" t="s">
        <v>244</v>
      </c>
      <c r="B567" s="133"/>
      <c r="C567" s="133"/>
      <c r="D567" s="133"/>
      <c r="E567" s="14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34" t="s">
        <v>245</v>
      </c>
      <c r="B568" s="135"/>
      <c r="C568" s="135"/>
      <c r="D568" s="135"/>
      <c r="E568" s="14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32" t="s">
        <v>241</v>
      </c>
      <c r="B581" s="133"/>
      <c r="C581" s="133"/>
      <c r="D581" s="133"/>
      <c r="E581" s="14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32" t="s">
        <v>244</v>
      </c>
      <c r="B594" s="133"/>
      <c r="C594" s="133"/>
      <c r="D594" s="133"/>
      <c r="E594" s="14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34" t="s">
        <v>245</v>
      </c>
      <c r="B595" s="135"/>
      <c r="C595" s="135"/>
      <c r="D595" s="135"/>
      <c r="E595" s="14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32" t="s">
        <v>241</v>
      </c>
      <c r="B608" s="133"/>
      <c r="C608" s="133"/>
      <c r="D608" s="133"/>
      <c r="E608" s="14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32" t="s">
        <v>244</v>
      </c>
      <c r="B621" s="133"/>
      <c r="C621" s="133"/>
      <c r="D621" s="133"/>
      <c r="E621" s="14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34" t="s">
        <v>245</v>
      </c>
      <c r="B622" s="135"/>
      <c r="C622" s="135"/>
      <c r="D622" s="135"/>
      <c r="E622" s="14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32" t="s">
        <v>241</v>
      </c>
      <c r="B635" s="133"/>
      <c r="C635" s="133"/>
      <c r="D635" s="133"/>
      <c r="E635" s="14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32" t="s">
        <v>244</v>
      </c>
      <c r="B648" s="133"/>
      <c r="C648" s="133"/>
      <c r="D648" s="133"/>
      <c r="E648" s="14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34" t="s">
        <v>245</v>
      </c>
      <c r="B649" s="135"/>
      <c r="C649" s="135"/>
      <c r="D649" s="135"/>
      <c r="E649" s="14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32" t="s">
        <v>241</v>
      </c>
      <c r="B662" s="133"/>
      <c r="C662" s="133"/>
      <c r="D662" s="133"/>
      <c r="E662" s="14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32" t="s">
        <v>244</v>
      </c>
      <c r="B675" s="133"/>
      <c r="C675" s="133"/>
      <c r="D675" s="133"/>
      <c r="E675" s="14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34" t="s">
        <v>245</v>
      </c>
      <c r="B676" s="135"/>
      <c r="C676" s="135"/>
      <c r="D676" s="135"/>
      <c r="E676" s="14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32" t="s">
        <v>241</v>
      </c>
      <c r="B689" s="133"/>
      <c r="C689" s="133"/>
      <c r="D689" s="133"/>
      <c r="E689" s="14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32" t="s">
        <v>244</v>
      </c>
      <c r="B702" s="133"/>
      <c r="C702" s="133"/>
      <c r="D702" s="133"/>
      <c r="E702" s="14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34" t="s">
        <v>245</v>
      </c>
      <c r="B703" s="135"/>
      <c r="C703" s="135"/>
      <c r="D703" s="135"/>
      <c r="E703" s="14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32" t="s">
        <v>241</v>
      </c>
      <c r="B716" s="133"/>
      <c r="C716" s="133"/>
      <c r="D716" s="133"/>
      <c r="E716" s="14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32" t="s">
        <v>244</v>
      </c>
      <c r="B729" s="133"/>
      <c r="C729" s="133"/>
      <c r="D729" s="133"/>
      <c r="E729" s="14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34" t="s">
        <v>245</v>
      </c>
      <c r="B730" s="135"/>
      <c r="C730" s="135"/>
      <c r="D730" s="135"/>
      <c r="E730" s="14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32" t="s">
        <v>241</v>
      </c>
      <c r="B743" s="133"/>
      <c r="C743" s="133"/>
      <c r="D743" s="133"/>
      <c r="E743" s="14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32" t="s">
        <v>244</v>
      </c>
      <c r="B756" s="133"/>
      <c r="C756" s="133"/>
      <c r="D756" s="133"/>
      <c r="E756" s="14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34" t="s">
        <v>245</v>
      </c>
      <c r="B757" s="135"/>
      <c r="C757" s="135"/>
      <c r="D757" s="135"/>
      <c r="E757" s="14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32" t="s">
        <v>241</v>
      </c>
      <c r="B770" s="133"/>
      <c r="C770" s="133"/>
      <c r="D770" s="133"/>
      <c r="E770" s="14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32" t="s">
        <v>244</v>
      </c>
      <c r="B783" s="133"/>
      <c r="C783" s="133"/>
      <c r="D783" s="133"/>
      <c r="E783" s="14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34" t="s">
        <v>245</v>
      </c>
      <c r="B784" s="135"/>
      <c r="C784" s="135"/>
      <c r="D784" s="135"/>
      <c r="E784" s="14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32" t="s">
        <v>241</v>
      </c>
      <c r="B797" s="133"/>
      <c r="C797" s="133"/>
      <c r="D797" s="133"/>
      <c r="E797" s="14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32" t="s">
        <v>244</v>
      </c>
      <c r="B810" s="133"/>
      <c r="C810" s="133"/>
      <c r="D810" s="133"/>
      <c r="E810" s="14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49" t="s">
        <v>245</v>
      </c>
      <c r="B811" s="150"/>
      <c r="C811" s="150"/>
      <c r="D811" s="150"/>
      <c r="E811" s="151">
        <f>E797+E810</f>
        <v>0</v>
      </c>
      <c r="F811" s="15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32" t="s">
        <v>241</v>
      </c>
      <c r="B824" s="133"/>
      <c r="C824" s="133"/>
      <c r="D824" s="133"/>
      <c r="E824" s="14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32" t="s">
        <v>244</v>
      </c>
      <c r="B837" s="133"/>
      <c r="C837" s="133"/>
      <c r="D837" s="133"/>
      <c r="E837" s="14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34" t="s">
        <v>245</v>
      </c>
      <c r="B838" s="135"/>
      <c r="C838" s="135"/>
      <c r="D838" s="135"/>
      <c r="E838" s="14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285" activePane="bottomLeft" state="frozen"/>
      <selection pane="bottomLeft" activeCell="K335" sqref="K3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53" t="s">
        <v>17</v>
      </c>
      <c r="G1" s="23" t="s">
        <v>232</v>
      </c>
      <c r="H1" s="153" t="s">
        <v>264</v>
      </c>
      <c r="I1" s="153" t="s">
        <v>18</v>
      </c>
      <c r="J1" s="15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54"/>
      <c r="G2" s="106">
        <v>0</v>
      </c>
      <c r="H2" s="154"/>
      <c r="I2" s="155"/>
      <c r="J2" s="15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54"/>
      <c r="G3" s="106">
        <v>11</v>
      </c>
      <c r="H3" s="154"/>
      <c r="I3" s="155"/>
      <c r="J3" s="15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54"/>
      <c r="G4" s="106">
        <v>8</v>
      </c>
      <c r="H4" s="154"/>
      <c r="I4" s="155"/>
      <c r="J4" s="15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54"/>
      <c r="G5" s="106">
        <v>9</v>
      </c>
      <c r="H5" s="154"/>
      <c r="I5" s="155"/>
      <c r="J5" s="15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54"/>
      <c r="G6" s="106">
        <v>18</v>
      </c>
      <c r="H6" s="154"/>
      <c r="I6" s="155"/>
      <c r="J6" s="15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54"/>
      <c r="G7" s="106">
        <v>16</v>
      </c>
      <c r="H7" s="154"/>
      <c r="I7" s="155"/>
      <c r="J7" s="15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54"/>
      <c r="G8" s="106">
        <v>10</v>
      </c>
      <c r="H8" s="154"/>
      <c r="I8" s="155"/>
      <c r="J8" s="15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54"/>
      <c r="G9" s="106">
        <v>7</v>
      </c>
      <c r="H9" s="154"/>
      <c r="I9" s="155"/>
      <c r="J9" s="15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54"/>
      <c r="G10" s="106">
        <v>8</v>
      </c>
      <c r="H10" s="154"/>
      <c r="I10" s="155"/>
      <c r="J10" s="15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54"/>
      <c r="G11" s="106">
        <v>16</v>
      </c>
      <c r="H11" s="154"/>
      <c r="I11" s="155"/>
      <c r="J11" s="15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54"/>
      <c r="G12" s="106">
        <v>9</v>
      </c>
      <c r="H12" s="154"/>
      <c r="I12" s="155"/>
      <c r="J12" s="15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57"/>
      <c r="G13" s="106">
        <v>0</v>
      </c>
      <c r="H13" s="157"/>
      <c r="I13" s="158"/>
      <c r="J13" s="15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32" t="s">
        <v>241</v>
      </c>
      <c r="B14" s="133"/>
      <c r="C14" s="133"/>
      <c r="D14" s="133"/>
      <c r="E14" s="13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60"/>
      <c r="G15" s="106">
        <v>26</v>
      </c>
      <c r="H15" s="160"/>
      <c r="I15" s="161"/>
      <c r="J15" s="16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54"/>
      <c r="G16" s="106">
        <v>8</v>
      </c>
      <c r="H16" s="154"/>
      <c r="I16" s="155"/>
      <c r="J16" s="15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54"/>
      <c r="G17" s="106">
        <v>26</v>
      </c>
      <c r="H17" s="154"/>
      <c r="I17" s="155"/>
      <c r="J17" s="15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54"/>
      <c r="G18" s="106">
        <v>1</v>
      </c>
      <c r="H18" s="154"/>
      <c r="I18" s="155"/>
      <c r="J18" s="15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54"/>
      <c r="G19" s="106">
        <v>1</v>
      </c>
      <c r="H19" s="154"/>
      <c r="I19" s="155"/>
      <c r="J19" s="15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54"/>
      <c r="G20" s="106">
        <v>14</v>
      </c>
      <c r="H20" s="154"/>
      <c r="I20" s="155"/>
      <c r="J20" s="15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54"/>
      <c r="G21" s="106">
        <v>12</v>
      </c>
      <c r="H21" s="154"/>
      <c r="I21" s="155"/>
      <c r="J21" s="15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54"/>
      <c r="G22" s="106">
        <v>11</v>
      </c>
      <c r="H22" s="154"/>
      <c r="I22" s="155"/>
      <c r="J22" s="15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54"/>
      <c r="G23" s="107">
        <v>7</v>
      </c>
      <c r="H23" s="154"/>
      <c r="I23" s="155"/>
      <c r="J23" s="15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54"/>
      <c r="G24" s="106">
        <v>0</v>
      </c>
      <c r="H24" s="154"/>
      <c r="I24" s="155"/>
      <c r="J24" s="15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54"/>
      <c r="G25" s="106">
        <v>6</v>
      </c>
      <c r="H25" s="154"/>
      <c r="I25" s="155"/>
      <c r="J25" s="15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57"/>
      <c r="G26" s="106">
        <v>5</v>
      </c>
      <c r="H26" s="157"/>
      <c r="I26" s="158"/>
      <c r="J26" s="15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32" t="s">
        <v>244</v>
      </c>
      <c r="B27" s="133"/>
      <c r="C27" s="133"/>
      <c r="D27" s="133"/>
      <c r="E27" s="13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34" t="s">
        <v>245</v>
      </c>
      <c r="B28" s="135"/>
      <c r="C28" s="135"/>
      <c r="D28" s="135"/>
      <c r="E28" s="135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60"/>
      <c r="G29" s="106">
        <v>5</v>
      </c>
      <c r="H29" s="160"/>
      <c r="I29" s="161"/>
      <c r="J29" s="16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54"/>
      <c r="G30" s="106">
        <v>3</v>
      </c>
      <c r="H30" s="154"/>
      <c r="I30" s="155"/>
      <c r="J30" s="15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54"/>
      <c r="G31" s="106">
        <v>4</v>
      </c>
      <c r="H31" s="154"/>
      <c r="I31" s="155"/>
      <c r="J31" s="15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54"/>
      <c r="G32" s="106">
        <v>4</v>
      </c>
      <c r="H32" s="154"/>
      <c r="I32" s="155"/>
      <c r="J32" s="15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54"/>
      <c r="G33" s="106">
        <v>5</v>
      </c>
      <c r="H33" s="154"/>
      <c r="I33" s="155"/>
      <c r="J33" s="15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54"/>
      <c r="G34" s="106">
        <v>19</v>
      </c>
      <c r="H34" s="154"/>
      <c r="I34" s="155"/>
      <c r="J34" s="15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54"/>
      <c r="G35" s="106">
        <v>15</v>
      </c>
      <c r="H35" s="154"/>
      <c r="I35" s="155"/>
      <c r="J35" s="15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54"/>
      <c r="G36" s="106">
        <v>3</v>
      </c>
      <c r="H36" s="154"/>
      <c r="I36" s="155"/>
      <c r="J36" s="15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54"/>
      <c r="G37" s="106">
        <v>3</v>
      </c>
      <c r="H37" s="154"/>
      <c r="I37" s="155"/>
      <c r="J37" s="15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54"/>
      <c r="G38" s="106">
        <v>12</v>
      </c>
      <c r="H38" s="154"/>
      <c r="I38" s="155"/>
      <c r="J38" s="15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54"/>
      <c r="G39" s="106">
        <v>7</v>
      </c>
      <c r="H39" s="154"/>
      <c r="I39" s="155"/>
      <c r="J39" s="15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57"/>
      <c r="G40" s="106"/>
      <c r="H40" s="157"/>
      <c r="I40" s="158"/>
      <c r="J40" s="15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32" t="s">
        <v>241</v>
      </c>
      <c r="B41" s="133"/>
      <c r="C41" s="133"/>
      <c r="D41" s="133"/>
      <c r="E41" s="13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60"/>
      <c r="G42" s="106">
        <v>18</v>
      </c>
      <c r="H42" s="160"/>
      <c r="I42" s="161"/>
      <c r="J42" s="16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54"/>
      <c r="G43" s="106">
        <v>6</v>
      </c>
      <c r="H43" s="154"/>
      <c r="I43" s="155"/>
      <c r="J43" s="15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54"/>
      <c r="G44" s="106">
        <v>3</v>
      </c>
      <c r="H44" s="154"/>
      <c r="I44" s="155"/>
      <c r="J44" s="15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54"/>
      <c r="G45" s="106">
        <v>3</v>
      </c>
      <c r="H45" s="154"/>
      <c r="I45" s="155"/>
      <c r="J45" s="15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54"/>
      <c r="G46" s="106">
        <v>20</v>
      </c>
      <c r="H46" s="154"/>
      <c r="I46" s="155"/>
      <c r="J46" s="15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54"/>
      <c r="G47" s="106">
        <v>0</v>
      </c>
      <c r="H47" s="154"/>
      <c r="I47" s="155"/>
      <c r="J47" s="15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54"/>
      <c r="G48" s="106">
        <v>2</v>
      </c>
      <c r="H48" s="154"/>
      <c r="I48" s="155"/>
      <c r="J48" s="15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54"/>
      <c r="G49" s="106">
        <v>8</v>
      </c>
      <c r="H49" s="154"/>
      <c r="I49" s="155"/>
      <c r="J49" s="15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54"/>
      <c r="G50" s="106">
        <v>10</v>
      </c>
      <c r="H50" s="154"/>
      <c r="I50" s="155"/>
      <c r="J50" s="15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54"/>
      <c r="G51" s="106">
        <v>0</v>
      </c>
      <c r="H51" s="154"/>
      <c r="I51" s="155"/>
      <c r="J51" s="15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54"/>
      <c r="G52" s="106">
        <v>14</v>
      </c>
      <c r="H52" s="154"/>
      <c r="I52" s="155"/>
      <c r="J52" s="15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57"/>
      <c r="G53" s="106">
        <v>0</v>
      </c>
      <c r="H53" s="157"/>
      <c r="I53" s="158"/>
      <c r="J53" s="15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0.5390126157362829</v>
      </c>
      <c r="R53" s="46" t="s">
        <v>274</v>
      </c>
      <c r="S53" s="31"/>
    </row>
    <row r="54" spans="1:20" ht="15.75" customHeight="1" thickBot="1">
      <c r="A54" s="132" t="s">
        <v>244</v>
      </c>
      <c r="B54" s="133"/>
      <c r="C54" s="133"/>
      <c r="D54" s="133"/>
      <c r="E54" s="13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0.67790150462517174</v>
      </c>
      <c r="R54" s="36" t="s">
        <v>242</v>
      </c>
      <c r="S54" s="76">
        <v>352430</v>
      </c>
      <c r="T54" s="118"/>
    </row>
    <row r="55" spans="1:20" ht="18" customHeight="1">
      <c r="A55" s="134" t="s">
        <v>245</v>
      </c>
      <c r="B55" s="135"/>
      <c r="C55" s="135"/>
      <c r="D55" s="135"/>
      <c r="E55" s="135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0.7626237268473941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60"/>
      <c r="G56" s="106">
        <v>12</v>
      </c>
      <c r="H56" s="160"/>
      <c r="I56" s="161"/>
      <c r="J56" s="16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54"/>
      <c r="G57" s="106">
        <v>17</v>
      </c>
      <c r="H57" s="154"/>
      <c r="I57" s="155"/>
      <c r="J57" s="15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54"/>
      <c r="G58" s="106">
        <v>10</v>
      </c>
      <c r="H58" s="154"/>
      <c r="I58" s="155"/>
      <c r="J58" s="15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54"/>
      <c r="G59" s="106">
        <v>10</v>
      </c>
      <c r="H59" s="154"/>
      <c r="I59" s="155"/>
      <c r="J59" s="15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54"/>
      <c r="G60" s="106">
        <v>6</v>
      </c>
      <c r="H60" s="154"/>
      <c r="I60" s="155"/>
      <c r="J60" s="15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54"/>
      <c r="G61" s="106">
        <v>14</v>
      </c>
      <c r="H61" s="154"/>
      <c r="I61" s="155"/>
      <c r="J61" s="15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54"/>
      <c r="G62" s="106">
        <v>19</v>
      </c>
      <c r="H62" s="154"/>
      <c r="I62" s="155"/>
      <c r="J62" s="15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54"/>
      <c r="G63" s="106">
        <v>12</v>
      </c>
      <c r="H63" s="154"/>
      <c r="I63" s="155"/>
      <c r="J63" s="15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54"/>
      <c r="G64" s="106">
        <v>14</v>
      </c>
      <c r="H64" s="154"/>
      <c r="I64" s="155"/>
      <c r="J64" s="15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54"/>
      <c r="G65" s="106">
        <v>6</v>
      </c>
      <c r="H65" s="154"/>
      <c r="I65" s="155"/>
      <c r="J65" s="15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54"/>
      <c r="G66" s="106">
        <v>5</v>
      </c>
      <c r="H66" s="154"/>
      <c r="I66" s="155"/>
      <c r="J66" s="15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57"/>
      <c r="G67" s="106">
        <v>11</v>
      </c>
      <c r="H67" s="157"/>
      <c r="I67" s="158"/>
      <c r="J67" s="15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32" t="s">
        <v>241</v>
      </c>
      <c r="B68" s="133"/>
      <c r="C68" s="133"/>
      <c r="D68" s="133"/>
      <c r="E68" s="13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60"/>
      <c r="G69" s="106">
        <v>21</v>
      </c>
      <c r="H69" s="160"/>
      <c r="I69" s="161"/>
      <c r="J69" s="16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54"/>
      <c r="G70" s="106">
        <v>14</v>
      </c>
      <c r="H70" s="154"/>
      <c r="I70" s="155"/>
      <c r="J70" s="15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54"/>
      <c r="G71" s="106">
        <v>1</v>
      </c>
      <c r="H71" s="154"/>
      <c r="I71" s="155"/>
      <c r="J71" s="15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54"/>
      <c r="G72" s="106">
        <v>5</v>
      </c>
      <c r="H72" s="154"/>
      <c r="I72" s="155"/>
      <c r="J72" s="15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54"/>
      <c r="G73" s="106">
        <v>14</v>
      </c>
      <c r="H73" s="154"/>
      <c r="I73" s="155"/>
      <c r="J73" s="15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54"/>
      <c r="G74" s="106">
        <v>19</v>
      </c>
      <c r="H74" s="154"/>
      <c r="I74" s="155"/>
      <c r="J74" s="15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54"/>
      <c r="G75" s="106">
        <v>16</v>
      </c>
      <c r="H75" s="154"/>
      <c r="I75" s="155"/>
      <c r="J75" s="15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54"/>
      <c r="G76" s="106">
        <v>12</v>
      </c>
      <c r="H76" s="154"/>
      <c r="I76" s="155"/>
      <c r="J76" s="15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54"/>
      <c r="G77" s="106">
        <v>12</v>
      </c>
      <c r="H77" s="154"/>
      <c r="I77" s="155"/>
      <c r="J77" s="15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54"/>
      <c r="G78" s="106">
        <v>13</v>
      </c>
      <c r="H78" s="154"/>
      <c r="I78" s="155"/>
      <c r="J78" s="15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54"/>
      <c r="G79" s="106">
        <v>15</v>
      </c>
      <c r="H79" s="154"/>
      <c r="I79" s="155"/>
      <c r="J79" s="15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57"/>
      <c r="G80" s="106">
        <v>10</v>
      </c>
      <c r="H80" s="157"/>
      <c r="I80" s="158"/>
      <c r="J80" s="15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32" t="s">
        <v>244</v>
      </c>
      <c r="B81" s="133"/>
      <c r="C81" s="133"/>
      <c r="D81" s="133"/>
      <c r="E81" s="13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34" t="s">
        <v>245</v>
      </c>
      <c r="B82" s="135"/>
      <c r="C82" s="135"/>
      <c r="D82" s="135"/>
      <c r="E82" s="135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60"/>
      <c r="G83" s="106">
        <v>12</v>
      </c>
      <c r="H83" s="160"/>
      <c r="I83" s="161"/>
      <c r="J83" s="16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54"/>
      <c r="G84" s="106">
        <v>6</v>
      </c>
      <c r="H84" s="154"/>
      <c r="I84" s="155"/>
      <c r="J84" s="15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54"/>
      <c r="G85" s="106">
        <v>15</v>
      </c>
      <c r="H85" s="154"/>
      <c r="I85" s="155"/>
      <c r="J85" s="15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54"/>
      <c r="G86" s="106">
        <v>13</v>
      </c>
      <c r="H86" s="154"/>
      <c r="I86" s="155"/>
      <c r="J86" s="15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54"/>
      <c r="G87" s="106">
        <v>14</v>
      </c>
      <c r="H87" s="154"/>
      <c r="I87" s="155"/>
      <c r="J87" s="15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54"/>
      <c r="G88" s="106">
        <v>18</v>
      </c>
      <c r="H88" s="154"/>
      <c r="I88" s="155"/>
      <c r="J88" s="15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54"/>
      <c r="G89" s="106">
        <v>12</v>
      </c>
      <c r="H89" s="154"/>
      <c r="I89" s="155"/>
      <c r="J89" s="15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54"/>
      <c r="G90" s="106">
        <v>0</v>
      </c>
      <c r="H90" s="154"/>
      <c r="I90" s="155"/>
      <c r="J90" s="15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54"/>
      <c r="G91" s="106">
        <v>0</v>
      </c>
      <c r="H91" s="154"/>
      <c r="I91" s="155"/>
      <c r="J91" s="15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54"/>
      <c r="G92" s="106">
        <v>0</v>
      </c>
      <c r="H92" s="154"/>
      <c r="I92" s="155"/>
      <c r="J92" s="15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54"/>
      <c r="G93" s="106">
        <v>2</v>
      </c>
      <c r="H93" s="154"/>
      <c r="I93" s="155"/>
      <c r="J93" s="15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57"/>
      <c r="G94" s="106">
        <v>4</v>
      </c>
      <c r="H94" s="157"/>
      <c r="I94" s="158"/>
      <c r="J94" s="15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32" t="s">
        <v>241</v>
      </c>
      <c r="B95" s="133"/>
      <c r="C95" s="133"/>
      <c r="D95" s="133"/>
      <c r="E95" s="13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60"/>
      <c r="G96" s="106">
        <v>3</v>
      </c>
      <c r="H96" s="160"/>
      <c r="I96" s="161"/>
      <c r="J96" s="16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54"/>
      <c r="G97" s="106">
        <v>0</v>
      </c>
      <c r="H97" s="154"/>
      <c r="I97" s="155"/>
      <c r="J97" s="15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54"/>
      <c r="G98" s="106">
        <v>0</v>
      </c>
      <c r="H98" s="154"/>
      <c r="I98" s="155"/>
      <c r="J98" s="15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54"/>
      <c r="G99" s="106">
        <v>0</v>
      </c>
      <c r="H99" s="154"/>
      <c r="I99" s="155"/>
      <c r="J99" s="15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54"/>
      <c r="G100" s="106">
        <v>25</v>
      </c>
      <c r="H100" s="154"/>
      <c r="I100" s="155"/>
      <c r="J100" s="15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54"/>
      <c r="G101" s="106">
        <v>3</v>
      </c>
      <c r="H101" s="154"/>
      <c r="I101" s="155"/>
      <c r="J101" s="15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54"/>
      <c r="G102" s="106">
        <v>11</v>
      </c>
      <c r="H102" s="154"/>
      <c r="I102" s="155"/>
      <c r="J102" s="15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54"/>
      <c r="G103" s="106">
        <v>18</v>
      </c>
      <c r="H103" s="154"/>
      <c r="I103" s="155"/>
      <c r="J103" s="15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54"/>
      <c r="G104" s="106">
        <v>9</v>
      </c>
      <c r="H104" s="154"/>
      <c r="I104" s="155"/>
      <c r="J104" s="15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54"/>
      <c r="G105" s="106">
        <v>12</v>
      </c>
      <c r="H105" s="154"/>
      <c r="I105" s="155"/>
      <c r="J105" s="15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54"/>
      <c r="G106" s="106">
        <v>6</v>
      </c>
      <c r="H106" s="154"/>
      <c r="I106" s="155"/>
      <c r="J106" s="15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57"/>
      <c r="G107" s="106">
        <v>10</v>
      </c>
      <c r="H107" s="157"/>
      <c r="I107" s="158"/>
      <c r="J107" s="15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32" t="s">
        <v>244</v>
      </c>
      <c r="B108" s="133"/>
      <c r="C108" s="133"/>
      <c r="D108" s="133"/>
      <c r="E108" s="13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34" t="s">
        <v>245</v>
      </c>
      <c r="B109" s="135"/>
      <c r="C109" s="135"/>
      <c r="D109" s="135"/>
      <c r="E109" s="135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60"/>
      <c r="G110" s="106">
        <v>25</v>
      </c>
      <c r="H110" s="160"/>
      <c r="I110" s="161"/>
      <c r="J110" s="16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54"/>
      <c r="G111" s="106">
        <v>17</v>
      </c>
      <c r="H111" s="154"/>
      <c r="I111" s="155"/>
      <c r="J111" s="15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54"/>
      <c r="G112" s="106">
        <v>23</v>
      </c>
      <c r="H112" s="154"/>
      <c r="I112" s="155"/>
      <c r="J112" s="15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54"/>
      <c r="G113" s="106">
        <v>11</v>
      </c>
      <c r="H113" s="154"/>
      <c r="I113" s="155"/>
      <c r="J113" s="15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54"/>
      <c r="G114" s="106">
        <v>3</v>
      </c>
      <c r="H114" s="154"/>
      <c r="I114" s="155"/>
      <c r="J114" s="15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54"/>
      <c r="G115" s="106">
        <v>23</v>
      </c>
      <c r="H115" s="154"/>
      <c r="I115" s="155"/>
      <c r="J115" s="15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54"/>
      <c r="G116" s="106">
        <v>1</v>
      </c>
      <c r="H116" s="154"/>
      <c r="I116" s="155"/>
      <c r="J116" s="15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54"/>
      <c r="G117" s="106">
        <v>14</v>
      </c>
      <c r="H117" s="154"/>
      <c r="I117" s="155"/>
      <c r="J117" s="15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54"/>
      <c r="G118" s="106">
        <v>23</v>
      </c>
      <c r="H118" s="154"/>
      <c r="I118" s="155"/>
      <c r="J118" s="15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54"/>
      <c r="G119" s="106">
        <v>21</v>
      </c>
      <c r="H119" s="154"/>
      <c r="I119" s="155"/>
      <c r="J119" s="15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54"/>
      <c r="G120" s="106">
        <v>18</v>
      </c>
      <c r="H120" s="154"/>
      <c r="I120" s="155"/>
      <c r="J120" s="15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57"/>
      <c r="G121" s="106">
        <v>5</v>
      </c>
      <c r="H121" s="157"/>
      <c r="I121" s="158"/>
      <c r="J121" s="15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32" t="s">
        <v>241</v>
      </c>
      <c r="B122" s="133"/>
      <c r="C122" s="133"/>
      <c r="D122" s="133"/>
      <c r="E122" s="13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60"/>
      <c r="G123" s="106">
        <v>19</v>
      </c>
      <c r="H123" s="160"/>
      <c r="I123" s="161"/>
      <c r="J123" s="16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54"/>
      <c r="G124" s="106">
        <v>14</v>
      </c>
      <c r="H124" s="154"/>
      <c r="I124" s="155"/>
      <c r="J124" s="15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54"/>
      <c r="G125" s="106">
        <v>12</v>
      </c>
      <c r="H125" s="154"/>
      <c r="I125" s="155"/>
      <c r="J125" s="15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54"/>
      <c r="G126" s="106">
        <v>20</v>
      </c>
      <c r="H126" s="154"/>
      <c r="I126" s="155"/>
      <c r="J126" s="15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54"/>
      <c r="G127" s="106">
        <v>18</v>
      </c>
      <c r="H127" s="154"/>
      <c r="I127" s="155"/>
      <c r="J127" s="15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54"/>
      <c r="G128" s="106">
        <v>17</v>
      </c>
      <c r="H128" s="154"/>
      <c r="I128" s="155"/>
      <c r="J128" s="15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54"/>
      <c r="G129" s="106">
        <v>6</v>
      </c>
      <c r="H129" s="154"/>
      <c r="I129" s="155"/>
      <c r="J129" s="15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54"/>
      <c r="G130" s="106">
        <v>6</v>
      </c>
      <c r="H130" s="154"/>
      <c r="I130" s="155"/>
      <c r="J130" s="15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54"/>
      <c r="G131" s="106">
        <v>20</v>
      </c>
      <c r="H131" s="154"/>
      <c r="I131" s="155"/>
      <c r="J131" s="15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54"/>
      <c r="G132" s="106">
        <v>10</v>
      </c>
      <c r="H132" s="154"/>
      <c r="I132" s="155"/>
      <c r="J132" s="15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54"/>
      <c r="G133" s="106">
        <v>5</v>
      </c>
      <c r="H133" s="154"/>
      <c r="I133" s="155"/>
      <c r="J133" s="15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57"/>
      <c r="G134" s="106">
        <v>17</v>
      </c>
      <c r="H134" s="157"/>
      <c r="I134" s="158"/>
      <c r="J134" s="15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32" t="s">
        <v>244</v>
      </c>
      <c r="B135" s="133"/>
      <c r="C135" s="133"/>
      <c r="D135" s="133"/>
      <c r="E135" s="13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34" t="s">
        <v>245</v>
      </c>
      <c r="B136" s="135"/>
      <c r="C136" s="135"/>
      <c r="D136" s="135"/>
      <c r="E136" s="135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60"/>
      <c r="G137" s="106">
        <v>21</v>
      </c>
      <c r="H137" s="160"/>
      <c r="I137" s="161"/>
      <c r="J137" s="16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54"/>
      <c r="G138" s="106">
        <v>13</v>
      </c>
      <c r="H138" s="154"/>
      <c r="I138" s="155"/>
      <c r="J138" s="15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54"/>
      <c r="G139" s="106">
        <v>13</v>
      </c>
      <c r="H139" s="154"/>
      <c r="I139" s="155"/>
      <c r="J139" s="15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54"/>
      <c r="G140" s="106">
        <v>11</v>
      </c>
      <c r="H140" s="154"/>
      <c r="I140" s="155"/>
      <c r="J140" s="15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54"/>
      <c r="G141" s="106">
        <v>20</v>
      </c>
      <c r="H141" s="154"/>
      <c r="I141" s="155"/>
      <c r="J141" s="15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54"/>
      <c r="G142" s="106">
        <v>15</v>
      </c>
      <c r="H142" s="154"/>
      <c r="I142" s="155"/>
      <c r="J142" s="15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54"/>
      <c r="G143" s="106">
        <v>0</v>
      </c>
      <c r="H143" s="154"/>
      <c r="I143" s="155"/>
      <c r="J143" s="15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54"/>
      <c r="G144" s="106">
        <v>10</v>
      </c>
      <c r="H144" s="154"/>
      <c r="I144" s="155"/>
      <c r="J144" s="15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54"/>
      <c r="G145" s="106">
        <v>12</v>
      </c>
      <c r="H145" s="154"/>
      <c r="I145" s="155"/>
      <c r="J145" s="15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54"/>
      <c r="G146" s="106">
        <v>10</v>
      </c>
      <c r="H146" s="154"/>
      <c r="I146" s="155"/>
      <c r="J146" s="15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54"/>
      <c r="G147" s="106">
        <v>10</v>
      </c>
      <c r="H147" s="154"/>
      <c r="I147" s="155"/>
      <c r="J147" s="15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57"/>
      <c r="G148" s="106">
        <v>5</v>
      </c>
      <c r="H148" s="157"/>
      <c r="I148" s="158"/>
      <c r="J148" s="15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32" t="s">
        <v>241</v>
      </c>
      <c r="B149" s="133"/>
      <c r="C149" s="133"/>
      <c r="D149" s="133"/>
      <c r="E149" s="13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60"/>
      <c r="G150" s="106">
        <v>17</v>
      </c>
      <c r="H150" s="160"/>
      <c r="I150" s="161"/>
      <c r="J150" s="16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54"/>
      <c r="G151" s="106">
        <v>7</v>
      </c>
      <c r="H151" s="154"/>
      <c r="I151" s="155"/>
      <c r="J151" s="15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54"/>
      <c r="G152" s="106">
        <v>14</v>
      </c>
      <c r="H152" s="154"/>
      <c r="I152" s="155"/>
      <c r="J152" s="15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54"/>
      <c r="G153" s="106">
        <v>7</v>
      </c>
      <c r="H153" s="154"/>
      <c r="I153" s="155"/>
      <c r="J153" s="15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54"/>
      <c r="G154" s="106">
        <v>10</v>
      </c>
      <c r="H154" s="154"/>
      <c r="I154" s="155"/>
      <c r="J154" s="15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54"/>
      <c r="G155" s="106">
        <v>18</v>
      </c>
      <c r="H155" s="154"/>
      <c r="I155" s="155"/>
      <c r="J155" s="15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54"/>
      <c r="G156" s="106">
        <v>9</v>
      </c>
      <c r="H156" s="154"/>
      <c r="I156" s="155"/>
      <c r="J156" s="15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54"/>
      <c r="G157" s="106">
        <v>15</v>
      </c>
      <c r="H157" s="154"/>
      <c r="I157" s="155"/>
      <c r="J157" s="15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54"/>
      <c r="G158" s="106">
        <v>11</v>
      </c>
      <c r="H158" s="154"/>
      <c r="I158" s="155"/>
      <c r="J158" s="15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54"/>
      <c r="G159" s="106">
        <v>13</v>
      </c>
      <c r="H159" s="154"/>
      <c r="I159" s="155"/>
      <c r="J159" s="15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54"/>
      <c r="G160" s="106">
        <v>13</v>
      </c>
      <c r="H160" s="154"/>
      <c r="I160" s="155"/>
      <c r="J160" s="15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57"/>
      <c r="G161" s="106">
        <v>0</v>
      </c>
      <c r="H161" s="157"/>
      <c r="I161" s="158"/>
      <c r="J161" s="15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32" t="s">
        <v>244</v>
      </c>
      <c r="B162" s="133"/>
      <c r="C162" s="133"/>
      <c r="D162" s="133"/>
      <c r="E162" s="13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34" t="s">
        <v>245</v>
      </c>
      <c r="B163" s="135"/>
      <c r="C163" s="135"/>
      <c r="D163" s="135"/>
      <c r="E163" s="135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60"/>
      <c r="G164" s="106">
        <v>2</v>
      </c>
      <c r="H164" s="160"/>
      <c r="I164" s="161"/>
      <c r="J164" s="16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54"/>
      <c r="G165" s="106">
        <v>8</v>
      </c>
      <c r="H165" s="154"/>
      <c r="I165" s="155"/>
      <c r="J165" s="15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54"/>
      <c r="G166" s="106">
        <v>2</v>
      </c>
      <c r="H166" s="154"/>
      <c r="I166" s="155"/>
      <c r="J166" s="15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54"/>
      <c r="G167" s="106">
        <v>6</v>
      </c>
      <c r="H167" s="154"/>
      <c r="I167" s="155"/>
      <c r="J167" s="15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54"/>
      <c r="G168" s="106">
        <v>8</v>
      </c>
      <c r="H168" s="154"/>
      <c r="I168" s="155"/>
      <c r="J168" s="15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54"/>
      <c r="G169" s="106">
        <v>9</v>
      </c>
      <c r="H169" s="154"/>
      <c r="I169" s="155"/>
      <c r="J169" s="15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54"/>
      <c r="G170" s="106">
        <v>6</v>
      </c>
      <c r="H170" s="154"/>
      <c r="I170" s="155"/>
      <c r="J170" s="15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54"/>
      <c r="G171" s="106">
        <v>7</v>
      </c>
      <c r="H171" s="154"/>
      <c r="I171" s="155"/>
      <c r="J171" s="15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54"/>
      <c r="G172" s="106">
        <v>6</v>
      </c>
      <c r="H172" s="154"/>
      <c r="I172" s="155"/>
      <c r="J172" s="15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54"/>
      <c r="G173" s="106">
        <v>8</v>
      </c>
      <c r="H173" s="154"/>
      <c r="I173" s="155"/>
      <c r="J173" s="15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54"/>
      <c r="G174" s="106">
        <v>5</v>
      </c>
      <c r="H174" s="154"/>
      <c r="I174" s="155"/>
      <c r="J174" s="15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57"/>
      <c r="G175" s="106">
        <v>2</v>
      </c>
      <c r="H175" s="157"/>
      <c r="I175" s="158"/>
      <c r="J175" s="15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32" t="s">
        <v>241</v>
      </c>
      <c r="B176" s="133"/>
      <c r="C176" s="133"/>
      <c r="D176" s="133"/>
      <c r="E176" s="13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60"/>
      <c r="G177" s="106">
        <v>2</v>
      </c>
      <c r="H177" s="160"/>
      <c r="I177" s="161"/>
      <c r="J177" s="16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54"/>
      <c r="G178" s="106">
        <v>7</v>
      </c>
      <c r="H178" s="154"/>
      <c r="I178" s="155"/>
      <c r="J178" s="15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54"/>
      <c r="G179" s="106">
        <v>19</v>
      </c>
      <c r="H179" s="154"/>
      <c r="I179" s="155"/>
      <c r="J179" s="15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54"/>
      <c r="G180" s="106">
        <v>2</v>
      </c>
      <c r="H180" s="154"/>
      <c r="I180" s="155"/>
      <c r="J180" s="15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54"/>
      <c r="G181" s="106">
        <v>22</v>
      </c>
      <c r="H181" s="154"/>
      <c r="I181" s="155"/>
      <c r="J181" s="15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54"/>
      <c r="G182" s="106">
        <v>6</v>
      </c>
      <c r="H182" s="154"/>
      <c r="I182" s="155"/>
      <c r="J182" s="15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54"/>
      <c r="G183" s="106">
        <v>13</v>
      </c>
      <c r="H183" s="154"/>
      <c r="I183" s="155"/>
      <c r="J183" s="15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54"/>
      <c r="G184" s="106">
        <v>0</v>
      </c>
      <c r="H184" s="154"/>
      <c r="I184" s="155"/>
      <c r="J184" s="15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54"/>
      <c r="G185" s="106">
        <v>3</v>
      </c>
      <c r="H185" s="154"/>
      <c r="I185" s="155"/>
      <c r="J185" s="15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54"/>
      <c r="G186" s="106">
        <v>10</v>
      </c>
      <c r="H186" s="154"/>
      <c r="I186" s="155"/>
      <c r="J186" s="15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54"/>
      <c r="G187" s="106">
        <v>0</v>
      </c>
      <c r="H187" s="154"/>
      <c r="I187" s="155"/>
      <c r="J187" s="15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57"/>
      <c r="G188" s="106">
        <v>0</v>
      </c>
      <c r="H188" s="157"/>
      <c r="I188" s="158"/>
      <c r="J188" s="15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32" t="s">
        <v>244</v>
      </c>
      <c r="B189" s="133"/>
      <c r="C189" s="133"/>
      <c r="D189" s="133"/>
      <c r="E189" s="13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34" t="s">
        <v>245</v>
      </c>
      <c r="B190" s="135"/>
      <c r="C190" s="135"/>
      <c r="D190" s="135"/>
      <c r="E190" s="135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60"/>
      <c r="G191" s="106">
        <v>2</v>
      </c>
      <c r="H191" s="160"/>
      <c r="I191" s="161"/>
      <c r="J191" s="16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54"/>
      <c r="G192" s="106">
        <v>17</v>
      </c>
      <c r="H192" s="154"/>
      <c r="I192" s="155"/>
      <c r="J192" s="15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54"/>
      <c r="G193" s="106">
        <v>16</v>
      </c>
      <c r="H193" s="154"/>
      <c r="I193" s="155"/>
      <c r="J193" s="15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54"/>
      <c r="G194" s="106">
        <v>20</v>
      </c>
      <c r="H194" s="154"/>
      <c r="I194" s="155"/>
      <c r="J194" s="15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54"/>
      <c r="G195" s="106">
        <v>5</v>
      </c>
      <c r="H195" s="154"/>
      <c r="I195" s="155"/>
      <c r="J195" s="15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54"/>
      <c r="G196" s="106">
        <v>13</v>
      </c>
      <c r="H196" s="154"/>
      <c r="I196" s="155"/>
      <c r="J196" s="15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54"/>
      <c r="G197" s="106">
        <v>10</v>
      </c>
      <c r="H197" s="154"/>
      <c r="I197" s="155"/>
      <c r="J197" s="15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54"/>
      <c r="G198" s="106">
        <v>9</v>
      </c>
      <c r="H198" s="154"/>
      <c r="I198" s="155"/>
      <c r="J198" s="15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54"/>
      <c r="G199" s="106">
        <v>9</v>
      </c>
      <c r="H199" s="154"/>
      <c r="I199" s="155"/>
      <c r="J199" s="15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54"/>
      <c r="G200" s="106">
        <v>19</v>
      </c>
      <c r="H200" s="154"/>
      <c r="I200" s="155"/>
      <c r="J200" s="15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54"/>
      <c r="G201" s="106">
        <v>6</v>
      </c>
      <c r="H201" s="154"/>
      <c r="I201" s="155"/>
      <c r="J201" s="15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57"/>
      <c r="G202" s="106">
        <v>7</v>
      </c>
      <c r="H202" s="157"/>
      <c r="I202" s="158"/>
      <c r="J202" s="15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32" t="s">
        <v>241</v>
      </c>
      <c r="B203" s="133"/>
      <c r="C203" s="133"/>
      <c r="D203" s="133"/>
      <c r="E203" s="13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60"/>
      <c r="G204" s="106">
        <v>16</v>
      </c>
      <c r="H204" s="160"/>
      <c r="I204" s="161"/>
      <c r="J204" s="16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54"/>
      <c r="G205" s="106">
        <v>11</v>
      </c>
      <c r="H205" s="154"/>
      <c r="I205" s="155"/>
      <c r="J205" s="15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54"/>
      <c r="G206" s="106">
        <v>10</v>
      </c>
      <c r="H206" s="154"/>
      <c r="I206" s="155"/>
      <c r="J206" s="15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54"/>
      <c r="G207" s="106">
        <v>8</v>
      </c>
      <c r="H207" s="154"/>
      <c r="I207" s="155"/>
      <c r="J207" s="15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54"/>
      <c r="G208" s="106">
        <v>17</v>
      </c>
      <c r="H208" s="154"/>
      <c r="I208" s="155"/>
      <c r="J208" s="15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54"/>
      <c r="G209" s="106">
        <v>12</v>
      </c>
      <c r="H209" s="154"/>
      <c r="I209" s="155"/>
      <c r="J209" s="15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54"/>
      <c r="G210" s="106">
        <v>12</v>
      </c>
      <c r="H210" s="154"/>
      <c r="I210" s="155"/>
      <c r="J210" s="15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54"/>
      <c r="G211" s="106">
        <v>15</v>
      </c>
      <c r="H211" s="154"/>
      <c r="I211" s="155"/>
      <c r="J211" s="15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54"/>
      <c r="G212" s="106">
        <v>16</v>
      </c>
      <c r="H212" s="154"/>
      <c r="I212" s="155"/>
      <c r="J212" s="15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54"/>
      <c r="G213" s="106">
        <v>15</v>
      </c>
      <c r="H213" s="154"/>
      <c r="I213" s="155"/>
      <c r="J213" s="15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54"/>
      <c r="G214" s="106">
        <v>0</v>
      </c>
      <c r="H214" s="154"/>
      <c r="I214" s="155"/>
      <c r="J214" s="15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57"/>
      <c r="G215" s="106">
        <v>9</v>
      </c>
      <c r="H215" s="157"/>
      <c r="I215" s="158"/>
      <c r="J215" s="15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32" t="s">
        <v>244</v>
      </c>
      <c r="B216" s="133"/>
      <c r="C216" s="133"/>
      <c r="D216" s="133"/>
      <c r="E216" s="13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34" t="s">
        <v>245</v>
      </c>
      <c r="B217" s="135"/>
      <c r="C217" s="135"/>
      <c r="D217" s="135"/>
      <c r="E217" s="135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63">
        <f>IFERROR(S203+S216,"")</f>
        <v>1211130</v>
      </c>
      <c r="T217" s="164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60"/>
      <c r="G218" s="106">
        <v>18</v>
      </c>
      <c r="H218" s="160"/>
      <c r="I218" s="161"/>
      <c r="J218" s="16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54"/>
      <c r="G219" s="106">
        <v>8</v>
      </c>
      <c r="H219" s="154"/>
      <c r="I219" s="155"/>
      <c r="J219" s="15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54"/>
      <c r="G220" s="106">
        <v>7</v>
      </c>
      <c r="H220" s="154"/>
      <c r="I220" s="155"/>
      <c r="J220" s="15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54"/>
      <c r="G221" s="106">
        <v>17</v>
      </c>
      <c r="H221" s="154"/>
      <c r="I221" s="155"/>
      <c r="J221" s="15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54"/>
      <c r="G222" s="106">
        <v>5</v>
      </c>
      <c r="H222" s="154"/>
      <c r="I222" s="155"/>
      <c r="J222" s="15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54"/>
      <c r="G223" s="106">
        <v>13</v>
      </c>
      <c r="H223" s="154"/>
      <c r="I223" s="155"/>
      <c r="J223" s="15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54"/>
      <c r="G224" s="106">
        <v>10</v>
      </c>
      <c r="H224" s="154"/>
      <c r="I224" s="155"/>
      <c r="J224" s="15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54"/>
      <c r="G225" s="106">
        <v>14</v>
      </c>
      <c r="H225" s="154"/>
      <c r="I225" s="155"/>
      <c r="J225" s="15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54"/>
      <c r="G226" s="106">
        <v>12</v>
      </c>
      <c r="H226" s="154"/>
      <c r="I226" s="155"/>
      <c r="J226" s="15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54"/>
      <c r="G227" s="106">
        <v>10</v>
      </c>
      <c r="H227" s="154"/>
      <c r="I227" s="155"/>
      <c r="J227" s="15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54"/>
      <c r="G228" s="106">
        <v>10</v>
      </c>
      <c r="H228" s="154"/>
      <c r="I228" s="155"/>
      <c r="J228" s="15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57"/>
      <c r="G229" s="106">
        <v>10</v>
      </c>
      <c r="H229" s="157"/>
      <c r="I229" s="158"/>
      <c r="J229" s="15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46" t="s">
        <v>241</v>
      </c>
      <c r="B230" s="147"/>
      <c r="C230" s="147"/>
      <c r="D230" s="147"/>
      <c r="E230" s="147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60"/>
      <c r="G231" s="106">
        <v>15</v>
      </c>
      <c r="H231" s="160"/>
      <c r="I231" s="161"/>
      <c r="J231" s="16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54"/>
      <c r="G232" s="106">
        <v>11</v>
      </c>
      <c r="H232" s="154"/>
      <c r="I232" s="155"/>
      <c r="J232" s="15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54"/>
      <c r="G233" s="106">
        <v>13</v>
      </c>
      <c r="H233" s="154"/>
      <c r="I233" s="155"/>
      <c r="J233" s="15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54"/>
      <c r="G234" s="106">
        <v>8</v>
      </c>
      <c r="H234" s="154"/>
      <c r="I234" s="155"/>
      <c r="J234" s="15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54"/>
      <c r="G235" s="106">
        <v>10</v>
      </c>
      <c r="H235" s="154"/>
      <c r="I235" s="155"/>
      <c r="J235" s="15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54"/>
      <c r="G236" s="106">
        <v>12</v>
      </c>
      <c r="H236" s="154"/>
      <c r="I236" s="155"/>
      <c r="J236" s="15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54"/>
      <c r="G237" s="106">
        <v>16</v>
      </c>
      <c r="H237" s="154"/>
      <c r="I237" s="155"/>
      <c r="J237" s="15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54"/>
      <c r="G238" s="106">
        <v>18</v>
      </c>
      <c r="H238" s="154"/>
      <c r="I238" s="155"/>
      <c r="J238" s="15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54"/>
      <c r="G239" s="106">
        <v>14</v>
      </c>
      <c r="H239" s="154"/>
      <c r="I239" s="155"/>
      <c r="J239" s="15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54"/>
      <c r="G240" s="106">
        <v>11</v>
      </c>
      <c r="H240" s="154"/>
      <c r="I240" s="155"/>
      <c r="J240" s="15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54"/>
      <c r="G241" s="106">
        <v>6</v>
      </c>
      <c r="H241" s="154"/>
      <c r="I241" s="155"/>
      <c r="J241" s="15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57"/>
      <c r="G242" s="106">
        <v>3</v>
      </c>
      <c r="H242" s="157"/>
      <c r="I242" s="158"/>
      <c r="J242" s="15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32" t="s">
        <v>244</v>
      </c>
      <c r="B243" s="133"/>
      <c r="C243" s="133"/>
      <c r="D243" s="133"/>
      <c r="E243" s="13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34" t="s">
        <v>245</v>
      </c>
      <c r="B244" s="135"/>
      <c r="C244" s="135"/>
      <c r="D244" s="135"/>
      <c r="E244" s="135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63">
        <f>IFERROR(S230+S243,"")</f>
        <v>1329240</v>
      </c>
      <c r="T244" s="164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60"/>
      <c r="G245" s="27">
        <v>23</v>
      </c>
      <c r="H245" s="160"/>
      <c r="I245" s="161"/>
      <c r="J245" s="16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54"/>
      <c r="G246" s="27">
        <v>18</v>
      </c>
      <c r="H246" s="154"/>
      <c r="I246" s="155"/>
      <c r="J246" s="15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54"/>
      <c r="G247" s="27">
        <v>16</v>
      </c>
      <c r="H247" s="154"/>
      <c r="I247" s="155"/>
      <c r="J247" s="15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54"/>
      <c r="G248" s="27">
        <v>14</v>
      </c>
      <c r="H248" s="154"/>
      <c r="I248" s="155"/>
      <c r="J248" s="15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54"/>
      <c r="G249" s="27">
        <v>12</v>
      </c>
      <c r="H249" s="154"/>
      <c r="I249" s="155"/>
      <c r="J249" s="15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54"/>
      <c r="G250" s="27">
        <v>12</v>
      </c>
      <c r="H250" s="154"/>
      <c r="I250" s="155"/>
      <c r="J250" s="15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54"/>
      <c r="G251" s="27">
        <v>7</v>
      </c>
      <c r="H251" s="154"/>
      <c r="I251" s="155"/>
      <c r="J251" s="15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54"/>
      <c r="G252" s="27">
        <v>18</v>
      </c>
      <c r="H252" s="154"/>
      <c r="I252" s="155"/>
      <c r="J252" s="15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54"/>
      <c r="G253" s="27">
        <v>15</v>
      </c>
      <c r="H253" s="154"/>
      <c r="I253" s="155"/>
      <c r="J253" s="15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54"/>
      <c r="G254" s="27">
        <v>15</v>
      </c>
      <c r="H254" s="154"/>
      <c r="I254" s="155"/>
      <c r="J254" s="15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54"/>
      <c r="G255" s="27">
        <v>20</v>
      </c>
      <c r="H255" s="154"/>
      <c r="I255" s="155"/>
      <c r="J255" s="15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57"/>
      <c r="G256" s="27">
        <v>13</v>
      </c>
      <c r="H256" s="157"/>
      <c r="I256" s="158"/>
      <c r="J256" s="15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32" t="s">
        <v>241</v>
      </c>
      <c r="B257" s="133"/>
      <c r="C257" s="133"/>
      <c r="D257" s="133"/>
      <c r="E257" s="13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60"/>
      <c r="G258" s="27">
        <v>14</v>
      </c>
      <c r="H258" s="160"/>
      <c r="I258" s="161"/>
      <c r="J258" s="16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54"/>
      <c r="G259" s="27">
        <v>15</v>
      </c>
      <c r="H259" s="154"/>
      <c r="I259" s="155"/>
      <c r="J259" s="15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54"/>
      <c r="G260" s="27">
        <v>7</v>
      </c>
      <c r="H260" s="154"/>
      <c r="I260" s="155"/>
      <c r="J260" s="15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54"/>
      <c r="G261" s="27">
        <v>13</v>
      </c>
      <c r="H261" s="154"/>
      <c r="I261" s="155"/>
      <c r="J261" s="15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54"/>
      <c r="G262" s="27">
        <v>24</v>
      </c>
      <c r="H262" s="154"/>
      <c r="I262" s="155"/>
      <c r="J262" s="15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54"/>
      <c r="G263" s="27">
        <v>12</v>
      </c>
      <c r="H263" s="154"/>
      <c r="I263" s="155"/>
      <c r="J263" s="15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54"/>
      <c r="G264" s="27">
        <v>22</v>
      </c>
      <c r="H264" s="154"/>
      <c r="I264" s="155"/>
      <c r="J264" s="15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54"/>
      <c r="G265" s="27">
        <v>0</v>
      </c>
      <c r="H265" s="154"/>
      <c r="I265" s="155"/>
      <c r="J265" s="15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54"/>
      <c r="G266" s="27">
        <v>23</v>
      </c>
      <c r="H266" s="154"/>
      <c r="I266" s="155"/>
      <c r="J266" s="15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54"/>
      <c r="G267" s="27">
        <v>13</v>
      </c>
      <c r="H267" s="154"/>
      <c r="I267" s="155"/>
      <c r="J267" s="15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54"/>
      <c r="G268" s="27">
        <v>17</v>
      </c>
      <c r="H268" s="154"/>
      <c r="I268" s="155"/>
      <c r="J268" s="15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57"/>
      <c r="G269" s="27">
        <v>4</v>
      </c>
      <c r="H269" s="157"/>
      <c r="I269" s="158"/>
      <c r="J269" s="15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32" t="s">
        <v>244</v>
      </c>
      <c r="B270" s="133"/>
      <c r="C270" s="133"/>
      <c r="D270" s="133"/>
      <c r="E270" s="13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34" t="s">
        <v>245</v>
      </c>
      <c r="B271" s="135"/>
      <c r="C271" s="135"/>
      <c r="D271" s="135"/>
      <c r="E271" s="135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63">
        <f>IFERROR(S257+S270,"")</f>
        <v>1630320</v>
      </c>
      <c r="T271" s="164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60"/>
      <c r="G272" s="27">
        <v>7</v>
      </c>
      <c r="H272" s="160"/>
      <c r="I272" s="161"/>
      <c r="J272" s="16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54"/>
      <c r="G273" s="27">
        <v>6</v>
      </c>
      <c r="H273" s="154"/>
      <c r="I273" s="155"/>
      <c r="J273" s="15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54"/>
      <c r="G274" s="27">
        <v>10</v>
      </c>
      <c r="H274" s="154"/>
      <c r="I274" s="155"/>
      <c r="J274" s="15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54"/>
      <c r="G275" s="27">
        <v>16</v>
      </c>
      <c r="H275" s="154"/>
      <c r="I275" s="155"/>
      <c r="J275" s="15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54"/>
      <c r="G276" s="27">
        <v>9</v>
      </c>
      <c r="H276" s="154"/>
      <c r="I276" s="155"/>
      <c r="J276" s="15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54"/>
      <c r="G277" s="27">
        <v>6</v>
      </c>
      <c r="H277" s="154"/>
      <c r="I277" s="155"/>
      <c r="J277" s="15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54"/>
      <c r="G278" s="27">
        <v>15</v>
      </c>
      <c r="H278" s="154"/>
      <c r="I278" s="155"/>
      <c r="J278" s="15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54"/>
      <c r="G279" s="27">
        <v>6</v>
      </c>
      <c r="H279" s="154"/>
      <c r="I279" s="155"/>
      <c r="J279" s="15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54"/>
      <c r="G280" s="27">
        <v>7</v>
      </c>
      <c r="H280" s="154"/>
      <c r="I280" s="155"/>
      <c r="J280" s="15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54"/>
      <c r="G281" s="27">
        <v>18</v>
      </c>
      <c r="H281" s="154"/>
      <c r="I281" s="155"/>
      <c r="J281" s="15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54"/>
      <c r="G282" s="27">
        <v>7</v>
      </c>
      <c r="H282" s="154"/>
      <c r="I282" s="155"/>
      <c r="J282" s="15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57"/>
      <c r="G283" s="27">
        <v>15</v>
      </c>
      <c r="H283" s="157"/>
      <c r="I283" s="158"/>
      <c r="J283" s="15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32" t="s">
        <v>241</v>
      </c>
      <c r="B284" s="133"/>
      <c r="C284" s="133"/>
      <c r="D284" s="133"/>
      <c r="E284" s="13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60"/>
      <c r="G285" s="27">
        <v>8</v>
      </c>
      <c r="H285" s="160"/>
      <c r="I285" s="161"/>
      <c r="J285" s="16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54"/>
      <c r="G286" s="27">
        <v>12</v>
      </c>
      <c r="H286" s="154"/>
      <c r="I286" s="155"/>
      <c r="J286" s="15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54"/>
      <c r="G287" s="27">
        <v>17</v>
      </c>
      <c r="H287" s="154"/>
      <c r="I287" s="155"/>
      <c r="J287" s="15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54"/>
      <c r="G288" s="27">
        <v>25</v>
      </c>
      <c r="H288" s="154"/>
      <c r="I288" s="155"/>
      <c r="J288" s="15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54"/>
      <c r="G289" s="27">
        <v>10</v>
      </c>
      <c r="H289" s="154"/>
      <c r="I289" s="155"/>
      <c r="J289" s="15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54"/>
      <c r="G290" s="127">
        <v>8</v>
      </c>
      <c r="H290" s="154"/>
      <c r="I290" s="155"/>
      <c r="J290" s="15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54"/>
      <c r="G291" s="27">
        <v>13</v>
      </c>
      <c r="H291" s="154"/>
      <c r="I291" s="155"/>
      <c r="J291" s="15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54"/>
      <c r="G292" s="27">
        <v>12</v>
      </c>
      <c r="H292" s="154"/>
      <c r="I292" s="155"/>
      <c r="J292" s="15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54"/>
      <c r="G293" s="27">
        <v>9</v>
      </c>
      <c r="H293" s="154"/>
      <c r="I293" s="155"/>
      <c r="J293" s="15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54"/>
      <c r="G294" s="27">
        <v>8</v>
      </c>
      <c r="H294" s="154"/>
      <c r="I294" s="155"/>
      <c r="J294" s="15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54"/>
      <c r="G295" s="27">
        <v>16</v>
      </c>
      <c r="H295" s="154"/>
      <c r="I295" s="155"/>
      <c r="J295" s="15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57"/>
      <c r="G296" s="27">
        <v>12</v>
      </c>
      <c r="H296" s="157"/>
      <c r="I296" s="158"/>
      <c r="J296" s="15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32" t="s">
        <v>244</v>
      </c>
      <c r="B297" s="133"/>
      <c r="C297" s="133"/>
      <c r="D297" s="133"/>
      <c r="E297" s="13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34" t="s">
        <v>245</v>
      </c>
      <c r="B298" s="135"/>
      <c r="C298" s="135"/>
      <c r="D298" s="135"/>
      <c r="E298" s="135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63">
        <f>IFERROR(S284+S297,"")</f>
        <v>1562210</v>
      </c>
      <c r="T298" s="164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60">
        <f>IFERROR(IF($D299="","",VLOOKUP($D299,Cadastro!$C$4:$E$7,3,FALSE)),"")</f>
        <v>0.23</v>
      </c>
      <c r="G299" s="27">
        <v>9</v>
      </c>
      <c r="H299" s="160">
        <f>IFERROR(IF($G299="","",$G299*$S$311/$G$311/Cadastro!$E$33),"")</f>
        <v>0</v>
      </c>
      <c r="I299" s="161">
        <f>IFERROR(IF($D299="","",VLOOKUP($D299,Cadastro!$C$4:$G$7,5,FALSE)),"")</f>
        <v>0.6</v>
      </c>
      <c r="J299" s="162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54">
        <f>IFERROR(IF($D300="","",VLOOKUP($D300,Cadastro!$C$4:$E$7,3,FALSE)),"")</f>
        <v>0.23</v>
      </c>
      <c r="G300" s="27">
        <v>20</v>
      </c>
      <c r="H300" s="154">
        <f>IFERROR(IF($G300="","",$G300*$S$311/$G$311/Cadastro!$E$33),"")</f>
        <v>0</v>
      </c>
      <c r="I300" s="155">
        <f>IFERROR(IF($D300="","",VLOOKUP($D300,Cadastro!$C$4:$G$7,5,FALSE)),"")</f>
        <v>0.6</v>
      </c>
      <c r="J300" s="156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54">
        <f>IFERROR(IF($D301="","",VLOOKUP($D301,Cadastro!$C$4:$E$7,3,FALSE)),"")</f>
        <v>0.23</v>
      </c>
      <c r="G301" s="27">
        <v>20</v>
      </c>
      <c r="H301" s="154">
        <f>IFERROR(IF($G301="","",$G301*$S$311/$G$311/Cadastro!$E$33),"")</f>
        <v>0</v>
      </c>
      <c r="I301" s="155">
        <f>IFERROR(IF($D301="","",VLOOKUP($D301,Cadastro!$C$4:$G$7,5,FALSE)),"")</f>
        <v>0.6</v>
      </c>
      <c r="J301" s="156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54">
        <f>IFERROR(IF($D302="","",VLOOKUP($D302,Cadastro!$C$4:$E$7,3,FALSE)),"")</f>
        <v>0.23</v>
      </c>
      <c r="G302" s="27">
        <v>17</v>
      </c>
      <c r="H302" s="154">
        <f>IFERROR(IF($G302="","",$G302*$S$311/$G$311/Cadastro!$E$33),"")</f>
        <v>0</v>
      </c>
      <c r="I302" s="155">
        <f>IFERROR(IF($D302="","",VLOOKUP($D302,Cadastro!$C$4:$G$7,5,FALSE)),"")</f>
        <v>0.6</v>
      </c>
      <c r="J302" s="156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54">
        <f>IFERROR(IF($D303="","",VLOOKUP($D303,Cadastro!$C$4:$E$7,3,FALSE)),"")</f>
        <v>0.23</v>
      </c>
      <c r="G303" s="27">
        <v>15</v>
      </c>
      <c r="H303" s="154">
        <f>IFERROR(IF($G303="","",$G303*$S$311/$G$311/Cadastro!$E$33),"")</f>
        <v>0</v>
      </c>
      <c r="I303" s="155">
        <f>IFERROR(IF($D303="","",VLOOKUP($D303,Cadastro!$C$4:$G$7,5,FALSE)),"")</f>
        <v>0.6</v>
      </c>
      <c r="J303" s="156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54">
        <f>IFERROR(IF($D304="","",VLOOKUP($D304,Cadastro!$C$4:$E$7,3,FALSE)),"")</f>
        <v>0.23</v>
      </c>
      <c r="G304" s="27">
        <v>16</v>
      </c>
      <c r="H304" s="154">
        <f>IFERROR(IF($G304="","",$G304*$S$311/$G$311/Cadastro!$E$33),"")</f>
        <v>0</v>
      </c>
      <c r="I304" s="155">
        <f>IFERROR(IF($D304="","",VLOOKUP($D304,Cadastro!$C$4:$G$7,5,FALSE)),"")</f>
        <v>0.6</v>
      </c>
      <c r="J304" s="156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54">
        <f>IFERROR(IF($D305="","",VLOOKUP($D305,Cadastro!$C$4:$E$7,3,FALSE)),"")</f>
        <v>0.23</v>
      </c>
      <c r="G305" s="27">
        <v>13</v>
      </c>
      <c r="H305" s="154">
        <f>IFERROR(IF($G305="","",$G305*$S$311/$G$311/Cadastro!$E$33),"")</f>
        <v>0</v>
      </c>
      <c r="I305" s="155">
        <f>IFERROR(IF($D305="","",VLOOKUP($D305,Cadastro!$C$4:$G$7,5,FALSE)),"")</f>
        <v>0.6</v>
      </c>
      <c r="J305" s="156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54">
        <f>IFERROR(IF($D306="","",VLOOKUP($D306,Cadastro!$C$4:$E$7,3,FALSE)),"")</f>
        <v>0.23</v>
      </c>
      <c r="G306" s="27"/>
      <c r="H306" s="154" t="str">
        <f>IFERROR(IF($G306="","",$G306*$S$311/$G$311/Cadastro!$E$33),"")</f>
        <v/>
      </c>
      <c r="I306" s="155">
        <f>IFERROR(IF($D306="","",VLOOKUP($D306,Cadastro!$C$4:$G$7,5,FALSE)),"")</f>
        <v>0.6</v>
      </c>
      <c r="J306" s="156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54">
        <f>IFERROR(IF($D307="","",VLOOKUP($D307,Cadastro!$C$4:$E$7,3,FALSE)),"")</f>
        <v>0.23</v>
      </c>
      <c r="G307" s="27"/>
      <c r="H307" s="154" t="str">
        <f>IFERROR(IF($G307="","",$G307*$S$311/$G$311/Cadastro!$E$33),"")</f>
        <v/>
      </c>
      <c r="I307" s="155">
        <f>IFERROR(IF($D307="","",VLOOKUP($D307,Cadastro!$C$4:$G$7,5,FALSE)),"")</f>
        <v>0.6</v>
      </c>
      <c r="J307" s="156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54">
        <f>IFERROR(IF($D308="","",VLOOKUP($D308,Cadastro!$C$4:$E$7,3,FALSE)),"")</f>
        <v>0.23</v>
      </c>
      <c r="G308" s="27"/>
      <c r="H308" s="154" t="str">
        <f>IFERROR(IF($G308="","",$G308*$S$311/$G$311/Cadastro!$E$33),"")</f>
        <v/>
      </c>
      <c r="I308" s="155">
        <f>IFERROR(IF($D308="","",VLOOKUP($D308,Cadastro!$C$4:$G$7,5,FALSE)),"")</f>
        <v>0.6</v>
      </c>
      <c r="J308" s="156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54">
        <f>IFERROR(IF($D309="","",VLOOKUP($D309,Cadastro!$C$4:$E$7,3,FALSE)),"")</f>
        <v>0.23</v>
      </c>
      <c r="G309" s="27"/>
      <c r="H309" s="154" t="str">
        <f>IFERROR(IF($G309="","",$G309*$S$311/$G$311/Cadastro!$E$33),"")</f>
        <v/>
      </c>
      <c r="I309" s="155">
        <f>IFERROR(IF($D309="","",VLOOKUP($D309,Cadastro!$C$4:$G$7,5,FALSE)),"")</f>
        <v>0.6</v>
      </c>
      <c r="J309" s="156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57">
        <f>IFERROR(IF($D310="","",VLOOKUP($D310,Cadastro!$C$4:$E$7,3,FALSE)),"")</f>
        <v>0.23</v>
      </c>
      <c r="G310" s="27"/>
      <c r="H310" s="157" t="str">
        <f>IFERROR(IF($G310="","",$G310*$S$311/$G$311/Cadastro!$E$33),"")</f>
        <v/>
      </c>
      <c r="I310" s="158">
        <f>IFERROR(IF($D310="","",VLOOKUP($D310,Cadastro!$C$4:$G$7,5,FALSE)),"")</f>
        <v>0.6</v>
      </c>
      <c r="J310" s="159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32" t="s">
        <v>241</v>
      </c>
      <c r="B311" s="133"/>
      <c r="C311" s="133"/>
      <c r="D311" s="133"/>
      <c r="E311" s="13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60" t="str">
        <f>IFERROR(IF($D312="","",VLOOKUP($D312,Cadastro!$C$4:$E$7,3,FALSE)),"")</f>
        <v/>
      </c>
      <c r="G312" s="27"/>
      <c r="H312" s="160" t="str">
        <f>IFERROR(IF($G312="","",$G312*$S$324/$G$324/Cadastro!$E$33),"")</f>
        <v/>
      </c>
      <c r="I312" s="161" t="str">
        <f>IFERROR(IF($D312="","",VLOOKUP($D312,Cadastro!$C$4:$G$7,5,FALSE)),"")</f>
        <v/>
      </c>
      <c r="J312" s="162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54" t="str">
        <f>IFERROR(IF($D313="","",VLOOKUP($D313,Cadastro!$C$4:$E$7,3,FALSE)),"")</f>
        <v/>
      </c>
      <c r="G313" s="27"/>
      <c r="H313" s="154" t="str">
        <f>IFERROR(IF($G313="","",$G313*$S$324/$G$324/Cadastro!$E$33),"")</f>
        <v/>
      </c>
      <c r="I313" s="155" t="str">
        <f>IFERROR(IF($D313="","",VLOOKUP($D313,Cadastro!$C$4:$G$7,5,FALSE)),"")</f>
        <v/>
      </c>
      <c r="J313" s="156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54" t="str">
        <f>IFERROR(IF($D314="","",VLOOKUP($D314,Cadastro!$C$4:$E$7,3,FALSE)),"")</f>
        <v/>
      </c>
      <c r="G314" s="27"/>
      <c r="H314" s="154" t="str">
        <f>IFERROR(IF($G314="","",$G314*$S$324/$G$324/Cadastro!$E$33),"")</f>
        <v/>
      </c>
      <c r="I314" s="155" t="str">
        <f>IFERROR(IF($D314="","",VLOOKUP($D314,Cadastro!$C$4:$G$7,5,FALSE)),"")</f>
        <v/>
      </c>
      <c r="J314" s="156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54" t="str">
        <f>IFERROR(IF($D315="","",VLOOKUP($D315,Cadastro!$C$4:$E$7,3,FALSE)),"")</f>
        <v/>
      </c>
      <c r="G315" s="27"/>
      <c r="H315" s="154" t="str">
        <f>IFERROR(IF($G315="","",$G315*$S$324/$G$324/Cadastro!$E$33),"")</f>
        <v/>
      </c>
      <c r="I315" s="155" t="str">
        <f>IFERROR(IF($D315="","",VLOOKUP($D315,Cadastro!$C$4:$G$7,5,FALSE)),"")</f>
        <v/>
      </c>
      <c r="J315" s="156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54" t="str">
        <f>IFERROR(IF($D316="","",VLOOKUP($D316,Cadastro!$C$4:$E$7,3,FALSE)),"")</f>
        <v/>
      </c>
      <c r="G316" s="27"/>
      <c r="H316" s="154" t="str">
        <f>IFERROR(IF($G316="","",$G316*$S$324/$G$324/Cadastro!$E$33),"")</f>
        <v/>
      </c>
      <c r="I316" s="155" t="str">
        <f>IFERROR(IF($D316="","",VLOOKUP($D316,Cadastro!$C$4:$G$7,5,FALSE)),"")</f>
        <v/>
      </c>
      <c r="J316" s="156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54" t="str">
        <f>IFERROR(IF($D317="","",VLOOKUP($D317,Cadastro!$C$4:$E$7,3,FALSE)),"")</f>
        <v/>
      </c>
      <c r="G317" s="127"/>
      <c r="H317" s="154" t="str">
        <f>IFERROR(IF($G317="","",$G317*$S$324/$G$324/Cadastro!$E$33),"")</f>
        <v/>
      </c>
      <c r="I317" s="155" t="str">
        <f>IFERROR(IF($D317="","",VLOOKUP($D317,Cadastro!$C$4:$G$7,5,FALSE)),"")</f>
        <v/>
      </c>
      <c r="J317" s="156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54" t="str">
        <f>IFERROR(IF($D318="","",VLOOKUP($D318,Cadastro!$C$4:$E$7,3,FALSE)),"")</f>
        <v/>
      </c>
      <c r="G318" s="27"/>
      <c r="H318" s="154" t="str">
        <f>IFERROR(IF($G318="","",$G318*$S$324/$G$324/Cadastro!$E$33),"")</f>
        <v/>
      </c>
      <c r="I318" s="155" t="str">
        <f>IFERROR(IF($D318="","",VLOOKUP($D318,Cadastro!$C$4:$G$7,5,FALSE)),"")</f>
        <v/>
      </c>
      <c r="J318" s="156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54" t="str">
        <f>IFERROR(IF($D319="","",VLOOKUP($D319,Cadastro!$C$4:$E$7,3,FALSE)),"")</f>
        <v/>
      </c>
      <c r="G319" s="27"/>
      <c r="H319" s="154" t="str">
        <f>IFERROR(IF($G319="","",$G319*$S$324/$G$324/Cadastro!$E$33),"")</f>
        <v/>
      </c>
      <c r="I319" s="155" t="str">
        <f>IFERROR(IF($D319="","",VLOOKUP($D319,Cadastro!$C$4:$G$7,5,FALSE)),"")</f>
        <v/>
      </c>
      <c r="J319" s="156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54" t="str">
        <f>IFERROR(IF($D320="","",VLOOKUP($D320,Cadastro!$C$4:$E$7,3,FALSE)),"")</f>
        <v/>
      </c>
      <c r="G320" s="27"/>
      <c r="H320" s="154" t="str">
        <f>IFERROR(IF($G320="","",$G320*$S$324/$G$324/Cadastro!$E$33),"")</f>
        <v/>
      </c>
      <c r="I320" s="155" t="str">
        <f>IFERROR(IF($D320="","",VLOOKUP($D320,Cadastro!$C$4:$G$7,5,FALSE)),"")</f>
        <v/>
      </c>
      <c r="J320" s="156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54" t="str">
        <f>IFERROR(IF($D321="","",VLOOKUP($D321,Cadastro!$C$4:$E$7,3,FALSE)),"")</f>
        <v/>
      </c>
      <c r="G321" s="27"/>
      <c r="H321" s="154" t="str">
        <f>IFERROR(IF($G321="","",$G321*$S$324/$G$324/Cadastro!$E$33),"")</f>
        <v/>
      </c>
      <c r="I321" s="155" t="str">
        <f>IFERROR(IF($D321="","",VLOOKUP($D321,Cadastro!$C$4:$G$7,5,FALSE)),"")</f>
        <v/>
      </c>
      <c r="J321" s="156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54" t="str">
        <f>IFERROR(IF($D322="","",VLOOKUP($D322,Cadastro!$C$4:$E$7,3,FALSE)),"")</f>
        <v/>
      </c>
      <c r="G322" s="27"/>
      <c r="H322" s="154" t="str">
        <f>IFERROR(IF($G322="","",$G322*$S$324/$G$324/Cadastro!$E$33),"")</f>
        <v/>
      </c>
      <c r="I322" s="155" t="str">
        <f>IFERROR(IF($D322="","",VLOOKUP($D322,Cadastro!$C$4:$G$7,5,FALSE)),"")</f>
        <v/>
      </c>
      <c r="J322" s="156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57" t="str">
        <f>IFERROR(IF($D323="","",VLOOKUP($D323,Cadastro!$C$4:$E$7,3,FALSE)),"")</f>
        <v/>
      </c>
      <c r="G323" s="27"/>
      <c r="H323" s="157" t="str">
        <f>IFERROR(IF($G323="","",$G323*$S$324/$G$324/Cadastro!$E$33),"")</f>
        <v/>
      </c>
      <c r="I323" s="158" t="str">
        <f>IFERROR(IF($D323="","",VLOOKUP($D323,Cadastro!$C$4:$G$7,5,FALSE)),"")</f>
        <v/>
      </c>
      <c r="J323" s="159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32" t="s">
        <v>244</v>
      </c>
      <c r="B324" s="133"/>
      <c r="C324" s="133"/>
      <c r="D324" s="133"/>
      <c r="E324" s="13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34" t="s">
        <v>245</v>
      </c>
      <c r="B325" s="135"/>
      <c r="C325" s="135"/>
      <c r="D325" s="135"/>
      <c r="E325" s="135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63">
        <f>IFERROR(S311+S324,"")</f>
        <v>0</v>
      </c>
      <c r="T325" s="164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60" t="str">
        <f>IFERROR(IF($D326="","",VLOOKUP($D326,Cadastro!$C$4:$E$7,3,FALSE)),"")</f>
        <v/>
      </c>
      <c r="G326" s="106"/>
      <c r="H326" s="160" t="str">
        <f>IFERROR(IF($G326="","",$G326*$S$338/$G$338/Cadastro!$E$33),"")</f>
        <v/>
      </c>
      <c r="I326" s="161" t="str">
        <f>IFERROR(IF($D326="","",VLOOKUP($D326,Cadastro!$C$4:$G$7,5,FALSE)),"")</f>
        <v/>
      </c>
      <c r="J326" s="162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/>
      <c r="D327" s="59"/>
      <c r="E327" s="109"/>
      <c r="F327" s="154" t="str">
        <f>IFERROR(IF($D327="","",VLOOKUP($D327,Cadastro!$C$4:$E$7,3,FALSE)),"")</f>
        <v/>
      </c>
      <c r="G327" s="106"/>
      <c r="H327" s="154" t="str">
        <f>IFERROR(IF($G327="","",$G327*$S$338/$G$338/Cadastro!$E$33),"")</f>
        <v/>
      </c>
      <c r="I327" s="155" t="str">
        <f>IFERROR(IF($D327="","",VLOOKUP($D327,Cadastro!$C$4:$G$7,5,FALSE)),"")</f>
        <v/>
      </c>
      <c r="J327" s="156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/>
      <c r="D328" s="59"/>
      <c r="E328" s="109"/>
      <c r="F328" s="154" t="str">
        <f>IFERROR(IF($D328="","",VLOOKUP($D328,Cadastro!$C$4:$E$7,3,FALSE)),"")</f>
        <v/>
      </c>
      <c r="G328" s="106"/>
      <c r="H328" s="154" t="str">
        <f>IFERROR(IF($G328="","",$G328*$S$338/$G$338/Cadastro!$E$33),"")</f>
        <v/>
      </c>
      <c r="I328" s="155" t="str">
        <f>IFERROR(IF($D328="","",VLOOKUP($D328,Cadastro!$C$4:$G$7,5,FALSE)),"")</f>
        <v/>
      </c>
      <c r="J328" s="15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/>
      <c r="D329" s="59"/>
      <c r="E329" s="109"/>
      <c r="F329" s="154" t="str">
        <f>IFERROR(IF($D329="","",VLOOKUP($D329,Cadastro!$C$4:$E$7,3,FALSE)),"")</f>
        <v/>
      </c>
      <c r="G329" s="106"/>
      <c r="H329" s="154" t="str">
        <f>IFERROR(IF($G329="","",$G329*$S$338/$G$338/Cadastro!$E$33),"")</f>
        <v/>
      </c>
      <c r="I329" s="155" t="str">
        <f>IFERROR(IF($D329="","",VLOOKUP($D329,Cadastro!$C$4:$G$7,5,FALSE)),"")</f>
        <v/>
      </c>
      <c r="J329" s="15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/>
      <c r="D330" s="59"/>
      <c r="E330" s="109"/>
      <c r="F330" s="154" t="str">
        <f>IFERROR(IF($D330="","",VLOOKUP($D330,Cadastro!$C$4:$E$7,3,FALSE)),"")</f>
        <v/>
      </c>
      <c r="G330" s="106"/>
      <c r="H330" s="154" t="str">
        <f>IFERROR(IF($G330="","",$G330*$S$338/$G$338/Cadastro!$E$33),"")</f>
        <v/>
      </c>
      <c r="I330" s="155" t="str">
        <f>IFERROR(IF($D330="","",VLOOKUP($D330,Cadastro!$C$4:$G$7,5,FALSE)),"")</f>
        <v/>
      </c>
      <c r="J330" s="15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/>
      <c r="D331" s="59"/>
      <c r="E331" s="109"/>
      <c r="F331" s="154" t="str">
        <f>IFERROR(IF($D331="","",VLOOKUP($D331,Cadastro!$C$4:$E$7,3,FALSE)),"")</f>
        <v/>
      </c>
      <c r="G331" s="106"/>
      <c r="H331" s="154" t="str">
        <f>IFERROR(IF($G331="","",$G331*$S$338/$G$338/Cadastro!$E$33),"")</f>
        <v/>
      </c>
      <c r="I331" s="155" t="str">
        <f>IFERROR(IF($D331="","",VLOOKUP($D331,Cadastro!$C$4:$G$7,5,FALSE)),"")</f>
        <v/>
      </c>
      <c r="J331" s="15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/>
      <c r="D332" s="59"/>
      <c r="E332" s="109"/>
      <c r="F332" s="154" t="str">
        <f>IFERROR(IF($D332="","",VLOOKUP($D332,Cadastro!$C$4:$E$7,3,FALSE)),"")</f>
        <v/>
      </c>
      <c r="G332" s="106"/>
      <c r="H332" s="154" t="str">
        <f>IFERROR(IF($G332="","",$G332*$S$338/$G$338/Cadastro!$E$33),"")</f>
        <v/>
      </c>
      <c r="I332" s="155" t="str">
        <f>IFERROR(IF($D332="","",VLOOKUP($D332,Cadastro!$C$4:$G$7,5,FALSE)),"")</f>
        <v/>
      </c>
      <c r="J332" s="15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/>
      <c r="D333" s="59"/>
      <c r="E333" s="109"/>
      <c r="F333" s="154" t="str">
        <f>IFERROR(IF($D333="","",VLOOKUP($D333,Cadastro!$C$4:$E$7,3,FALSE)),"")</f>
        <v/>
      </c>
      <c r="G333" s="106"/>
      <c r="H333" s="154" t="str">
        <f>IFERROR(IF($G333="","",$G333*$S$338/$G$338/Cadastro!$E$33),"")</f>
        <v/>
      </c>
      <c r="I333" s="155" t="str">
        <f>IFERROR(IF($D333="","",VLOOKUP($D333,Cadastro!$C$4:$G$7,5,FALSE)),"")</f>
        <v/>
      </c>
      <c r="J333" s="15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/>
      <c r="D334" s="59"/>
      <c r="E334" s="109"/>
      <c r="F334" s="154" t="str">
        <f>IFERROR(IF($D334="","",VLOOKUP($D334,Cadastro!$C$4:$E$7,3,FALSE)),"")</f>
        <v/>
      </c>
      <c r="G334" s="106"/>
      <c r="H334" s="154" t="str">
        <f>IFERROR(IF($G334="","",$G334*$S$338/$G$338/Cadastro!$E$33),"")</f>
        <v/>
      </c>
      <c r="I334" s="155" t="str">
        <f>IFERROR(IF($D334="","",VLOOKUP($D334,Cadastro!$C$4:$G$7,5,FALSE)),"")</f>
        <v/>
      </c>
      <c r="J334" s="15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/>
      <c r="D335" s="59"/>
      <c r="E335" s="109"/>
      <c r="F335" s="154" t="str">
        <f>IFERROR(IF($D335="","",VLOOKUP($D335,Cadastro!$C$4:$E$7,3,FALSE)),"")</f>
        <v/>
      </c>
      <c r="G335" s="106"/>
      <c r="H335" s="154" t="str">
        <f>IFERROR(IF($G335="","",$G335*$S$338/$G$338/Cadastro!$E$33),"")</f>
        <v/>
      </c>
      <c r="I335" s="155" t="str">
        <f>IFERROR(IF($D335="","",VLOOKUP($D335,Cadastro!$C$4:$G$7,5,FALSE)),"")</f>
        <v/>
      </c>
      <c r="J335" s="15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/>
      <c r="D336" s="59"/>
      <c r="E336" s="109"/>
      <c r="F336" s="154" t="str">
        <f>IFERROR(IF($D336="","",VLOOKUP($D336,Cadastro!$C$4:$E$7,3,FALSE)),"")</f>
        <v/>
      </c>
      <c r="G336" s="106"/>
      <c r="H336" s="154" t="str">
        <f>IFERROR(IF($G336="","",$G336*$S$338/$G$338/Cadastro!$E$33),"")</f>
        <v/>
      </c>
      <c r="I336" s="155" t="str">
        <f>IFERROR(IF($D336="","",VLOOKUP($D336,Cadastro!$C$4:$G$7,5,FALSE)),"")</f>
        <v/>
      </c>
      <c r="J336" s="15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/>
      <c r="D337" s="59"/>
      <c r="E337" s="109"/>
      <c r="F337" s="157" t="str">
        <f>IFERROR(IF($D337="","",VLOOKUP($D337,Cadastro!$C$4:$E$7,3,FALSE)),"")</f>
        <v/>
      </c>
      <c r="G337" s="106"/>
      <c r="H337" s="157" t="str">
        <f>IFERROR(IF($G337="","",$G337*$S$338/$G$338/Cadastro!$E$33),"")</f>
        <v/>
      </c>
      <c r="I337" s="158" t="str">
        <f>IFERROR(IF($D337="","",VLOOKUP($D337,Cadastro!$C$4:$G$7,5,FALSE)),"")</f>
        <v/>
      </c>
      <c r="J337" s="15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32" t="s">
        <v>241</v>
      </c>
      <c r="B338" s="133"/>
      <c r="C338" s="133"/>
      <c r="D338" s="133"/>
      <c r="E338" s="13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60" t="str">
        <f>IFERROR(IF($D339="","",VLOOKUP($D339,Cadastro!$C$4:$E$7,3,FALSE)),"")</f>
        <v/>
      </c>
      <c r="G339" s="106"/>
      <c r="H339" s="160" t="str">
        <f>IFERROR(IF($G339="","",$G339*$S$351/$G$351/Cadastro!$E$33),"")</f>
        <v/>
      </c>
      <c r="I339" s="161" t="str">
        <f>IFERROR(IF($D339="","",VLOOKUP($D339,Cadastro!$C$4:$G$7,5,FALSE)),"")</f>
        <v/>
      </c>
      <c r="J339" s="16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54" t="str">
        <f>IFERROR(IF($D340="","",VLOOKUP($D340,Cadastro!$C$4:$E$7,3,FALSE)),"")</f>
        <v/>
      </c>
      <c r="G340" s="106"/>
      <c r="H340" s="154" t="str">
        <f>IFERROR(IF($G340="","",$G340*$S$351/$G$351/Cadastro!$E$33),"")</f>
        <v/>
      </c>
      <c r="I340" s="155" t="str">
        <f>IFERROR(IF($D340="","",VLOOKUP($D340,Cadastro!$C$4:$G$7,5,FALSE)),"")</f>
        <v/>
      </c>
      <c r="J340" s="15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54" t="str">
        <f>IFERROR(IF($D341="","",VLOOKUP($D341,Cadastro!$C$4:$E$7,3,FALSE)),"")</f>
        <v/>
      </c>
      <c r="G341" s="106"/>
      <c r="H341" s="154" t="str">
        <f>IFERROR(IF($G341="","",$G341*$S$351/$G$351/Cadastro!$E$33),"")</f>
        <v/>
      </c>
      <c r="I341" s="155" t="str">
        <f>IFERROR(IF($D341="","",VLOOKUP($D341,Cadastro!$C$4:$G$7,5,FALSE)),"")</f>
        <v/>
      </c>
      <c r="J341" s="15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54" t="str">
        <f>IFERROR(IF($D342="","",VLOOKUP($D342,Cadastro!$C$4:$E$7,3,FALSE)),"")</f>
        <v/>
      </c>
      <c r="G342" s="106"/>
      <c r="H342" s="154" t="str">
        <f>IFERROR(IF($G342="","",$G342*$S$351/$G$351/Cadastro!$E$33),"")</f>
        <v/>
      </c>
      <c r="I342" s="155" t="str">
        <f>IFERROR(IF($D342="","",VLOOKUP($D342,Cadastro!$C$4:$G$7,5,FALSE)),"")</f>
        <v/>
      </c>
      <c r="J342" s="15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54" t="str">
        <f>IFERROR(IF($D343="","",VLOOKUP($D343,Cadastro!$C$4:$E$7,3,FALSE)),"")</f>
        <v/>
      </c>
      <c r="G343" s="106"/>
      <c r="H343" s="154" t="str">
        <f>IFERROR(IF($G343="","",$G343*$S$351/$G$351/Cadastro!$E$33),"")</f>
        <v/>
      </c>
      <c r="I343" s="155" t="str">
        <f>IFERROR(IF($D343="","",VLOOKUP($D343,Cadastro!$C$4:$G$7,5,FALSE)),"")</f>
        <v/>
      </c>
      <c r="J343" s="15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54" t="str">
        <f>IFERROR(IF($D344="","",VLOOKUP($D344,Cadastro!$C$4:$E$7,3,FALSE)),"")</f>
        <v/>
      </c>
      <c r="G344" s="106"/>
      <c r="H344" s="154" t="str">
        <f>IFERROR(IF($G344="","",$G344*$S$351/$G$351/Cadastro!$E$33),"")</f>
        <v/>
      </c>
      <c r="I344" s="155" t="str">
        <f>IFERROR(IF($D344="","",VLOOKUP($D344,Cadastro!$C$4:$G$7,5,FALSE)),"")</f>
        <v/>
      </c>
      <c r="J344" s="15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54" t="str">
        <f>IFERROR(IF($D345="","",VLOOKUP($D345,Cadastro!$C$4:$E$7,3,FALSE)),"")</f>
        <v/>
      </c>
      <c r="G345" s="106"/>
      <c r="H345" s="154" t="str">
        <f>IFERROR(IF($G345="","",$G345*$S$351/$G$351/Cadastro!$E$33),"")</f>
        <v/>
      </c>
      <c r="I345" s="155" t="str">
        <f>IFERROR(IF($D345="","",VLOOKUP($D345,Cadastro!$C$4:$G$7,5,FALSE)),"")</f>
        <v/>
      </c>
      <c r="J345" s="15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54" t="str">
        <f>IFERROR(IF($D346="","",VLOOKUP($D346,Cadastro!$C$4:$E$7,3,FALSE)),"")</f>
        <v/>
      </c>
      <c r="G346" s="106"/>
      <c r="H346" s="154" t="str">
        <f>IFERROR(IF($G346="","",$G346*$S$351/$G$351/Cadastro!$E$33),"")</f>
        <v/>
      </c>
      <c r="I346" s="155" t="str">
        <f>IFERROR(IF($D346="","",VLOOKUP($D346,Cadastro!$C$4:$G$7,5,FALSE)),"")</f>
        <v/>
      </c>
      <c r="J346" s="15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54" t="str">
        <f>IFERROR(IF($D347="","",VLOOKUP($D347,Cadastro!$C$4:$E$7,3,FALSE)),"")</f>
        <v/>
      </c>
      <c r="G347" s="106"/>
      <c r="H347" s="154" t="str">
        <f>IFERROR(IF($G347="","",$G347*$S$351/$G$351/Cadastro!$E$33),"")</f>
        <v/>
      </c>
      <c r="I347" s="155" t="str">
        <f>IFERROR(IF($D347="","",VLOOKUP($D347,Cadastro!$C$4:$G$7,5,FALSE)),"")</f>
        <v/>
      </c>
      <c r="J347" s="15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54" t="str">
        <f>IFERROR(IF($D348="","",VLOOKUP($D348,Cadastro!$C$4:$E$7,3,FALSE)),"")</f>
        <v/>
      </c>
      <c r="G348" s="106"/>
      <c r="H348" s="154" t="str">
        <f>IFERROR(IF($G348="","",$G348*$S$351/$G$351/Cadastro!$E$33),"")</f>
        <v/>
      </c>
      <c r="I348" s="155" t="str">
        <f>IFERROR(IF($D348="","",VLOOKUP($D348,Cadastro!$C$4:$G$7,5,FALSE)),"")</f>
        <v/>
      </c>
      <c r="J348" s="15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54" t="str">
        <f>IFERROR(IF($D349="","",VLOOKUP($D349,Cadastro!$C$4:$E$7,3,FALSE)),"")</f>
        <v/>
      </c>
      <c r="G349" s="106"/>
      <c r="H349" s="154" t="str">
        <f>IFERROR(IF($G349="","",$G349*$S$351/$G$351/Cadastro!$E$33),"")</f>
        <v/>
      </c>
      <c r="I349" s="155" t="str">
        <f>IFERROR(IF($D349="","",VLOOKUP($D349,Cadastro!$C$4:$G$7,5,FALSE)),"")</f>
        <v/>
      </c>
      <c r="J349" s="15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57" t="str">
        <f>IFERROR(IF($D350="","",VLOOKUP($D350,Cadastro!$C$4:$E$7,3,FALSE)),"")</f>
        <v/>
      </c>
      <c r="G350" s="106"/>
      <c r="H350" s="157" t="str">
        <f>IFERROR(IF($G350="","",$G350*$S$351/$G$351/Cadastro!$E$33),"")</f>
        <v/>
      </c>
      <c r="I350" s="158" t="str">
        <f>IFERROR(IF($D350="","",VLOOKUP($D350,Cadastro!$C$4:$G$7,5,FALSE)),"")</f>
        <v/>
      </c>
      <c r="J350" s="15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32" t="s">
        <v>244</v>
      </c>
      <c r="B351" s="133"/>
      <c r="C351" s="133"/>
      <c r="D351" s="133"/>
      <c r="E351" s="13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34" t="s">
        <v>245</v>
      </c>
      <c r="B352" s="135"/>
      <c r="C352" s="135"/>
      <c r="D352" s="135"/>
      <c r="E352" s="135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63">
        <f>IFERROR(S338+S351,"")</f>
        <v>0</v>
      </c>
      <c r="T352" s="164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60" t="str">
        <f>IFERROR(IF($D353="","",VLOOKUP($D353,Cadastro!$C$4:$E$7,3,FALSE)),"")</f>
        <v/>
      </c>
      <c r="G353" s="106"/>
      <c r="H353" s="160" t="str">
        <f>IFERROR(IF($G353="","",$G353*$S$365/$G$365/Cadastro!$E$33),"")</f>
        <v/>
      </c>
      <c r="I353" s="161" t="str">
        <f>IFERROR(IF($D353="","",VLOOKUP($D353,Cadastro!$C$4:$G$7,5,FALSE)),"")</f>
        <v/>
      </c>
      <c r="J353" s="16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54" t="str">
        <f>IFERROR(IF($D354="","",VLOOKUP($D354,Cadastro!$C$4:$E$7,3,FALSE)),"")</f>
        <v/>
      </c>
      <c r="G354" s="106"/>
      <c r="H354" s="154" t="str">
        <f>IFERROR(IF($G354="","",$G354*$S$365/$G$365/Cadastro!$E$33),"")</f>
        <v/>
      </c>
      <c r="I354" s="155" t="str">
        <f>IFERROR(IF($D354="","",VLOOKUP($D354,Cadastro!$C$4:$G$7,5,FALSE)),"")</f>
        <v/>
      </c>
      <c r="J354" s="15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54" t="str">
        <f>IFERROR(IF($D355="","",VLOOKUP($D355,Cadastro!$C$4:$E$7,3,FALSE)),"")</f>
        <v/>
      </c>
      <c r="G355" s="106"/>
      <c r="H355" s="154" t="str">
        <f>IFERROR(IF($G355="","",$G355*$S$365/$G$365/Cadastro!$E$33),"")</f>
        <v/>
      </c>
      <c r="I355" s="155" t="str">
        <f>IFERROR(IF($D355="","",VLOOKUP($D355,Cadastro!$C$4:$G$7,5,FALSE)),"")</f>
        <v/>
      </c>
      <c r="J355" s="15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54" t="str">
        <f>IFERROR(IF($D356="","",VLOOKUP($D356,Cadastro!$C$4:$E$7,3,FALSE)),"")</f>
        <v/>
      </c>
      <c r="G356" s="106"/>
      <c r="H356" s="154" t="str">
        <f>IFERROR(IF($G356="","",$G356*$S$365/$G$365/Cadastro!$E$33),"")</f>
        <v/>
      </c>
      <c r="I356" s="155" t="str">
        <f>IFERROR(IF($D356="","",VLOOKUP($D356,Cadastro!$C$4:$G$7,5,FALSE)),"")</f>
        <v/>
      </c>
      <c r="J356" s="15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54" t="str">
        <f>IFERROR(IF($D357="","",VLOOKUP($D357,Cadastro!$C$4:$E$7,3,FALSE)),"")</f>
        <v/>
      </c>
      <c r="G357" s="106"/>
      <c r="H357" s="154" t="str">
        <f>IFERROR(IF($G357="","",$G357*$S$365/$G$365/Cadastro!$E$33),"")</f>
        <v/>
      </c>
      <c r="I357" s="155" t="str">
        <f>IFERROR(IF($D357="","",VLOOKUP($D357,Cadastro!$C$4:$G$7,5,FALSE)),"")</f>
        <v/>
      </c>
      <c r="J357" s="15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54" t="str">
        <f>IFERROR(IF($D358="","",VLOOKUP($D358,Cadastro!$C$4:$E$7,3,FALSE)),"")</f>
        <v/>
      </c>
      <c r="G358" s="106"/>
      <c r="H358" s="154" t="str">
        <f>IFERROR(IF($G358="","",$G358*$S$365/$G$365/Cadastro!$E$33),"")</f>
        <v/>
      </c>
      <c r="I358" s="155" t="str">
        <f>IFERROR(IF($D358="","",VLOOKUP($D358,Cadastro!$C$4:$G$7,5,FALSE)),"")</f>
        <v/>
      </c>
      <c r="J358" s="15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54" t="str">
        <f>IFERROR(IF($D359="","",VLOOKUP($D359,Cadastro!$C$4:$E$7,3,FALSE)),"")</f>
        <v/>
      </c>
      <c r="G359" s="106"/>
      <c r="H359" s="154" t="str">
        <f>IFERROR(IF($G359="","",$G359*$S$365/$G$365/Cadastro!$E$33),"")</f>
        <v/>
      </c>
      <c r="I359" s="155" t="str">
        <f>IFERROR(IF($D359="","",VLOOKUP($D359,Cadastro!$C$4:$G$7,5,FALSE)),"")</f>
        <v/>
      </c>
      <c r="J359" s="15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54" t="str">
        <f>IFERROR(IF($D360="","",VLOOKUP($D360,Cadastro!$C$4:$E$7,3,FALSE)),"")</f>
        <v/>
      </c>
      <c r="G360" s="106"/>
      <c r="H360" s="154" t="str">
        <f>IFERROR(IF($G360="","",$G360*$S$365/$G$365/Cadastro!$E$33),"")</f>
        <v/>
      </c>
      <c r="I360" s="155" t="str">
        <f>IFERROR(IF($D360="","",VLOOKUP($D360,Cadastro!$C$4:$G$7,5,FALSE)),"")</f>
        <v/>
      </c>
      <c r="J360" s="15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54" t="str">
        <f>IFERROR(IF($D361="","",VLOOKUP($D361,Cadastro!$C$4:$E$7,3,FALSE)),"")</f>
        <v/>
      </c>
      <c r="G361" s="106"/>
      <c r="H361" s="154" t="str">
        <f>IFERROR(IF($G361="","",$G361*$S$365/$G$365/Cadastro!$E$33),"")</f>
        <v/>
      </c>
      <c r="I361" s="155" t="str">
        <f>IFERROR(IF($D361="","",VLOOKUP($D361,Cadastro!$C$4:$G$7,5,FALSE)),"")</f>
        <v/>
      </c>
      <c r="J361" s="15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54" t="str">
        <f>IFERROR(IF($D362="","",VLOOKUP($D362,Cadastro!$C$4:$E$7,3,FALSE)),"")</f>
        <v/>
      </c>
      <c r="G362" s="106"/>
      <c r="H362" s="154" t="str">
        <f>IFERROR(IF($G362="","",$G362*$S$365/$G$365/Cadastro!$E$33),"")</f>
        <v/>
      </c>
      <c r="I362" s="155" t="str">
        <f>IFERROR(IF($D362="","",VLOOKUP($D362,Cadastro!$C$4:$G$7,5,FALSE)),"")</f>
        <v/>
      </c>
      <c r="J362" s="15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54" t="str">
        <f>IFERROR(IF($D363="","",VLOOKUP($D363,Cadastro!$C$4:$E$7,3,FALSE)),"")</f>
        <v/>
      </c>
      <c r="G363" s="106"/>
      <c r="H363" s="154" t="str">
        <f>IFERROR(IF($G363="","",$G363*$S$365/$G$365/Cadastro!$E$33),"")</f>
        <v/>
      </c>
      <c r="I363" s="155" t="str">
        <f>IFERROR(IF($D363="","",VLOOKUP($D363,Cadastro!$C$4:$G$7,5,FALSE)),"")</f>
        <v/>
      </c>
      <c r="J363" s="15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57" t="str">
        <f>IFERROR(IF($D364="","",VLOOKUP($D364,Cadastro!$C$4:$E$7,3,FALSE)),"")</f>
        <v/>
      </c>
      <c r="G364" s="106"/>
      <c r="H364" s="157" t="str">
        <f>IFERROR(IF($G364="","",$G364*$S$365/$G$365/Cadastro!$E$33),"")</f>
        <v/>
      </c>
      <c r="I364" s="158" t="str">
        <f>IFERROR(IF($D364="","",VLOOKUP($D364,Cadastro!$C$4:$G$7,5,FALSE)),"")</f>
        <v/>
      </c>
      <c r="J364" s="15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32" t="s">
        <v>241</v>
      </c>
      <c r="B365" s="133"/>
      <c r="C365" s="133"/>
      <c r="D365" s="133"/>
      <c r="E365" s="13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60" t="str">
        <f>IFERROR(IF($D366="","",VLOOKUP($D366,Cadastro!$C$4:$E$7,3,FALSE)),"")</f>
        <v/>
      </c>
      <c r="G366" s="106"/>
      <c r="H366" s="160" t="str">
        <f>IFERROR(IF($G366="","",$G366*$S$378/$G$378/Cadastro!$E$33),"")</f>
        <v/>
      </c>
      <c r="I366" s="161" t="str">
        <f>IFERROR(IF($D366="","",VLOOKUP($D366,Cadastro!$C$4:$G$7,5,FALSE)),"")</f>
        <v/>
      </c>
      <c r="J366" s="16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54" t="str">
        <f>IFERROR(IF($D367="","",VLOOKUP($D367,Cadastro!$C$4:$E$7,3,FALSE)),"")</f>
        <v/>
      </c>
      <c r="G367" s="106"/>
      <c r="H367" s="154" t="str">
        <f>IFERROR(IF($G367="","",$G367*$S$378/$G$378/Cadastro!$E$33),"")</f>
        <v/>
      </c>
      <c r="I367" s="155" t="str">
        <f>IFERROR(IF($D367="","",VLOOKUP($D367,Cadastro!$C$4:$G$7,5,FALSE)),"")</f>
        <v/>
      </c>
      <c r="J367" s="15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54" t="str">
        <f>IFERROR(IF($D368="","",VLOOKUP($D368,Cadastro!$C$4:$E$7,3,FALSE)),"")</f>
        <v/>
      </c>
      <c r="G368" s="106"/>
      <c r="H368" s="154" t="str">
        <f>IFERROR(IF($G368="","",$G368*$S$378/$G$378/Cadastro!$E$33),"")</f>
        <v/>
      </c>
      <c r="I368" s="155" t="str">
        <f>IFERROR(IF($D368="","",VLOOKUP($D368,Cadastro!$C$4:$G$7,5,FALSE)),"")</f>
        <v/>
      </c>
      <c r="J368" s="15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54" t="str">
        <f>IFERROR(IF($D369="","",VLOOKUP($D369,Cadastro!$C$4:$E$7,3,FALSE)),"")</f>
        <v/>
      </c>
      <c r="G369" s="106"/>
      <c r="H369" s="154" t="str">
        <f>IFERROR(IF($G369="","",$G369*$S$378/$G$378/Cadastro!$E$33),"")</f>
        <v/>
      </c>
      <c r="I369" s="155" t="str">
        <f>IFERROR(IF($D369="","",VLOOKUP($D369,Cadastro!$C$4:$G$7,5,FALSE)),"")</f>
        <v/>
      </c>
      <c r="J369" s="15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54" t="str">
        <f>IFERROR(IF($D370="","",VLOOKUP($D370,Cadastro!$C$4:$E$7,3,FALSE)),"")</f>
        <v/>
      </c>
      <c r="G370" s="106"/>
      <c r="H370" s="154" t="str">
        <f>IFERROR(IF($G370="","",$G370*$S$378/$G$378/Cadastro!$E$33),"")</f>
        <v/>
      </c>
      <c r="I370" s="155" t="str">
        <f>IFERROR(IF($D370="","",VLOOKUP($D370,Cadastro!$C$4:$G$7,5,FALSE)),"")</f>
        <v/>
      </c>
      <c r="J370" s="15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54" t="str">
        <f>IFERROR(IF($D371="","",VLOOKUP($D371,Cadastro!$C$4:$E$7,3,FALSE)),"")</f>
        <v/>
      </c>
      <c r="G371" s="106"/>
      <c r="H371" s="154" t="str">
        <f>IFERROR(IF($G371="","",$G371*$S$378/$G$378/Cadastro!$E$33),"")</f>
        <v/>
      </c>
      <c r="I371" s="155" t="str">
        <f>IFERROR(IF($D371="","",VLOOKUP($D371,Cadastro!$C$4:$G$7,5,FALSE)),"")</f>
        <v/>
      </c>
      <c r="J371" s="15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54" t="str">
        <f>IFERROR(IF($D372="","",VLOOKUP($D372,Cadastro!$C$4:$E$7,3,FALSE)),"")</f>
        <v/>
      </c>
      <c r="G372" s="106"/>
      <c r="H372" s="154" t="str">
        <f>IFERROR(IF($G372="","",$G372*$S$378/$G$378/Cadastro!$E$33),"")</f>
        <v/>
      </c>
      <c r="I372" s="155" t="str">
        <f>IFERROR(IF($D372="","",VLOOKUP($D372,Cadastro!$C$4:$G$7,5,FALSE)),"")</f>
        <v/>
      </c>
      <c r="J372" s="15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54" t="str">
        <f>IFERROR(IF($D373="","",VLOOKUP($D373,Cadastro!$C$4:$E$7,3,FALSE)),"")</f>
        <v/>
      </c>
      <c r="G373" s="106"/>
      <c r="H373" s="154" t="str">
        <f>IFERROR(IF($G373="","",$G373*$S$378/$G$378/Cadastro!$E$33),"")</f>
        <v/>
      </c>
      <c r="I373" s="155" t="str">
        <f>IFERROR(IF($D373="","",VLOOKUP($D373,Cadastro!$C$4:$G$7,5,FALSE)),"")</f>
        <v/>
      </c>
      <c r="J373" s="15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54" t="str">
        <f>IFERROR(IF($D374="","",VLOOKUP($D374,Cadastro!$C$4:$E$7,3,FALSE)),"")</f>
        <v/>
      </c>
      <c r="G374" s="106"/>
      <c r="H374" s="154" t="str">
        <f>IFERROR(IF($G374="","",$G374*$S$378/$G$378/Cadastro!$E$33),"")</f>
        <v/>
      </c>
      <c r="I374" s="155" t="str">
        <f>IFERROR(IF($D374="","",VLOOKUP($D374,Cadastro!$C$4:$G$7,5,FALSE)),"")</f>
        <v/>
      </c>
      <c r="J374" s="15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54" t="str">
        <f>IFERROR(IF($D375="","",VLOOKUP($D375,Cadastro!$C$4:$E$7,3,FALSE)),"")</f>
        <v/>
      </c>
      <c r="G375" s="106"/>
      <c r="H375" s="154" t="str">
        <f>IFERROR(IF($G375="","",$G375*$S$378/$G$378/Cadastro!$E$33),"")</f>
        <v/>
      </c>
      <c r="I375" s="155" t="str">
        <f>IFERROR(IF($D375="","",VLOOKUP($D375,Cadastro!$C$4:$G$7,5,FALSE)),"")</f>
        <v/>
      </c>
      <c r="J375" s="15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54" t="str">
        <f>IFERROR(IF($D376="","",VLOOKUP($D376,Cadastro!$C$4:$E$7,3,FALSE)),"")</f>
        <v/>
      </c>
      <c r="G376" s="106"/>
      <c r="H376" s="154" t="str">
        <f>IFERROR(IF($G376="","",$G376*$S$378/$G$378/Cadastro!$E$33),"")</f>
        <v/>
      </c>
      <c r="I376" s="155" t="str">
        <f>IFERROR(IF($D376="","",VLOOKUP($D376,Cadastro!$C$4:$G$7,5,FALSE)),"")</f>
        <v/>
      </c>
      <c r="J376" s="15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57" t="str">
        <f>IFERROR(IF($D377="","",VLOOKUP($D377,Cadastro!$C$4:$E$7,3,FALSE)),"")</f>
        <v/>
      </c>
      <c r="G377" s="106"/>
      <c r="H377" s="157" t="str">
        <f>IFERROR(IF($G377="","",$G377*$S$378/$G$378/Cadastro!$E$33),"")</f>
        <v/>
      </c>
      <c r="I377" s="158" t="str">
        <f>IFERROR(IF($D377="","",VLOOKUP($D377,Cadastro!$C$4:$G$7,5,FALSE)),"")</f>
        <v/>
      </c>
      <c r="J377" s="15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32" t="s">
        <v>244</v>
      </c>
      <c r="B378" s="133"/>
      <c r="C378" s="133"/>
      <c r="D378" s="133"/>
      <c r="E378" s="13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34" t="s">
        <v>245</v>
      </c>
      <c r="B379" s="135"/>
      <c r="C379" s="135"/>
      <c r="D379" s="135"/>
      <c r="E379" s="135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63">
        <f>IFERROR(S365+S378,"")</f>
        <v>0</v>
      </c>
      <c r="T379" s="164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60" t="str">
        <f>IFERROR(IF($D380="","",VLOOKUP($D380,Cadastro!$C$4:$E$7,3,FALSE)),"")</f>
        <v/>
      </c>
      <c r="G380" s="106"/>
      <c r="H380" s="160" t="str">
        <f>IFERROR(IF($G380="","",$G380*$S$392/$G$392/Cadastro!$E$33),"")</f>
        <v/>
      </c>
      <c r="I380" s="161" t="str">
        <f>IFERROR(IF($D380="","",VLOOKUP($D380,Cadastro!$C$4:$G$7,5,FALSE)),"")</f>
        <v/>
      </c>
      <c r="J380" s="16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54" t="str">
        <f>IFERROR(IF($D381="","",VLOOKUP($D381,Cadastro!$C$4:$E$7,3,FALSE)),"")</f>
        <v/>
      </c>
      <c r="G381" s="106"/>
      <c r="H381" s="154" t="str">
        <f>IFERROR(IF($G381="","",$G381*$S$392/$G$392/Cadastro!$E$33),"")</f>
        <v/>
      </c>
      <c r="I381" s="155" t="str">
        <f>IFERROR(IF($D381="","",VLOOKUP($D381,Cadastro!$C$4:$G$7,5,FALSE)),"")</f>
        <v/>
      </c>
      <c r="J381" s="15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54" t="str">
        <f>IFERROR(IF($D382="","",VLOOKUP($D382,Cadastro!$C$4:$E$7,3,FALSE)),"")</f>
        <v/>
      </c>
      <c r="G382" s="106"/>
      <c r="H382" s="154" t="str">
        <f>IFERROR(IF($G382="","",$G382*$S$392/$G$392/Cadastro!$E$33),"")</f>
        <v/>
      </c>
      <c r="I382" s="155" t="str">
        <f>IFERROR(IF($D382="","",VLOOKUP($D382,Cadastro!$C$4:$G$7,5,FALSE)),"")</f>
        <v/>
      </c>
      <c r="J382" s="15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54" t="str">
        <f>IFERROR(IF($D383="","",VLOOKUP($D383,Cadastro!$C$4:$E$7,3,FALSE)),"")</f>
        <v/>
      </c>
      <c r="G383" s="106"/>
      <c r="H383" s="154" t="str">
        <f>IFERROR(IF($G383="","",$G383*$S$392/$G$392/Cadastro!$E$33),"")</f>
        <v/>
      </c>
      <c r="I383" s="155" t="str">
        <f>IFERROR(IF($D383="","",VLOOKUP($D383,Cadastro!$C$4:$G$7,5,FALSE)),"")</f>
        <v/>
      </c>
      <c r="J383" s="15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54" t="str">
        <f>IFERROR(IF($D384="","",VLOOKUP($D384,Cadastro!$C$4:$E$7,3,FALSE)),"")</f>
        <v/>
      </c>
      <c r="G384" s="106"/>
      <c r="H384" s="154" t="str">
        <f>IFERROR(IF($G384="","",$G384*$S$392/$G$392/Cadastro!$E$33),"")</f>
        <v/>
      </c>
      <c r="I384" s="155" t="str">
        <f>IFERROR(IF($D384="","",VLOOKUP($D384,Cadastro!$C$4:$G$7,5,FALSE)),"")</f>
        <v/>
      </c>
      <c r="J384" s="15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54" t="str">
        <f>IFERROR(IF($D385="","",VLOOKUP($D385,Cadastro!$C$4:$E$7,3,FALSE)),"")</f>
        <v/>
      </c>
      <c r="G385" s="106"/>
      <c r="H385" s="154" t="str">
        <f>IFERROR(IF($G385="","",$G385*$S$392/$G$392/Cadastro!$E$33),"")</f>
        <v/>
      </c>
      <c r="I385" s="155" t="str">
        <f>IFERROR(IF($D385="","",VLOOKUP($D385,Cadastro!$C$4:$G$7,5,FALSE)),"")</f>
        <v/>
      </c>
      <c r="J385" s="15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54" t="str">
        <f>IFERROR(IF($D386="","",VLOOKUP($D386,Cadastro!$C$4:$E$7,3,FALSE)),"")</f>
        <v/>
      </c>
      <c r="G386" s="106"/>
      <c r="H386" s="154" t="str">
        <f>IFERROR(IF($G386="","",$G386*$S$392/$G$392/Cadastro!$E$33),"")</f>
        <v/>
      </c>
      <c r="I386" s="155" t="str">
        <f>IFERROR(IF($D386="","",VLOOKUP($D386,Cadastro!$C$4:$G$7,5,FALSE)),"")</f>
        <v/>
      </c>
      <c r="J386" s="15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54" t="str">
        <f>IFERROR(IF($D387="","",VLOOKUP($D387,Cadastro!$C$4:$E$7,3,FALSE)),"")</f>
        <v/>
      </c>
      <c r="G387" s="106"/>
      <c r="H387" s="154" t="str">
        <f>IFERROR(IF($G387="","",$G387*$S$392/$G$392/Cadastro!$E$33),"")</f>
        <v/>
      </c>
      <c r="I387" s="155" t="str">
        <f>IFERROR(IF($D387="","",VLOOKUP($D387,Cadastro!$C$4:$G$7,5,FALSE)),"")</f>
        <v/>
      </c>
      <c r="J387" s="15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54" t="str">
        <f>IFERROR(IF($D388="","",VLOOKUP($D388,Cadastro!$C$4:$E$7,3,FALSE)),"")</f>
        <v/>
      </c>
      <c r="G388" s="106"/>
      <c r="H388" s="154" t="str">
        <f>IFERROR(IF($G388="","",$G388*$S$392/$G$392/Cadastro!$E$33),"")</f>
        <v/>
      </c>
      <c r="I388" s="155" t="str">
        <f>IFERROR(IF($D388="","",VLOOKUP($D388,Cadastro!$C$4:$G$7,5,FALSE)),"")</f>
        <v/>
      </c>
      <c r="J388" s="15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54" t="str">
        <f>IFERROR(IF($D389="","",VLOOKUP($D389,Cadastro!$C$4:$E$7,3,FALSE)),"")</f>
        <v/>
      </c>
      <c r="G389" s="106"/>
      <c r="H389" s="154" t="str">
        <f>IFERROR(IF($G389="","",$G389*$S$392/$G$392/Cadastro!$E$33),"")</f>
        <v/>
      </c>
      <c r="I389" s="155" t="str">
        <f>IFERROR(IF($D389="","",VLOOKUP($D389,Cadastro!$C$4:$G$7,5,FALSE)),"")</f>
        <v/>
      </c>
      <c r="J389" s="15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54" t="str">
        <f>IFERROR(IF($D390="","",VLOOKUP($D390,Cadastro!$C$4:$E$7,3,FALSE)),"")</f>
        <v/>
      </c>
      <c r="G390" s="106"/>
      <c r="H390" s="154" t="str">
        <f>IFERROR(IF($G390="","",$G390*$S$392/$G$392/Cadastro!$E$33),"")</f>
        <v/>
      </c>
      <c r="I390" s="155" t="str">
        <f>IFERROR(IF($D390="","",VLOOKUP($D390,Cadastro!$C$4:$G$7,5,FALSE)),"")</f>
        <v/>
      </c>
      <c r="J390" s="15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57" t="str">
        <f>IFERROR(IF($D391="","",VLOOKUP($D391,Cadastro!$C$4:$E$7,3,FALSE)),"")</f>
        <v/>
      </c>
      <c r="G391" s="106"/>
      <c r="H391" s="157" t="str">
        <f>IFERROR(IF($G391="","",$G391*$S$392/$G$392/Cadastro!$E$33),"")</f>
        <v/>
      </c>
      <c r="I391" s="158" t="str">
        <f>IFERROR(IF($D391="","",VLOOKUP($D391,Cadastro!$C$4:$G$7,5,FALSE)),"")</f>
        <v/>
      </c>
      <c r="J391" s="15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32" t="s">
        <v>241</v>
      </c>
      <c r="B392" s="133"/>
      <c r="C392" s="133"/>
      <c r="D392" s="133"/>
      <c r="E392" s="13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60" t="str">
        <f>IFERROR(IF($D393="","",VLOOKUP($D393,Cadastro!$C$4:$E$7,3,FALSE)),"")</f>
        <v/>
      </c>
      <c r="G393" s="106"/>
      <c r="H393" s="160" t="str">
        <f>IFERROR(IF($G393="","",$G393*$S$405/$G$405/Cadastro!$E$33),"")</f>
        <v/>
      </c>
      <c r="I393" s="161" t="str">
        <f>IFERROR(IF($D393="","",VLOOKUP($D393,Cadastro!$C$4:$G$7,5,FALSE)),"")</f>
        <v/>
      </c>
      <c r="J393" s="16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54" t="str">
        <f>IFERROR(IF($D394="","",VLOOKUP($D394,Cadastro!$C$4:$E$7,3,FALSE)),"")</f>
        <v/>
      </c>
      <c r="G394" s="106"/>
      <c r="H394" s="154" t="str">
        <f>IFERROR(IF($G394="","",$G394*$S$405/$G$405/Cadastro!$E$33),"")</f>
        <v/>
      </c>
      <c r="I394" s="155" t="str">
        <f>IFERROR(IF($D394="","",VLOOKUP($D394,Cadastro!$C$4:$G$7,5,FALSE)),"")</f>
        <v/>
      </c>
      <c r="J394" s="15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54" t="str">
        <f>IFERROR(IF($D395="","",VLOOKUP($D395,Cadastro!$C$4:$E$7,3,FALSE)),"")</f>
        <v/>
      </c>
      <c r="G395" s="106"/>
      <c r="H395" s="154" t="str">
        <f>IFERROR(IF($G395="","",$G395*$S$405/$G$405/Cadastro!$E$33),"")</f>
        <v/>
      </c>
      <c r="I395" s="155" t="str">
        <f>IFERROR(IF($D395="","",VLOOKUP($D395,Cadastro!$C$4:$G$7,5,FALSE)),"")</f>
        <v/>
      </c>
      <c r="J395" s="15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54" t="str">
        <f>IFERROR(IF($D396="","",VLOOKUP($D396,Cadastro!$C$4:$E$7,3,FALSE)),"")</f>
        <v/>
      </c>
      <c r="G396" s="106"/>
      <c r="H396" s="154" t="str">
        <f>IFERROR(IF($G396="","",$G396*$S$405/$G$405/Cadastro!$E$33),"")</f>
        <v/>
      </c>
      <c r="I396" s="155" t="str">
        <f>IFERROR(IF($D396="","",VLOOKUP($D396,Cadastro!$C$4:$G$7,5,FALSE)),"")</f>
        <v/>
      </c>
      <c r="J396" s="15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54" t="str">
        <f>IFERROR(IF($D397="","",VLOOKUP($D397,Cadastro!$C$4:$E$7,3,FALSE)),"")</f>
        <v/>
      </c>
      <c r="G397" s="106"/>
      <c r="H397" s="154" t="str">
        <f>IFERROR(IF($G397="","",$G397*$S$405/$G$405/Cadastro!$E$33),"")</f>
        <v/>
      </c>
      <c r="I397" s="155" t="str">
        <f>IFERROR(IF($D397="","",VLOOKUP($D397,Cadastro!$C$4:$G$7,5,FALSE)),"")</f>
        <v/>
      </c>
      <c r="J397" s="15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54" t="str">
        <f>IFERROR(IF($D398="","",VLOOKUP($D398,Cadastro!$C$4:$E$7,3,FALSE)),"")</f>
        <v/>
      </c>
      <c r="G398" s="106"/>
      <c r="H398" s="154" t="str">
        <f>IFERROR(IF($G398="","",$G398*$S$405/$G$405/Cadastro!$E$33),"")</f>
        <v/>
      </c>
      <c r="I398" s="155" t="str">
        <f>IFERROR(IF($D398="","",VLOOKUP($D398,Cadastro!$C$4:$G$7,5,FALSE)),"")</f>
        <v/>
      </c>
      <c r="J398" s="15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54" t="str">
        <f>IFERROR(IF($D399="","",VLOOKUP($D399,Cadastro!$C$4:$E$7,3,FALSE)),"")</f>
        <v/>
      </c>
      <c r="G399" s="106"/>
      <c r="H399" s="154" t="str">
        <f>IFERROR(IF($G399="","",$G399*$S$405/$G$405/Cadastro!$E$33),"")</f>
        <v/>
      </c>
      <c r="I399" s="155" t="str">
        <f>IFERROR(IF($D399="","",VLOOKUP($D399,Cadastro!$C$4:$G$7,5,FALSE)),"")</f>
        <v/>
      </c>
      <c r="J399" s="15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54" t="str">
        <f>IFERROR(IF($D400="","",VLOOKUP($D400,Cadastro!$C$4:$E$7,3,FALSE)),"")</f>
        <v/>
      </c>
      <c r="G400" s="106"/>
      <c r="H400" s="154" t="str">
        <f>IFERROR(IF($G400="","",$G400*$S$405/$G$405/Cadastro!$E$33),"")</f>
        <v/>
      </c>
      <c r="I400" s="155" t="str">
        <f>IFERROR(IF($D400="","",VLOOKUP($D400,Cadastro!$C$4:$G$7,5,FALSE)),"")</f>
        <v/>
      </c>
      <c r="J400" s="15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54" t="str">
        <f>IFERROR(IF($D401="","",VLOOKUP($D401,Cadastro!$C$4:$E$7,3,FALSE)),"")</f>
        <v/>
      </c>
      <c r="G401" s="106"/>
      <c r="H401" s="154" t="str">
        <f>IFERROR(IF($G401="","",$G401*$S$405/$G$405/Cadastro!$E$33),"")</f>
        <v/>
      </c>
      <c r="I401" s="155" t="str">
        <f>IFERROR(IF($D401="","",VLOOKUP($D401,Cadastro!$C$4:$G$7,5,FALSE)),"")</f>
        <v/>
      </c>
      <c r="J401" s="15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54" t="str">
        <f>IFERROR(IF($D402="","",VLOOKUP($D402,Cadastro!$C$4:$E$7,3,FALSE)),"")</f>
        <v/>
      </c>
      <c r="G402" s="106"/>
      <c r="H402" s="154" t="str">
        <f>IFERROR(IF($G402="","",$G402*$S$405/$G$405/Cadastro!$E$33),"")</f>
        <v/>
      </c>
      <c r="I402" s="155" t="str">
        <f>IFERROR(IF($D402="","",VLOOKUP($D402,Cadastro!$C$4:$G$7,5,FALSE)),"")</f>
        <v/>
      </c>
      <c r="J402" s="15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54" t="str">
        <f>IFERROR(IF($D403="","",VLOOKUP($D403,Cadastro!$C$4:$E$7,3,FALSE)),"")</f>
        <v/>
      </c>
      <c r="G403" s="106"/>
      <c r="H403" s="154" t="str">
        <f>IFERROR(IF($G403="","",$G403*$S$405/$G$405/Cadastro!$E$33),"")</f>
        <v/>
      </c>
      <c r="I403" s="155" t="str">
        <f>IFERROR(IF($D403="","",VLOOKUP($D403,Cadastro!$C$4:$G$7,5,FALSE)),"")</f>
        <v/>
      </c>
      <c r="J403" s="15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57" t="str">
        <f>IFERROR(IF($D404="","",VLOOKUP($D404,Cadastro!$C$4:$E$7,3,FALSE)),"")</f>
        <v/>
      </c>
      <c r="G404" s="106"/>
      <c r="H404" s="157" t="str">
        <f>IFERROR(IF($G404="","",$G404*$S$405/$G$405/Cadastro!$E$33),"")</f>
        <v/>
      </c>
      <c r="I404" s="158" t="str">
        <f>IFERROR(IF($D404="","",VLOOKUP($D404,Cadastro!$C$4:$G$7,5,FALSE)),"")</f>
        <v/>
      </c>
      <c r="J404" s="15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32" t="s">
        <v>244</v>
      </c>
      <c r="B405" s="133"/>
      <c r="C405" s="133"/>
      <c r="D405" s="133"/>
      <c r="E405" s="13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34" t="s">
        <v>245</v>
      </c>
      <c r="B406" s="135"/>
      <c r="C406" s="135"/>
      <c r="D406" s="135"/>
      <c r="E406" s="135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63">
        <f>IFERROR(S392+S405,"")</f>
        <v>0</v>
      </c>
      <c r="T406" s="164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60" t="str">
        <f>IFERROR(IF($D407="","",VLOOKUP($D407,Cadastro!$C$4:$E$7,3,FALSE)),"")</f>
        <v/>
      </c>
      <c r="G407" s="106"/>
      <c r="H407" s="160" t="str">
        <f>IFERROR(IF($G407="","",$G407*$S$419/$G$419/Cadastro!$E$33),"")</f>
        <v/>
      </c>
      <c r="I407" s="161" t="str">
        <f>IFERROR(IF($D407="","",VLOOKUP($D407,Cadastro!$C$4:$G$7,5,FALSE)),"")</f>
        <v/>
      </c>
      <c r="J407" s="16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54" t="str">
        <f>IFERROR(IF($D408="","",VLOOKUP($D408,Cadastro!$C$4:$E$7,3,FALSE)),"")</f>
        <v/>
      </c>
      <c r="G408" s="106"/>
      <c r="H408" s="154" t="str">
        <f>IFERROR(IF($G408="","",$G408*$S$419/$G$419/Cadastro!$E$33),"")</f>
        <v/>
      </c>
      <c r="I408" s="155" t="str">
        <f>IFERROR(IF($D408="","",VLOOKUP($D408,Cadastro!$C$4:$G$7,5,FALSE)),"")</f>
        <v/>
      </c>
      <c r="J408" s="15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54" t="str">
        <f>IFERROR(IF($D409="","",VLOOKUP($D409,Cadastro!$C$4:$E$7,3,FALSE)),"")</f>
        <v/>
      </c>
      <c r="G409" s="106"/>
      <c r="H409" s="154" t="str">
        <f>IFERROR(IF($G409="","",$G409*$S$419/$G$419/Cadastro!$E$33),"")</f>
        <v/>
      </c>
      <c r="I409" s="155" t="str">
        <f>IFERROR(IF($D409="","",VLOOKUP($D409,Cadastro!$C$4:$G$7,5,FALSE)),"")</f>
        <v/>
      </c>
      <c r="J409" s="15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54" t="str">
        <f>IFERROR(IF($D410="","",VLOOKUP($D410,Cadastro!$C$4:$E$7,3,FALSE)),"")</f>
        <v/>
      </c>
      <c r="G410" s="106"/>
      <c r="H410" s="154" t="str">
        <f>IFERROR(IF($G410="","",$G410*$S$419/$G$419/Cadastro!$E$33),"")</f>
        <v/>
      </c>
      <c r="I410" s="155" t="str">
        <f>IFERROR(IF($D410="","",VLOOKUP($D410,Cadastro!$C$4:$G$7,5,FALSE)),"")</f>
        <v/>
      </c>
      <c r="J410" s="15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54" t="str">
        <f>IFERROR(IF($D411="","",VLOOKUP($D411,Cadastro!$C$4:$E$7,3,FALSE)),"")</f>
        <v/>
      </c>
      <c r="G411" s="106"/>
      <c r="H411" s="154" t="str">
        <f>IFERROR(IF($G411="","",$G411*$S$419/$G$419/Cadastro!$E$33),"")</f>
        <v/>
      </c>
      <c r="I411" s="155" t="str">
        <f>IFERROR(IF($D411="","",VLOOKUP($D411,Cadastro!$C$4:$G$7,5,FALSE)),"")</f>
        <v/>
      </c>
      <c r="J411" s="15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54" t="str">
        <f>IFERROR(IF($D412="","",VLOOKUP($D412,Cadastro!$C$4:$E$7,3,FALSE)),"")</f>
        <v/>
      </c>
      <c r="G412" s="106"/>
      <c r="H412" s="154" t="str">
        <f>IFERROR(IF($G412="","",$G412*$S$419/$G$419/Cadastro!$E$33),"")</f>
        <v/>
      </c>
      <c r="I412" s="155" t="str">
        <f>IFERROR(IF($D412="","",VLOOKUP($D412,Cadastro!$C$4:$G$7,5,FALSE)),"")</f>
        <v/>
      </c>
      <c r="J412" s="15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54" t="str">
        <f>IFERROR(IF($D413="","",VLOOKUP($D413,Cadastro!$C$4:$E$7,3,FALSE)),"")</f>
        <v/>
      </c>
      <c r="G413" s="106"/>
      <c r="H413" s="154" t="str">
        <f>IFERROR(IF($G413="","",$G413*$S$419/$G$419/Cadastro!$E$33),"")</f>
        <v/>
      </c>
      <c r="I413" s="155" t="str">
        <f>IFERROR(IF($D413="","",VLOOKUP($D413,Cadastro!$C$4:$G$7,5,FALSE)),"")</f>
        <v/>
      </c>
      <c r="J413" s="15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54" t="str">
        <f>IFERROR(IF($D414="","",VLOOKUP($D414,Cadastro!$C$4:$E$7,3,FALSE)),"")</f>
        <v/>
      </c>
      <c r="G414" s="106"/>
      <c r="H414" s="154" t="str">
        <f>IFERROR(IF($G414="","",$G414*$S$419/$G$419/Cadastro!$E$33),"")</f>
        <v/>
      </c>
      <c r="I414" s="155" t="str">
        <f>IFERROR(IF($D414="","",VLOOKUP($D414,Cadastro!$C$4:$G$7,5,FALSE)),"")</f>
        <v/>
      </c>
      <c r="J414" s="15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54" t="str">
        <f>IFERROR(IF($D415="","",VLOOKUP($D415,Cadastro!$C$4:$E$7,3,FALSE)),"")</f>
        <v/>
      </c>
      <c r="G415" s="106"/>
      <c r="H415" s="154" t="str">
        <f>IFERROR(IF($G415="","",$G415*$S$419/$G$419/Cadastro!$E$33),"")</f>
        <v/>
      </c>
      <c r="I415" s="155" t="str">
        <f>IFERROR(IF($D415="","",VLOOKUP($D415,Cadastro!$C$4:$G$7,5,FALSE)),"")</f>
        <v/>
      </c>
      <c r="J415" s="15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54" t="str">
        <f>IFERROR(IF($D416="","",VLOOKUP($D416,Cadastro!$C$4:$E$7,3,FALSE)),"")</f>
        <v/>
      </c>
      <c r="G416" s="106"/>
      <c r="H416" s="154" t="str">
        <f>IFERROR(IF($G416="","",$G416*$S$419/$G$419/Cadastro!$E$33),"")</f>
        <v/>
      </c>
      <c r="I416" s="155" t="str">
        <f>IFERROR(IF($D416="","",VLOOKUP($D416,Cadastro!$C$4:$G$7,5,FALSE)),"")</f>
        <v/>
      </c>
      <c r="J416" s="15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54" t="str">
        <f>IFERROR(IF($D417="","",VLOOKUP($D417,Cadastro!$C$4:$E$7,3,FALSE)),"")</f>
        <v/>
      </c>
      <c r="G417" s="106"/>
      <c r="H417" s="154" t="str">
        <f>IFERROR(IF($G417="","",$G417*$S$419/$G$419/Cadastro!$E$33),"")</f>
        <v/>
      </c>
      <c r="I417" s="155" t="str">
        <f>IFERROR(IF($D417="","",VLOOKUP($D417,Cadastro!$C$4:$G$7,5,FALSE)),"")</f>
        <v/>
      </c>
      <c r="J417" s="15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57" t="str">
        <f>IFERROR(IF($D418="","",VLOOKUP($D418,Cadastro!$C$4:$E$7,3,FALSE)),"")</f>
        <v/>
      </c>
      <c r="G418" s="106"/>
      <c r="H418" s="157" t="str">
        <f>IFERROR(IF($G418="","",$G418*$S$419/$G$419/Cadastro!$E$33),"")</f>
        <v/>
      </c>
      <c r="I418" s="158" t="str">
        <f>IFERROR(IF($D418="","",VLOOKUP($D418,Cadastro!$C$4:$G$7,5,FALSE)),"")</f>
        <v/>
      </c>
      <c r="J418" s="15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32" t="s">
        <v>241</v>
      </c>
      <c r="B419" s="133"/>
      <c r="C419" s="133"/>
      <c r="D419" s="133"/>
      <c r="E419" s="13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60" t="str">
        <f>IFERROR(IF($D420="","",VLOOKUP($D420,Cadastro!$C$4:$E$7,3,FALSE)),"")</f>
        <v/>
      </c>
      <c r="G420" s="106"/>
      <c r="H420" s="160" t="str">
        <f>IFERROR(IF($G420="","",$G420*$S$432/$G$432/Cadastro!$E$33),"")</f>
        <v/>
      </c>
      <c r="I420" s="161" t="str">
        <f>IFERROR(IF($D420="","",VLOOKUP($D420,Cadastro!$C$4:$G$7,5,FALSE)),"")</f>
        <v/>
      </c>
      <c r="J420" s="16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54" t="str">
        <f>IFERROR(IF($D421="","",VLOOKUP($D421,Cadastro!$C$4:$E$7,3,FALSE)),"")</f>
        <v/>
      </c>
      <c r="G421" s="106"/>
      <c r="H421" s="154" t="str">
        <f>IFERROR(IF($G421="","",$G421*$S$432/$G$432/Cadastro!$E$33),"")</f>
        <v/>
      </c>
      <c r="I421" s="155" t="str">
        <f>IFERROR(IF($D421="","",VLOOKUP($D421,Cadastro!$C$4:$G$7,5,FALSE)),"")</f>
        <v/>
      </c>
      <c r="J421" s="15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54" t="str">
        <f>IFERROR(IF($D422="","",VLOOKUP($D422,Cadastro!$C$4:$E$7,3,FALSE)),"")</f>
        <v/>
      </c>
      <c r="G422" s="106"/>
      <c r="H422" s="154" t="str">
        <f>IFERROR(IF($G422="","",$G422*$S$432/$G$432/Cadastro!$E$33),"")</f>
        <v/>
      </c>
      <c r="I422" s="155" t="str">
        <f>IFERROR(IF($D422="","",VLOOKUP($D422,Cadastro!$C$4:$G$7,5,FALSE)),"")</f>
        <v/>
      </c>
      <c r="J422" s="15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54" t="str">
        <f>IFERROR(IF($D423="","",VLOOKUP($D423,Cadastro!$C$4:$E$7,3,FALSE)),"")</f>
        <v/>
      </c>
      <c r="G423" s="106"/>
      <c r="H423" s="154" t="str">
        <f>IFERROR(IF($G423="","",$G423*$S$432/$G$432/Cadastro!$E$33),"")</f>
        <v/>
      </c>
      <c r="I423" s="155" t="str">
        <f>IFERROR(IF($D423="","",VLOOKUP($D423,Cadastro!$C$4:$G$7,5,FALSE)),"")</f>
        <v/>
      </c>
      <c r="J423" s="15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54" t="str">
        <f>IFERROR(IF($D424="","",VLOOKUP($D424,Cadastro!$C$4:$E$7,3,FALSE)),"")</f>
        <v/>
      </c>
      <c r="G424" s="106"/>
      <c r="H424" s="154" t="str">
        <f>IFERROR(IF($G424="","",$G424*$S$432/$G$432/Cadastro!$E$33),"")</f>
        <v/>
      </c>
      <c r="I424" s="155" t="str">
        <f>IFERROR(IF($D424="","",VLOOKUP($D424,Cadastro!$C$4:$G$7,5,FALSE)),"")</f>
        <v/>
      </c>
      <c r="J424" s="15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54" t="str">
        <f>IFERROR(IF($D425="","",VLOOKUP($D425,Cadastro!$C$4:$E$7,3,FALSE)),"")</f>
        <v/>
      </c>
      <c r="G425" s="106"/>
      <c r="H425" s="154" t="str">
        <f>IFERROR(IF($G425="","",$G425*$S$432/$G$432/Cadastro!$E$33),"")</f>
        <v/>
      </c>
      <c r="I425" s="155" t="str">
        <f>IFERROR(IF($D425="","",VLOOKUP($D425,Cadastro!$C$4:$G$7,5,FALSE)),"")</f>
        <v/>
      </c>
      <c r="J425" s="15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54" t="str">
        <f>IFERROR(IF($D426="","",VLOOKUP($D426,Cadastro!$C$4:$E$7,3,FALSE)),"")</f>
        <v/>
      </c>
      <c r="G426" s="106"/>
      <c r="H426" s="154" t="str">
        <f>IFERROR(IF($G426="","",$G426*$S$432/$G$432/Cadastro!$E$33),"")</f>
        <v/>
      </c>
      <c r="I426" s="155" t="str">
        <f>IFERROR(IF($D426="","",VLOOKUP($D426,Cadastro!$C$4:$G$7,5,FALSE)),"")</f>
        <v/>
      </c>
      <c r="J426" s="15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54" t="str">
        <f>IFERROR(IF($D427="","",VLOOKUP($D427,Cadastro!$C$4:$E$7,3,FALSE)),"")</f>
        <v/>
      </c>
      <c r="G427" s="106"/>
      <c r="H427" s="154" t="str">
        <f>IFERROR(IF($G427="","",$G427*$S$432/$G$432/Cadastro!$E$33),"")</f>
        <v/>
      </c>
      <c r="I427" s="155" t="str">
        <f>IFERROR(IF($D427="","",VLOOKUP($D427,Cadastro!$C$4:$G$7,5,FALSE)),"")</f>
        <v/>
      </c>
      <c r="J427" s="15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54" t="str">
        <f>IFERROR(IF($D428="","",VLOOKUP($D428,Cadastro!$C$4:$E$7,3,FALSE)),"")</f>
        <v/>
      </c>
      <c r="G428" s="106"/>
      <c r="H428" s="154" t="str">
        <f>IFERROR(IF($G428="","",$G428*$S$432/$G$432/Cadastro!$E$33),"")</f>
        <v/>
      </c>
      <c r="I428" s="155" t="str">
        <f>IFERROR(IF($D428="","",VLOOKUP($D428,Cadastro!$C$4:$G$7,5,FALSE)),"")</f>
        <v/>
      </c>
      <c r="J428" s="15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54" t="str">
        <f>IFERROR(IF($D429="","",VLOOKUP($D429,Cadastro!$C$4:$E$7,3,FALSE)),"")</f>
        <v/>
      </c>
      <c r="G429" s="106"/>
      <c r="H429" s="154" t="str">
        <f>IFERROR(IF($G429="","",$G429*$S$432/$G$432/Cadastro!$E$33),"")</f>
        <v/>
      </c>
      <c r="I429" s="155" t="str">
        <f>IFERROR(IF($D429="","",VLOOKUP($D429,Cadastro!$C$4:$G$7,5,FALSE)),"")</f>
        <v/>
      </c>
      <c r="J429" s="15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54" t="str">
        <f>IFERROR(IF($D430="","",VLOOKUP($D430,Cadastro!$C$4:$E$7,3,FALSE)),"")</f>
        <v/>
      </c>
      <c r="G430" s="106"/>
      <c r="H430" s="154" t="str">
        <f>IFERROR(IF($G430="","",$G430*$S$432/$G$432/Cadastro!$E$33),"")</f>
        <v/>
      </c>
      <c r="I430" s="155" t="str">
        <f>IFERROR(IF($D430="","",VLOOKUP($D430,Cadastro!$C$4:$G$7,5,FALSE)),"")</f>
        <v/>
      </c>
      <c r="J430" s="15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57" t="str">
        <f>IFERROR(IF($D431="","",VLOOKUP($D431,Cadastro!$C$4:$E$7,3,FALSE)),"")</f>
        <v/>
      </c>
      <c r="G431" s="106"/>
      <c r="H431" s="157" t="str">
        <f>IFERROR(IF($G431="","",$G431*$S$432/$G$432/Cadastro!$E$33),"")</f>
        <v/>
      </c>
      <c r="I431" s="158" t="str">
        <f>IFERROR(IF($D431="","",VLOOKUP($D431,Cadastro!$C$4:$G$7,5,FALSE)),"")</f>
        <v/>
      </c>
      <c r="J431" s="15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63">
        <f>IFERROR(S419+S432,"")</f>
        <v>0</v>
      </c>
      <c r="T433" s="164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60" t="str">
        <f>IFERROR(IF($D434="","",VLOOKUP($D434,Cadastro!$C$4:$E$7,3,FALSE)),"")</f>
        <v/>
      </c>
      <c r="G434" s="106"/>
      <c r="H434" s="160" t="str">
        <f>IFERROR(IF($G434="","",$G434*$S$446/$G$446/Cadastro!$E$33),"")</f>
        <v/>
      </c>
      <c r="I434" s="161" t="str">
        <f>IFERROR(IF($D434="","",VLOOKUP($D434,Cadastro!$C$4:$G$7,5,FALSE)),"")</f>
        <v/>
      </c>
      <c r="J434" s="16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54" t="str">
        <f>IFERROR(IF($D435="","",VLOOKUP($D435,Cadastro!$C$4:$E$7,3,FALSE)),"")</f>
        <v/>
      </c>
      <c r="G435" s="106"/>
      <c r="H435" s="154" t="str">
        <f>IFERROR(IF($G435="","",$G435*$S$446/$G$446/Cadastro!$E$33),"")</f>
        <v/>
      </c>
      <c r="I435" s="155" t="str">
        <f>IFERROR(IF($D435="","",VLOOKUP($D435,Cadastro!$C$4:$G$7,5,FALSE)),"")</f>
        <v/>
      </c>
      <c r="J435" s="15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54" t="str">
        <f>IFERROR(IF($D436="","",VLOOKUP($D436,Cadastro!$C$4:$E$7,3,FALSE)),"")</f>
        <v/>
      </c>
      <c r="G436" s="106"/>
      <c r="H436" s="154" t="str">
        <f>IFERROR(IF($G436="","",$G436*$S$446/$G$446/Cadastro!$E$33),"")</f>
        <v/>
      </c>
      <c r="I436" s="155" t="str">
        <f>IFERROR(IF($D436="","",VLOOKUP($D436,Cadastro!$C$4:$G$7,5,FALSE)),"")</f>
        <v/>
      </c>
      <c r="J436" s="15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54" t="str">
        <f>IFERROR(IF($D437="","",VLOOKUP($D437,Cadastro!$C$4:$E$7,3,FALSE)),"")</f>
        <v/>
      </c>
      <c r="G437" s="106"/>
      <c r="H437" s="154" t="str">
        <f>IFERROR(IF($G437="","",$G437*$S$446/$G$446/Cadastro!$E$33),"")</f>
        <v/>
      </c>
      <c r="I437" s="155" t="str">
        <f>IFERROR(IF($D437="","",VLOOKUP($D437,Cadastro!$C$4:$G$7,5,FALSE)),"")</f>
        <v/>
      </c>
      <c r="J437" s="15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54" t="str">
        <f>IFERROR(IF($D438="","",VLOOKUP($D438,Cadastro!$C$4:$E$7,3,FALSE)),"")</f>
        <v/>
      </c>
      <c r="G438" s="106"/>
      <c r="H438" s="154" t="str">
        <f>IFERROR(IF($G438="","",$G438*$S$446/$G$446/Cadastro!$E$33),"")</f>
        <v/>
      </c>
      <c r="I438" s="155" t="str">
        <f>IFERROR(IF($D438="","",VLOOKUP($D438,Cadastro!$C$4:$G$7,5,FALSE)),"")</f>
        <v/>
      </c>
      <c r="J438" s="15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54" t="str">
        <f>IFERROR(IF($D439="","",VLOOKUP($D439,Cadastro!$C$4:$E$7,3,FALSE)),"")</f>
        <v/>
      </c>
      <c r="G439" s="106"/>
      <c r="H439" s="154" t="str">
        <f>IFERROR(IF($G439="","",$G439*$S$446/$G$446/Cadastro!$E$33),"")</f>
        <v/>
      </c>
      <c r="I439" s="155" t="str">
        <f>IFERROR(IF($D439="","",VLOOKUP($D439,Cadastro!$C$4:$G$7,5,FALSE)),"")</f>
        <v/>
      </c>
      <c r="J439" s="15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54" t="str">
        <f>IFERROR(IF($D440="","",VLOOKUP($D440,Cadastro!$C$4:$E$7,3,FALSE)),"")</f>
        <v/>
      </c>
      <c r="G440" s="106"/>
      <c r="H440" s="154" t="str">
        <f>IFERROR(IF($G440="","",$G440*$S$446/$G$446/Cadastro!$E$33),"")</f>
        <v/>
      </c>
      <c r="I440" s="155" t="str">
        <f>IFERROR(IF($D440="","",VLOOKUP($D440,Cadastro!$C$4:$G$7,5,FALSE)),"")</f>
        <v/>
      </c>
      <c r="J440" s="15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54" t="str">
        <f>IFERROR(IF($D441="","",VLOOKUP($D441,Cadastro!$C$4:$E$7,3,FALSE)),"")</f>
        <v/>
      </c>
      <c r="G441" s="106"/>
      <c r="H441" s="154" t="str">
        <f>IFERROR(IF($G441="","",$G441*$S$446/$G$446/Cadastro!$E$33),"")</f>
        <v/>
      </c>
      <c r="I441" s="155" t="str">
        <f>IFERROR(IF($D441="","",VLOOKUP($D441,Cadastro!$C$4:$G$7,5,FALSE)),"")</f>
        <v/>
      </c>
      <c r="J441" s="15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54" t="str">
        <f>IFERROR(IF($D442="","",VLOOKUP($D442,Cadastro!$C$4:$E$7,3,FALSE)),"")</f>
        <v/>
      </c>
      <c r="G442" s="106"/>
      <c r="H442" s="154" t="str">
        <f>IFERROR(IF($G442="","",$G442*$S$446/$G$446/Cadastro!$E$33),"")</f>
        <v/>
      </c>
      <c r="I442" s="155" t="str">
        <f>IFERROR(IF($D442="","",VLOOKUP($D442,Cadastro!$C$4:$G$7,5,FALSE)),"")</f>
        <v/>
      </c>
      <c r="J442" s="15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54" t="str">
        <f>IFERROR(IF($D443="","",VLOOKUP($D443,Cadastro!$C$4:$E$7,3,FALSE)),"")</f>
        <v/>
      </c>
      <c r="G443" s="106"/>
      <c r="H443" s="154" t="str">
        <f>IFERROR(IF($G443="","",$G443*$S$446/$G$446/Cadastro!$E$33),"")</f>
        <v/>
      </c>
      <c r="I443" s="155" t="str">
        <f>IFERROR(IF($D443="","",VLOOKUP($D443,Cadastro!$C$4:$G$7,5,FALSE)),"")</f>
        <v/>
      </c>
      <c r="J443" s="15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54" t="str">
        <f>IFERROR(IF($D444="","",VLOOKUP($D444,Cadastro!$C$4:$E$7,3,FALSE)),"")</f>
        <v/>
      </c>
      <c r="G444" s="106"/>
      <c r="H444" s="154" t="str">
        <f>IFERROR(IF($G444="","",$G444*$S$446/$G$446/Cadastro!$E$33),"")</f>
        <v/>
      </c>
      <c r="I444" s="155" t="str">
        <f>IFERROR(IF($D444="","",VLOOKUP($D444,Cadastro!$C$4:$G$7,5,FALSE)),"")</f>
        <v/>
      </c>
      <c r="J444" s="15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57" t="str">
        <f>IFERROR(IF($D445="","",VLOOKUP($D445,Cadastro!$C$4:$E$7,3,FALSE)),"")</f>
        <v/>
      </c>
      <c r="G445" s="106"/>
      <c r="H445" s="157" t="str">
        <f>IFERROR(IF($G445="","",$G445*$S$446/$G$446/Cadastro!$E$33),"")</f>
        <v/>
      </c>
      <c r="I445" s="158" t="str">
        <f>IFERROR(IF($D445="","",VLOOKUP($D445,Cadastro!$C$4:$G$7,5,FALSE)),"")</f>
        <v/>
      </c>
      <c r="J445" s="15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32" t="s">
        <v>241</v>
      </c>
      <c r="B446" s="133"/>
      <c r="C446" s="133"/>
      <c r="D446" s="133"/>
      <c r="E446" s="13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60" t="str">
        <f>IFERROR(IF($D447="","",VLOOKUP($D447,Cadastro!$C$4:$E$7,3,FALSE)),"")</f>
        <v/>
      </c>
      <c r="G447" s="106"/>
      <c r="H447" s="160" t="str">
        <f>IFERROR(IF($G447="","",$G447*$S$459/$G$459/Cadastro!$E$33),"")</f>
        <v/>
      </c>
      <c r="I447" s="161" t="str">
        <f>IFERROR(IF($D447="","",VLOOKUP($D447,Cadastro!$C$4:$G$7,5,FALSE)),"")</f>
        <v/>
      </c>
      <c r="J447" s="16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54" t="str">
        <f>IFERROR(IF($D448="","",VLOOKUP($D448,Cadastro!$C$4:$E$7,3,FALSE)),"")</f>
        <v/>
      </c>
      <c r="G448" s="106"/>
      <c r="H448" s="154" t="str">
        <f>IFERROR(IF($G448="","",$G448*$S$459/$G$459/Cadastro!$E$33),"")</f>
        <v/>
      </c>
      <c r="I448" s="155" t="str">
        <f>IFERROR(IF($D448="","",VLOOKUP($D448,Cadastro!$C$4:$G$7,5,FALSE)),"")</f>
        <v/>
      </c>
      <c r="J448" s="15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54" t="str">
        <f>IFERROR(IF($D449="","",VLOOKUP($D449,Cadastro!$C$4:$E$7,3,FALSE)),"")</f>
        <v/>
      </c>
      <c r="G449" s="106"/>
      <c r="H449" s="154" t="str">
        <f>IFERROR(IF($G449="","",$G449*$S$459/$G$459/Cadastro!$E$33),"")</f>
        <v/>
      </c>
      <c r="I449" s="155" t="str">
        <f>IFERROR(IF($D449="","",VLOOKUP($D449,Cadastro!$C$4:$G$7,5,FALSE)),"")</f>
        <v/>
      </c>
      <c r="J449" s="15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54" t="str">
        <f>IFERROR(IF($D450="","",VLOOKUP($D450,Cadastro!$C$4:$E$7,3,FALSE)),"")</f>
        <v/>
      </c>
      <c r="G450" s="106"/>
      <c r="H450" s="154" t="str">
        <f>IFERROR(IF($G450="","",$G450*$S$459/$G$459/Cadastro!$E$33),"")</f>
        <v/>
      </c>
      <c r="I450" s="155" t="str">
        <f>IFERROR(IF($D450="","",VLOOKUP($D450,Cadastro!$C$4:$G$7,5,FALSE)),"")</f>
        <v/>
      </c>
      <c r="J450" s="15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54" t="str">
        <f>IFERROR(IF($D451="","",VLOOKUP($D451,Cadastro!$C$4:$E$7,3,FALSE)),"")</f>
        <v/>
      </c>
      <c r="G451" s="106"/>
      <c r="H451" s="154" t="str">
        <f>IFERROR(IF($G451="","",$G451*$S$459/$G$459/Cadastro!$E$33),"")</f>
        <v/>
      </c>
      <c r="I451" s="155" t="str">
        <f>IFERROR(IF($D451="","",VLOOKUP($D451,Cadastro!$C$4:$G$7,5,FALSE)),"")</f>
        <v/>
      </c>
      <c r="J451" s="15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54" t="str">
        <f>IFERROR(IF($D452="","",VLOOKUP($D452,Cadastro!$C$4:$E$7,3,FALSE)),"")</f>
        <v/>
      </c>
      <c r="G452" s="106"/>
      <c r="H452" s="154" t="str">
        <f>IFERROR(IF($G452="","",$G452*$S$459/$G$459/Cadastro!$E$33),"")</f>
        <v/>
      </c>
      <c r="I452" s="155" t="str">
        <f>IFERROR(IF($D452="","",VLOOKUP($D452,Cadastro!$C$4:$G$7,5,FALSE)),"")</f>
        <v/>
      </c>
      <c r="J452" s="15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54" t="str">
        <f>IFERROR(IF($D453="","",VLOOKUP($D453,Cadastro!$C$4:$E$7,3,FALSE)),"")</f>
        <v/>
      </c>
      <c r="G453" s="106"/>
      <c r="H453" s="154" t="str">
        <f>IFERROR(IF($G453="","",$G453*$S$459/$G$459/Cadastro!$E$33),"")</f>
        <v/>
      </c>
      <c r="I453" s="155" t="str">
        <f>IFERROR(IF($D453="","",VLOOKUP($D453,Cadastro!$C$4:$G$7,5,FALSE)),"")</f>
        <v/>
      </c>
      <c r="J453" s="15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54" t="str">
        <f>IFERROR(IF($D454="","",VLOOKUP($D454,Cadastro!$C$4:$E$7,3,FALSE)),"")</f>
        <v/>
      </c>
      <c r="G454" s="106"/>
      <c r="H454" s="154" t="str">
        <f>IFERROR(IF($G454="","",$G454*$S$459/$G$459/Cadastro!$E$33),"")</f>
        <v/>
      </c>
      <c r="I454" s="155" t="str">
        <f>IFERROR(IF($D454="","",VLOOKUP($D454,Cadastro!$C$4:$G$7,5,FALSE)),"")</f>
        <v/>
      </c>
      <c r="J454" s="15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54" t="str">
        <f>IFERROR(IF($D455="","",VLOOKUP($D455,Cadastro!$C$4:$E$7,3,FALSE)),"")</f>
        <v/>
      </c>
      <c r="G455" s="106"/>
      <c r="H455" s="154" t="str">
        <f>IFERROR(IF($G455="","",$G455*$S$459/$G$459/Cadastro!$E$33),"")</f>
        <v/>
      </c>
      <c r="I455" s="155" t="str">
        <f>IFERROR(IF($D455="","",VLOOKUP($D455,Cadastro!$C$4:$G$7,5,FALSE)),"")</f>
        <v/>
      </c>
      <c r="J455" s="15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54" t="str">
        <f>IFERROR(IF($D456="","",VLOOKUP($D456,Cadastro!$C$4:$E$7,3,FALSE)),"")</f>
        <v/>
      </c>
      <c r="G456" s="106"/>
      <c r="H456" s="154" t="str">
        <f>IFERROR(IF($G456="","",$G456*$S$459/$G$459/Cadastro!$E$33),"")</f>
        <v/>
      </c>
      <c r="I456" s="155" t="str">
        <f>IFERROR(IF($D456="","",VLOOKUP($D456,Cadastro!$C$4:$G$7,5,FALSE)),"")</f>
        <v/>
      </c>
      <c r="J456" s="15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54" t="str">
        <f>IFERROR(IF($D457="","",VLOOKUP($D457,Cadastro!$C$4:$E$7,3,FALSE)),"")</f>
        <v/>
      </c>
      <c r="G457" s="106"/>
      <c r="H457" s="154" t="str">
        <f>IFERROR(IF($G457="","",$G457*$S$459/$G$459/Cadastro!$E$33),"")</f>
        <v/>
      </c>
      <c r="I457" s="155" t="str">
        <f>IFERROR(IF($D457="","",VLOOKUP($D457,Cadastro!$C$4:$G$7,5,FALSE)),"")</f>
        <v/>
      </c>
      <c r="J457" s="15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57" t="str">
        <f>IFERROR(IF($D458="","",VLOOKUP($D458,Cadastro!$C$4:$E$7,3,FALSE)),"")</f>
        <v/>
      </c>
      <c r="G458" s="106"/>
      <c r="H458" s="157" t="str">
        <f>IFERROR(IF($G458="","",$G458*$S$459/$G$459/Cadastro!$E$33),"")</f>
        <v/>
      </c>
      <c r="I458" s="158" t="str">
        <f>IFERROR(IF($D458="","",VLOOKUP($D458,Cadastro!$C$4:$G$7,5,FALSE)),"")</f>
        <v/>
      </c>
      <c r="J458" s="15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32" t="s">
        <v>244</v>
      </c>
      <c r="B459" s="133"/>
      <c r="C459" s="133"/>
      <c r="D459" s="133"/>
      <c r="E459" s="13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34" t="s">
        <v>245</v>
      </c>
      <c r="B460" s="135"/>
      <c r="C460" s="135"/>
      <c r="D460" s="135"/>
      <c r="E460" s="135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63">
        <f>IFERROR(S446+S459,"")</f>
        <v>0</v>
      </c>
      <c r="T460" s="164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60" t="str">
        <f>IFERROR(IF($D461="","",VLOOKUP($D461,Cadastro!$C$4:$E$7,3,FALSE)),"")</f>
        <v/>
      </c>
      <c r="G461" s="106"/>
      <c r="H461" s="160" t="str">
        <f>IFERROR(IF($G461="","",$G461*$S$473/$G$473/Cadastro!$E$33),"")</f>
        <v/>
      </c>
      <c r="I461" s="161" t="str">
        <f>IFERROR(IF($D461="","",VLOOKUP($D461,Cadastro!$C$4:$G$7,5,FALSE)),"")</f>
        <v/>
      </c>
      <c r="J461" s="16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54" t="str">
        <f>IFERROR(IF($D462="","",VLOOKUP($D462,Cadastro!$C$4:$E$7,3,FALSE)),"")</f>
        <v/>
      </c>
      <c r="G462" s="106"/>
      <c r="H462" s="154" t="str">
        <f>IFERROR(IF($G462="","",$G462*$S$473/$G$473/Cadastro!$E$33),"")</f>
        <v/>
      </c>
      <c r="I462" s="155" t="str">
        <f>IFERROR(IF($D462="","",VLOOKUP($D462,Cadastro!$C$4:$G$7,5,FALSE)),"")</f>
        <v/>
      </c>
      <c r="J462" s="15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54" t="str">
        <f>IFERROR(IF($D463="","",VLOOKUP($D463,Cadastro!$C$4:$E$7,3,FALSE)),"")</f>
        <v/>
      </c>
      <c r="G463" s="106"/>
      <c r="H463" s="154" t="str">
        <f>IFERROR(IF($G463="","",$G463*$S$473/$G$473/Cadastro!$E$33),"")</f>
        <v/>
      </c>
      <c r="I463" s="155" t="str">
        <f>IFERROR(IF($D463="","",VLOOKUP($D463,Cadastro!$C$4:$G$7,5,FALSE)),"")</f>
        <v/>
      </c>
      <c r="J463" s="15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54" t="str">
        <f>IFERROR(IF($D464="","",VLOOKUP($D464,Cadastro!$C$4:$E$7,3,FALSE)),"")</f>
        <v/>
      </c>
      <c r="G464" s="106"/>
      <c r="H464" s="154" t="str">
        <f>IFERROR(IF($G464="","",$G464*$S$473/$G$473/Cadastro!$E$33),"")</f>
        <v/>
      </c>
      <c r="I464" s="155" t="str">
        <f>IFERROR(IF($D464="","",VLOOKUP($D464,Cadastro!$C$4:$G$7,5,FALSE)),"")</f>
        <v/>
      </c>
      <c r="J464" s="15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54" t="str">
        <f>IFERROR(IF($D465="","",VLOOKUP($D465,Cadastro!$C$4:$E$7,3,FALSE)),"")</f>
        <v/>
      </c>
      <c r="G465" s="106"/>
      <c r="H465" s="154" t="str">
        <f>IFERROR(IF($G465="","",$G465*$S$473/$G$473/Cadastro!$E$33),"")</f>
        <v/>
      </c>
      <c r="I465" s="155" t="str">
        <f>IFERROR(IF($D465="","",VLOOKUP($D465,Cadastro!$C$4:$G$7,5,FALSE)),"")</f>
        <v/>
      </c>
      <c r="J465" s="15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54" t="str">
        <f>IFERROR(IF($D466="","",VLOOKUP($D466,Cadastro!$C$4:$E$7,3,FALSE)),"")</f>
        <v/>
      </c>
      <c r="G466" s="106"/>
      <c r="H466" s="154" t="str">
        <f>IFERROR(IF($G466="","",$G466*$S$473/$G$473/Cadastro!$E$33),"")</f>
        <v/>
      </c>
      <c r="I466" s="155" t="str">
        <f>IFERROR(IF($D466="","",VLOOKUP($D466,Cadastro!$C$4:$G$7,5,FALSE)),"")</f>
        <v/>
      </c>
      <c r="J466" s="15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54" t="str">
        <f>IFERROR(IF($D467="","",VLOOKUP($D467,Cadastro!$C$4:$E$7,3,FALSE)),"")</f>
        <v/>
      </c>
      <c r="G467" s="106"/>
      <c r="H467" s="154" t="str">
        <f>IFERROR(IF($G467="","",$G467*$S$473/$G$473/Cadastro!$E$33),"")</f>
        <v/>
      </c>
      <c r="I467" s="155" t="str">
        <f>IFERROR(IF($D467="","",VLOOKUP($D467,Cadastro!$C$4:$G$7,5,FALSE)),"")</f>
        <v/>
      </c>
      <c r="J467" s="15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54" t="str">
        <f>IFERROR(IF($D468="","",VLOOKUP($D468,Cadastro!$C$4:$E$7,3,FALSE)),"")</f>
        <v/>
      </c>
      <c r="G468" s="106"/>
      <c r="H468" s="154" t="str">
        <f>IFERROR(IF($G468="","",$G468*$S$473/$G$473/Cadastro!$E$33),"")</f>
        <v/>
      </c>
      <c r="I468" s="155" t="str">
        <f>IFERROR(IF($D468="","",VLOOKUP($D468,Cadastro!$C$4:$G$7,5,FALSE)),"")</f>
        <v/>
      </c>
      <c r="J468" s="15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54" t="str">
        <f>IFERROR(IF($D469="","",VLOOKUP($D469,Cadastro!$C$4:$E$7,3,FALSE)),"")</f>
        <v/>
      </c>
      <c r="G469" s="106"/>
      <c r="H469" s="154" t="str">
        <f>IFERROR(IF($G469="","",$G469*$S$473/$G$473/Cadastro!$E$33),"")</f>
        <v/>
      </c>
      <c r="I469" s="155" t="str">
        <f>IFERROR(IF($D469="","",VLOOKUP($D469,Cadastro!$C$4:$G$7,5,FALSE)),"")</f>
        <v/>
      </c>
      <c r="J469" s="15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54" t="str">
        <f>IFERROR(IF($D470="","",VLOOKUP($D470,Cadastro!$C$4:$E$7,3,FALSE)),"")</f>
        <v/>
      </c>
      <c r="G470" s="106"/>
      <c r="H470" s="154" t="str">
        <f>IFERROR(IF($G470="","",$G470*$S$473/$G$473/Cadastro!$E$33),"")</f>
        <v/>
      </c>
      <c r="I470" s="155" t="str">
        <f>IFERROR(IF($D470="","",VLOOKUP($D470,Cadastro!$C$4:$G$7,5,FALSE)),"")</f>
        <v/>
      </c>
      <c r="J470" s="15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54" t="str">
        <f>IFERROR(IF($D471="","",VLOOKUP($D471,Cadastro!$C$4:$E$7,3,FALSE)),"")</f>
        <v/>
      </c>
      <c r="G471" s="106"/>
      <c r="H471" s="154" t="str">
        <f>IFERROR(IF($G471="","",$G471*$S$473/$G$473/Cadastro!$E$33),"")</f>
        <v/>
      </c>
      <c r="I471" s="155" t="str">
        <f>IFERROR(IF($D471="","",VLOOKUP($D471,Cadastro!$C$4:$G$7,5,FALSE)),"")</f>
        <v/>
      </c>
      <c r="J471" s="15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57" t="str">
        <f>IFERROR(IF($D472="","",VLOOKUP($D472,Cadastro!$C$4:$E$7,3,FALSE)),"")</f>
        <v/>
      </c>
      <c r="G472" s="106"/>
      <c r="H472" s="157" t="str">
        <f>IFERROR(IF($G472="","",$G472*$S$473/$G$473/Cadastro!$E$33),"")</f>
        <v/>
      </c>
      <c r="I472" s="158" t="str">
        <f>IFERROR(IF($D472="","",VLOOKUP($D472,Cadastro!$C$4:$G$7,5,FALSE)),"")</f>
        <v/>
      </c>
      <c r="J472" s="15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32" t="s">
        <v>241</v>
      </c>
      <c r="B473" s="133"/>
      <c r="C473" s="133"/>
      <c r="D473" s="133"/>
      <c r="E473" s="13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60" t="str">
        <f>IFERROR(IF($D474="","",VLOOKUP($D474,Cadastro!$C$4:$E$7,3,FALSE)),"")</f>
        <v/>
      </c>
      <c r="G474" s="106"/>
      <c r="H474" s="160" t="str">
        <f>IFERROR(IF($G474="","",$G474*$S$486/$G$486/Cadastro!$E$33),"")</f>
        <v/>
      </c>
      <c r="I474" s="161" t="str">
        <f>IFERROR(IF($D474="","",VLOOKUP($D474,Cadastro!$C$4:$G$7,5,FALSE)),"")</f>
        <v/>
      </c>
      <c r="J474" s="16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54" t="str">
        <f>IFERROR(IF($D475="","",VLOOKUP($D475,Cadastro!$C$4:$E$7,3,FALSE)),"")</f>
        <v/>
      </c>
      <c r="G475" s="106"/>
      <c r="H475" s="154" t="str">
        <f>IFERROR(IF($G475="","",$G475*$S$486/$G$486/Cadastro!$E$33),"")</f>
        <v/>
      </c>
      <c r="I475" s="155" t="str">
        <f>IFERROR(IF($D475="","",VLOOKUP($D475,Cadastro!$C$4:$G$7,5,FALSE)),"")</f>
        <v/>
      </c>
      <c r="J475" s="15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54" t="str">
        <f>IFERROR(IF($D476="","",VLOOKUP($D476,Cadastro!$C$4:$E$7,3,FALSE)),"")</f>
        <v/>
      </c>
      <c r="G476" s="106"/>
      <c r="H476" s="154" t="str">
        <f>IFERROR(IF($G476="","",$G476*$S$486/$G$486/Cadastro!$E$33),"")</f>
        <v/>
      </c>
      <c r="I476" s="155" t="str">
        <f>IFERROR(IF($D476="","",VLOOKUP($D476,Cadastro!$C$4:$G$7,5,FALSE)),"")</f>
        <v/>
      </c>
      <c r="J476" s="15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54" t="str">
        <f>IFERROR(IF($D477="","",VLOOKUP($D477,Cadastro!$C$4:$E$7,3,FALSE)),"")</f>
        <v/>
      </c>
      <c r="G477" s="106"/>
      <c r="H477" s="154" t="str">
        <f>IFERROR(IF($G477="","",$G477*$S$486/$G$486/Cadastro!$E$33),"")</f>
        <v/>
      </c>
      <c r="I477" s="155" t="str">
        <f>IFERROR(IF($D477="","",VLOOKUP($D477,Cadastro!$C$4:$G$7,5,FALSE)),"")</f>
        <v/>
      </c>
      <c r="J477" s="15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54" t="str">
        <f>IFERROR(IF($D478="","",VLOOKUP($D478,Cadastro!$C$4:$E$7,3,FALSE)),"")</f>
        <v/>
      </c>
      <c r="G478" s="106"/>
      <c r="H478" s="154" t="str">
        <f>IFERROR(IF($G478="","",$G478*$S$486/$G$486/Cadastro!$E$33),"")</f>
        <v/>
      </c>
      <c r="I478" s="155" t="str">
        <f>IFERROR(IF($D478="","",VLOOKUP($D478,Cadastro!$C$4:$G$7,5,FALSE)),"")</f>
        <v/>
      </c>
      <c r="J478" s="15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54" t="str">
        <f>IFERROR(IF($D479="","",VLOOKUP($D479,Cadastro!$C$4:$E$7,3,FALSE)),"")</f>
        <v/>
      </c>
      <c r="G479" s="106"/>
      <c r="H479" s="154" t="str">
        <f>IFERROR(IF($G479="","",$G479*$S$486/$G$486/Cadastro!$E$33),"")</f>
        <v/>
      </c>
      <c r="I479" s="155" t="str">
        <f>IFERROR(IF($D479="","",VLOOKUP($D479,Cadastro!$C$4:$G$7,5,FALSE)),"")</f>
        <v/>
      </c>
      <c r="J479" s="15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54" t="str">
        <f>IFERROR(IF($D480="","",VLOOKUP($D480,Cadastro!$C$4:$E$7,3,FALSE)),"")</f>
        <v/>
      </c>
      <c r="G480" s="106"/>
      <c r="H480" s="154" t="str">
        <f>IFERROR(IF($G480="","",$G480*$S$486/$G$486/Cadastro!$E$33),"")</f>
        <v/>
      </c>
      <c r="I480" s="155" t="str">
        <f>IFERROR(IF($D480="","",VLOOKUP($D480,Cadastro!$C$4:$G$7,5,FALSE)),"")</f>
        <v/>
      </c>
      <c r="J480" s="15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54" t="str">
        <f>IFERROR(IF($D481="","",VLOOKUP($D481,Cadastro!$C$4:$E$7,3,FALSE)),"")</f>
        <v/>
      </c>
      <c r="G481" s="106"/>
      <c r="H481" s="154" t="str">
        <f>IFERROR(IF($G481="","",$G481*$S$486/$G$486/Cadastro!$E$33),"")</f>
        <v/>
      </c>
      <c r="I481" s="155" t="str">
        <f>IFERROR(IF($D481="","",VLOOKUP($D481,Cadastro!$C$4:$G$7,5,FALSE)),"")</f>
        <v/>
      </c>
      <c r="J481" s="15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54" t="str">
        <f>IFERROR(IF($D482="","",VLOOKUP($D482,Cadastro!$C$4:$E$7,3,FALSE)),"")</f>
        <v/>
      </c>
      <c r="G482" s="106"/>
      <c r="H482" s="154" t="str">
        <f>IFERROR(IF($G482="","",$G482*$S$486/$G$486/Cadastro!$E$33),"")</f>
        <v/>
      </c>
      <c r="I482" s="155" t="str">
        <f>IFERROR(IF($D482="","",VLOOKUP($D482,Cadastro!$C$4:$G$7,5,FALSE)),"")</f>
        <v/>
      </c>
      <c r="J482" s="15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54" t="str">
        <f>IFERROR(IF($D483="","",VLOOKUP($D483,Cadastro!$C$4:$E$7,3,FALSE)),"")</f>
        <v/>
      </c>
      <c r="G483" s="106"/>
      <c r="H483" s="154" t="str">
        <f>IFERROR(IF($G483="","",$G483*$S$486/$G$486/Cadastro!$E$33),"")</f>
        <v/>
      </c>
      <c r="I483" s="155" t="str">
        <f>IFERROR(IF($D483="","",VLOOKUP($D483,Cadastro!$C$4:$G$7,5,FALSE)),"")</f>
        <v/>
      </c>
      <c r="J483" s="15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54" t="str">
        <f>IFERROR(IF($D484="","",VLOOKUP($D484,Cadastro!$C$4:$E$7,3,FALSE)),"")</f>
        <v/>
      </c>
      <c r="G484" s="106"/>
      <c r="H484" s="154" t="str">
        <f>IFERROR(IF($G484="","",$G484*$S$486/$G$486/Cadastro!$E$33),"")</f>
        <v/>
      </c>
      <c r="I484" s="155" t="str">
        <f>IFERROR(IF($D484="","",VLOOKUP($D484,Cadastro!$C$4:$G$7,5,FALSE)),"")</f>
        <v/>
      </c>
      <c r="J484" s="15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57" t="str">
        <f>IFERROR(IF($D485="","",VLOOKUP($D485,Cadastro!$C$4:$E$7,3,FALSE)),"")</f>
        <v/>
      </c>
      <c r="G485" s="106"/>
      <c r="H485" s="157" t="str">
        <f>IFERROR(IF($G485="","",$G485*$S$486/$G$486/Cadastro!$E$33),"")</f>
        <v/>
      </c>
      <c r="I485" s="158" t="str">
        <f>IFERROR(IF($D485="","",VLOOKUP($D485,Cadastro!$C$4:$G$7,5,FALSE)),"")</f>
        <v/>
      </c>
      <c r="J485" s="15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32" t="s">
        <v>244</v>
      </c>
      <c r="B486" s="133"/>
      <c r="C486" s="133"/>
      <c r="D486" s="133"/>
      <c r="E486" s="13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34" t="s">
        <v>245</v>
      </c>
      <c r="B487" s="135"/>
      <c r="C487" s="135"/>
      <c r="D487" s="135"/>
      <c r="E487" s="135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63">
        <f>IFERROR(S473+S486,"")</f>
        <v>0</v>
      </c>
      <c r="T487" s="164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60" t="str">
        <f>IFERROR(IF($D488="","",VLOOKUP($D488,Cadastro!$C$4:$E$7,3,FALSE)),"")</f>
        <v/>
      </c>
      <c r="G488" s="106"/>
      <c r="H488" s="160" t="str">
        <f>IFERROR(IF($G488="","",$G488*$S$500/$G$500/Cadastro!$E$33),"")</f>
        <v/>
      </c>
      <c r="I488" s="161" t="str">
        <f>IFERROR(IF($D488="","",VLOOKUP($D488,Cadastro!$C$4:$G$7,5,FALSE)),"")</f>
        <v/>
      </c>
      <c r="J488" s="16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54" t="str">
        <f>IFERROR(IF($D489="","",VLOOKUP($D489,Cadastro!$C$4:$E$7,3,FALSE)),"")</f>
        <v/>
      </c>
      <c r="G489" s="106"/>
      <c r="H489" s="154" t="str">
        <f>IFERROR(IF($G489="","",$G489*$S$500/$G$500/Cadastro!$E$33),"")</f>
        <v/>
      </c>
      <c r="I489" s="155" t="str">
        <f>IFERROR(IF($D489="","",VLOOKUP($D489,Cadastro!$C$4:$G$7,5,FALSE)),"")</f>
        <v/>
      </c>
      <c r="J489" s="15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54" t="str">
        <f>IFERROR(IF($D490="","",VLOOKUP($D490,Cadastro!$C$4:$E$7,3,FALSE)),"")</f>
        <v/>
      </c>
      <c r="G490" s="106"/>
      <c r="H490" s="154" t="str">
        <f>IFERROR(IF($G490="","",$G490*$S$500/$G$500/Cadastro!$E$33),"")</f>
        <v/>
      </c>
      <c r="I490" s="155" t="str">
        <f>IFERROR(IF($D490="","",VLOOKUP($D490,Cadastro!$C$4:$G$7,5,FALSE)),"")</f>
        <v/>
      </c>
      <c r="J490" s="15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54" t="str">
        <f>IFERROR(IF($D491="","",VLOOKUP($D491,Cadastro!$C$4:$E$7,3,FALSE)),"")</f>
        <v/>
      </c>
      <c r="G491" s="106"/>
      <c r="H491" s="154" t="str">
        <f>IFERROR(IF($G491="","",$G491*$S$500/$G$500/Cadastro!$E$33),"")</f>
        <v/>
      </c>
      <c r="I491" s="155" t="str">
        <f>IFERROR(IF($D491="","",VLOOKUP($D491,Cadastro!$C$4:$G$7,5,FALSE)),"")</f>
        <v/>
      </c>
      <c r="J491" s="15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54" t="str">
        <f>IFERROR(IF($D492="","",VLOOKUP($D492,Cadastro!$C$4:$E$7,3,FALSE)),"")</f>
        <v/>
      </c>
      <c r="G492" s="106"/>
      <c r="H492" s="154" t="str">
        <f>IFERROR(IF($G492="","",$G492*$S$500/$G$500/Cadastro!$E$33),"")</f>
        <v/>
      </c>
      <c r="I492" s="155" t="str">
        <f>IFERROR(IF($D492="","",VLOOKUP($D492,Cadastro!$C$4:$G$7,5,FALSE)),"")</f>
        <v/>
      </c>
      <c r="J492" s="15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54" t="str">
        <f>IFERROR(IF($D493="","",VLOOKUP($D493,Cadastro!$C$4:$E$7,3,FALSE)),"")</f>
        <v/>
      </c>
      <c r="G493" s="106"/>
      <c r="H493" s="154" t="str">
        <f>IFERROR(IF($G493="","",$G493*$S$500/$G$500/Cadastro!$E$33),"")</f>
        <v/>
      </c>
      <c r="I493" s="155" t="str">
        <f>IFERROR(IF($D493="","",VLOOKUP($D493,Cadastro!$C$4:$G$7,5,FALSE)),"")</f>
        <v/>
      </c>
      <c r="J493" s="15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54" t="str">
        <f>IFERROR(IF($D494="","",VLOOKUP($D494,Cadastro!$C$4:$E$7,3,FALSE)),"")</f>
        <v/>
      </c>
      <c r="G494" s="106"/>
      <c r="H494" s="154" t="str">
        <f>IFERROR(IF($G494="","",$G494*$S$500/$G$500/Cadastro!$E$33),"")</f>
        <v/>
      </c>
      <c r="I494" s="155" t="str">
        <f>IFERROR(IF($D494="","",VLOOKUP($D494,Cadastro!$C$4:$G$7,5,FALSE)),"")</f>
        <v/>
      </c>
      <c r="J494" s="15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54" t="str">
        <f>IFERROR(IF($D495="","",VLOOKUP($D495,Cadastro!$C$4:$E$7,3,FALSE)),"")</f>
        <v/>
      </c>
      <c r="G495" s="106"/>
      <c r="H495" s="154" t="str">
        <f>IFERROR(IF($G495="","",$G495*$S$500/$G$500/Cadastro!$E$33),"")</f>
        <v/>
      </c>
      <c r="I495" s="155" t="str">
        <f>IFERROR(IF($D495="","",VLOOKUP($D495,Cadastro!$C$4:$G$7,5,FALSE)),"")</f>
        <v/>
      </c>
      <c r="J495" s="15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54" t="str">
        <f>IFERROR(IF($D496="","",VLOOKUP($D496,Cadastro!$C$4:$E$7,3,FALSE)),"")</f>
        <v/>
      </c>
      <c r="G496" s="106"/>
      <c r="H496" s="154" t="str">
        <f>IFERROR(IF($G496="","",$G496*$S$500/$G$500/Cadastro!$E$33),"")</f>
        <v/>
      </c>
      <c r="I496" s="155" t="str">
        <f>IFERROR(IF($D496="","",VLOOKUP($D496,Cadastro!$C$4:$G$7,5,FALSE)),"")</f>
        <v/>
      </c>
      <c r="J496" s="15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54" t="str">
        <f>IFERROR(IF($D497="","",VLOOKUP($D497,Cadastro!$C$4:$E$7,3,FALSE)),"")</f>
        <v/>
      </c>
      <c r="G497" s="106"/>
      <c r="H497" s="154" t="str">
        <f>IFERROR(IF($G497="","",$G497*$S$500/$G$500/Cadastro!$E$33),"")</f>
        <v/>
      </c>
      <c r="I497" s="155" t="str">
        <f>IFERROR(IF($D497="","",VLOOKUP($D497,Cadastro!$C$4:$G$7,5,FALSE)),"")</f>
        <v/>
      </c>
      <c r="J497" s="15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54" t="str">
        <f>IFERROR(IF($D498="","",VLOOKUP($D498,Cadastro!$C$4:$E$7,3,FALSE)),"")</f>
        <v/>
      </c>
      <c r="G498" s="106"/>
      <c r="H498" s="154" t="str">
        <f>IFERROR(IF($G498="","",$G498*$S$500/$G$500/Cadastro!$E$33),"")</f>
        <v/>
      </c>
      <c r="I498" s="155" t="str">
        <f>IFERROR(IF($D498="","",VLOOKUP($D498,Cadastro!$C$4:$G$7,5,FALSE)),"")</f>
        <v/>
      </c>
      <c r="J498" s="15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57" t="str">
        <f>IFERROR(IF($D499="","",VLOOKUP($D499,Cadastro!$C$4:$E$7,3,FALSE)),"")</f>
        <v/>
      </c>
      <c r="G499" s="106"/>
      <c r="H499" s="157" t="str">
        <f>IFERROR(IF($G499="","",$G499*$S$500/$G$500/Cadastro!$E$33),"")</f>
        <v/>
      </c>
      <c r="I499" s="158" t="str">
        <f>IFERROR(IF($D499="","",VLOOKUP($D499,Cadastro!$C$4:$G$7,5,FALSE)),"")</f>
        <v/>
      </c>
      <c r="J499" s="15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32" t="s">
        <v>241</v>
      </c>
      <c r="B500" s="133"/>
      <c r="C500" s="133"/>
      <c r="D500" s="133"/>
      <c r="E500" s="13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60" t="str">
        <f>IFERROR(IF($D501="","",VLOOKUP($D501,Cadastro!$C$4:$E$7,3,FALSE)),"")</f>
        <v/>
      </c>
      <c r="G501" s="106"/>
      <c r="H501" s="160" t="str">
        <f>IFERROR(IF($G501="","",$G501*$S$513/$G$513/Cadastro!$E$33),"")</f>
        <v/>
      </c>
      <c r="I501" s="161" t="str">
        <f>IFERROR(IF($D501="","",VLOOKUP($D501,Cadastro!$C$4:$G$7,5,FALSE)),"")</f>
        <v/>
      </c>
      <c r="J501" s="16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54" t="str">
        <f>IFERROR(IF($D502="","",VLOOKUP($D502,Cadastro!$C$4:$E$7,3,FALSE)),"")</f>
        <v/>
      </c>
      <c r="G502" s="106"/>
      <c r="H502" s="154" t="str">
        <f>IFERROR(IF($G502="","",$G502*$S$513/$G$513/Cadastro!$E$33),"")</f>
        <v/>
      </c>
      <c r="I502" s="155" t="str">
        <f>IFERROR(IF($D502="","",VLOOKUP($D502,Cadastro!$C$4:$G$7,5,FALSE)),"")</f>
        <v/>
      </c>
      <c r="J502" s="15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54" t="str">
        <f>IFERROR(IF($D503="","",VLOOKUP($D503,Cadastro!$C$4:$E$7,3,FALSE)),"")</f>
        <v/>
      </c>
      <c r="G503" s="106"/>
      <c r="H503" s="154" t="str">
        <f>IFERROR(IF($G503="","",$G503*$S$513/$G$513/Cadastro!$E$33),"")</f>
        <v/>
      </c>
      <c r="I503" s="155" t="str">
        <f>IFERROR(IF($D503="","",VLOOKUP($D503,Cadastro!$C$4:$G$7,5,FALSE)),"")</f>
        <v/>
      </c>
      <c r="J503" s="15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54" t="str">
        <f>IFERROR(IF($D504="","",VLOOKUP($D504,Cadastro!$C$4:$E$7,3,FALSE)),"")</f>
        <v/>
      </c>
      <c r="G504" s="106"/>
      <c r="H504" s="154" t="str">
        <f>IFERROR(IF($G504="","",$G504*$S$513/$G$513/Cadastro!$E$33),"")</f>
        <v/>
      </c>
      <c r="I504" s="155" t="str">
        <f>IFERROR(IF($D504="","",VLOOKUP($D504,Cadastro!$C$4:$G$7,5,FALSE)),"")</f>
        <v/>
      </c>
      <c r="J504" s="15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54" t="str">
        <f>IFERROR(IF($D505="","",VLOOKUP($D505,Cadastro!$C$4:$E$7,3,FALSE)),"")</f>
        <v/>
      </c>
      <c r="G505" s="106"/>
      <c r="H505" s="154" t="str">
        <f>IFERROR(IF($G505="","",$G505*$S$513/$G$513/Cadastro!$E$33),"")</f>
        <v/>
      </c>
      <c r="I505" s="155" t="str">
        <f>IFERROR(IF($D505="","",VLOOKUP($D505,Cadastro!$C$4:$G$7,5,FALSE)),"")</f>
        <v/>
      </c>
      <c r="J505" s="15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54" t="str">
        <f>IFERROR(IF($D506="","",VLOOKUP($D506,Cadastro!$C$4:$E$7,3,FALSE)),"")</f>
        <v/>
      </c>
      <c r="G506" s="106"/>
      <c r="H506" s="154" t="str">
        <f>IFERROR(IF($G506="","",$G506*$S$513/$G$513/Cadastro!$E$33),"")</f>
        <v/>
      </c>
      <c r="I506" s="155" t="str">
        <f>IFERROR(IF($D506="","",VLOOKUP($D506,Cadastro!$C$4:$G$7,5,FALSE)),"")</f>
        <v/>
      </c>
      <c r="J506" s="15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54" t="str">
        <f>IFERROR(IF($D507="","",VLOOKUP($D507,Cadastro!$C$4:$E$7,3,FALSE)),"")</f>
        <v/>
      </c>
      <c r="G507" s="106"/>
      <c r="H507" s="154" t="str">
        <f>IFERROR(IF($G507="","",$G507*$S$513/$G$513/Cadastro!$E$33),"")</f>
        <v/>
      </c>
      <c r="I507" s="155" t="str">
        <f>IFERROR(IF($D507="","",VLOOKUP($D507,Cadastro!$C$4:$G$7,5,FALSE)),"")</f>
        <v/>
      </c>
      <c r="J507" s="15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54" t="str">
        <f>IFERROR(IF($D508="","",VLOOKUP($D508,Cadastro!$C$4:$E$7,3,FALSE)),"")</f>
        <v/>
      </c>
      <c r="G508" s="106"/>
      <c r="H508" s="154" t="str">
        <f>IFERROR(IF($G508="","",$G508*$S$513/$G$513/Cadastro!$E$33),"")</f>
        <v/>
      </c>
      <c r="I508" s="155" t="str">
        <f>IFERROR(IF($D508="","",VLOOKUP($D508,Cadastro!$C$4:$G$7,5,FALSE)),"")</f>
        <v/>
      </c>
      <c r="J508" s="15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54" t="str">
        <f>IFERROR(IF($D509="","",VLOOKUP($D509,Cadastro!$C$4:$E$7,3,FALSE)),"")</f>
        <v/>
      </c>
      <c r="G509" s="106"/>
      <c r="H509" s="154" t="str">
        <f>IFERROR(IF($G509="","",$G509*$S$513/$G$513/Cadastro!$E$33),"")</f>
        <v/>
      </c>
      <c r="I509" s="155" t="str">
        <f>IFERROR(IF($D509="","",VLOOKUP($D509,Cadastro!$C$4:$G$7,5,FALSE)),"")</f>
        <v/>
      </c>
      <c r="J509" s="15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54" t="str">
        <f>IFERROR(IF($D510="","",VLOOKUP($D510,Cadastro!$C$4:$E$7,3,FALSE)),"")</f>
        <v/>
      </c>
      <c r="G510" s="106"/>
      <c r="H510" s="154" t="str">
        <f>IFERROR(IF($G510="","",$G510*$S$513/$G$513/Cadastro!$E$33),"")</f>
        <v/>
      </c>
      <c r="I510" s="155" t="str">
        <f>IFERROR(IF($D510="","",VLOOKUP($D510,Cadastro!$C$4:$G$7,5,FALSE)),"")</f>
        <v/>
      </c>
      <c r="J510" s="15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54" t="str">
        <f>IFERROR(IF($D511="","",VLOOKUP($D511,Cadastro!$C$4:$E$7,3,FALSE)),"")</f>
        <v/>
      </c>
      <c r="G511" s="106"/>
      <c r="H511" s="154" t="str">
        <f>IFERROR(IF($G511="","",$G511*$S$513/$G$513/Cadastro!$E$33),"")</f>
        <v/>
      </c>
      <c r="I511" s="155" t="str">
        <f>IFERROR(IF($D511="","",VLOOKUP($D511,Cadastro!$C$4:$G$7,5,FALSE)),"")</f>
        <v/>
      </c>
      <c r="J511" s="15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57" t="str">
        <f>IFERROR(IF($D512="","",VLOOKUP($D512,Cadastro!$C$4:$E$7,3,FALSE)),"")</f>
        <v/>
      </c>
      <c r="G512" s="106"/>
      <c r="H512" s="157" t="str">
        <f>IFERROR(IF($G512="","",$G512*$S$513/$G$513/Cadastro!$E$33),"")</f>
        <v/>
      </c>
      <c r="I512" s="158" t="str">
        <f>IFERROR(IF($D512="","",VLOOKUP($D512,Cadastro!$C$4:$G$7,5,FALSE)),"")</f>
        <v/>
      </c>
      <c r="J512" s="15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63">
        <f>IFERROR(S500+S513,"")</f>
        <v>0</v>
      </c>
      <c r="T514" s="164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60" t="str">
        <f>IFERROR(IF($D515="","",VLOOKUP($D515,Cadastro!$C$4:$E$7,3,FALSE)),"")</f>
        <v/>
      </c>
      <c r="G515" s="106"/>
      <c r="H515" s="160" t="str">
        <f>IFERROR(IF($G515="","",$G515*$S$527/$G$527/Cadastro!$E$33),"")</f>
        <v/>
      </c>
      <c r="I515" s="161" t="str">
        <f>IFERROR(IF($D515="","",VLOOKUP($D515,Cadastro!$C$4:$G$7,5,FALSE)),"")</f>
        <v/>
      </c>
      <c r="J515" s="16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54" t="str">
        <f>IFERROR(IF($D516="","",VLOOKUP($D516,Cadastro!$C$4:$E$7,3,FALSE)),"")</f>
        <v/>
      </c>
      <c r="G516" s="106"/>
      <c r="H516" s="154" t="str">
        <f>IFERROR(IF($G516="","",$G516*$S$527/$G$527/Cadastro!$E$33),"")</f>
        <v/>
      </c>
      <c r="I516" s="155" t="str">
        <f>IFERROR(IF($D516="","",VLOOKUP($D516,Cadastro!$C$4:$G$7,5,FALSE)),"")</f>
        <v/>
      </c>
      <c r="J516" s="15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54" t="str">
        <f>IFERROR(IF($D517="","",VLOOKUP($D517,Cadastro!$C$4:$E$7,3,FALSE)),"")</f>
        <v/>
      </c>
      <c r="G517" s="106"/>
      <c r="H517" s="154" t="str">
        <f>IFERROR(IF($G517="","",$G517*$S$527/$G$527/Cadastro!$E$33),"")</f>
        <v/>
      </c>
      <c r="I517" s="155" t="str">
        <f>IFERROR(IF($D517="","",VLOOKUP($D517,Cadastro!$C$4:$G$7,5,FALSE)),"")</f>
        <v/>
      </c>
      <c r="J517" s="15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54" t="str">
        <f>IFERROR(IF($D518="","",VLOOKUP($D518,Cadastro!$C$4:$E$7,3,FALSE)),"")</f>
        <v/>
      </c>
      <c r="G518" s="106"/>
      <c r="H518" s="154" t="str">
        <f>IFERROR(IF($G518="","",$G518*$S$527/$G$527/Cadastro!$E$33),"")</f>
        <v/>
      </c>
      <c r="I518" s="155" t="str">
        <f>IFERROR(IF($D518="","",VLOOKUP($D518,Cadastro!$C$4:$G$7,5,FALSE)),"")</f>
        <v/>
      </c>
      <c r="J518" s="15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54" t="str">
        <f>IFERROR(IF($D519="","",VLOOKUP($D519,Cadastro!$C$4:$E$7,3,FALSE)),"")</f>
        <v/>
      </c>
      <c r="G519" s="106"/>
      <c r="H519" s="154" t="str">
        <f>IFERROR(IF($G519="","",$G519*$S$527/$G$527/Cadastro!$E$33),"")</f>
        <v/>
      </c>
      <c r="I519" s="155" t="str">
        <f>IFERROR(IF($D519="","",VLOOKUP($D519,Cadastro!$C$4:$G$7,5,FALSE)),"")</f>
        <v/>
      </c>
      <c r="J519" s="15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54" t="str">
        <f>IFERROR(IF($D520="","",VLOOKUP($D520,Cadastro!$C$4:$E$7,3,FALSE)),"")</f>
        <v/>
      </c>
      <c r="G520" s="106"/>
      <c r="H520" s="154" t="str">
        <f>IFERROR(IF($G520="","",$G520*$S$527/$G$527/Cadastro!$E$33),"")</f>
        <v/>
      </c>
      <c r="I520" s="155" t="str">
        <f>IFERROR(IF($D520="","",VLOOKUP($D520,Cadastro!$C$4:$G$7,5,FALSE)),"")</f>
        <v/>
      </c>
      <c r="J520" s="15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54" t="str">
        <f>IFERROR(IF($D521="","",VLOOKUP($D521,Cadastro!$C$4:$E$7,3,FALSE)),"")</f>
        <v/>
      </c>
      <c r="G521" s="106"/>
      <c r="H521" s="154" t="str">
        <f>IFERROR(IF($G521="","",$G521*$S$527/$G$527/Cadastro!$E$33),"")</f>
        <v/>
      </c>
      <c r="I521" s="155" t="str">
        <f>IFERROR(IF($D521="","",VLOOKUP($D521,Cadastro!$C$4:$G$7,5,FALSE)),"")</f>
        <v/>
      </c>
      <c r="J521" s="15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54" t="str">
        <f>IFERROR(IF($D522="","",VLOOKUP($D522,Cadastro!$C$4:$E$7,3,FALSE)),"")</f>
        <v/>
      </c>
      <c r="G522" s="106"/>
      <c r="H522" s="154" t="str">
        <f>IFERROR(IF($G522="","",$G522*$S$527/$G$527/Cadastro!$E$33),"")</f>
        <v/>
      </c>
      <c r="I522" s="155" t="str">
        <f>IFERROR(IF($D522="","",VLOOKUP($D522,Cadastro!$C$4:$G$7,5,FALSE)),"")</f>
        <v/>
      </c>
      <c r="J522" s="15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54" t="str">
        <f>IFERROR(IF($D523="","",VLOOKUP($D523,Cadastro!$C$4:$E$7,3,FALSE)),"")</f>
        <v/>
      </c>
      <c r="G523" s="106"/>
      <c r="H523" s="154" t="str">
        <f>IFERROR(IF($G523="","",$G523*$S$527/$G$527/Cadastro!$E$33),"")</f>
        <v/>
      </c>
      <c r="I523" s="155" t="str">
        <f>IFERROR(IF($D523="","",VLOOKUP($D523,Cadastro!$C$4:$G$7,5,FALSE)),"")</f>
        <v/>
      </c>
      <c r="J523" s="15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54" t="str">
        <f>IFERROR(IF($D524="","",VLOOKUP($D524,Cadastro!$C$4:$E$7,3,FALSE)),"")</f>
        <v/>
      </c>
      <c r="G524" s="106"/>
      <c r="H524" s="154" t="str">
        <f>IFERROR(IF($G524="","",$G524*$S$527/$G$527/Cadastro!$E$33),"")</f>
        <v/>
      </c>
      <c r="I524" s="155" t="str">
        <f>IFERROR(IF($D524="","",VLOOKUP($D524,Cadastro!$C$4:$G$7,5,FALSE)),"")</f>
        <v/>
      </c>
      <c r="J524" s="15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54" t="str">
        <f>IFERROR(IF($D525="","",VLOOKUP($D525,Cadastro!$C$4:$E$7,3,FALSE)),"")</f>
        <v/>
      </c>
      <c r="G525" s="106"/>
      <c r="H525" s="154" t="str">
        <f>IFERROR(IF($G525="","",$G525*$S$527/$G$527/Cadastro!$E$33),"")</f>
        <v/>
      </c>
      <c r="I525" s="155" t="str">
        <f>IFERROR(IF($D525="","",VLOOKUP($D525,Cadastro!$C$4:$G$7,5,FALSE)),"")</f>
        <v/>
      </c>
      <c r="J525" s="15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57" t="str">
        <f>IFERROR(IF($D526="","",VLOOKUP($D526,Cadastro!$C$4:$E$7,3,FALSE)),"")</f>
        <v/>
      </c>
      <c r="G526" s="106"/>
      <c r="H526" s="157" t="str">
        <f>IFERROR(IF($G526="","",$G526*$S$527/$G$527/Cadastro!$E$33),"")</f>
        <v/>
      </c>
      <c r="I526" s="158" t="str">
        <f>IFERROR(IF($D526="","",VLOOKUP($D526,Cadastro!$C$4:$G$7,5,FALSE)),"")</f>
        <v/>
      </c>
      <c r="J526" s="15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32" t="s">
        <v>241</v>
      </c>
      <c r="B527" s="133"/>
      <c r="C527" s="133"/>
      <c r="D527" s="133"/>
      <c r="E527" s="13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60" t="str">
        <f>IFERROR(IF($D528="","",VLOOKUP($D528,Cadastro!$C$4:$E$7,3,FALSE)),"")</f>
        <v/>
      </c>
      <c r="G528" s="106"/>
      <c r="H528" s="160" t="str">
        <f>IFERROR(IF($G528="","",$G528*$S$540/$G$540/Cadastro!$E$33),"")</f>
        <v/>
      </c>
      <c r="I528" s="161" t="str">
        <f>IFERROR(IF($D528="","",VLOOKUP($D528,Cadastro!$C$4:$G$7,5,FALSE)),"")</f>
        <v/>
      </c>
      <c r="J528" s="16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54" t="str">
        <f>IFERROR(IF($D529="","",VLOOKUP($D529,Cadastro!$C$4:$E$7,3,FALSE)),"")</f>
        <v/>
      </c>
      <c r="G529" s="106"/>
      <c r="H529" s="154" t="str">
        <f>IFERROR(IF($G529="","",$G529*$S$540/$G$540/Cadastro!$E$33),"")</f>
        <v/>
      </c>
      <c r="I529" s="155" t="str">
        <f>IFERROR(IF($D529="","",VLOOKUP($D529,Cadastro!$C$4:$G$7,5,FALSE)),"")</f>
        <v/>
      </c>
      <c r="J529" s="15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54" t="str">
        <f>IFERROR(IF($D530="","",VLOOKUP($D530,Cadastro!$C$4:$E$7,3,FALSE)),"")</f>
        <v/>
      </c>
      <c r="G530" s="106"/>
      <c r="H530" s="154" t="str">
        <f>IFERROR(IF($G530="","",$G530*$S$540/$G$540/Cadastro!$E$33),"")</f>
        <v/>
      </c>
      <c r="I530" s="155" t="str">
        <f>IFERROR(IF($D530="","",VLOOKUP($D530,Cadastro!$C$4:$G$7,5,FALSE)),"")</f>
        <v/>
      </c>
      <c r="J530" s="15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54" t="str">
        <f>IFERROR(IF($D531="","",VLOOKUP($D531,Cadastro!$C$4:$E$7,3,FALSE)),"")</f>
        <v/>
      </c>
      <c r="G531" s="106"/>
      <c r="H531" s="154" t="str">
        <f>IFERROR(IF($G531="","",$G531*$S$540/$G$540/Cadastro!$E$33),"")</f>
        <v/>
      </c>
      <c r="I531" s="155" t="str">
        <f>IFERROR(IF($D531="","",VLOOKUP($D531,Cadastro!$C$4:$G$7,5,FALSE)),"")</f>
        <v/>
      </c>
      <c r="J531" s="15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54" t="str">
        <f>IFERROR(IF($D532="","",VLOOKUP($D532,Cadastro!$C$4:$E$7,3,FALSE)),"")</f>
        <v/>
      </c>
      <c r="G532" s="106"/>
      <c r="H532" s="154" t="str">
        <f>IFERROR(IF($G532="","",$G532*$S$540/$G$540/Cadastro!$E$33),"")</f>
        <v/>
      </c>
      <c r="I532" s="155" t="str">
        <f>IFERROR(IF($D532="","",VLOOKUP($D532,Cadastro!$C$4:$G$7,5,FALSE)),"")</f>
        <v/>
      </c>
      <c r="J532" s="15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54" t="str">
        <f>IFERROR(IF($D533="","",VLOOKUP($D533,Cadastro!$C$4:$E$7,3,FALSE)),"")</f>
        <v/>
      </c>
      <c r="G533" s="106"/>
      <c r="H533" s="154" t="str">
        <f>IFERROR(IF($G533="","",$G533*$S$540/$G$540/Cadastro!$E$33),"")</f>
        <v/>
      </c>
      <c r="I533" s="155" t="str">
        <f>IFERROR(IF($D533="","",VLOOKUP($D533,Cadastro!$C$4:$G$7,5,FALSE)),"")</f>
        <v/>
      </c>
      <c r="J533" s="15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54" t="str">
        <f>IFERROR(IF($D534="","",VLOOKUP($D534,Cadastro!$C$4:$E$7,3,FALSE)),"")</f>
        <v/>
      </c>
      <c r="G534" s="106"/>
      <c r="H534" s="154" t="str">
        <f>IFERROR(IF($G534="","",$G534*$S$540/$G$540/Cadastro!$E$33),"")</f>
        <v/>
      </c>
      <c r="I534" s="155" t="str">
        <f>IFERROR(IF($D534="","",VLOOKUP($D534,Cadastro!$C$4:$G$7,5,FALSE)),"")</f>
        <v/>
      </c>
      <c r="J534" s="15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54" t="str">
        <f>IFERROR(IF($D535="","",VLOOKUP($D535,Cadastro!$C$4:$E$7,3,FALSE)),"")</f>
        <v/>
      </c>
      <c r="G535" s="106"/>
      <c r="H535" s="154" t="str">
        <f>IFERROR(IF($G535="","",$G535*$S$540/$G$540/Cadastro!$E$33),"")</f>
        <v/>
      </c>
      <c r="I535" s="155" t="str">
        <f>IFERROR(IF($D535="","",VLOOKUP($D535,Cadastro!$C$4:$G$7,5,FALSE)),"")</f>
        <v/>
      </c>
      <c r="J535" s="15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54" t="str">
        <f>IFERROR(IF($D536="","",VLOOKUP($D536,Cadastro!$C$4:$E$7,3,FALSE)),"")</f>
        <v/>
      </c>
      <c r="G536" s="106"/>
      <c r="H536" s="154" t="str">
        <f>IFERROR(IF($G536="","",$G536*$S$540/$G$540/Cadastro!$E$33),"")</f>
        <v/>
      </c>
      <c r="I536" s="155" t="str">
        <f>IFERROR(IF($D536="","",VLOOKUP($D536,Cadastro!$C$4:$G$7,5,FALSE)),"")</f>
        <v/>
      </c>
      <c r="J536" s="15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54" t="str">
        <f>IFERROR(IF($D537="","",VLOOKUP($D537,Cadastro!$C$4:$E$7,3,FALSE)),"")</f>
        <v/>
      </c>
      <c r="G537" s="106"/>
      <c r="H537" s="154" t="str">
        <f>IFERROR(IF($G537="","",$G537*$S$540/$G$540/Cadastro!$E$33),"")</f>
        <v/>
      </c>
      <c r="I537" s="155" t="str">
        <f>IFERROR(IF($D537="","",VLOOKUP($D537,Cadastro!$C$4:$G$7,5,FALSE)),"")</f>
        <v/>
      </c>
      <c r="J537" s="15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54" t="str">
        <f>IFERROR(IF($D538="","",VLOOKUP($D538,Cadastro!$C$4:$E$7,3,FALSE)),"")</f>
        <v/>
      </c>
      <c r="G538" s="106"/>
      <c r="H538" s="154" t="str">
        <f>IFERROR(IF($G538="","",$G538*$S$540/$G$540/Cadastro!$E$33),"")</f>
        <v/>
      </c>
      <c r="I538" s="155" t="str">
        <f>IFERROR(IF($D538="","",VLOOKUP($D538,Cadastro!$C$4:$G$7,5,FALSE)),"")</f>
        <v/>
      </c>
      <c r="J538" s="15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57" t="str">
        <f>IFERROR(IF($D539="","",VLOOKUP($D539,Cadastro!$C$4:$E$7,3,FALSE)),"")</f>
        <v/>
      </c>
      <c r="G539" s="106"/>
      <c r="H539" s="157" t="str">
        <f>IFERROR(IF($G539="","",$G539*$S$540/$G$540/Cadastro!$E$33),"")</f>
        <v/>
      </c>
      <c r="I539" s="158" t="str">
        <f>IFERROR(IF($D539="","",VLOOKUP($D539,Cadastro!$C$4:$G$7,5,FALSE)),"")</f>
        <v/>
      </c>
      <c r="J539" s="15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32" t="s">
        <v>244</v>
      </c>
      <c r="B540" s="133"/>
      <c r="C540" s="133"/>
      <c r="D540" s="133"/>
      <c r="E540" s="13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34" t="s">
        <v>245</v>
      </c>
      <c r="B541" s="135"/>
      <c r="C541" s="135"/>
      <c r="D541" s="135"/>
      <c r="E541" s="135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63">
        <f>IFERROR(S527+S540,"")</f>
        <v>0</v>
      </c>
      <c r="T541" s="164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60" t="str">
        <f>IFERROR(IF($D542="","",VLOOKUP($D542,Cadastro!$C$4:$E$7,3,FALSE)),"")</f>
        <v/>
      </c>
      <c r="G542" s="106"/>
      <c r="H542" s="160" t="str">
        <f>IFERROR(IF($G542="","",$G542*$S$554/$G$554/Cadastro!$E$33),"")</f>
        <v/>
      </c>
      <c r="I542" s="161" t="str">
        <f>IFERROR(IF($D542="","",VLOOKUP($D542,Cadastro!$C$4:$G$7,5,FALSE)),"")</f>
        <v/>
      </c>
      <c r="J542" s="16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54" t="str">
        <f>IFERROR(IF($D543="","",VLOOKUP($D543,Cadastro!$C$4:$E$7,3,FALSE)),"")</f>
        <v/>
      </c>
      <c r="G543" s="106"/>
      <c r="H543" s="154" t="str">
        <f>IFERROR(IF($G543="","",$G543*$S$554/$G$554/Cadastro!$E$33),"")</f>
        <v/>
      </c>
      <c r="I543" s="155" t="str">
        <f>IFERROR(IF($D543="","",VLOOKUP($D543,Cadastro!$C$4:$G$7,5,FALSE)),"")</f>
        <v/>
      </c>
      <c r="J543" s="15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54" t="str">
        <f>IFERROR(IF($D544="","",VLOOKUP($D544,Cadastro!$C$4:$E$7,3,FALSE)),"")</f>
        <v/>
      </c>
      <c r="G544" s="106"/>
      <c r="H544" s="154" t="str">
        <f>IFERROR(IF($G544="","",$G544*$S$554/$G$554/Cadastro!$E$33),"")</f>
        <v/>
      </c>
      <c r="I544" s="155" t="str">
        <f>IFERROR(IF($D544="","",VLOOKUP($D544,Cadastro!$C$4:$G$7,5,FALSE)),"")</f>
        <v/>
      </c>
      <c r="J544" s="15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54" t="str">
        <f>IFERROR(IF($D545="","",VLOOKUP($D545,Cadastro!$C$4:$E$7,3,FALSE)),"")</f>
        <v/>
      </c>
      <c r="G545" s="106"/>
      <c r="H545" s="154" t="str">
        <f>IFERROR(IF($G545="","",$G545*$S$554/$G$554/Cadastro!$E$33),"")</f>
        <v/>
      </c>
      <c r="I545" s="155" t="str">
        <f>IFERROR(IF($D545="","",VLOOKUP($D545,Cadastro!$C$4:$G$7,5,FALSE)),"")</f>
        <v/>
      </c>
      <c r="J545" s="15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54" t="str">
        <f>IFERROR(IF($D546="","",VLOOKUP($D546,Cadastro!$C$4:$E$7,3,FALSE)),"")</f>
        <v/>
      </c>
      <c r="G546" s="106"/>
      <c r="H546" s="154" t="str">
        <f>IFERROR(IF($G546="","",$G546*$S$554/$G$554/Cadastro!$E$33),"")</f>
        <v/>
      </c>
      <c r="I546" s="155" t="str">
        <f>IFERROR(IF($D546="","",VLOOKUP($D546,Cadastro!$C$4:$G$7,5,FALSE)),"")</f>
        <v/>
      </c>
      <c r="J546" s="15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54" t="str">
        <f>IFERROR(IF($D547="","",VLOOKUP($D547,Cadastro!$C$4:$E$7,3,FALSE)),"")</f>
        <v/>
      </c>
      <c r="G547" s="106"/>
      <c r="H547" s="154" t="str">
        <f>IFERROR(IF($G547="","",$G547*$S$554/$G$554/Cadastro!$E$33),"")</f>
        <v/>
      </c>
      <c r="I547" s="155" t="str">
        <f>IFERROR(IF($D547="","",VLOOKUP($D547,Cadastro!$C$4:$G$7,5,FALSE)),"")</f>
        <v/>
      </c>
      <c r="J547" s="15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54" t="str">
        <f>IFERROR(IF($D548="","",VLOOKUP($D548,Cadastro!$C$4:$E$7,3,FALSE)),"")</f>
        <v/>
      </c>
      <c r="G548" s="106"/>
      <c r="H548" s="154" t="str">
        <f>IFERROR(IF($G548="","",$G548*$S$554/$G$554/Cadastro!$E$33),"")</f>
        <v/>
      </c>
      <c r="I548" s="155" t="str">
        <f>IFERROR(IF($D548="","",VLOOKUP($D548,Cadastro!$C$4:$G$7,5,FALSE)),"")</f>
        <v/>
      </c>
      <c r="J548" s="15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54" t="str">
        <f>IFERROR(IF($D549="","",VLOOKUP($D549,Cadastro!$C$4:$E$7,3,FALSE)),"")</f>
        <v/>
      </c>
      <c r="G549" s="106"/>
      <c r="H549" s="154" t="str">
        <f>IFERROR(IF($G549="","",$G549*$S$554/$G$554/Cadastro!$E$33),"")</f>
        <v/>
      </c>
      <c r="I549" s="155" t="str">
        <f>IFERROR(IF($D549="","",VLOOKUP($D549,Cadastro!$C$4:$G$7,5,FALSE)),"")</f>
        <v/>
      </c>
      <c r="J549" s="15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54" t="str">
        <f>IFERROR(IF($D550="","",VLOOKUP($D550,Cadastro!$C$4:$E$7,3,FALSE)),"")</f>
        <v/>
      </c>
      <c r="G550" s="106"/>
      <c r="H550" s="154" t="str">
        <f>IFERROR(IF($G550="","",$G550*$S$554/$G$554/Cadastro!$E$33),"")</f>
        <v/>
      </c>
      <c r="I550" s="155" t="str">
        <f>IFERROR(IF($D550="","",VLOOKUP($D550,Cadastro!$C$4:$G$7,5,FALSE)),"")</f>
        <v/>
      </c>
      <c r="J550" s="15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54" t="str">
        <f>IFERROR(IF($D551="","",VLOOKUP($D551,Cadastro!$C$4:$E$7,3,FALSE)),"")</f>
        <v/>
      </c>
      <c r="G551" s="106"/>
      <c r="H551" s="154" t="str">
        <f>IFERROR(IF($G551="","",$G551*$S$554/$G$554/Cadastro!$E$33),"")</f>
        <v/>
      </c>
      <c r="I551" s="155" t="str">
        <f>IFERROR(IF($D551="","",VLOOKUP($D551,Cadastro!$C$4:$G$7,5,FALSE)),"")</f>
        <v/>
      </c>
      <c r="J551" s="15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54" t="str">
        <f>IFERROR(IF($D552="","",VLOOKUP($D552,Cadastro!$C$4:$E$7,3,FALSE)),"")</f>
        <v/>
      </c>
      <c r="G552" s="106"/>
      <c r="H552" s="154" t="str">
        <f>IFERROR(IF($G552="","",$G552*$S$554/$G$554/Cadastro!$E$33),"")</f>
        <v/>
      </c>
      <c r="I552" s="155" t="str">
        <f>IFERROR(IF($D552="","",VLOOKUP($D552,Cadastro!$C$4:$G$7,5,FALSE)),"")</f>
        <v/>
      </c>
      <c r="J552" s="15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57" t="str">
        <f>IFERROR(IF($D553="","",VLOOKUP($D553,Cadastro!$C$4:$E$7,3,FALSE)),"")</f>
        <v/>
      </c>
      <c r="G553" s="106"/>
      <c r="H553" s="157" t="str">
        <f>IFERROR(IF($G553="","",$G553*$S$554/$G$554/Cadastro!$E$33),"")</f>
        <v/>
      </c>
      <c r="I553" s="158" t="str">
        <f>IFERROR(IF($D553="","",VLOOKUP($D553,Cadastro!$C$4:$G$7,5,FALSE)),"")</f>
        <v/>
      </c>
      <c r="J553" s="15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32" t="s">
        <v>241</v>
      </c>
      <c r="B554" s="133"/>
      <c r="C554" s="133"/>
      <c r="D554" s="133"/>
      <c r="E554" s="13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60" t="str">
        <f>IFERROR(IF($D555="","",VLOOKUP($D555,Cadastro!$C$4:$E$7,3,FALSE)),"")</f>
        <v/>
      </c>
      <c r="G555" s="106"/>
      <c r="H555" s="160" t="str">
        <f>IFERROR(IF($G555="","",$G555*$S$567/$G$567/Cadastro!$E$33),"")</f>
        <v/>
      </c>
      <c r="I555" s="161" t="str">
        <f>IFERROR(IF($D555="","",VLOOKUP($D555,Cadastro!$C$4:$G$7,5,FALSE)),"")</f>
        <v/>
      </c>
      <c r="J555" s="16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54" t="str">
        <f>IFERROR(IF($D556="","",VLOOKUP($D556,Cadastro!$C$4:$E$7,3,FALSE)),"")</f>
        <v/>
      </c>
      <c r="G556" s="106"/>
      <c r="H556" s="154" t="str">
        <f>IFERROR(IF($G556="","",$G556*$S$567/$G$567/Cadastro!$E$33),"")</f>
        <v/>
      </c>
      <c r="I556" s="155" t="str">
        <f>IFERROR(IF($D556="","",VLOOKUP($D556,Cadastro!$C$4:$G$7,5,FALSE)),"")</f>
        <v/>
      </c>
      <c r="J556" s="15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54" t="str">
        <f>IFERROR(IF($D557="","",VLOOKUP($D557,Cadastro!$C$4:$E$7,3,FALSE)),"")</f>
        <v/>
      </c>
      <c r="G557" s="106"/>
      <c r="H557" s="154" t="str">
        <f>IFERROR(IF($G557="","",$G557*$S$567/$G$567/Cadastro!$E$33),"")</f>
        <v/>
      </c>
      <c r="I557" s="155" t="str">
        <f>IFERROR(IF($D557="","",VLOOKUP($D557,Cadastro!$C$4:$G$7,5,FALSE)),"")</f>
        <v/>
      </c>
      <c r="J557" s="15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54" t="str">
        <f>IFERROR(IF($D558="","",VLOOKUP($D558,Cadastro!$C$4:$E$7,3,FALSE)),"")</f>
        <v/>
      </c>
      <c r="G558" s="106"/>
      <c r="H558" s="154" t="str">
        <f>IFERROR(IF($G558="","",$G558*$S$567/$G$567/Cadastro!$E$33),"")</f>
        <v/>
      </c>
      <c r="I558" s="155" t="str">
        <f>IFERROR(IF($D558="","",VLOOKUP($D558,Cadastro!$C$4:$G$7,5,FALSE)),"")</f>
        <v/>
      </c>
      <c r="J558" s="15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54" t="str">
        <f>IFERROR(IF($D559="","",VLOOKUP($D559,Cadastro!$C$4:$E$7,3,FALSE)),"")</f>
        <v/>
      </c>
      <c r="G559" s="106"/>
      <c r="H559" s="154" t="str">
        <f>IFERROR(IF($G559="","",$G559*$S$567/$G$567/Cadastro!$E$33),"")</f>
        <v/>
      </c>
      <c r="I559" s="155" t="str">
        <f>IFERROR(IF($D559="","",VLOOKUP($D559,Cadastro!$C$4:$G$7,5,FALSE)),"")</f>
        <v/>
      </c>
      <c r="J559" s="15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54" t="str">
        <f>IFERROR(IF($D560="","",VLOOKUP($D560,Cadastro!$C$4:$E$7,3,FALSE)),"")</f>
        <v/>
      </c>
      <c r="G560" s="106"/>
      <c r="H560" s="154" t="str">
        <f>IFERROR(IF($G560="","",$G560*$S$567/$G$567/Cadastro!$E$33),"")</f>
        <v/>
      </c>
      <c r="I560" s="155" t="str">
        <f>IFERROR(IF($D560="","",VLOOKUP($D560,Cadastro!$C$4:$G$7,5,FALSE)),"")</f>
        <v/>
      </c>
      <c r="J560" s="15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54" t="str">
        <f>IFERROR(IF($D561="","",VLOOKUP($D561,Cadastro!$C$4:$E$7,3,FALSE)),"")</f>
        <v/>
      </c>
      <c r="G561" s="106"/>
      <c r="H561" s="154" t="str">
        <f>IFERROR(IF($G561="","",$G561*$S$567/$G$567/Cadastro!$E$33),"")</f>
        <v/>
      </c>
      <c r="I561" s="155" t="str">
        <f>IFERROR(IF($D561="","",VLOOKUP($D561,Cadastro!$C$4:$G$7,5,FALSE)),"")</f>
        <v/>
      </c>
      <c r="J561" s="15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54" t="str">
        <f>IFERROR(IF($D562="","",VLOOKUP($D562,Cadastro!$C$4:$E$7,3,FALSE)),"")</f>
        <v/>
      </c>
      <c r="G562" s="106"/>
      <c r="H562" s="154" t="str">
        <f>IFERROR(IF($G562="","",$G562*$S$567/$G$567/Cadastro!$E$33),"")</f>
        <v/>
      </c>
      <c r="I562" s="155" t="str">
        <f>IFERROR(IF($D562="","",VLOOKUP($D562,Cadastro!$C$4:$G$7,5,FALSE)),"")</f>
        <v/>
      </c>
      <c r="J562" s="15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54" t="str">
        <f>IFERROR(IF($D563="","",VLOOKUP($D563,Cadastro!$C$4:$E$7,3,FALSE)),"")</f>
        <v/>
      </c>
      <c r="G563" s="106"/>
      <c r="H563" s="154" t="str">
        <f>IFERROR(IF($G563="","",$G563*$S$567/$G$567/Cadastro!$E$33),"")</f>
        <v/>
      </c>
      <c r="I563" s="155" t="str">
        <f>IFERROR(IF($D563="","",VLOOKUP($D563,Cadastro!$C$4:$G$7,5,FALSE)),"")</f>
        <v/>
      </c>
      <c r="J563" s="15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54" t="str">
        <f>IFERROR(IF($D564="","",VLOOKUP($D564,Cadastro!$C$4:$E$7,3,FALSE)),"")</f>
        <v/>
      </c>
      <c r="G564" s="106"/>
      <c r="H564" s="154" t="str">
        <f>IFERROR(IF($G564="","",$G564*$S$567/$G$567/Cadastro!$E$33),"")</f>
        <v/>
      </c>
      <c r="I564" s="155" t="str">
        <f>IFERROR(IF($D564="","",VLOOKUP($D564,Cadastro!$C$4:$G$7,5,FALSE)),"")</f>
        <v/>
      </c>
      <c r="J564" s="15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54" t="str">
        <f>IFERROR(IF($D565="","",VLOOKUP($D565,Cadastro!$C$4:$E$7,3,FALSE)),"")</f>
        <v/>
      </c>
      <c r="G565" s="106"/>
      <c r="H565" s="154" t="str">
        <f>IFERROR(IF($G565="","",$G565*$S$567/$G$567/Cadastro!$E$33),"")</f>
        <v/>
      </c>
      <c r="I565" s="155" t="str">
        <f>IFERROR(IF($D565="","",VLOOKUP($D565,Cadastro!$C$4:$G$7,5,FALSE)),"")</f>
        <v/>
      </c>
      <c r="J565" s="15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57" t="str">
        <f>IFERROR(IF($D566="","",VLOOKUP($D566,Cadastro!$C$4:$E$7,3,FALSE)),"")</f>
        <v/>
      </c>
      <c r="G566" s="106"/>
      <c r="H566" s="157" t="str">
        <f>IFERROR(IF($G566="","",$G566*$S$567/$G$567/Cadastro!$E$33),"")</f>
        <v/>
      </c>
      <c r="I566" s="158" t="str">
        <f>IFERROR(IF($D566="","",VLOOKUP($D566,Cadastro!$C$4:$G$7,5,FALSE)),"")</f>
        <v/>
      </c>
      <c r="J566" s="15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32" t="s">
        <v>244</v>
      </c>
      <c r="B567" s="133"/>
      <c r="C567" s="133"/>
      <c r="D567" s="133"/>
      <c r="E567" s="13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34" t="s">
        <v>245</v>
      </c>
      <c r="B568" s="135"/>
      <c r="C568" s="135"/>
      <c r="D568" s="135"/>
      <c r="E568" s="135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63">
        <f>IFERROR(S554+S567,"")</f>
        <v>0</v>
      </c>
      <c r="T568" s="164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60" t="str">
        <f>IFERROR(IF($D569="","",VLOOKUP($D569,Cadastro!$C$4:$E$7,3,FALSE)),"")</f>
        <v/>
      </c>
      <c r="G569" s="106"/>
      <c r="H569" s="160" t="str">
        <f>IFERROR(IF($G569="","",$G569*$S$581/$G$581/Cadastro!$E$33),"")</f>
        <v/>
      </c>
      <c r="I569" s="161" t="str">
        <f>IFERROR(IF($D569="","",VLOOKUP($D569,Cadastro!$C$4:$G$7,5,FALSE)),"")</f>
        <v/>
      </c>
      <c r="J569" s="16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54" t="str">
        <f>IFERROR(IF($D570="","",VLOOKUP($D570,Cadastro!$C$4:$E$7,3,FALSE)),"")</f>
        <v/>
      </c>
      <c r="G570" s="106"/>
      <c r="H570" s="154" t="str">
        <f>IFERROR(IF($G570="","",$G570*$S$581/$G$581/Cadastro!$E$33),"")</f>
        <v/>
      </c>
      <c r="I570" s="155" t="str">
        <f>IFERROR(IF($D570="","",VLOOKUP($D570,Cadastro!$C$4:$G$7,5,FALSE)),"")</f>
        <v/>
      </c>
      <c r="J570" s="15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54" t="str">
        <f>IFERROR(IF($D571="","",VLOOKUP($D571,Cadastro!$C$4:$E$7,3,FALSE)),"")</f>
        <v/>
      </c>
      <c r="G571" s="106"/>
      <c r="H571" s="154" t="str">
        <f>IFERROR(IF($G571="","",$G571*$S$581/$G$581/Cadastro!$E$33),"")</f>
        <v/>
      </c>
      <c r="I571" s="155" t="str">
        <f>IFERROR(IF($D571="","",VLOOKUP($D571,Cadastro!$C$4:$G$7,5,FALSE)),"")</f>
        <v/>
      </c>
      <c r="J571" s="15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54" t="str">
        <f>IFERROR(IF($D572="","",VLOOKUP($D572,Cadastro!$C$4:$E$7,3,FALSE)),"")</f>
        <v/>
      </c>
      <c r="G572" s="106"/>
      <c r="H572" s="154" t="str">
        <f>IFERROR(IF($G572="","",$G572*$S$581/$G$581/Cadastro!$E$33),"")</f>
        <v/>
      </c>
      <c r="I572" s="155" t="str">
        <f>IFERROR(IF($D572="","",VLOOKUP($D572,Cadastro!$C$4:$G$7,5,FALSE)),"")</f>
        <v/>
      </c>
      <c r="J572" s="15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54" t="str">
        <f>IFERROR(IF($D573="","",VLOOKUP($D573,Cadastro!$C$4:$E$7,3,FALSE)),"")</f>
        <v/>
      </c>
      <c r="G573" s="106"/>
      <c r="H573" s="154" t="str">
        <f>IFERROR(IF($G573="","",$G573*$S$581/$G$581/Cadastro!$E$33),"")</f>
        <v/>
      </c>
      <c r="I573" s="155" t="str">
        <f>IFERROR(IF($D573="","",VLOOKUP($D573,Cadastro!$C$4:$G$7,5,FALSE)),"")</f>
        <v/>
      </c>
      <c r="J573" s="15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54" t="str">
        <f>IFERROR(IF($D574="","",VLOOKUP($D574,Cadastro!$C$4:$E$7,3,FALSE)),"")</f>
        <v/>
      </c>
      <c r="G574" s="106"/>
      <c r="H574" s="154" t="str">
        <f>IFERROR(IF($G574="","",$G574*$S$581/$G$581/Cadastro!$E$33),"")</f>
        <v/>
      </c>
      <c r="I574" s="155" t="str">
        <f>IFERROR(IF($D574="","",VLOOKUP($D574,Cadastro!$C$4:$G$7,5,FALSE)),"")</f>
        <v/>
      </c>
      <c r="J574" s="15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54" t="str">
        <f>IFERROR(IF($D575="","",VLOOKUP($D575,Cadastro!$C$4:$E$7,3,FALSE)),"")</f>
        <v/>
      </c>
      <c r="G575" s="106"/>
      <c r="H575" s="154" t="str">
        <f>IFERROR(IF($G575="","",$G575*$S$581/$G$581/Cadastro!$E$33),"")</f>
        <v/>
      </c>
      <c r="I575" s="155" t="str">
        <f>IFERROR(IF($D575="","",VLOOKUP($D575,Cadastro!$C$4:$G$7,5,FALSE)),"")</f>
        <v/>
      </c>
      <c r="J575" s="15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54" t="str">
        <f>IFERROR(IF($D576="","",VLOOKUP($D576,Cadastro!$C$4:$E$7,3,FALSE)),"")</f>
        <v/>
      </c>
      <c r="G576" s="108"/>
      <c r="H576" s="154" t="str">
        <f>IFERROR(IF($G576="","",$G576*$S$581/$G$581/Cadastro!$E$33),"")</f>
        <v/>
      </c>
      <c r="I576" s="155" t="str">
        <f>IFERROR(IF($D576="","",VLOOKUP($D576,Cadastro!$C$4:$G$7,5,FALSE)),"")</f>
        <v/>
      </c>
      <c r="J576" s="15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54" t="str">
        <f>IFERROR(IF($D577="","",VLOOKUP($D577,Cadastro!$C$4:$E$7,3,FALSE)),"")</f>
        <v/>
      </c>
      <c r="G577" s="106"/>
      <c r="H577" s="154" t="str">
        <f>IFERROR(IF($G577="","",$G577*$S$581/$G$581/Cadastro!$E$33),"")</f>
        <v/>
      </c>
      <c r="I577" s="155" t="str">
        <f>IFERROR(IF($D577="","",VLOOKUP($D577,Cadastro!$C$4:$G$7,5,FALSE)),"")</f>
        <v/>
      </c>
      <c r="J577" s="15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54" t="str">
        <f>IFERROR(IF($D578="","",VLOOKUP($D578,Cadastro!$C$4:$E$7,3,FALSE)),"")</f>
        <v/>
      </c>
      <c r="G578" s="106"/>
      <c r="H578" s="154" t="str">
        <f>IFERROR(IF($G578="","",$G578*$S$581/$G$581/Cadastro!$E$33),"")</f>
        <v/>
      </c>
      <c r="I578" s="155" t="str">
        <f>IFERROR(IF($D578="","",VLOOKUP($D578,Cadastro!$C$4:$G$7,5,FALSE)),"")</f>
        <v/>
      </c>
      <c r="J578" s="15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54" t="str">
        <f>IFERROR(IF($D579="","",VLOOKUP($D579,Cadastro!$C$4:$E$7,3,FALSE)),"")</f>
        <v/>
      </c>
      <c r="G579" s="106"/>
      <c r="H579" s="154" t="str">
        <f>IFERROR(IF($G579="","",$G579*$S$581/$G$581/Cadastro!$E$33),"")</f>
        <v/>
      </c>
      <c r="I579" s="155" t="str">
        <f>IFERROR(IF($D579="","",VLOOKUP($D579,Cadastro!$C$4:$G$7,5,FALSE)),"")</f>
        <v/>
      </c>
      <c r="J579" s="15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57" t="str">
        <f>IFERROR(IF($D580="","",VLOOKUP($D580,Cadastro!$C$4:$E$7,3,FALSE)),"")</f>
        <v/>
      </c>
      <c r="G580" s="106"/>
      <c r="H580" s="157" t="str">
        <f>IFERROR(IF($G580="","",$G580*$S$581/$G$581/Cadastro!$E$33),"")</f>
        <v/>
      </c>
      <c r="I580" s="158" t="str">
        <f>IFERROR(IF($D580="","",VLOOKUP($D580,Cadastro!$C$4:$G$7,5,FALSE)),"")</f>
        <v/>
      </c>
      <c r="J580" s="15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32" t="s">
        <v>241</v>
      </c>
      <c r="B581" s="133"/>
      <c r="C581" s="133"/>
      <c r="D581" s="133"/>
      <c r="E581" s="13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60" t="str">
        <f>IFERROR(IF($D582="","",VLOOKUP($D582,Cadastro!$C$4:$E$7,3,FALSE)),"")</f>
        <v/>
      </c>
      <c r="G582" s="106"/>
      <c r="H582" s="160" t="str">
        <f>IFERROR(IF($G582="","",$G582*$S$594/$G$594/Cadastro!$E$33),"")</f>
        <v/>
      </c>
      <c r="I582" s="161" t="str">
        <f>IFERROR(IF($D582="","",VLOOKUP($D582,Cadastro!$C$4:$G$7,5,FALSE)),"")</f>
        <v/>
      </c>
      <c r="J582" s="16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54" t="str">
        <f>IFERROR(IF($D583="","",VLOOKUP($D583,Cadastro!$C$4:$E$7,3,FALSE)),"")</f>
        <v/>
      </c>
      <c r="G583" s="106"/>
      <c r="H583" s="154" t="str">
        <f>IFERROR(IF($G583="","",$G583*$S$594/$G$594/Cadastro!$E$33),"")</f>
        <v/>
      </c>
      <c r="I583" s="155" t="str">
        <f>IFERROR(IF($D583="","",VLOOKUP($D583,Cadastro!$C$4:$G$7,5,FALSE)),"")</f>
        <v/>
      </c>
      <c r="J583" s="15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54" t="str">
        <f>IFERROR(IF($D584="","",VLOOKUP($D584,Cadastro!$C$4:$E$7,3,FALSE)),"")</f>
        <v/>
      </c>
      <c r="G584" s="106"/>
      <c r="H584" s="154" t="str">
        <f>IFERROR(IF($G584="","",$G584*$S$594/$G$594/Cadastro!$E$33),"")</f>
        <v/>
      </c>
      <c r="I584" s="155" t="str">
        <f>IFERROR(IF($D584="","",VLOOKUP($D584,Cadastro!$C$4:$G$7,5,FALSE)),"")</f>
        <v/>
      </c>
      <c r="J584" s="15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54" t="str">
        <f>IFERROR(IF($D585="","",VLOOKUP($D585,Cadastro!$C$4:$E$7,3,FALSE)),"")</f>
        <v/>
      </c>
      <c r="G585" s="106"/>
      <c r="H585" s="154" t="str">
        <f>IFERROR(IF($G585="","",$G585*$S$594/$G$594/Cadastro!$E$33),"")</f>
        <v/>
      </c>
      <c r="I585" s="155" t="str">
        <f>IFERROR(IF($D585="","",VLOOKUP($D585,Cadastro!$C$4:$G$7,5,FALSE)),"")</f>
        <v/>
      </c>
      <c r="J585" s="15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54" t="str">
        <f>IFERROR(IF($D586="","",VLOOKUP($D586,Cadastro!$C$4:$E$7,3,FALSE)),"")</f>
        <v/>
      </c>
      <c r="G586" s="106"/>
      <c r="H586" s="154" t="str">
        <f>IFERROR(IF($G586="","",$G586*$S$594/$G$594/Cadastro!$E$33),"")</f>
        <v/>
      </c>
      <c r="I586" s="155" t="str">
        <f>IFERROR(IF($D586="","",VLOOKUP($D586,Cadastro!$C$4:$G$7,5,FALSE)),"")</f>
        <v/>
      </c>
      <c r="J586" s="15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54" t="str">
        <f>IFERROR(IF($D587="","",VLOOKUP($D587,Cadastro!$C$4:$E$7,3,FALSE)),"")</f>
        <v/>
      </c>
      <c r="G587" s="106"/>
      <c r="H587" s="154" t="str">
        <f>IFERROR(IF($G587="","",$G587*$S$594/$G$594/Cadastro!$E$33),"")</f>
        <v/>
      </c>
      <c r="I587" s="155" t="str">
        <f>IFERROR(IF($D587="","",VLOOKUP($D587,Cadastro!$C$4:$G$7,5,FALSE)),"")</f>
        <v/>
      </c>
      <c r="J587" s="15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54" t="str">
        <f>IFERROR(IF($D588="","",VLOOKUP($D588,Cadastro!$C$4:$E$7,3,FALSE)),"")</f>
        <v/>
      </c>
      <c r="G588" s="106"/>
      <c r="H588" s="154" t="str">
        <f>IFERROR(IF($G588="","",$G588*$S$594/$G$594/Cadastro!$E$33),"")</f>
        <v/>
      </c>
      <c r="I588" s="155" t="str">
        <f>IFERROR(IF($D588="","",VLOOKUP($D588,Cadastro!$C$4:$G$7,5,FALSE)),"")</f>
        <v/>
      </c>
      <c r="J588" s="15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54" t="str">
        <f>IFERROR(IF($D589="","",VLOOKUP($D589,Cadastro!$C$4:$E$7,3,FALSE)),"")</f>
        <v/>
      </c>
      <c r="G589" s="106"/>
      <c r="H589" s="154" t="str">
        <f>IFERROR(IF($G589="","",$G589*$S$594/$G$594/Cadastro!$E$33),"")</f>
        <v/>
      </c>
      <c r="I589" s="155" t="str">
        <f>IFERROR(IF($D589="","",VLOOKUP($D589,Cadastro!$C$4:$G$7,5,FALSE)),"")</f>
        <v/>
      </c>
      <c r="J589" s="15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54" t="str">
        <f>IFERROR(IF($D590="","",VLOOKUP($D590,Cadastro!$C$4:$E$7,3,FALSE)),"")</f>
        <v/>
      </c>
      <c r="G590" s="106"/>
      <c r="H590" s="154" t="str">
        <f>IFERROR(IF($G590="","",$G590*$S$594/$G$594/Cadastro!$E$33),"")</f>
        <v/>
      </c>
      <c r="I590" s="155" t="str">
        <f>IFERROR(IF($D590="","",VLOOKUP($D590,Cadastro!$C$4:$G$7,5,FALSE)),"")</f>
        <v/>
      </c>
      <c r="J590" s="15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54" t="str">
        <f>IFERROR(IF($D591="","",VLOOKUP($D591,Cadastro!$C$4:$E$7,3,FALSE)),"")</f>
        <v/>
      </c>
      <c r="G591" s="106"/>
      <c r="H591" s="154" t="str">
        <f>IFERROR(IF($G591="","",$G591*$S$594/$G$594/Cadastro!$E$33),"")</f>
        <v/>
      </c>
      <c r="I591" s="155" t="str">
        <f>IFERROR(IF($D591="","",VLOOKUP($D591,Cadastro!$C$4:$G$7,5,FALSE)),"")</f>
        <v/>
      </c>
      <c r="J591" s="15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54" t="str">
        <f>IFERROR(IF($D592="","",VLOOKUP($D592,Cadastro!$C$4:$E$7,3,FALSE)),"")</f>
        <v/>
      </c>
      <c r="G592" s="106"/>
      <c r="H592" s="154" t="str">
        <f>IFERROR(IF($G592="","",$G592*$S$594/$G$594/Cadastro!$E$33),"")</f>
        <v/>
      </c>
      <c r="I592" s="155" t="str">
        <f>IFERROR(IF($D592="","",VLOOKUP($D592,Cadastro!$C$4:$G$7,5,FALSE)),"")</f>
        <v/>
      </c>
      <c r="J592" s="15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57" t="str">
        <f>IFERROR(IF($D593="","",VLOOKUP($D593,Cadastro!$C$4:$E$7,3,FALSE)),"")</f>
        <v/>
      </c>
      <c r="G593" s="106"/>
      <c r="H593" s="157" t="str">
        <f>IFERROR(IF($G593="","",$G593*$S$594/$G$594/Cadastro!$E$33),"")</f>
        <v/>
      </c>
      <c r="I593" s="158" t="str">
        <f>IFERROR(IF($D593="","",VLOOKUP($D593,Cadastro!$C$4:$G$7,5,FALSE)),"")</f>
        <v/>
      </c>
      <c r="J593" s="15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32" t="s">
        <v>244</v>
      </c>
      <c r="B594" s="133"/>
      <c r="C594" s="133"/>
      <c r="D594" s="133"/>
      <c r="E594" s="13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34" t="s">
        <v>245</v>
      </c>
      <c r="B595" s="135"/>
      <c r="C595" s="135"/>
      <c r="D595" s="135"/>
      <c r="E595" s="135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63">
        <f>IFERROR(S581+S594,"")</f>
        <v>0</v>
      </c>
      <c r="T595" s="164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60" t="str">
        <f>IFERROR(IF($D596="","",VLOOKUP($D596,Cadastro!$C$4:$E$7,3,FALSE)),"")</f>
        <v/>
      </c>
      <c r="G596" s="106"/>
      <c r="H596" s="160" t="str">
        <f>IFERROR(IF($G596="","",$G596*$S$608/$G$608/Cadastro!$E$33),"")</f>
        <v/>
      </c>
      <c r="I596" s="161" t="str">
        <f>IFERROR(IF($D596="","",VLOOKUP($D596,Cadastro!$C$4:$G$7,5,FALSE)),"")</f>
        <v/>
      </c>
      <c r="J596" s="16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54" t="str">
        <f>IFERROR(IF($D597="","",VLOOKUP($D597,Cadastro!$C$4:$E$7,3,FALSE)),"")</f>
        <v/>
      </c>
      <c r="G597" s="106"/>
      <c r="H597" s="154" t="str">
        <f>IFERROR(IF($G597="","",$G597*$S$608/$G$608/Cadastro!$E$33),"")</f>
        <v/>
      </c>
      <c r="I597" s="155" t="str">
        <f>IFERROR(IF($D597="","",VLOOKUP($D597,Cadastro!$C$4:$G$7,5,FALSE)),"")</f>
        <v/>
      </c>
      <c r="J597" s="15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54" t="str">
        <f>IFERROR(IF($D598="","",VLOOKUP($D598,Cadastro!$C$4:$E$7,3,FALSE)),"")</f>
        <v/>
      </c>
      <c r="G598" s="106"/>
      <c r="H598" s="154" t="str">
        <f>IFERROR(IF($G598="","",$G598*$S$608/$G$608/Cadastro!$E$33),"")</f>
        <v/>
      </c>
      <c r="I598" s="155" t="str">
        <f>IFERROR(IF($D598="","",VLOOKUP($D598,Cadastro!$C$4:$G$7,5,FALSE)),"")</f>
        <v/>
      </c>
      <c r="J598" s="15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54" t="str">
        <f>IFERROR(IF($D599="","",VLOOKUP($D599,Cadastro!$C$4:$E$7,3,FALSE)),"")</f>
        <v/>
      </c>
      <c r="G599" s="106"/>
      <c r="H599" s="154" t="str">
        <f>IFERROR(IF($G599="","",$G599*$S$608/$G$608/Cadastro!$E$33),"")</f>
        <v/>
      </c>
      <c r="I599" s="155" t="str">
        <f>IFERROR(IF($D599="","",VLOOKUP($D599,Cadastro!$C$4:$G$7,5,FALSE)),"")</f>
        <v/>
      </c>
      <c r="J599" s="15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54" t="str">
        <f>IFERROR(IF($D600="","",VLOOKUP($D600,Cadastro!$C$4:$E$7,3,FALSE)),"")</f>
        <v/>
      </c>
      <c r="G600" s="106"/>
      <c r="H600" s="154" t="str">
        <f>IFERROR(IF($G600="","",$G600*$S$608/$G$608/Cadastro!$E$33),"")</f>
        <v/>
      </c>
      <c r="I600" s="155" t="str">
        <f>IFERROR(IF($D600="","",VLOOKUP($D600,Cadastro!$C$4:$G$7,5,FALSE)),"")</f>
        <v/>
      </c>
      <c r="J600" s="15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54" t="str">
        <f>IFERROR(IF($D601="","",VLOOKUP($D601,Cadastro!$C$4:$E$7,3,FALSE)),"")</f>
        <v/>
      </c>
      <c r="G601" s="106"/>
      <c r="H601" s="154" t="str">
        <f>IFERROR(IF($G601="","",$G601*$S$608/$G$608/Cadastro!$E$33),"")</f>
        <v/>
      </c>
      <c r="I601" s="155" t="str">
        <f>IFERROR(IF($D601="","",VLOOKUP($D601,Cadastro!$C$4:$G$7,5,FALSE)),"")</f>
        <v/>
      </c>
      <c r="J601" s="15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54" t="str">
        <f>IFERROR(IF($D602="","",VLOOKUP($D602,Cadastro!$C$4:$E$7,3,FALSE)),"")</f>
        <v/>
      </c>
      <c r="G602" s="106"/>
      <c r="H602" s="154" t="str">
        <f>IFERROR(IF($G602="","",$G602*$S$608/$G$608/Cadastro!$E$33),"")</f>
        <v/>
      </c>
      <c r="I602" s="155" t="str">
        <f>IFERROR(IF($D602="","",VLOOKUP($D602,Cadastro!$C$4:$G$7,5,FALSE)),"")</f>
        <v/>
      </c>
      <c r="J602" s="15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54" t="str">
        <f>IFERROR(IF($D603="","",VLOOKUP($D603,Cadastro!$C$4:$E$7,3,FALSE)),"")</f>
        <v/>
      </c>
      <c r="G603" s="106"/>
      <c r="H603" s="154" t="str">
        <f>IFERROR(IF($G603="","",$G603*$S$608/$G$608/Cadastro!$E$33),"")</f>
        <v/>
      </c>
      <c r="I603" s="155" t="str">
        <f>IFERROR(IF($D603="","",VLOOKUP($D603,Cadastro!$C$4:$G$7,5,FALSE)),"")</f>
        <v/>
      </c>
      <c r="J603" s="15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54" t="str">
        <f>IFERROR(IF($D604="","",VLOOKUP($D604,Cadastro!$C$4:$E$7,3,FALSE)),"")</f>
        <v/>
      </c>
      <c r="G604" s="106"/>
      <c r="H604" s="154" t="str">
        <f>IFERROR(IF($G604="","",$G604*$S$608/$G$608/Cadastro!$E$33),"")</f>
        <v/>
      </c>
      <c r="I604" s="155" t="str">
        <f>IFERROR(IF($D604="","",VLOOKUP($D604,Cadastro!$C$4:$G$7,5,FALSE)),"")</f>
        <v/>
      </c>
      <c r="J604" s="15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54" t="str">
        <f>IFERROR(IF($D605="","",VLOOKUP($D605,Cadastro!$C$4:$E$7,3,FALSE)),"")</f>
        <v/>
      </c>
      <c r="G605" s="106"/>
      <c r="H605" s="154" t="str">
        <f>IFERROR(IF($G605="","",$G605*$S$608/$G$608/Cadastro!$E$33),"")</f>
        <v/>
      </c>
      <c r="I605" s="155" t="str">
        <f>IFERROR(IF($D605="","",VLOOKUP($D605,Cadastro!$C$4:$G$7,5,FALSE)),"")</f>
        <v/>
      </c>
      <c r="J605" s="15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54" t="str">
        <f>IFERROR(IF($D606="","",VLOOKUP($D606,Cadastro!$C$4:$E$7,3,FALSE)),"")</f>
        <v/>
      </c>
      <c r="G606" s="106"/>
      <c r="H606" s="154" t="str">
        <f>IFERROR(IF($G606="","",$G606*$S$608/$G$608/Cadastro!$E$33),"")</f>
        <v/>
      </c>
      <c r="I606" s="155" t="str">
        <f>IFERROR(IF($D606="","",VLOOKUP($D606,Cadastro!$C$4:$G$7,5,FALSE)),"")</f>
        <v/>
      </c>
      <c r="J606" s="15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57" t="str">
        <f>IFERROR(IF($D607="","",VLOOKUP($D607,Cadastro!$C$4:$E$7,3,FALSE)),"")</f>
        <v/>
      </c>
      <c r="G607" s="106"/>
      <c r="H607" s="157" t="str">
        <f>IFERROR(IF($G607="","",$G607*$S$608/$G$608/Cadastro!$E$33),"")</f>
        <v/>
      </c>
      <c r="I607" s="158" t="str">
        <f>IFERROR(IF($D607="","",VLOOKUP($D607,Cadastro!$C$4:$G$7,5,FALSE)),"")</f>
        <v/>
      </c>
      <c r="J607" s="15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32" t="s">
        <v>241</v>
      </c>
      <c r="B608" s="133"/>
      <c r="C608" s="133"/>
      <c r="D608" s="133"/>
      <c r="E608" s="13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60" t="str">
        <f>IFERROR(IF($D609="","",VLOOKUP($D609,Cadastro!$C$4:$E$7,3,FALSE)),"")</f>
        <v/>
      </c>
      <c r="G609" s="106"/>
      <c r="H609" s="160" t="str">
        <f>IFERROR(IF($G609="","",$G609*$S$621/$G$621/Cadastro!$E$33),"")</f>
        <v/>
      </c>
      <c r="I609" s="161" t="str">
        <f>IFERROR(IF($D609="","",VLOOKUP($D609,Cadastro!$C$4:$G$7,5,FALSE)),"")</f>
        <v/>
      </c>
      <c r="J609" s="16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54" t="str">
        <f>IFERROR(IF($D610="","",VLOOKUP($D610,Cadastro!$C$4:$E$7,3,FALSE)),"")</f>
        <v/>
      </c>
      <c r="G610" s="106"/>
      <c r="H610" s="154" t="str">
        <f>IFERROR(IF($G610="","",$G610*$S$621/$G$621/Cadastro!$E$33),"")</f>
        <v/>
      </c>
      <c r="I610" s="155" t="str">
        <f>IFERROR(IF($D610="","",VLOOKUP($D610,Cadastro!$C$4:$G$7,5,FALSE)),"")</f>
        <v/>
      </c>
      <c r="J610" s="15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54" t="str">
        <f>IFERROR(IF($D611="","",VLOOKUP($D611,Cadastro!$C$4:$E$7,3,FALSE)),"")</f>
        <v/>
      </c>
      <c r="G611" s="106"/>
      <c r="H611" s="154" t="str">
        <f>IFERROR(IF($G611="","",$G611*$S$621/$G$621/Cadastro!$E$33),"")</f>
        <v/>
      </c>
      <c r="I611" s="155" t="str">
        <f>IFERROR(IF($D611="","",VLOOKUP($D611,Cadastro!$C$4:$G$7,5,FALSE)),"")</f>
        <v/>
      </c>
      <c r="J611" s="15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54" t="str">
        <f>IFERROR(IF($D612="","",VLOOKUP($D612,Cadastro!$C$4:$E$7,3,FALSE)),"")</f>
        <v/>
      </c>
      <c r="G612" s="106"/>
      <c r="H612" s="154" t="str">
        <f>IFERROR(IF($G612="","",$G612*$S$621/$G$621/Cadastro!$E$33),"")</f>
        <v/>
      </c>
      <c r="I612" s="155" t="str">
        <f>IFERROR(IF($D612="","",VLOOKUP($D612,Cadastro!$C$4:$G$7,5,FALSE)),"")</f>
        <v/>
      </c>
      <c r="J612" s="15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54" t="str">
        <f>IFERROR(IF($D613="","",VLOOKUP($D613,Cadastro!$C$4:$E$7,3,FALSE)),"")</f>
        <v/>
      </c>
      <c r="G613" s="106"/>
      <c r="H613" s="154" t="str">
        <f>IFERROR(IF($G613="","",$G613*$S$621/$G$621/Cadastro!$E$33),"")</f>
        <v/>
      </c>
      <c r="I613" s="155" t="str">
        <f>IFERROR(IF($D613="","",VLOOKUP($D613,Cadastro!$C$4:$G$7,5,FALSE)),"")</f>
        <v/>
      </c>
      <c r="J613" s="15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54" t="str">
        <f>IFERROR(IF($D614="","",VLOOKUP($D614,Cadastro!$C$4:$E$7,3,FALSE)),"")</f>
        <v/>
      </c>
      <c r="G614" s="106"/>
      <c r="H614" s="154" t="str">
        <f>IFERROR(IF($G614="","",$G614*$S$621/$G$621/Cadastro!$E$33),"")</f>
        <v/>
      </c>
      <c r="I614" s="155" t="str">
        <f>IFERROR(IF($D614="","",VLOOKUP($D614,Cadastro!$C$4:$G$7,5,FALSE)),"")</f>
        <v/>
      </c>
      <c r="J614" s="15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54" t="str">
        <f>IFERROR(IF($D615="","",VLOOKUP($D615,Cadastro!$C$4:$E$7,3,FALSE)),"")</f>
        <v/>
      </c>
      <c r="G615" s="106"/>
      <c r="H615" s="154" t="str">
        <f>IFERROR(IF($G615="","",$G615*$S$621/$G$621/Cadastro!$E$33),"")</f>
        <v/>
      </c>
      <c r="I615" s="155" t="str">
        <f>IFERROR(IF($D615="","",VLOOKUP($D615,Cadastro!$C$4:$G$7,5,FALSE)),"")</f>
        <v/>
      </c>
      <c r="J615" s="15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54" t="str">
        <f>IFERROR(IF($D616="","",VLOOKUP($D616,Cadastro!$C$4:$E$7,3,FALSE)),"")</f>
        <v/>
      </c>
      <c r="G616" s="106"/>
      <c r="H616" s="154" t="str">
        <f>IFERROR(IF($G616="","",$G616*$S$621/$G$621/Cadastro!$E$33),"")</f>
        <v/>
      </c>
      <c r="I616" s="155" t="str">
        <f>IFERROR(IF($D616="","",VLOOKUP($D616,Cadastro!$C$4:$G$7,5,FALSE)),"")</f>
        <v/>
      </c>
      <c r="J616" s="15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54" t="str">
        <f>IFERROR(IF($D617="","",VLOOKUP($D617,Cadastro!$C$4:$E$7,3,FALSE)),"")</f>
        <v/>
      </c>
      <c r="G617" s="106"/>
      <c r="H617" s="154" t="str">
        <f>IFERROR(IF($G617="","",$G617*$S$621/$G$621/Cadastro!$E$33),"")</f>
        <v/>
      </c>
      <c r="I617" s="155" t="str">
        <f>IFERROR(IF($D617="","",VLOOKUP($D617,Cadastro!$C$4:$G$7,5,FALSE)),"")</f>
        <v/>
      </c>
      <c r="J617" s="15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54" t="str">
        <f>IFERROR(IF($D618="","",VLOOKUP($D618,Cadastro!$C$4:$E$7,3,FALSE)),"")</f>
        <v/>
      </c>
      <c r="G618" s="106"/>
      <c r="H618" s="154" t="str">
        <f>IFERROR(IF($G618="","",$G618*$S$621/$G$621/Cadastro!$E$33),"")</f>
        <v/>
      </c>
      <c r="I618" s="155" t="str">
        <f>IFERROR(IF($D618="","",VLOOKUP($D618,Cadastro!$C$4:$G$7,5,FALSE)),"")</f>
        <v/>
      </c>
      <c r="J618" s="15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54" t="str">
        <f>IFERROR(IF($D619="","",VLOOKUP($D619,Cadastro!$C$4:$E$7,3,FALSE)),"")</f>
        <v/>
      </c>
      <c r="G619" s="106"/>
      <c r="H619" s="154" t="str">
        <f>IFERROR(IF($G619="","",$G619*$S$621/$G$621/Cadastro!$E$33),"")</f>
        <v/>
      </c>
      <c r="I619" s="155" t="str">
        <f>IFERROR(IF($D619="","",VLOOKUP($D619,Cadastro!$C$4:$G$7,5,FALSE)),"")</f>
        <v/>
      </c>
      <c r="J619" s="15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57" t="str">
        <f>IFERROR(IF($D620="","",VLOOKUP($D620,Cadastro!$C$4:$E$7,3,FALSE)),"")</f>
        <v/>
      </c>
      <c r="G620" s="106"/>
      <c r="H620" s="157" t="str">
        <f>IFERROR(IF($G620="","",$G620*$S$621/$G$621/Cadastro!$E$33),"")</f>
        <v/>
      </c>
      <c r="I620" s="158" t="str">
        <f>IFERROR(IF($D620="","",VLOOKUP($D620,Cadastro!$C$4:$G$7,5,FALSE)),"")</f>
        <v/>
      </c>
      <c r="J620" s="15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32" t="s">
        <v>244</v>
      </c>
      <c r="B621" s="133"/>
      <c r="C621" s="133"/>
      <c r="D621" s="133"/>
      <c r="E621" s="13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34" t="s">
        <v>245</v>
      </c>
      <c r="B622" s="135"/>
      <c r="C622" s="135"/>
      <c r="D622" s="135"/>
      <c r="E622" s="135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63">
        <f>S608+S621</f>
        <v>0</v>
      </c>
      <c r="T622" s="164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60" t="str">
        <f>IFERROR(IF($D623="","",VLOOKUP($D623,Cadastro!$C$4:$E$7,3,FALSE)),"")</f>
        <v/>
      </c>
      <c r="G623" s="106"/>
      <c r="H623" s="160" t="str">
        <f>IFERROR(IF($G623="","",$G623*$S$635/$G$635/Cadastro!$E$33),"")</f>
        <v/>
      </c>
      <c r="I623" s="161" t="str">
        <f>IFERROR(IF($D623="","",VLOOKUP($D623,Cadastro!$C$4:$G$7,5,FALSE)),"")</f>
        <v/>
      </c>
      <c r="J623" s="16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54" t="str">
        <f>IFERROR(IF($D624="","",VLOOKUP($D624,Cadastro!$C$4:$E$7,3,FALSE)),"")</f>
        <v/>
      </c>
      <c r="G624" s="106"/>
      <c r="H624" s="154" t="str">
        <f>IFERROR(IF($G624="","",$G624*$S$635/$G$635/Cadastro!$E$33),"")</f>
        <v/>
      </c>
      <c r="I624" s="155" t="str">
        <f>IFERROR(IF($D624="","",VLOOKUP($D624,Cadastro!$C$4:$G$7,5,FALSE)),"")</f>
        <v/>
      </c>
      <c r="J624" s="15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54" t="str">
        <f>IFERROR(IF($D625="","",VLOOKUP($D625,Cadastro!$C$4:$E$7,3,FALSE)),"")</f>
        <v/>
      </c>
      <c r="G625" s="106"/>
      <c r="H625" s="154" t="str">
        <f>IFERROR(IF($G625="","",$G625*$S$635/$G$635/Cadastro!$E$33),"")</f>
        <v/>
      </c>
      <c r="I625" s="155" t="str">
        <f>IFERROR(IF($D625="","",VLOOKUP($D625,Cadastro!$C$4:$G$7,5,FALSE)),"")</f>
        <v/>
      </c>
      <c r="J625" s="15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54" t="str">
        <f>IFERROR(IF($D626="","",VLOOKUP($D626,Cadastro!$C$4:$E$7,3,FALSE)),"")</f>
        <v/>
      </c>
      <c r="G626" s="106"/>
      <c r="H626" s="154" t="str">
        <f>IFERROR(IF($G626="","",$G626*$S$635/$G$635/Cadastro!$E$33),"")</f>
        <v/>
      </c>
      <c r="I626" s="155" t="str">
        <f>IFERROR(IF($D626="","",VLOOKUP($D626,Cadastro!$C$4:$G$7,5,FALSE)),"")</f>
        <v/>
      </c>
      <c r="J626" s="15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54" t="str">
        <f>IFERROR(IF($D627="","",VLOOKUP($D627,Cadastro!$C$4:$E$7,3,FALSE)),"")</f>
        <v/>
      </c>
      <c r="G627" s="106"/>
      <c r="H627" s="154" t="str">
        <f>IFERROR(IF($G627="","",$G627*$S$635/$G$635/Cadastro!$E$33),"")</f>
        <v/>
      </c>
      <c r="I627" s="155" t="str">
        <f>IFERROR(IF($D627="","",VLOOKUP($D627,Cadastro!$C$4:$G$7,5,FALSE)),"")</f>
        <v/>
      </c>
      <c r="J627" s="15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54" t="str">
        <f>IFERROR(IF($D628="","",VLOOKUP($D628,Cadastro!$C$4:$E$7,3,FALSE)),"")</f>
        <v/>
      </c>
      <c r="G628" s="106"/>
      <c r="H628" s="154" t="str">
        <f>IFERROR(IF($G628="","",$G628*$S$635/$G$635/Cadastro!$E$33),"")</f>
        <v/>
      </c>
      <c r="I628" s="155" t="str">
        <f>IFERROR(IF($D628="","",VLOOKUP($D628,Cadastro!$C$4:$G$7,5,FALSE)),"")</f>
        <v/>
      </c>
      <c r="J628" s="15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54" t="str">
        <f>IFERROR(IF($D629="","",VLOOKUP($D629,Cadastro!$C$4:$E$7,3,FALSE)),"")</f>
        <v/>
      </c>
      <c r="G629" s="106"/>
      <c r="H629" s="154" t="str">
        <f>IFERROR(IF($G629="","",$G629*$S$635/$G$635/Cadastro!$E$33),"")</f>
        <v/>
      </c>
      <c r="I629" s="155" t="str">
        <f>IFERROR(IF($D629="","",VLOOKUP($D629,Cadastro!$C$4:$G$7,5,FALSE)),"")</f>
        <v/>
      </c>
      <c r="J629" s="15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54" t="str">
        <f>IFERROR(IF($D630="","",VLOOKUP($D630,Cadastro!$C$4:$E$7,3,FALSE)),"")</f>
        <v/>
      </c>
      <c r="G630" s="106"/>
      <c r="H630" s="154" t="str">
        <f>IFERROR(IF($G630="","",$G630*$S$635/$G$635/Cadastro!$E$33),"")</f>
        <v/>
      </c>
      <c r="I630" s="155" t="str">
        <f>IFERROR(IF($D630="","",VLOOKUP($D630,Cadastro!$C$4:$G$7,5,FALSE)),"")</f>
        <v/>
      </c>
      <c r="J630" s="15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54" t="str">
        <f>IFERROR(IF($D631="","",VLOOKUP($D631,Cadastro!$C$4:$E$7,3,FALSE)),"")</f>
        <v/>
      </c>
      <c r="G631" s="106"/>
      <c r="H631" s="154" t="str">
        <f>IFERROR(IF($G631="","",$G631*$S$635/$G$635/Cadastro!$E$33),"")</f>
        <v/>
      </c>
      <c r="I631" s="155" t="str">
        <f>IFERROR(IF($D631="","",VLOOKUP($D631,Cadastro!$C$4:$G$7,5,FALSE)),"")</f>
        <v/>
      </c>
      <c r="J631" s="15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54" t="str">
        <f>IFERROR(IF($D632="","",VLOOKUP($D632,Cadastro!$C$4:$E$7,3,FALSE)),"")</f>
        <v/>
      </c>
      <c r="G632" s="106"/>
      <c r="H632" s="154" t="str">
        <f>IFERROR(IF($G632="","",$G632*$S$635/$G$635/Cadastro!$E$33),"")</f>
        <v/>
      </c>
      <c r="I632" s="155" t="str">
        <f>IFERROR(IF($D632="","",VLOOKUP($D632,Cadastro!$C$4:$G$7,5,FALSE)),"")</f>
        <v/>
      </c>
      <c r="J632" s="15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54" t="str">
        <f>IFERROR(IF($D633="","",VLOOKUP($D633,Cadastro!$C$4:$E$7,3,FALSE)),"")</f>
        <v/>
      </c>
      <c r="G633" s="106"/>
      <c r="H633" s="154" t="str">
        <f>IFERROR(IF($G633="","",$G633*$S$635/$G$635/Cadastro!$E$33),"")</f>
        <v/>
      </c>
      <c r="I633" s="155" t="str">
        <f>IFERROR(IF($D633="","",VLOOKUP($D633,Cadastro!$C$4:$G$7,5,FALSE)),"")</f>
        <v/>
      </c>
      <c r="J633" s="15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57" t="str">
        <f>IFERROR(IF($D634="","",VLOOKUP($D634,Cadastro!$C$4:$E$7,3,FALSE)),"")</f>
        <v/>
      </c>
      <c r="G634" s="106"/>
      <c r="H634" s="157" t="str">
        <f>IFERROR(IF($G634="","",$G634*$S$635/$G$635/Cadastro!$E$33),"")</f>
        <v/>
      </c>
      <c r="I634" s="158" t="str">
        <f>IFERROR(IF($D634="","",VLOOKUP($D634,Cadastro!$C$4:$G$7,5,FALSE)),"")</f>
        <v/>
      </c>
      <c r="J634" s="15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32" t="s">
        <v>241</v>
      </c>
      <c r="B635" s="133"/>
      <c r="C635" s="133"/>
      <c r="D635" s="133"/>
      <c r="E635" s="13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60" t="str">
        <f>IFERROR(IF($D636="","",VLOOKUP($D636,Cadastro!$C$4:$E$7,3,FALSE)),"")</f>
        <v/>
      </c>
      <c r="G636" s="106"/>
      <c r="H636" s="160" t="str">
        <f>IFERROR(IF($G636="","",$G636*$S$648/$G$648/Cadastro!$E$33),"")</f>
        <v/>
      </c>
      <c r="I636" s="161" t="str">
        <f>IFERROR(IF($D636="","",VLOOKUP($D636,Cadastro!$C$4:$G$7,5,FALSE)),"")</f>
        <v/>
      </c>
      <c r="J636" s="16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54" t="str">
        <f>IFERROR(IF($D637="","",VLOOKUP($D637,Cadastro!$C$4:$E$7,3,FALSE)),"")</f>
        <v/>
      </c>
      <c r="G637" s="106"/>
      <c r="H637" s="154" t="str">
        <f>IFERROR(IF($G637="","",$G637*$S$648/$G$648/Cadastro!$E$33),"")</f>
        <v/>
      </c>
      <c r="I637" s="155" t="str">
        <f>IFERROR(IF($D637="","",VLOOKUP($D637,Cadastro!$C$4:$G$7,5,FALSE)),"")</f>
        <v/>
      </c>
      <c r="J637" s="15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54" t="str">
        <f>IFERROR(IF($D638="","",VLOOKUP($D638,Cadastro!$C$4:$E$7,3,FALSE)),"")</f>
        <v/>
      </c>
      <c r="G638" s="106"/>
      <c r="H638" s="154" t="str">
        <f>IFERROR(IF($G638="","",$G638*$S$648/$G$648/Cadastro!$E$33),"")</f>
        <v/>
      </c>
      <c r="I638" s="155" t="str">
        <f>IFERROR(IF($D638="","",VLOOKUP($D638,Cadastro!$C$4:$G$7,5,FALSE)),"")</f>
        <v/>
      </c>
      <c r="J638" s="15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54" t="str">
        <f>IFERROR(IF($D639="","",VLOOKUP($D639,Cadastro!$C$4:$E$7,3,FALSE)),"")</f>
        <v/>
      </c>
      <c r="G639" s="106"/>
      <c r="H639" s="154" t="str">
        <f>IFERROR(IF($G639="","",$G639*$S$648/$G$648/Cadastro!$E$33),"")</f>
        <v/>
      </c>
      <c r="I639" s="155" t="str">
        <f>IFERROR(IF($D639="","",VLOOKUP($D639,Cadastro!$C$4:$G$7,5,FALSE)),"")</f>
        <v/>
      </c>
      <c r="J639" s="15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54" t="str">
        <f>IFERROR(IF($D640="","",VLOOKUP($D640,Cadastro!$C$4:$E$7,3,FALSE)),"")</f>
        <v/>
      </c>
      <c r="G640" s="106"/>
      <c r="H640" s="154" t="str">
        <f>IFERROR(IF($G640="","",$G640*$S$648/$G$648/Cadastro!$E$33),"")</f>
        <v/>
      </c>
      <c r="I640" s="155" t="str">
        <f>IFERROR(IF($D640="","",VLOOKUP($D640,Cadastro!$C$4:$G$7,5,FALSE)),"")</f>
        <v/>
      </c>
      <c r="J640" s="15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54" t="str">
        <f>IFERROR(IF($D641="","",VLOOKUP($D641,Cadastro!$C$4:$E$7,3,FALSE)),"")</f>
        <v/>
      </c>
      <c r="G641" s="106"/>
      <c r="H641" s="154" t="str">
        <f>IFERROR(IF($G641="","",$G641*$S$648/$G$648/Cadastro!$E$33),"")</f>
        <v/>
      </c>
      <c r="I641" s="155" t="str">
        <f>IFERROR(IF($D641="","",VLOOKUP($D641,Cadastro!$C$4:$G$7,5,FALSE)),"")</f>
        <v/>
      </c>
      <c r="J641" s="15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54" t="str">
        <f>IFERROR(IF($D642="","",VLOOKUP($D642,Cadastro!$C$4:$E$7,3,FALSE)),"")</f>
        <v/>
      </c>
      <c r="G642" s="106"/>
      <c r="H642" s="154" t="str">
        <f>IFERROR(IF($G642="","",$G642*$S$648/$G$648/Cadastro!$E$33),"")</f>
        <v/>
      </c>
      <c r="I642" s="155" t="str">
        <f>IFERROR(IF($D642="","",VLOOKUP($D642,Cadastro!$C$4:$G$7,5,FALSE)),"")</f>
        <v/>
      </c>
      <c r="J642" s="15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54" t="str">
        <f>IFERROR(IF($D643="","",VLOOKUP($D643,Cadastro!$C$4:$E$7,3,FALSE)),"")</f>
        <v/>
      </c>
      <c r="G643" s="106"/>
      <c r="H643" s="154" t="str">
        <f>IFERROR(IF($G643="","",$G643*$S$648/$G$648/Cadastro!$E$33),"")</f>
        <v/>
      </c>
      <c r="I643" s="155" t="str">
        <f>IFERROR(IF($D643="","",VLOOKUP($D643,Cadastro!$C$4:$G$7,5,FALSE)),"")</f>
        <v/>
      </c>
      <c r="J643" s="15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54" t="str">
        <f>IFERROR(IF($D644="","",VLOOKUP($D644,Cadastro!$C$4:$E$7,3,FALSE)),"")</f>
        <v/>
      </c>
      <c r="G644" s="106"/>
      <c r="H644" s="154" t="str">
        <f>IFERROR(IF($G644="","",$G644*$S$648/$G$648/Cadastro!$E$33),"")</f>
        <v/>
      </c>
      <c r="I644" s="155" t="str">
        <f>IFERROR(IF($D644="","",VLOOKUP($D644,Cadastro!$C$4:$G$7,5,FALSE)),"")</f>
        <v/>
      </c>
      <c r="J644" s="15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54" t="str">
        <f>IFERROR(IF($D645="","",VLOOKUP($D645,Cadastro!$C$4:$E$7,3,FALSE)),"")</f>
        <v/>
      </c>
      <c r="G645" s="106"/>
      <c r="H645" s="154" t="str">
        <f>IFERROR(IF($G645="","",$G645*$S$648/$G$648/Cadastro!$E$33),"")</f>
        <v/>
      </c>
      <c r="I645" s="155" t="str">
        <f>IFERROR(IF($D645="","",VLOOKUP($D645,Cadastro!$C$4:$G$7,5,FALSE)),"")</f>
        <v/>
      </c>
      <c r="J645" s="15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54" t="str">
        <f>IFERROR(IF($D646="","",VLOOKUP($D646,Cadastro!$C$4:$E$7,3,FALSE)),"")</f>
        <v/>
      </c>
      <c r="G646" s="106"/>
      <c r="H646" s="154" t="str">
        <f>IFERROR(IF($G646="","",$G646*$S$648/$G$648/Cadastro!$E$33),"")</f>
        <v/>
      </c>
      <c r="I646" s="155" t="str">
        <f>IFERROR(IF($D646="","",VLOOKUP($D646,Cadastro!$C$4:$G$7,5,FALSE)),"")</f>
        <v/>
      </c>
      <c r="J646" s="15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57" t="str">
        <f>IFERROR(IF($D647="","",VLOOKUP($D647,Cadastro!$C$4:$E$7,3,FALSE)),"")</f>
        <v/>
      </c>
      <c r="G647" s="106"/>
      <c r="H647" s="157" t="str">
        <f>IFERROR(IF($G647="","",$G647*$S$648/$G$648/Cadastro!$E$33),"")</f>
        <v/>
      </c>
      <c r="I647" s="158" t="str">
        <f>IFERROR(IF($D647="","",VLOOKUP($D647,Cadastro!$C$4:$G$7,5,FALSE)),"")</f>
        <v/>
      </c>
      <c r="J647" s="15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32" t="s">
        <v>244</v>
      </c>
      <c r="B648" s="133"/>
      <c r="C648" s="133"/>
      <c r="D648" s="133"/>
      <c r="E648" s="13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34" t="s">
        <v>245</v>
      </c>
      <c r="B649" s="135"/>
      <c r="C649" s="135"/>
      <c r="D649" s="135"/>
      <c r="E649" s="135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63">
        <f>S635+S648</f>
        <v>0</v>
      </c>
      <c r="T649" s="164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60" t="str">
        <f>IFERROR(IF($D650="","",VLOOKUP($D650,Cadastro!$C$4:$E$7,3,FALSE)),"")</f>
        <v/>
      </c>
      <c r="G650" s="106"/>
      <c r="H650" s="160" t="str">
        <f>IFERROR(IF($G650="","",$G650*$S$662/$G$662/Cadastro!$E$33),"")</f>
        <v/>
      </c>
      <c r="I650" s="161" t="str">
        <f>IFERROR(IF($D650="","",VLOOKUP($D650,Cadastro!$C$4:$G$7,5,FALSE)),"")</f>
        <v/>
      </c>
      <c r="J650" s="16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54" t="str">
        <f>IFERROR(IF($D651="","",VLOOKUP($D651,Cadastro!$C$4:$E$7,3,FALSE)),"")</f>
        <v/>
      </c>
      <c r="G651" s="106"/>
      <c r="H651" s="154" t="str">
        <f>IFERROR(IF($G651="","",$G651*$S$662/$G$662/Cadastro!$E$33),"")</f>
        <v/>
      </c>
      <c r="I651" s="155" t="str">
        <f>IFERROR(IF($D651="","",VLOOKUP($D651,Cadastro!$C$4:$G$7,5,FALSE)),"")</f>
        <v/>
      </c>
      <c r="J651" s="15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54" t="str">
        <f>IFERROR(IF($D652="","",VLOOKUP($D652,Cadastro!$C$4:$E$7,3,FALSE)),"")</f>
        <v/>
      </c>
      <c r="G652" s="106"/>
      <c r="H652" s="154" t="str">
        <f>IFERROR(IF($G652="","",$G652*$S$662/$G$662/Cadastro!$E$33),"")</f>
        <v/>
      </c>
      <c r="I652" s="155" t="str">
        <f>IFERROR(IF($D652="","",VLOOKUP($D652,Cadastro!$C$4:$G$7,5,FALSE)),"")</f>
        <v/>
      </c>
      <c r="J652" s="15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54" t="str">
        <f>IFERROR(IF($D653="","",VLOOKUP($D653,Cadastro!$C$4:$E$7,3,FALSE)),"")</f>
        <v/>
      </c>
      <c r="G653" s="106"/>
      <c r="H653" s="154" t="str">
        <f>IFERROR(IF($G653="","",$G653*$S$662/$G$662/Cadastro!$E$33),"")</f>
        <v/>
      </c>
      <c r="I653" s="155" t="str">
        <f>IFERROR(IF($D653="","",VLOOKUP($D653,Cadastro!$C$4:$G$7,5,FALSE)),"")</f>
        <v/>
      </c>
      <c r="J653" s="15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54" t="str">
        <f>IFERROR(IF($D654="","",VLOOKUP($D654,Cadastro!$C$4:$E$7,3,FALSE)),"")</f>
        <v/>
      </c>
      <c r="G654" s="106"/>
      <c r="H654" s="154" t="str">
        <f>IFERROR(IF($G654="","",$G654*$S$662/$G$662/Cadastro!$E$33),"")</f>
        <v/>
      </c>
      <c r="I654" s="155" t="str">
        <f>IFERROR(IF($D654="","",VLOOKUP($D654,Cadastro!$C$4:$G$7,5,FALSE)),"")</f>
        <v/>
      </c>
      <c r="J654" s="15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54" t="str">
        <f>IFERROR(IF($D655="","",VLOOKUP($D655,Cadastro!$C$4:$E$7,3,FALSE)),"")</f>
        <v/>
      </c>
      <c r="G655" s="106"/>
      <c r="H655" s="154" t="str">
        <f>IFERROR(IF($G655="","",$G655*$S$662/$G$662/Cadastro!$E$33),"")</f>
        <v/>
      </c>
      <c r="I655" s="155" t="str">
        <f>IFERROR(IF($D655="","",VLOOKUP($D655,Cadastro!$C$4:$G$7,5,FALSE)),"")</f>
        <v/>
      </c>
      <c r="J655" s="15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54" t="str">
        <f>IFERROR(IF($D656="","",VLOOKUP($D656,Cadastro!$C$4:$E$7,3,FALSE)),"")</f>
        <v/>
      </c>
      <c r="G656" s="106"/>
      <c r="H656" s="154" t="str">
        <f>IFERROR(IF($G656="","",$G656*$S$662/$G$662/Cadastro!$E$33),"")</f>
        <v/>
      </c>
      <c r="I656" s="155" t="str">
        <f>IFERROR(IF($D656="","",VLOOKUP($D656,Cadastro!$C$4:$G$7,5,FALSE)),"")</f>
        <v/>
      </c>
      <c r="J656" s="15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54" t="str">
        <f>IFERROR(IF($D657="","",VLOOKUP($D657,Cadastro!$C$4:$E$7,3,FALSE)),"")</f>
        <v/>
      </c>
      <c r="G657" s="106"/>
      <c r="H657" s="154" t="str">
        <f>IFERROR(IF($G657="","",$G657*$S$662/$G$662/Cadastro!$E$33),"")</f>
        <v/>
      </c>
      <c r="I657" s="155" t="str">
        <f>IFERROR(IF($D657="","",VLOOKUP($D657,Cadastro!$C$4:$G$7,5,FALSE)),"")</f>
        <v/>
      </c>
      <c r="J657" s="15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54" t="str">
        <f>IFERROR(IF($D658="","",VLOOKUP($D658,Cadastro!$C$4:$E$7,3,FALSE)),"")</f>
        <v/>
      </c>
      <c r="G658" s="106"/>
      <c r="H658" s="154" t="str">
        <f>IFERROR(IF($G658="","",$G658*$S$662/$G$662/Cadastro!$E$33),"")</f>
        <v/>
      </c>
      <c r="I658" s="155" t="str">
        <f>IFERROR(IF($D658="","",VLOOKUP($D658,Cadastro!$C$4:$G$7,5,FALSE)),"")</f>
        <v/>
      </c>
      <c r="J658" s="15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54" t="str">
        <f>IFERROR(IF($D659="","",VLOOKUP($D659,Cadastro!$C$4:$E$7,3,FALSE)),"")</f>
        <v/>
      </c>
      <c r="G659" s="106"/>
      <c r="H659" s="154" t="str">
        <f>IFERROR(IF($G659="","",$G659*$S$662/$G$662/Cadastro!$E$33),"")</f>
        <v/>
      </c>
      <c r="I659" s="155" t="str">
        <f>IFERROR(IF($D659="","",VLOOKUP($D659,Cadastro!$C$4:$G$7,5,FALSE)),"")</f>
        <v/>
      </c>
      <c r="J659" s="15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54" t="str">
        <f>IFERROR(IF($D660="","",VLOOKUP($D660,Cadastro!$C$4:$E$7,3,FALSE)),"")</f>
        <v/>
      </c>
      <c r="G660" s="106"/>
      <c r="H660" s="154" t="str">
        <f>IFERROR(IF($G660="","",$G660*$S$662/$G$662/Cadastro!$E$33),"")</f>
        <v/>
      </c>
      <c r="I660" s="155" t="str">
        <f>IFERROR(IF($D660="","",VLOOKUP($D660,Cadastro!$C$4:$G$7,5,FALSE)),"")</f>
        <v/>
      </c>
      <c r="J660" s="15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57" t="str">
        <f>IFERROR(IF($D661="","",VLOOKUP($D661,Cadastro!$C$4:$E$7,3,FALSE)),"")</f>
        <v/>
      </c>
      <c r="G661" s="106"/>
      <c r="H661" s="157" t="str">
        <f>IFERROR(IF($G661="","",$G661*$S$662/$G$662/Cadastro!$E$33),"")</f>
        <v/>
      </c>
      <c r="I661" s="158" t="str">
        <f>IFERROR(IF($D661="","",VLOOKUP($D661,Cadastro!$C$4:$G$7,5,FALSE)),"")</f>
        <v/>
      </c>
      <c r="J661" s="15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32" t="s">
        <v>241</v>
      </c>
      <c r="B662" s="133"/>
      <c r="C662" s="133"/>
      <c r="D662" s="133"/>
      <c r="E662" s="13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60" t="str">
        <f>IFERROR(IF($D663="","",VLOOKUP($D663,Cadastro!$C$4:$E$7,3,FALSE)),"")</f>
        <v/>
      </c>
      <c r="G663" s="106"/>
      <c r="H663" s="160" t="str">
        <f>IFERROR(IF($G663="","",$G663*$S$675/$G$675/Cadastro!$E$33),"")</f>
        <v/>
      </c>
      <c r="I663" s="161" t="str">
        <f>IFERROR(IF($D663="","",VLOOKUP($D663,Cadastro!$C$4:$G$7,5,FALSE)),"")</f>
        <v/>
      </c>
      <c r="J663" s="16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54" t="str">
        <f>IFERROR(IF($D664="","",VLOOKUP($D664,Cadastro!$C$4:$E$7,3,FALSE)),"")</f>
        <v/>
      </c>
      <c r="G664" s="106"/>
      <c r="H664" s="154" t="str">
        <f>IFERROR(IF($G664="","",$G664*$S$675/$G$675/Cadastro!$E$33),"")</f>
        <v/>
      </c>
      <c r="I664" s="155" t="str">
        <f>IFERROR(IF($D664="","",VLOOKUP($D664,Cadastro!$C$4:$G$7,5,FALSE)),"")</f>
        <v/>
      </c>
      <c r="J664" s="15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54" t="str">
        <f>IFERROR(IF($D665="","",VLOOKUP($D665,Cadastro!$C$4:$E$7,3,FALSE)),"")</f>
        <v/>
      </c>
      <c r="G665" s="106"/>
      <c r="H665" s="154" t="str">
        <f>IFERROR(IF($G665="","",$G665*$S$675/$G$675/Cadastro!$E$33),"")</f>
        <v/>
      </c>
      <c r="I665" s="155" t="str">
        <f>IFERROR(IF($D665="","",VLOOKUP($D665,Cadastro!$C$4:$G$7,5,FALSE)),"")</f>
        <v/>
      </c>
      <c r="J665" s="15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54" t="str">
        <f>IFERROR(IF($D666="","",VLOOKUP($D666,Cadastro!$C$4:$E$7,3,FALSE)),"")</f>
        <v/>
      </c>
      <c r="G666" s="106"/>
      <c r="H666" s="154" t="str">
        <f>IFERROR(IF($G666="","",$G666*$S$675/$G$675/Cadastro!$E$33),"")</f>
        <v/>
      </c>
      <c r="I666" s="155" t="str">
        <f>IFERROR(IF($D666="","",VLOOKUP($D666,Cadastro!$C$4:$G$7,5,FALSE)),"")</f>
        <v/>
      </c>
      <c r="J666" s="15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54" t="str">
        <f>IFERROR(IF($D667="","",VLOOKUP($D667,Cadastro!$C$4:$E$7,3,FALSE)),"")</f>
        <v/>
      </c>
      <c r="G667" s="106"/>
      <c r="H667" s="154" t="str">
        <f>IFERROR(IF($G667="","",$G667*$S$675/$G$675/Cadastro!$E$33),"")</f>
        <v/>
      </c>
      <c r="I667" s="155" t="str">
        <f>IFERROR(IF($D667="","",VLOOKUP($D667,Cadastro!$C$4:$G$7,5,FALSE)),"")</f>
        <v/>
      </c>
      <c r="J667" s="15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54" t="str">
        <f>IFERROR(IF($D668="","",VLOOKUP($D668,Cadastro!$C$4:$E$7,3,FALSE)),"")</f>
        <v/>
      </c>
      <c r="G668" s="106"/>
      <c r="H668" s="154" t="str">
        <f>IFERROR(IF($G668="","",$G668*$S$675/$G$675/Cadastro!$E$33),"")</f>
        <v/>
      </c>
      <c r="I668" s="155" t="str">
        <f>IFERROR(IF($D668="","",VLOOKUP($D668,Cadastro!$C$4:$G$7,5,FALSE)),"")</f>
        <v/>
      </c>
      <c r="J668" s="15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54" t="str">
        <f>IFERROR(IF($D669="","",VLOOKUP($D669,Cadastro!$C$4:$E$7,3,FALSE)),"")</f>
        <v/>
      </c>
      <c r="G669" s="106"/>
      <c r="H669" s="154" t="str">
        <f>IFERROR(IF($G669="","",$G669*$S$675/$G$675/Cadastro!$E$33),"")</f>
        <v/>
      </c>
      <c r="I669" s="155" t="str">
        <f>IFERROR(IF($D669="","",VLOOKUP($D669,Cadastro!$C$4:$G$7,5,FALSE)),"")</f>
        <v/>
      </c>
      <c r="J669" s="15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54" t="str">
        <f>IFERROR(IF($D670="","",VLOOKUP($D670,Cadastro!$C$4:$E$7,3,FALSE)),"")</f>
        <v/>
      </c>
      <c r="G670" s="106"/>
      <c r="H670" s="154" t="str">
        <f>IFERROR(IF($G670="","",$G670*$S$675/$G$675/Cadastro!$E$33),"")</f>
        <v/>
      </c>
      <c r="I670" s="155" t="str">
        <f>IFERROR(IF($D670="","",VLOOKUP($D670,Cadastro!$C$4:$G$7,5,FALSE)),"")</f>
        <v/>
      </c>
      <c r="J670" s="15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54" t="str">
        <f>IFERROR(IF($D671="","",VLOOKUP($D671,Cadastro!$C$4:$E$7,3,FALSE)),"")</f>
        <v/>
      </c>
      <c r="G671" s="106"/>
      <c r="H671" s="154" t="str">
        <f>IFERROR(IF($G671="","",$G671*$S$675/$G$675/Cadastro!$E$33),"")</f>
        <v/>
      </c>
      <c r="I671" s="155" t="str">
        <f>IFERROR(IF($D671="","",VLOOKUP($D671,Cadastro!$C$4:$G$7,5,FALSE)),"")</f>
        <v/>
      </c>
      <c r="J671" s="15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54" t="str">
        <f>IFERROR(IF($D672="","",VLOOKUP($D672,Cadastro!$C$4:$E$7,3,FALSE)),"")</f>
        <v/>
      </c>
      <c r="G672" s="106"/>
      <c r="H672" s="154" t="str">
        <f>IFERROR(IF($G672="","",$G672*$S$675/$G$675/Cadastro!$E$33),"")</f>
        <v/>
      </c>
      <c r="I672" s="155" t="str">
        <f>IFERROR(IF($D672="","",VLOOKUP($D672,Cadastro!$C$4:$G$7,5,FALSE)),"")</f>
        <v/>
      </c>
      <c r="J672" s="15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54" t="str">
        <f>IFERROR(IF($D673="","",VLOOKUP($D673,Cadastro!$C$4:$E$7,3,FALSE)),"")</f>
        <v/>
      </c>
      <c r="G673" s="106"/>
      <c r="H673" s="154" t="str">
        <f>IFERROR(IF($G673="","",$G673*$S$675/$G$675/Cadastro!$E$33),"")</f>
        <v/>
      </c>
      <c r="I673" s="155" t="str">
        <f>IFERROR(IF($D673="","",VLOOKUP($D673,Cadastro!$C$4:$G$7,5,FALSE)),"")</f>
        <v/>
      </c>
      <c r="J673" s="15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57" t="str">
        <f>IFERROR(IF($D674="","",VLOOKUP($D674,Cadastro!$C$4:$E$7,3,FALSE)),"")</f>
        <v/>
      </c>
      <c r="G674" s="106"/>
      <c r="H674" s="157" t="str">
        <f>IFERROR(IF($G674="","",$G674*$S$675/$G$675/Cadastro!$E$33),"")</f>
        <v/>
      </c>
      <c r="I674" s="158" t="str">
        <f>IFERROR(IF($D674="","",VLOOKUP($D674,Cadastro!$C$4:$G$7,5,FALSE)),"")</f>
        <v/>
      </c>
      <c r="J674" s="15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32" t="s">
        <v>244</v>
      </c>
      <c r="B675" s="133"/>
      <c r="C675" s="133"/>
      <c r="D675" s="133"/>
      <c r="E675" s="13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34" t="s">
        <v>245</v>
      </c>
      <c r="B676" s="135"/>
      <c r="C676" s="135"/>
      <c r="D676" s="135"/>
      <c r="E676" s="135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63">
        <f>IFERROR(S662+S675,"")</f>
        <v>0</v>
      </c>
      <c r="T676" s="164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60" t="str">
        <f>IFERROR(IF($D677="","",VLOOKUP($D677,Cadastro!$C$4:$E$7,3,FALSE)),"")</f>
        <v/>
      </c>
      <c r="G677" s="106"/>
      <c r="H677" s="160" t="str">
        <f>IFERROR(IF($G677="","",$G677*$S$689/$G$689/Cadastro!$E$33),"")</f>
        <v/>
      </c>
      <c r="I677" s="161" t="str">
        <f>IFERROR(IF($D677="","",VLOOKUP($D677,Cadastro!$C$4:$G$7,5,FALSE)),"")</f>
        <v/>
      </c>
      <c r="J677" s="16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54" t="str">
        <f>IFERROR(IF($D678="","",VLOOKUP($D678,Cadastro!$C$4:$E$7,3,FALSE)),"")</f>
        <v/>
      </c>
      <c r="G678" s="106"/>
      <c r="H678" s="154" t="str">
        <f>IFERROR(IF($G678="","",$G678*$S$689/$G$689/Cadastro!$E$33),"")</f>
        <v/>
      </c>
      <c r="I678" s="155" t="str">
        <f>IFERROR(IF($D678="","",VLOOKUP($D678,Cadastro!$C$4:$G$7,5,FALSE)),"")</f>
        <v/>
      </c>
      <c r="J678" s="15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54" t="str">
        <f>IFERROR(IF($D679="","",VLOOKUP($D679,Cadastro!$C$4:$E$7,3,FALSE)),"")</f>
        <v/>
      </c>
      <c r="G679" s="106"/>
      <c r="H679" s="154" t="str">
        <f>IFERROR(IF($G679="","",$G679*$S$689/$G$689/Cadastro!$E$33),"")</f>
        <v/>
      </c>
      <c r="I679" s="155" t="str">
        <f>IFERROR(IF($D679="","",VLOOKUP($D679,Cadastro!$C$4:$G$7,5,FALSE)),"")</f>
        <v/>
      </c>
      <c r="J679" s="15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54" t="str">
        <f>IFERROR(IF($D680="","",VLOOKUP($D680,Cadastro!$C$4:$E$7,3,FALSE)),"")</f>
        <v/>
      </c>
      <c r="G680" s="106"/>
      <c r="H680" s="154" t="str">
        <f>IFERROR(IF($G680="","",$G680*$S$689/$G$689/Cadastro!$E$33),"")</f>
        <v/>
      </c>
      <c r="I680" s="155" t="str">
        <f>IFERROR(IF($D680="","",VLOOKUP($D680,Cadastro!$C$4:$G$7,5,FALSE)),"")</f>
        <v/>
      </c>
      <c r="J680" s="15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54" t="str">
        <f>IFERROR(IF($D681="","",VLOOKUP($D681,Cadastro!$C$4:$E$7,3,FALSE)),"")</f>
        <v/>
      </c>
      <c r="G681" s="106"/>
      <c r="H681" s="154" t="str">
        <f>IFERROR(IF($G681="","",$G681*$S$689/$G$689/Cadastro!$E$33),"")</f>
        <v/>
      </c>
      <c r="I681" s="155" t="str">
        <f>IFERROR(IF($D681="","",VLOOKUP($D681,Cadastro!$C$4:$G$7,5,FALSE)),"")</f>
        <v/>
      </c>
      <c r="J681" s="15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54" t="str">
        <f>IFERROR(IF($D682="","",VLOOKUP($D682,Cadastro!$C$4:$E$7,3,FALSE)),"")</f>
        <v/>
      </c>
      <c r="G682" s="106"/>
      <c r="H682" s="154" t="str">
        <f>IFERROR(IF($G682="","",$G682*$S$689/$G$689/Cadastro!$E$33),"")</f>
        <v/>
      </c>
      <c r="I682" s="155" t="str">
        <f>IFERROR(IF($D682="","",VLOOKUP($D682,Cadastro!$C$4:$G$7,5,FALSE)),"")</f>
        <v/>
      </c>
      <c r="J682" s="15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54" t="str">
        <f>IFERROR(IF($D683="","",VLOOKUP($D683,Cadastro!$C$4:$E$7,3,FALSE)),"")</f>
        <v/>
      </c>
      <c r="G683" s="106"/>
      <c r="H683" s="154" t="str">
        <f>IFERROR(IF($G683="","",$G683*$S$689/$G$689/Cadastro!$E$33),"")</f>
        <v/>
      </c>
      <c r="I683" s="155" t="str">
        <f>IFERROR(IF($D683="","",VLOOKUP($D683,Cadastro!$C$4:$G$7,5,FALSE)),"")</f>
        <v/>
      </c>
      <c r="J683" s="15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54" t="str">
        <f>IFERROR(IF($D684="","",VLOOKUP($D684,Cadastro!$C$4:$E$7,3,FALSE)),"")</f>
        <v/>
      </c>
      <c r="G684" s="106"/>
      <c r="H684" s="154" t="str">
        <f>IFERROR(IF($G684="","",$G684*$S$689/$G$689/Cadastro!$E$33),"")</f>
        <v/>
      </c>
      <c r="I684" s="155" t="str">
        <f>IFERROR(IF($D684="","",VLOOKUP($D684,Cadastro!$C$4:$G$7,5,FALSE)),"")</f>
        <v/>
      </c>
      <c r="J684" s="15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54" t="str">
        <f>IFERROR(IF($D685="","",VLOOKUP($D685,Cadastro!$C$4:$E$7,3,FALSE)),"")</f>
        <v/>
      </c>
      <c r="G685" s="106"/>
      <c r="H685" s="154" t="str">
        <f>IFERROR(IF($G685="","",$G685*$S$689/$G$689/Cadastro!$E$33),"")</f>
        <v/>
      </c>
      <c r="I685" s="155" t="str">
        <f>IFERROR(IF($D685="","",VLOOKUP($D685,Cadastro!$C$4:$G$7,5,FALSE)),"")</f>
        <v/>
      </c>
      <c r="J685" s="15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54" t="str">
        <f>IFERROR(IF($D686="","",VLOOKUP($D686,Cadastro!$C$4:$E$7,3,FALSE)),"")</f>
        <v/>
      </c>
      <c r="G686" s="106"/>
      <c r="H686" s="154" t="str">
        <f>IFERROR(IF($G686="","",$G686*$S$689/$G$689/Cadastro!$E$33),"")</f>
        <v/>
      </c>
      <c r="I686" s="155" t="str">
        <f>IFERROR(IF($D686="","",VLOOKUP($D686,Cadastro!$C$4:$G$7,5,FALSE)),"")</f>
        <v/>
      </c>
      <c r="J686" s="15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54" t="str">
        <f>IFERROR(IF($D687="","",VLOOKUP($D687,Cadastro!$C$4:$E$7,3,FALSE)),"")</f>
        <v/>
      </c>
      <c r="G687" s="106"/>
      <c r="H687" s="154" t="str">
        <f>IFERROR(IF($G687="","",$G687*$S$689/$G$689/Cadastro!$E$33),"")</f>
        <v/>
      </c>
      <c r="I687" s="155" t="str">
        <f>IFERROR(IF($D687="","",VLOOKUP($D687,Cadastro!$C$4:$G$7,5,FALSE)),"")</f>
        <v/>
      </c>
      <c r="J687" s="15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57" t="str">
        <f>IFERROR(IF($D688="","",VLOOKUP($D688,Cadastro!$C$4:$E$7,3,FALSE)),"")</f>
        <v/>
      </c>
      <c r="G688" s="106"/>
      <c r="H688" s="157" t="str">
        <f>IFERROR(IF($G688="","",$G688*$S$689/$G$689/Cadastro!$E$33),"")</f>
        <v/>
      </c>
      <c r="I688" s="158" t="str">
        <f>IFERROR(IF($D688="","",VLOOKUP($D688,Cadastro!$C$4:$G$7,5,FALSE)),"")</f>
        <v/>
      </c>
      <c r="J688" s="15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32" t="s">
        <v>241</v>
      </c>
      <c r="B689" s="133"/>
      <c r="C689" s="133"/>
      <c r="D689" s="133"/>
      <c r="E689" s="13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60" t="str">
        <f>IFERROR(IF($D690="","",VLOOKUP($D690,Cadastro!$C$4:$E$7,3,FALSE)),"")</f>
        <v/>
      </c>
      <c r="G690" s="106"/>
      <c r="H690" s="160" t="str">
        <f>IFERROR(IF($G690="","",$G690*$S$702/$G$702/Cadastro!$E$33),"")</f>
        <v/>
      </c>
      <c r="I690" s="161" t="str">
        <f>IFERROR(IF($D690="","",VLOOKUP($D690,Cadastro!$C$4:$G$7,5,FALSE)),"")</f>
        <v/>
      </c>
      <c r="J690" s="16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54" t="str">
        <f>IFERROR(IF($D691="","",VLOOKUP($D691,Cadastro!$C$4:$E$7,3,FALSE)),"")</f>
        <v/>
      </c>
      <c r="G691" s="106"/>
      <c r="H691" s="154" t="str">
        <f>IFERROR(IF($G691="","",$G691*$S$702/$G$702/Cadastro!$E$33),"")</f>
        <v/>
      </c>
      <c r="I691" s="155" t="str">
        <f>IFERROR(IF($D691="","",VLOOKUP($D691,Cadastro!$C$4:$G$7,5,FALSE)),"")</f>
        <v/>
      </c>
      <c r="J691" s="15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54" t="str">
        <f>IFERROR(IF($D692="","",VLOOKUP($D692,Cadastro!$C$4:$E$7,3,FALSE)),"")</f>
        <v/>
      </c>
      <c r="G692" s="106"/>
      <c r="H692" s="154" t="str">
        <f>IFERROR(IF($G692="","",$G692*$S$702/$G$702/Cadastro!$E$33),"")</f>
        <v/>
      </c>
      <c r="I692" s="155" t="str">
        <f>IFERROR(IF($D692="","",VLOOKUP($D692,Cadastro!$C$4:$G$7,5,FALSE)),"")</f>
        <v/>
      </c>
      <c r="J692" s="15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54" t="str">
        <f>IFERROR(IF($D693="","",VLOOKUP($D693,Cadastro!$C$4:$E$7,3,FALSE)),"")</f>
        <v/>
      </c>
      <c r="G693" s="106"/>
      <c r="H693" s="154" t="str">
        <f>IFERROR(IF($G693="","",$G693*$S$702/$G$702/Cadastro!$E$33),"")</f>
        <v/>
      </c>
      <c r="I693" s="155" t="str">
        <f>IFERROR(IF($D693="","",VLOOKUP($D693,Cadastro!$C$4:$G$7,5,FALSE)),"")</f>
        <v/>
      </c>
      <c r="J693" s="15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54" t="str">
        <f>IFERROR(IF($D694="","",VLOOKUP($D694,Cadastro!$C$4:$E$7,3,FALSE)),"")</f>
        <v/>
      </c>
      <c r="G694" s="106"/>
      <c r="H694" s="154" t="str">
        <f>IFERROR(IF($G694="","",$G694*$S$702/$G$702/Cadastro!$E$33),"")</f>
        <v/>
      </c>
      <c r="I694" s="155" t="str">
        <f>IFERROR(IF($D694="","",VLOOKUP($D694,Cadastro!$C$4:$G$7,5,FALSE)),"")</f>
        <v/>
      </c>
      <c r="J694" s="15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54" t="str">
        <f>IFERROR(IF($D695="","",VLOOKUP($D695,Cadastro!$C$4:$E$7,3,FALSE)),"")</f>
        <v/>
      </c>
      <c r="G695" s="106"/>
      <c r="H695" s="154" t="str">
        <f>IFERROR(IF($G695="","",$G695*$S$702/$G$702/Cadastro!$E$33),"")</f>
        <v/>
      </c>
      <c r="I695" s="155" t="str">
        <f>IFERROR(IF($D695="","",VLOOKUP($D695,Cadastro!$C$4:$G$7,5,FALSE)),"")</f>
        <v/>
      </c>
      <c r="J695" s="15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54" t="str">
        <f>IFERROR(IF($D696="","",VLOOKUP($D696,Cadastro!$C$4:$E$7,3,FALSE)),"")</f>
        <v/>
      </c>
      <c r="G696" s="106"/>
      <c r="H696" s="154" t="str">
        <f>IFERROR(IF($G696="","",$G696*$S$702/$G$702/Cadastro!$E$33),"")</f>
        <v/>
      </c>
      <c r="I696" s="155" t="str">
        <f>IFERROR(IF($D696="","",VLOOKUP($D696,Cadastro!$C$4:$G$7,5,FALSE)),"")</f>
        <v/>
      </c>
      <c r="J696" s="15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54" t="str">
        <f>IFERROR(IF($D697="","",VLOOKUP($D697,Cadastro!$C$4:$E$7,3,FALSE)),"")</f>
        <v/>
      </c>
      <c r="G697" s="106"/>
      <c r="H697" s="154" t="str">
        <f>IFERROR(IF($G697="","",$G697*$S$702/$G$702/Cadastro!$E$33),"")</f>
        <v/>
      </c>
      <c r="I697" s="155" t="str">
        <f>IFERROR(IF($D697="","",VLOOKUP($D697,Cadastro!$C$4:$G$7,5,FALSE)),"")</f>
        <v/>
      </c>
      <c r="J697" s="15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54" t="str">
        <f>IFERROR(IF($D698="","",VLOOKUP($D698,Cadastro!$C$4:$E$7,3,FALSE)),"")</f>
        <v/>
      </c>
      <c r="G698" s="106"/>
      <c r="H698" s="154" t="str">
        <f>IFERROR(IF($G698="","",$G698*$S$702/$G$702/Cadastro!$E$33),"")</f>
        <v/>
      </c>
      <c r="I698" s="155" t="str">
        <f>IFERROR(IF($D698="","",VLOOKUP($D698,Cadastro!$C$4:$G$7,5,FALSE)),"")</f>
        <v/>
      </c>
      <c r="J698" s="15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54" t="str">
        <f>IFERROR(IF($D699="","",VLOOKUP($D699,Cadastro!$C$4:$E$7,3,FALSE)),"")</f>
        <v/>
      </c>
      <c r="G699" s="106"/>
      <c r="H699" s="154" t="str">
        <f>IFERROR(IF($G699="","",$G699*$S$702/$G$702/Cadastro!$E$33),"")</f>
        <v/>
      </c>
      <c r="I699" s="155" t="str">
        <f>IFERROR(IF($D699="","",VLOOKUP($D699,Cadastro!$C$4:$G$7,5,FALSE)),"")</f>
        <v/>
      </c>
      <c r="J699" s="15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54" t="str">
        <f>IFERROR(IF($D700="","",VLOOKUP($D700,Cadastro!$C$4:$E$7,3,FALSE)),"")</f>
        <v/>
      </c>
      <c r="G700" s="106"/>
      <c r="H700" s="154" t="str">
        <f>IFERROR(IF($G700="","",$G700*$S$702/$G$702/Cadastro!$E$33),"")</f>
        <v/>
      </c>
      <c r="I700" s="155" t="str">
        <f>IFERROR(IF($D700="","",VLOOKUP($D700,Cadastro!$C$4:$G$7,5,FALSE)),"")</f>
        <v/>
      </c>
      <c r="J700" s="15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57" t="str">
        <f>IFERROR(IF($D701="","",VLOOKUP($D701,Cadastro!$C$4:$E$7,3,FALSE)),"")</f>
        <v/>
      </c>
      <c r="G701" s="106"/>
      <c r="H701" s="157" t="str">
        <f>IFERROR(IF($G701="","",$G701*$S$702/$G$702/Cadastro!$E$33),"")</f>
        <v/>
      </c>
      <c r="I701" s="158" t="str">
        <f>IFERROR(IF($D701="","",VLOOKUP($D701,Cadastro!$C$4:$G$7,5,FALSE)),"")</f>
        <v/>
      </c>
      <c r="J701" s="15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32" t="s">
        <v>244</v>
      </c>
      <c r="B702" s="133"/>
      <c r="C702" s="133"/>
      <c r="D702" s="133"/>
      <c r="E702" s="13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34" t="s">
        <v>245</v>
      </c>
      <c r="B703" s="135"/>
      <c r="C703" s="135"/>
      <c r="D703" s="135"/>
      <c r="E703" s="135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63">
        <f>IFERROR(S689+S702,"")</f>
        <v>0</v>
      </c>
      <c r="T703" s="164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60" t="str">
        <f>IFERROR(IF($D704="","",VLOOKUP($D704,Cadastro!$C$4:$E$7,3,FALSE)),"")</f>
        <v/>
      </c>
      <c r="G704" s="106"/>
      <c r="H704" s="160" t="str">
        <f>IFERROR(IF($G704="","",$G704*$S$716/$G$716/Cadastro!$E$33),"")</f>
        <v/>
      </c>
      <c r="I704" s="161" t="str">
        <f>IFERROR(IF($D704="","",VLOOKUP($D704,Cadastro!$C$4:$G$7,5,FALSE)),"")</f>
        <v/>
      </c>
      <c r="J704" s="16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54" t="str">
        <f>IFERROR(IF($D705="","",VLOOKUP($D705,Cadastro!$C$4:$E$7,3,FALSE)),"")</f>
        <v/>
      </c>
      <c r="G705" s="106"/>
      <c r="H705" s="154" t="str">
        <f>IFERROR(IF($G705="","",$G705*$S$716/$G$716/Cadastro!$E$33),"")</f>
        <v/>
      </c>
      <c r="I705" s="155" t="str">
        <f>IFERROR(IF($D705="","",VLOOKUP($D705,Cadastro!$C$4:$G$7,5,FALSE)),"")</f>
        <v/>
      </c>
      <c r="J705" s="15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54" t="str">
        <f>IFERROR(IF($D706="","",VLOOKUP($D706,Cadastro!$C$4:$E$7,3,FALSE)),"")</f>
        <v/>
      </c>
      <c r="G706" s="106"/>
      <c r="H706" s="154" t="str">
        <f>IFERROR(IF($G706="","",$G706*$S$716/$G$716/Cadastro!$E$33),"")</f>
        <v/>
      </c>
      <c r="I706" s="155" t="str">
        <f>IFERROR(IF($D706="","",VLOOKUP($D706,Cadastro!$C$4:$G$7,5,FALSE)),"")</f>
        <v/>
      </c>
      <c r="J706" s="15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54" t="str">
        <f>IFERROR(IF($D707="","",VLOOKUP($D707,Cadastro!$C$4:$E$7,3,FALSE)),"")</f>
        <v/>
      </c>
      <c r="G707" s="106"/>
      <c r="H707" s="154" t="str">
        <f>IFERROR(IF($G707="","",$G707*$S$716/$G$716/Cadastro!$E$33),"")</f>
        <v/>
      </c>
      <c r="I707" s="155" t="str">
        <f>IFERROR(IF($D707="","",VLOOKUP($D707,Cadastro!$C$4:$G$7,5,FALSE)),"")</f>
        <v/>
      </c>
      <c r="J707" s="15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54" t="str">
        <f>IFERROR(IF($D708="","",VLOOKUP($D708,Cadastro!$C$4:$E$7,3,FALSE)),"")</f>
        <v/>
      </c>
      <c r="G708" s="106"/>
      <c r="H708" s="154" t="str">
        <f>IFERROR(IF($G708="","",$G708*$S$716/$G$716/Cadastro!$E$33),"")</f>
        <v/>
      </c>
      <c r="I708" s="155" t="str">
        <f>IFERROR(IF($D708="","",VLOOKUP($D708,Cadastro!$C$4:$G$7,5,FALSE)),"")</f>
        <v/>
      </c>
      <c r="J708" s="15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54" t="str">
        <f>IFERROR(IF($D709="","",VLOOKUP($D709,Cadastro!$C$4:$E$7,3,FALSE)),"")</f>
        <v/>
      </c>
      <c r="G709" s="106"/>
      <c r="H709" s="154" t="str">
        <f>IFERROR(IF($G709="","",$G709*$S$716/$G$716/Cadastro!$E$33),"")</f>
        <v/>
      </c>
      <c r="I709" s="155" t="str">
        <f>IFERROR(IF($D709="","",VLOOKUP($D709,Cadastro!$C$4:$G$7,5,FALSE)),"")</f>
        <v/>
      </c>
      <c r="J709" s="15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54" t="str">
        <f>IFERROR(IF($D710="","",VLOOKUP($D710,Cadastro!$C$4:$E$7,3,FALSE)),"")</f>
        <v/>
      </c>
      <c r="G710" s="106"/>
      <c r="H710" s="154" t="str">
        <f>IFERROR(IF($G710="","",$G710*$S$716/$G$716/Cadastro!$E$33),"")</f>
        <v/>
      </c>
      <c r="I710" s="155" t="str">
        <f>IFERROR(IF($D710="","",VLOOKUP($D710,Cadastro!$C$4:$G$7,5,FALSE)),"")</f>
        <v/>
      </c>
      <c r="J710" s="15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54" t="str">
        <f>IFERROR(IF($D711="","",VLOOKUP($D711,Cadastro!$C$4:$E$7,3,FALSE)),"")</f>
        <v/>
      </c>
      <c r="G711" s="106"/>
      <c r="H711" s="154" t="str">
        <f>IFERROR(IF($G711="","",$G711*$S$716/$G$716/Cadastro!$E$33),"")</f>
        <v/>
      </c>
      <c r="I711" s="155" t="str">
        <f>IFERROR(IF($D711="","",VLOOKUP($D711,Cadastro!$C$4:$G$7,5,FALSE)),"")</f>
        <v/>
      </c>
      <c r="J711" s="15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54" t="str">
        <f>IFERROR(IF($D712="","",VLOOKUP($D712,Cadastro!$C$4:$E$7,3,FALSE)),"")</f>
        <v/>
      </c>
      <c r="G712" s="106"/>
      <c r="H712" s="154" t="str">
        <f>IFERROR(IF($G712="","",$G712*$S$716/$G$716/Cadastro!$E$33),"")</f>
        <v/>
      </c>
      <c r="I712" s="155" t="str">
        <f>IFERROR(IF($D712="","",VLOOKUP($D712,Cadastro!$C$4:$G$7,5,FALSE)),"")</f>
        <v/>
      </c>
      <c r="J712" s="15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54" t="str">
        <f>IFERROR(IF($D713="","",VLOOKUP($D713,Cadastro!$C$4:$E$7,3,FALSE)),"")</f>
        <v/>
      </c>
      <c r="G713" s="106"/>
      <c r="H713" s="154" t="str">
        <f>IFERROR(IF($G713="","",$G713*$S$716/$G$716/Cadastro!$E$33),"")</f>
        <v/>
      </c>
      <c r="I713" s="155" t="str">
        <f>IFERROR(IF($D713="","",VLOOKUP($D713,Cadastro!$C$4:$G$7,5,FALSE)),"")</f>
        <v/>
      </c>
      <c r="J713" s="15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54" t="str">
        <f>IFERROR(IF($D714="","",VLOOKUP($D714,Cadastro!$C$4:$E$7,3,FALSE)),"")</f>
        <v/>
      </c>
      <c r="G714" s="106"/>
      <c r="H714" s="154" t="str">
        <f>IFERROR(IF($G714="","",$G714*$S$716/$G$716/Cadastro!$E$33),"")</f>
        <v/>
      </c>
      <c r="I714" s="155" t="str">
        <f>IFERROR(IF($D714="","",VLOOKUP($D714,Cadastro!$C$4:$G$7,5,FALSE)),"")</f>
        <v/>
      </c>
      <c r="J714" s="15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57" t="str">
        <f>IFERROR(IF($D715="","",VLOOKUP($D715,Cadastro!$C$4:$E$7,3,FALSE)),"")</f>
        <v/>
      </c>
      <c r="G715" s="106"/>
      <c r="H715" s="157" t="str">
        <f>IFERROR(IF($G715="","",$G715*$S$716/$G$716/Cadastro!$E$33),"")</f>
        <v/>
      </c>
      <c r="I715" s="158" t="str">
        <f>IFERROR(IF($D715="","",VLOOKUP($D715,Cadastro!$C$4:$G$7,5,FALSE)),"")</f>
        <v/>
      </c>
      <c r="J715" s="15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32" t="s">
        <v>241</v>
      </c>
      <c r="B716" s="133"/>
      <c r="C716" s="133"/>
      <c r="D716" s="133"/>
      <c r="E716" s="13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60" t="str">
        <f>IFERROR(IF($D717="","",VLOOKUP($D717,Cadastro!$C$4:$E$7,3,FALSE)),"")</f>
        <v/>
      </c>
      <c r="G717" s="106"/>
      <c r="H717" s="160" t="str">
        <f>IFERROR(IF($G717="","",$G717*$S$729/$G$729/Cadastro!$E$33),"")</f>
        <v/>
      </c>
      <c r="I717" s="161" t="str">
        <f>IFERROR(IF($D717="","",VLOOKUP($D717,Cadastro!$C$4:$G$7,5,FALSE)),"")</f>
        <v/>
      </c>
      <c r="J717" s="16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54" t="str">
        <f>IFERROR(IF($D718="","",VLOOKUP($D718,Cadastro!$C$4:$E$7,3,FALSE)),"")</f>
        <v/>
      </c>
      <c r="G718" s="106"/>
      <c r="H718" s="154" t="str">
        <f>IFERROR(IF($G718="","",$G718*$S$729/$G$729/Cadastro!$E$33),"")</f>
        <v/>
      </c>
      <c r="I718" s="155" t="str">
        <f>IFERROR(IF($D718="","",VLOOKUP($D718,Cadastro!$C$4:$G$7,5,FALSE)),"")</f>
        <v/>
      </c>
      <c r="J718" s="15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54" t="str">
        <f>IFERROR(IF($D719="","",VLOOKUP($D719,Cadastro!$C$4:$E$7,3,FALSE)),"")</f>
        <v/>
      </c>
      <c r="G719" s="106"/>
      <c r="H719" s="154" t="str">
        <f>IFERROR(IF($G719="","",$G719*$S$729/$G$729/Cadastro!$E$33),"")</f>
        <v/>
      </c>
      <c r="I719" s="155" t="str">
        <f>IFERROR(IF($D719="","",VLOOKUP($D719,Cadastro!$C$4:$G$7,5,FALSE)),"")</f>
        <v/>
      </c>
      <c r="J719" s="15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54" t="str">
        <f>IFERROR(IF($D720="","",VLOOKUP($D720,Cadastro!$C$4:$E$7,3,FALSE)),"")</f>
        <v/>
      </c>
      <c r="G720" s="106"/>
      <c r="H720" s="154" t="str">
        <f>IFERROR(IF($G720="","",$G720*$S$729/$G$729/Cadastro!$E$33),"")</f>
        <v/>
      </c>
      <c r="I720" s="155" t="str">
        <f>IFERROR(IF($D720="","",VLOOKUP($D720,Cadastro!$C$4:$G$7,5,FALSE)),"")</f>
        <v/>
      </c>
      <c r="J720" s="15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54" t="str">
        <f>IFERROR(IF($D721="","",VLOOKUP($D721,Cadastro!$C$4:$E$7,3,FALSE)),"")</f>
        <v/>
      </c>
      <c r="G721" s="106"/>
      <c r="H721" s="154" t="str">
        <f>IFERROR(IF($G721="","",$G721*$S$729/$G$729/Cadastro!$E$33),"")</f>
        <v/>
      </c>
      <c r="I721" s="155" t="str">
        <f>IFERROR(IF($D721="","",VLOOKUP($D721,Cadastro!$C$4:$G$7,5,FALSE)),"")</f>
        <v/>
      </c>
      <c r="J721" s="15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54" t="str">
        <f>IFERROR(IF($D722="","",VLOOKUP($D722,Cadastro!$C$4:$E$7,3,FALSE)),"")</f>
        <v/>
      </c>
      <c r="G722" s="106"/>
      <c r="H722" s="154" t="str">
        <f>IFERROR(IF($G722="","",$G722*$S$729/$G$729/Cadastro!$E$33),"")</f>
        <v/>
      </c>
      <c r="I722" s="155" t="str">
        <f>IFERROR(IF($D722="","",VLOOKUP($D722,Cadastro!$C$4:$G$7,5,FALSE)),"")</f>
        <v/>
      </c>
      <c r="J722" s="15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54" t="str">
        <f>IFERROR(IF($D723="","",VLOOKUP($D723,Cadastro!$C$4:$E$7,3,FALSE)),"")</f>
        <v/>
      </c>
      <c r="G723" s="106"/>
      <c r="H723" s="154" t="str">
        <f>IFERROR(IF($G723="","",$G723*$S$729/$G$729/Cadastro!$E$33),"")</f>
        <v/>
      </c>
      <c r="I723" s="155" t="str">
        <f>IFERROR(IF($D723="","",VLOOKUP($D723,Cadastro!$C$4:$G$7,5,FALSE)),"")</f>
        <v/>
      </c>
      <c r="J723" s="15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54" t="str">
        <f>IFERROR(IF($D724="","",VLOOKUP($D724,Cadastro!$C$4:$E$7,3,FALSE)),"")</f>
        <v/>
      </c>
      <c r="G724" s="106"/>
      <c r="H724" s="154" t="str">
        <f>IFERROR(IF($G724="","",$G724*$S$729/$G$729/Cadastro!$E$33),"")</f>
        <v/>
      </c>
      <c r="I724" s="155" t="str">
        <f>IFERROR(IF($D724="","",VLOOKUP($D724,Cadastro!$C$4:$G$7,5,FALSE)),"")</f>
        <v/>
      </c>
      <c r="J724" s="15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54" t="str">
        <f>IFERROR(IF($D725="","",VLOOKUP($D725,Cadastro!$C$4:$E$7,3,FALSE)),"")</f>
        <v/>
      </c>
      <c r="G725" s="106"/>
      <c r="H725" s="154" t="str">
        <f>IFERROR(IF($G725="","",$G725*$S$729/$G$729/Cadastro!$E$33),"")</f>
        <v/>
      </c>
      <c r="I725" s="155" t="str">
        <f>IFERROR(IF($D725="","",VLOOKUP($D725,Cadastro!$C$4:$G$7,5,FALSE)),"")</f>
        <v/>
      </c>
      <c r="J725" s="15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54" t="str">
        <f>IFERROR(IF($D726="","",VLOOKUP($D726,Cadastro!$C$4:$E$7,3,FALSE)),"")</f>
        <v/>
      </c>
      <c r="G726" s="106"/>
      <c r="H726" s="154" t="str">
        <f>IFERROR(IF($G726="","",$G726*$S$729/$G$729/Cadastro!$E$33),"")</f>
        <v/>
      </c>
      <c r="I726" s="155" t="str">
        <f>IFERROR(IF($D726="","",VLOOKUP($D726,Cadastro!$C$4:$G$7,5,FALSE)),"")</f>
        <v/>
      </c>
      <c r="J726" s="15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54" t="str">
        <f>IFERROR(IF($D727="","",VLOOKUP($D727,Cadastro!$C$4:$E$7,3,FALSE)),"")</f>
        <v/>
      </c>
      <c r="G727" s="106"/>
      <c r="H727" s="154" t="str">
        <f>IFERROR(IF($G727="","",$G727*$S$729/$G$729/Cadastro!$E$33),"")</f>
        <v/>
      </c>
      <c r="I727" s="155" t="str">
        <f>IFERROR(IF($D727="","",VLOOKUP($D727,Cadastro!$C$4:$G$7,5,FALSE)),"")</f>
        <v/>
      </c>
      <c r="J727" s="15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57" t="str">
        <f>IFERROR(IF($D728="","",VLOOKUP($D728,Cadastro!$C$4:$E$7,3,FALSE)),"")</f>
        <v/>
      </c>
      <c r="G728" s="106"/>
      <c r="H728" s="157" t="str">
        <f>IFERROR(IF($G728="","",$G728*$S$729/$G$729/Cadastro!$E$33),"")</f>
        <v/>
      </c>
      <c r="I728" s="158" t="str">
        <f>IFERROR(IF($D728="","",VLOOKUP($D728,Cadastro!$C$4:$G$7,5,FALSE)),"")</f>
        <v/>
      </c>
      <c r="J728" s="15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32" t="s">
        <v>244</v>
      </c>
      <c r="B729" s="133"/>
      <c r="C729" s="133"/>
      <c r="D729" s="133"/>
      <c r="E729" s="13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34" t="s">
        <v>245</v>
      </c>
      <c r="B730" s="135"/>
      <c r="C730" s="135"/>
      <c r="D730" s="135"/>
      <c r="E730" s="135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63">
        <f>IFERROR(S716+S729,"")</f>
        <v>0</v>
      </c>
      <c r="T730" s="164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60" t="str">
        <f>IFERROR(IF($D731="","",VLOOKUP($D731,Cadastro!$C$4:$E$7,3,FALSE)),"")</f>
        <v/>
      </c>
      <c r="G731" s="106"/>
      <c r="H731" s="160" t="str">
        <f>IFERROR(IF($G731="","",$G731*$S$743/$G$743/Cadastro!$E$33),"")</f>
        <v/>
      </c>
      <c r="I731" s="161" t="str">
        <f>IFERROR(IF($D731="","",VLOOKUP($D731,Cadastro!$C$4:$G$7,5,FALSE)),"")</f>
        <v/>
      </c>
      <c r="J731" s="16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54" t="str">
        <f>IFERROR(IF($D732="","",VLOOKUP($D732,Cadastro!$C$4:$E$7,3,FALSE)),"")</f>
        <v/>
      </c>
      <c r="G732" s="106"/>
      <c r="H732" s="154" t="str">
        <f>IFERROR(IF($G732="","",$G732*$S$743/$G$743/Cadastro!$E$33),"")</f>
        <v/>
      </c>
      <c r="I732" s="155" t="str">
        <f>IFERROR(IF($D732="","",VLOOKUP($D732,Cadastro!$C$4:$G$7,5,FALSE)),"")</f>
        <v/>
      </c>
      <c r="J732" s="15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54" t="str">
        <f>IFERROR(IF($D733="","",VLOOKUP($D733,Cadastro!$C$4:$E$7,3,FALSE)),"")</f>
        <v/>
      </c>
      <c r="G733" s="106"/>
      <c r="H733" s="154" t="str">
        <f>IFERROR(IF($G733="","",$G733*$S$743/$G$743/Cadastro!$E$33),"")</f>
        <v/>
      </c>
      <c r="I733" s="155" t="str">
        <f>IFERROR(IF($D733="","",VLOOKUP($D733,Cadastro!$C$4:$G$7,5,FALSE)),"")</f>
        <v/>
      </c>
      <c r="J733" s="15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54" t="str">
        <f>IFERROR(IF($D734="","",VLOOKUP($D734,Cadastro!$C$4:$E$7,3,FALSE)),"")</f>
        <v/>
      </c>
      <c r="G734" s="106"/>
      <c r="H734" s="154" t="str">
        <f>IFERROR(IF($G734="","",$G734*$S$743/$G$743/Cadastro!$E$33),"")</f>
        <v/>
      </c>
      <c r="I734" s="155" t="str">
        <f>IFERROR(IF($D734="","",VLOOKUP($D734,Cadastro!$C$4:$G$7,5,FALSE)),"")</f>
        <v/>
      </c>
      <c r="J734" s="15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54" t="str">
        <f>IFERROR(IF($D735="","",VLOOKUP($D735,Cadastro!$C$4:$E$7,3,FALSE)),"")</f>
        <v/>
      </c>
      <c r="G735" s="106"/>
      <c r="H735" s="154" t="str">
        <f>IFERROR(IF($G735="","",$G735*$S$743/$G$743/Cadastro!$E$33),"")</f>
        <v/>
      </c>
      <c r="I735" s="155" t="str">
        <f>IFERROR(IF($D735="","",VLOOKUP($D735,Cadastro!$C$4:$G$7,5,FALSE)),"")</f>
        <v/>
      </c>
      <c r="J735" s="15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54" t="str">
        <f>IFERROR(IF($D736="","",VLOOKUP($D736,Cadastro!$C$4:$E$7,3,FALSE)),"")</f>
        <v/>
      </c>
      <c r="G736" s="106"/>
      <c r="H736" s="154" t="str">
        <f>IFERROR(IF($G736="","",$G736*$S$743/$G$743/Cadastro!$E$33),"")</f>
        <v/>
      </c>
      <c r="I736" s="155" t="str">
        <f>IFERROR(IF($D736="","",VLOOKUP($D736,Cadastro!$C$4:$G$7,5,FALSE)),"")</f>
        <v/>
      </c>
      <c r="J736" s="15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54" t="str">
        <f>IFERROR(IF($D737="","",VLOOKUP($D737,Cadastro!$C$4:$E$7,3,FALSE)),"")</f>
        <v/>
      </c>
      <c r="G737" s="106"/>
      <c r="H737" s="154" t="str">
        <f>IFERROR(IF($G737="","",$G737*$S$743/$G$743/Cadastro!$E$33),"")</f>
        <v/>
      </c>
      <c r="I737" s="155" t="str">
        <f>IFERROR(IF($D737="","",VLOOKUP($D737,Cadastro!$C$4:$G$7,5,FALSE)),"")</f>
        <v/>
      </c>
      <c r="J737" s="15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54" t="str">
        <f>IFERROR(IF($D738="","",VLOOKUP($D738,Cadastro!$C$4:$E$7,3,FALSE)),"")</f>
        <v/>
      </c>
      <c r="G738" s="106"/>
      <c r="H738" s="154" t="str">
        <f>IFERROR(IF($G738="","",$G738*$S$743/$G$743/Cadastro!$E$33),"")</f>
        <v/>
      </c>
      <c r="I738" s="155" t="str">
        <f>IFERROR(IF($D738="","",VLOOKUP($D738,Cadastro!$C$4:$G$7,5,FALSE)),"")</f>
        <v/>
      </c>
      <c r="J738" s="15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54" t="str">
        <f>IFERROR(IF($D739="","",VLOOKUP($D739,Cadastro!$C$4:$E$7,3,FALSE)),"")</f>
        <v/>
      </c>
      <c r="G739" s="106"/>
      <c r="H739" s="154" t="str">
        <f>IFERROR(IF($G739="","",$G739*$S$743/$G$743/Cadastro!$E$33),"")</f>
        <v/>
      </c>
      <c r="I739" s="155" t="str">
        <f>IFERROR(IF($D739="","",VLOOKUP($D739,Cadastro!$C$4:$G$7,5,FALSE)),"")</f>
        <v/>
      </c>
      <c r="J739" s="15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54" t="str">
        <f>IFERROR(IF($D740="","",VLOOKUP($D740,Cadastro!$C$4:$E$7,3,FALSE)),"")</f>
        <v/>
      </c>
      <c r="G740" s="106"/>
      <c r="H740" s="154" t="str">
        <f>IFERROR(IF($G740="","",$G740*$S$743/$G$743/Cadastro!$E$33),"")</f>
        <v/>
      </c>
      <c r="I740" s="155" t="str">
        <f>IFERROR(IF($D740="","",VLOOKUP($D740,Cadastro!$C$4:$G$7,5,FALSE)),"")</f>
        <v/>
      </c>
      <c r="J740" s="15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54" t="str">
        <f>IFERROR(IF($D741="","",VLOOKUP($D741,Cadastro!$C$4:$E$7,3,FALSE)),"")</f>
        <v/>
      </c>
      <c r="G741" s="106"/>
      <c r="H741" s="154" t="str">
        <f>IFERROR(IF($G741="","",$G741*$S$743/$G$743/Cadastro!$E$33),"")</f>
        <v/>
      </c>
      <c r="I741" s="155" t="str">
        <f>IFERROR(IF($D741="","",VLOOKUP($D741,Cadastro!$C$4:$G$7,5,FALSE)),"")</f>
        <v/>
      </c>
      <c r="J741" s="15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57" t="str">
        <f>IFERROR(IF($D742="","",VLOOKUP($D742,Cadastro!$C$4:$E$7,3,FALSE)),"")</f>
        <v/>
      </c>
      <c r="G742" s="106"/>
      <c r="H742" s="157" t="str">
        <f>IFERROR(IF($G742="","",$G742*$S$743/$G$743/Cadastro!$E$33),"")</f>
        <v/>
      </c>
      <c r="I742" s="158" t="str">
        <f>IFERROR(IF($D742="","",VLOOKUP($D742,Cadastro!$C$4:$G$7,5,FALSE)),"")</f>
        <v/>
      </c>
      <c r="J742" s="15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32" t="s">
        <v>241</v>
      </c>
      <c r="B743" s="133"/>
      <c r="C743" s="133"/>
      <c r="D743" s="133"/>
      <c r="E743" s="13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60" t="str">
        <f>IFERROR(IF($D744="","",VLOOKUP($D744,Cadastro!$C$4:$E$7,3,FALSE)),"")</f>
        <v/>
      </c>
      <c r="G744" s="106"/>
      <c r="H744" s="160" t="str">
        <f>IFERROR(IF($G744="","",$G744*$S$756/$G$756/Cadastro!$E$33),"")</f>
        <v/>
      </c>
      <c r="I744" s="161" t="str">
        <f>IFERROR(IF($D744="","",VLOOKUP($D744,Cadastro!$C$4:$G$7,5,FALSE)),"")</f>
        <v/>
      </c>
      <c r="J744" s="16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54" t="str">
        <f>IFERROR(IF($D745="","",VLOOKUP($D745,Cadastro!$C$4:$E$7,3,FALSE)),"")</f>
        <v/>
      </c>
      <c r="G745" s="106"/>
      <c r="H745" s="154" t="str">
        <f>IFERROR(IF($G745="","",$G745*$S$756/$G$756/Cadastro!$E$33),"")</f>
        <v/>
      </c>
      <c r="I745" s="155" t="str">
        <f>IFERROR(IF($D745="","",VLOOKUP($D745,Cadastro!$C$4:$G$7,5,FALSE)),"")</f>
        <v/>
      </c>
      <c r="J745" s="15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54" t="str">
        <f>IFERROR(IF($D746="","",VLOOKUP($D746,Cadastro!$C$4:$E$7,3,FALSE)),"")</f>
        <v/>
      </c>
      <c r="G746" s="106"/>
      <c r="H746" s="154" t="str">
        <f>IFERROR(IF($G746="","",$G746*$S$756/$G$756/Cadastro!$E$33),"")</f>
        <v/>
      </c>
      <c r="I746" s="155" t="str">
        <f>IFERROR(IF($D746="","",VLOOKUP($D746,Cadastro!$C$4:$G$7,5,FALSE)),"")</f>
        <v/>
      </c>
      <c r="J746" s="15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54" t="str">
        <f>IFERROR(IF($D747="","",VLOOKUP($D747,Cadastro!$C$4:$E$7,3,FALSE)),"")</f>
        <v/>
      </c>
      <c r="G747" s="106"/>
      <c r="H747" s="154" t="str">
        <f>IFERROR(IF($G747="","",$G747*$S$756/$G$756/Cadastro!$E$33),"")</f>
        <v/>
      </c>
      <c r="I747" s="155" t="str">
        <f>IFERROR(IF($D747="","",VLOOKUP($D747,Cadastro!$C$4:$G$7,5,FALSE)),"")</f>
        <v/>
      </c>
      <c r="J747" s="15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54" t="str">
        <f>IFERROR(IF($D748="","",VLOOKUP($D748,Cadastro!$C$4:$E$7,3,FALSE)),"")</f>
        <v/>
      </c>
      <c r="G748" s="106"/>
      <c r="H748" s="154" t="str">
        <f>IFERROR(IF($G748="","",$G748*$S$756/$G$756/Cadastro!$E$33),"")</f>
        <v/>
      </c>
      <c r="I748" s="155" t="str">
        <f>IFERROR(IF($D748="","",VLOOKUP($D748,Cadastro!$C$4:$G$7,5,FALSE)),"")</f>
        <v/>
      </c>
      <c r="J748" s="15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54" t="str">
        <f>IFERROR(IF($D749="","",VLOOKUP($D749,Cadastro!$C$4:$E$7,3,FALSE)),"")</f>
        <v/>
      </c>
      <c r="G749" s="106"/>
      <c r="H749" s="154" t="str">
        <f>IFERROR(IF($G749="","",$G749*$S$756/$G$756/Cadastro!$E$33),"")</f>
        <v/>
      </c>
      <c r="I749" s="155" t="str">
        <f>IFERROR(IF($D749="","",VLOOKUP($D749,Cadastro!$C$4:$G$7,5,FALSE)),"")</f>
        <v/>
      </c>
      <c r="J749" s="15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54" t="str">
        <f>IFERROR(IF($D750="","",VLOOKUP($D750,Cadastro!$C$4:$E$7,3,FALSE)),"")</f>
        <v/>
      </c>
      <c r="G750" s="106"/>
      <c r="H750" s="154" t="str">
        <f>IFERROR(IF($G750="","",$G750*$S$756/$G$756/Cadastro!$E$33),"")</f>
        <v/>
      </c>
      <c r="I750" s="155" t="str">
        <f>IFERROR(IF($D750="","",VLOOKUP($D750,Cadastro!$C$4:$G$7,5,FALSE)),"")</f>
        <v/>
      </c>
      <c r="J750" s="15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54" t="str">
        <f>IFERROR(IF($D751="","",VLOOKUP($D751,Cadastro!$C$4:$E$7,3,FALSE)),"")</f>
        <v/>
      </c>
      <c r="G751" s="106"/>
      <c r="H751" s="154" t="str">
        <f>IFERROR(IF($G751="","",$G751*$S$756/$G$756/Cadastro!$E$33),"")</f>
        <v/>
      </c>
      <c r="I751" s="155" t="str">
        <f>IFERROR(IF($D751="","",VLOOKUP($D751,Cadastro!$C$4:$G$7,5,FALSE)),"")</f>
        <v/>
      </c>
      <c r="J751" s="15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54" t="str">
        <f>IFERROR(IF($D752="","",VLOOKUP($D752,Cadastro!$C$4:$E$7,3,FALSE)),"")</f>
        <v/>
      </c>
      <c r="G752" s="106"/>
      <c r="H752" s="154" t="str">
        <f>IFERROR(IF($G752="","",$G752*$S$756/$G$756/Cadastro!$E$33),"")</f>
        <v/>
      </c>
      <c r="I752" s="155" t="str">
        <f>IFERROR(IF($D752="","",VLOOKUP($D752,Cadastro!$C$4:$G$7,5,FALSE)),"")</f>
        <v/>
      </c>
      <c r="J752" s="15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54" t="str">
        <f>IFERROR(IF($D753="","",VLOOKUP($D753,Cadastro!$C$4:$E$7,3,FALSE)),"")</f>
        <v/>
      </c>
      <c r="G753" s="106"/>
      <c r="H753" s="154" t="str">
        <f>IFERROR(IF($G753="","",$G753*$S$756/$G$756/Cadastro!$E$33),"")</f>
        <v/>
      </c>
      <c r="I753" s="155" t="str">
        <f>IFERROR(IF($D753="","",VLOOKUP($D753,Cadastro!$C$4:$G$7,5,FALSE)),"")</f>
        <v/>
      </c>
      <c r="J753" s="15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54" t="str">
        <f>IFERROR(IF($D754="","",VLOOKUP($D754,Cadastro!$C$4:$E$7,3,FALSE)),"")</f>
        <v/>
      </c>
      <c r="G754" s="106"/>
      <c r="H754" s="154" t="str">
        <f>IFERROR(IF($G754="","",$G754*$S$756/$G$756/Cadastro!$E$33),"")</f>
        <v/>
      </c>
      <c r="I754" s="155" t="str">
        <f>IFERROR(IF($D754="","",VLOOKUP($D754,Cadastro!$C$4:$G$7,5,FALSE)),"")</f>
        <v/>
      </c>
      <c r="J754" s="15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57" t="str">
        <f>IFERROR(IF($D755="","",VLOOKUP($D755,Cadastro!$C$4:$E$7,3,FALSE)),"")</f>
        <v/>
      </c>
      <c r="G755" s="106"/>
      <c r="H755" s="157" t="str">
        <f>IFERROR(IF($G755="","",$G755*$S$756/$G$756/Cadastro!$E$33),"")</f>
        <v/>
      </c>
      <c r="I755" s="158" t="str">
        <f>IFERROR(IF($D755="","",VLOOKUP($D755,Cadastro!$C$4:$G$7,5,FALSE)),"")</f>
        <v/>
      </c>
      <c r="J755" s="15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32" t="s">
        <v>244</v>
      </c>
      <c r="B756" s="133"/>
      <c r="C756" s="133"/>
      <c r="D756" s="133"/>
      <c r="E756" s="13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34" t="s">
        <v>245</v>
      </c>
      <c r="B757" s="135"/>
      <c r="C757" s="135"/>
      <c r="D757" s="135"/>
      <c r="E757" s="135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63">
        <f>IFERROR(S743+S756,"")</f>
        <v>0</v>
      </c>
      <c r="T757" s="164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60" t="str">
        <f>IFERROR(IF($D758="","",VLOOKUP($D758,Cadastro!$C$4:$E$7,3,FALSE)),"")</f>
        <v/>
      </c>
      <c r="G758" s="106"/>
      <c r="H758" s="160" t="str">
        <f>IFERROR(IF($G758="","",$G758*$S$770/$G$770/Cadastro!$E$33),"")</f>
        <v/>
      </c>
      <c r="I758" s="161" t="str">
        <f>IFERROR(IF($D758="","",VLOOKUP($D758,Cadastro!$C$4:$G$7,5,FALSE)),"")</f>
        <v/>
      </c>
      <c r="J758" s="16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54" t="str">
        <f>IFERROR(IF($D759="","",VLOOKUP($D759,Cadastro!$C$4:$E$7,3,FALSE)),"")</f>
        <v/>
      </c>
      <c r="G759" s="106"/>
      <c r="H759" s="154" t="str">
        <f>IFERROR(IF($G759="","",$G759*$S$770/$G$770/Cadastro!$E$33),"")</f>
        <v/>
      </c>
      <c r="I759" s="155" t="str">
        <f>IFERROR(IF($D759="","",VLOOKUP($D759,Cadastro!$C$4:$G$7,5,FALSE)),"")</f>
        <v/>
      </c>
      <c r="J759" s="15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54" t="str">
        <f>IFERROR(IF($D760="","",VLOOKUP($D760,Cadastro!$C$4:$E$7,3,FALSE)),"")</f>
        <v/>
      </c>
      <c r="G760" s="106"/>
      <c r="H760" s="154" t="str">
        <f>IFERROR(IF($G760="","",$G760*$S$770/$G$770/Cadastro!$E$33),"")</f>
        <v/>
      </c>
      <c r="I760" s="155" t="str">
        <f>IFERROR(IF($D760="","",VLOOKUP($D760,Cadastro!$C$4:$G$7,5,FALSE)),"")</f>
        <v/>
      </c>
      <c r="J760" s="15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54" t="str">
        <f>IFERROR(IF($D761="","",VLOOKUP($D761,Cadastro!$C$4:$E$7,3,FALSE)),"")</f>
        <v/>
      </c>
      <c r="G761" s="106"/>
      <c r="H761" s="154" t="str">
        <f>IFERROR(IF($G761="","",$G761*$S$770/$G$770/Cadastro!$E$33),"")</f>
        <v/>
      </c>
      <c r="I761" s="155" t="str">
        <f>IFERROR(IF($D761="","",VLOOKUP($D761,Cadastro!$C$4:$G$7,5,FALSE)),"")</f>
        <v/>
      </c>
      <c r="J761" s="15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54" t="str">
        <f>IFERROR(IF($D762="","",VLOOKUP($D762,Cadastro!$C$4:$E$7,3,FALSE)),"")</f>
        <v/>
      </c>
      <c r="G762" s="106"/>
      <c r="H762" s="154" t="str">
        <f>IFERROR(IF($G762="","",$G762*$S$770/$G$770/Cadastro!$E$33),"")</f>
        <v/>
      </c>
      <c r="I762" s="155" t="str">
        <f>IFERROR(IF($D762="","",VLOOKUP($D762,Cadastro!$C$4:$G$7,5,FALSE)),"")</f>
        <v/>
      </c>
      <c r="J762" s="15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54" t="str">
        <f>IFERROR(IF($D763="","",VLOOKUP($D763,Cadastro!$C$4:$E$7,3,FALSE)),"")</f>
        <v/>
      </c>
      <c r="G763" s="106"/>
      <c r="H763" s="154" t="str">
        <f>IFERROR(IF($G763="","",$G763*$S$770/$G$770/Cadastro!$E$33),"")</f>
        <v/>
      </c>
      <c r="I763" s="155" t="str">
        <f>IFERROR(IF($D763="","",VLOOKUP($D763,Cadastro!$C$4:$G$7,5,FALSE)),"")</f>
        <v/>
      </c>
      <c r="J763" s="15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54" t="str">
        <f>IFERROR(IF($D764="","",VLOOKUP($D764,Cadastro!$C$4:$E$7,3,FALSE)),"")</f>
        <v/>
      </c>
      <c r="G764" s="106"/>
      <c r="H764" s="154" t="str">
        <f>IFERROR(IF($G764="","",$G764*$S$770/$G$770/Cadastro!$E$33),"")</f>
        <v/>
      </c>
      <c r="I764" s="155" t="str">
        <f>IFERROR(IF($D764="","",VLOOKUP($D764,Cadastro!$C$4:$G$7,5,FALSE)),"")</f>
        <v/>
      </c>
      <c r="J764" s="15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54" t="str">
        <f>IFERROR(IF($D765="","",VLOOKUP($D765,Cadastro!$C$4:$E$7,3,FALSE)),"")</f>
        <v/>
      </c>
      <c r="G765" s="106"/>
      <c r="H765" s="154" t="str">
        <f>IFERROR(IF($G765="","",$G765*$S$770/$G$770/Cadastro!$E$33),"")</f>
        <v/>
      </c>
      <c r="I765" s="155" t="str">
        <f>IFERROR(IF($D765="","",VLOOKUP($D765,Cadastro!$C$4:$G$7,5,FALSE)),"")</f>
        <v/>
      </c>
      <c r="J765" s="15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54" t="str">
        <f>IFERROR(IF($D766="","",VLOOKUP($D766,Cadastro!$C$4:$E$7,3,FALSE)),"")</f>
        <v/>
      </c>
      <c r="G766" s="106"/>
      <c r="H766" s="154" t="str">
        <f>IFERROR(IF($G766="","",$G766*$S$770/$G$770/Cadastro!$E$33),"")</f>
        <v/>
      </c>
      <c r="I766" s="155" t="str">
        <f>IFERROR(IF($D766="","",VLOOKUP($D766,Cadastro!$C$4:$G$7,5,FALSE)),"")</f>
        <v/>
      </c>
      <c r="J766" s="15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54" t="str">
        <f>IFERROR(IF($D767="","",VLOOKUP($D767,Cadastro!$C$4:$E$7,3,FALSE)),"")</f>
        <v/>
      </c>
      <c r="G767" s="106"/>
      <c r="H767" s="154" t="str">
        <f>IFERROR(IF($G767="","",$G767*$S$770/$G$770/Cadastro!$E$33),"")</f>
        <v/>
      </c>
      <c r="I767" s="155" t="str">
        <f>IFERROR(IF($D767="","",VLOOKUP($D767,Cadastro!$C$4:$G$7,5,FALSE)),"")</f>
        <v/>
      </c>
      <c r="J767" s="15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54" t="str">
        <f>IFERROR(IF($D768="","",VLOOKUP($D768,Cadastro!$C$4:$E$7,3,FALSE)),"")</f>
        <v/>
      </c>
      <c r="G768" s="106"/>
      <c r="H768" s="154" t="str">
        <f>IFERROR(IF($G768="","",$G768*$S$770/$G$770/Cadastro!$E$33),"")</f>
        <v/>
      </c>
      <c r="I768" s="155" t="str">
        <f>IFERROR(IF($D768="","",VLOOKUP($D768,Cadastro!$C$4:$G$7,5,FALSE)),"")</f>
        <v/>
      </c>
      <c r="J768" s="15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57" t="str">
        <f>IFERROR(IF($D769="","",VLOOKUP($D769,Cadastro!$C$4:$E$7,3,FALSE)),"")</f>
        <v/>
      </c>
      <c r="G769" s="106"/>
      <c r="H769" s="157" t="str">
        <f>IFERROR(IF($G769="","",$G769*$S$770/$G$770/Cadastro!$E$33),"")</f>
        <v/>
      </c>
      <c r="I769" s="158" t="str">
        <f>IFERROR(IF($D769="","",VLOOKUP($D769,Cadastro!$C$4:$G$7,5,FALSE)),"")</f>
        <v/>
      </c>
      <c r="J769" s="15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32" t="s">
        <v>241</v>
      </c>
      <c r="B770" s="133"/>
      <c r="C770" s="133"/>
      <c r="D770" s="133"/>
      <c r="E770" s="13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60" t="str">
        <f>IFERROR(IF($D771="","",VLOOKUP($D771,Cadastro!$C$4:$E$7,3,FALSE)),"")</f>
        <v/>
      </c>
      <c r="G771" s="106"/>
      <c r="H771" s="160" t="str">
        <f>IFERROR(IF($G771="","",$G771*$S$783/$G$783/Cadastro!$E$33),"")</f>
        <v/>
      </c>
      <c r="I771" s="161" t="str">
        <f>IFERROR(IF($D771="","",VLOOKUP($D771,Cadastro!$C$4:$G$7,5,FALSE)),"")</f>
        <v/>
      </c>
      <c r="J771" s="16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54" t="str">
        <f>IFERROR(IF($D772="","",VLOOKUP($D772,Cadastro!$C$4:$E$7,3,FALSE)),"")</f>
        <v/>
      </c>
      <c r="G772" s="106"/>
      <c r="H772" s="154" t="str">
        <f>IFERROR(IF($G772="","",$G772*$S$783/$G$783/Cadastro!$E$33),"")</f>
        <v/>
      </c>
      <c r="I772" s="155" t="str">
        <f>IFERROR(IF($D772="","",VLOOKUP($D772,Cadastro!$C$4:$G$7,5,FALSE)),"")</f>
        <v/>
      </c>
      <c r="J772" s="15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54" t="str">
        <f>IFERROR(IF($D773="","",VLOOKUP($D773,Cadastro!$C$4:$E$7,3,FALSE)),"")</f>
        <v/>
      </c>
      <c r="G773" s="106"/>
      <c r="H773" s="154" t="str">
        <f>IFERROR(IF($G773="","",$G773*$S$783/$G$783/Cadastro!$E$33),"")</f>
        <v/>
      </c>
      <c r="I773" s="155" t="str">
        <f>IFERROR(IF($D773="","",VLOOKUP($D773,Cadastro!$C$4:$G$7,5,FALSE)),"")</f>
        <v/>
      </c>
      <c r="J773" s="15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54" t="str">
        <f>IFERROR(IF($D774="","",VLOOKUP($D774,Cadastro!$C$4:$E$7,3,FALSE)),"")</f>
        <v/>
      </c>
      <c r="G774" s="106"/>
      <c r="H774" s="154" t="str">
        <f>IFERROR(IF($G774="","",$G774*$S$783/$G$783/Cadastro!$E$33),"")</f>
        <v/>
      </c>
      <c r="I774" s="155" t="str">
        <f>IFERROR(IF($D774="","",VLOOKUP($D774,Cadastro!$C$4:$G$7,5,FALSE)),"")</f>
        <v/>
      </c>
      <c r="J774" s="15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54" t="str">
        <f>IFERROR(IF($D775="","",VLOOKUP($D775,Cadastro!$C$4:$E$7,3,FALSE)),"")</f>
        <v/>
      </c>
      <c r="G775" s="106"/>
      <c r="H775" s="154" t="str">
        <f>IFERROR(IF($G775="","",$G775*$S$783/$G$783/Cadastro!$E$33),"")</f>
        <v/>
      </c>
      <c r="I775" s="155" t="str">
        <f>IFERROR(IF($D775="","",VLOOKUP($D775,Cadastro!$C$4:$G$7,5,FALSE)),"")</f>
        <v/>
      </c>
      <c r="J775" s="15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54" t="str">
        <f>IFERROR(IF($D776="","",VLOOKUP($D776,Cadastro!$C$4:$E$7,3,FALSE)),"")</f>
        <v/>
      </c>
      <c r="G776" s="106"/>
      <c r="H776" s="154" t="str">
        <f>IFERROR(IF($G776="","",$G776*$S$783/$G$783/Cadastro!$E$33),"")</f>
        <v/>
      </c>
      <c r="I776" s="155" t="str">
        <f>IFERROR(IF($D776="","",VLOOKUP($D776,Cadastro!$C$4:$G$7,5,FALSE)),"")</f>
        <v/>
      </c>
      <c r="J776" s="15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54" t="str">
        <f>IFERROR(IF($D777="","",VLOOKUP($D777,Cadastro!$C$4:$E$7,3,FALSE)),"")</f>
        <v/>
      </c>
      <c r="G777" s="106"/>
      <c r="H777" s="154" t="str">
        <f>IFERROR(IF($G777="","",$G777*$S$783/$G$783/Cadastro!$E$33),"")</f>
        <v/>
      </c>
      <c r="I777" s="155" t="str">
        <f>IFERROR(IF($D777="","",VLOOKUP($D777,Cadastro!$C$4:$G$7,5,FALSE)),"")</f>
        <v/>
      </c>
      <c r="J777" s="15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54" t="str">
        <f>IFERROR(IF($D778="","",VLOOKUP($D778,Cadastro!$C$4:$E$7,3,FALSE)),"")</f>
        <v/>
      </c>
      <c r="G778" s="106"/>
      <c r="H778" s="154" t="str">
        <f>IFERROR(IF($G778="","",$G778*$S$783/$G$783/Cadastro!$E$33),"")</f>
        <v/>
      </c>
      <c r="I778" s="155" t="str">
        <f>IFERROR(IF($D778="","",VLOOKUP($D778,Cadastro!$C$4:$G$7,5,FALSE)),"")</f>
        <v/>
      </c>
      <c r="J778" s="15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54" t="str">
        <f>IFERROR(IF($D779="","",VLOOKUP($D779,Cadastro!$C$4:$E$7,3,FALSE)),"")</f>
        <v/>
      </c>
      <c r="G779" s="106"/>
      <c r="H779" s="154" t="str">
        <f>IFERROR(IF($G779="","",$G779*$S$783/$G$783/Cadastro!$E$33),"")</f>
        <v/>
      </c>
      <c r="I779" s="155" t="str">
        <f>IFERROR(IF($D779="","",VLOOKUP($D779,Cadastro!$C$4:$G$7,5,FALSE)),"")</f>
        <v/>
      </c>
      <c r="J779" s="15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54" t="str">
        <f>IFERROR(IF($D780="","",VLOOKUP($D780,Cadastro!$C$4:$E$7,3,FALSE)),"")</f>
        <v/>
      </c>
      <c r="G780" s="106"/>
      <c r="H780" s="154" t="str">
        <f>IFERROR(IF($G780="","",$G780*$S$783/$G$783/Cadastro!$E$33),"")</f>
        <v/>
      </c>
      <c r="I780" s="155" t="str">
        <f>IFERROR(IF($D780="","",VLOOKUP($D780,Cadastro!$C$4:$G$7,5,FALSE)),"")</f>
        <v/>
      </c>
      <c r="J780" s="15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54" t="str">
        <f>IFERROR(IF($D781="","",VLOOKUP($D781,Cadastro!$C$4:$E$7,3,FALSE)),"")</f>
        <v/>
      </c>
      <c r="G781" s="106"/>
      <c r="H781" s="154" t="str">
        <f>IFERROR(IF($G781="","",$G781*$S$783/$G$783/Cadastro!$E$33),"")</f>
        <v/>
      </c>
      <c r="I781" s="155" t="str">
        <f>IFERROR(IF($D781="","",VLOOKUP($D781,Cadastro!$C$4:$G$7,5,FALSE)),"")</f>
        <v/>
      </c>
      <c r="J781" s="15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57" t="str">
        <f>IFERROR(IF($D782="","",VLOOKUP($D782,Cadastro!$C$4:$E$7,3,FALSE)),"")</f>
        <v/>
      </c>
      <c r="G782" s="106"/>
      <c r="H782" s="157" t="str">
        <f>IFERROR(IF($G782="","",$G782*$S$783/$G$783/Cadastro!$E$33),"")</f>
        <v/>
      </c>
      <c r="I782" s="158" t="str">
        <f>IFERROR(IF($D782="","",VLOOKUP($D782,Cadastro!$C$4:$G$7,5,FALSE)),"")</f>
        <v/>
      </c>
      <c r="J782" s="15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32" t="s">
        <v>244</v>
      </c>
      <c r="B783" s="133"/>
      <c r="C783" s="133"/>
      <c r="D783" s="133"/>
      <c r="E783" s="13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34" t="s">
        <v>245</v>
      </c>
      <c r="B784" s="135"/>
      <c r="C784" s="135"/>
      <c r="D784" s="135"/>
      <c r="E784" s="135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63">
        <f>IFERROR(S770+S783,"")</f>
        <v>0</v>
      </c>
      <c r="T784" s="164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60" t="str">
        <f>IFERROR(IF($D785="","",VLOOKUP($D785,Cadastro!$C$4:$E$7,3,FALSE)),"")</f>
        <v/>
      </c>
      <c r="G785" s="106"/>
      <c r="H785" s="160" t="str">
        <f>IFERROR(IF($G785="","",$G785*$S$797/$G$797/Cadastro!$E$33),"")</f>
        <v/>
      </c>
      <c r="I785" s="161" t="str">
        <f>IFERROR(IF($D785="","",VLOOKUP($D785,Cadastro!$C$4:$G$7,5,FALSE)),"")</f>
        <v/>
      </c>
      <c r="J785" s="16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54" t="str">
        <f>IFERROR(IF($D786="","",VLOOKUP($D786,Cadastro!$C$4:$E$7,3,FALSE)),"")</f>
        <v/>
      </c>
      <c r="G786" s="106"/>
      <c r="H786" s="154" t="str">
        <f>IFERROR(IF($G786="","",$G786*$S$797/$G$797/Cadastro!$E$33),"")</f>
        <v/>
      </c>
      <c r="I786" s="155" t="str">
        <f>IFERROR(IF($D786="","",VLOOKUP($D786,Cadastro!$C$4:$G$7,5,FALSE)),"")</f>
        <v/>
      </c>
      <c r="J786" s="15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54" t="str">
        <f>IFERROR(IF($D787="","",VLOOKUP($D787,Cadastro!$C$4:$E$7,3,FALSE)),"")</f>
        <v/>
      </c>
      <c r="G787" s="106"/>
      <c r="H787" s="154" t="str">
        <f>IFERROR(IF($G787="","",$G787*$S$797/$G$797/Cadastro!$E$33),"")</f>
        <v/>
      </c>
      <c r="I787" s="155" t="str">
        <f>IFERROR(IF($D787="","",VLOOKUP($D787,Cadastro!$C$4:$G$7,5,FALSE)),"")</f>
        <v/>
      </c>
      <c r="J787" s="15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54" t="str">
        <f>IFERROR(IF($D788="","",VLOOKUP($D788,Cadastro!$C$4:$E$7,3,FALSE)),"")</f>
        <v/>
      </c>
      <c r="G788" s="106"/>
      <c r="H788" s="154" t="str">
        <f>IFERROR(IF($G788="","",$G788*$S$797/$G$797/Cadastro!$E$33),"")</f>
        <v/>
      </c>
      <c r="I788" s="155" t="str">
        <f>IFERROR(IF($D788="","",VLOOKUP($D788,Cadastro!$C$4:$G$7,5,FALSE)),"")</f>
        <v/>
      </c>
      <c r="J788" s="15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54" t="str">
        <f>IFERROR(IF($D789="","",VLOOKUP($D789,Cadastro!$C$4:$E$7,3,FALSE)),"")</f>
        <v/>
      </c>
      <c r="G789" s="106"/>
      <c r="H789" s="154" t="str">
        <f>IFERROR(IF($G789="","",$G789*$S$797/$G$797/Cadastro!$E$33),"")</f>
        <v/>
      </c>
      <c r="I789" s="155" t="str">
        <f>IFERROR(IF($D789="","",VLOOKUP($D789,Cadastro!$C$4:$G$7,5,FALSE)),"")</f>
        <v/>
      </c>
      <c r="J789" s="15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54" t="str">
        <f>IFERROR(IF($D790="","",VLOOKUP($D790,Cadastro!$C$4:$E$7,3,FALSE)),"")</f>
        <v/>
      </c>
      <c r="G790" s="106"/>
      <c r="H790" s="154" t="str">
        <f>IFERROR(IF($G790="","",$G790*$S$797/$G$797/Cadastro!$E$33),"")</f>
        <v/>
      </c>
      <c r="I790" s="155" t="str">
        <f>IFERROR(IF($D790="","",VLOOKUP($D790,Cadastro!$C$4:$G$7,5,FALSE)),"")</f>
        <v/>
      </c>
      <c r="J790" s="15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54" t="str">
        <f>IFERROR(IF($D791="","",VLOOKUP($D791,Cadastro!$C$4:$E$7,3,FALSE)),"")</f>
        <v/>
      </c>
      <c r="G791" s="106"/>
      <c r="H791" s="154" t="str">
        <f>IFERROR(IF($G791="","",$G791*$S$797/$G$797/Cadastro!$E$33),"")</f>
        <v/>
      </c>
      <c r="I791" s="155" t="str">
        <f>IFERROR(IF($D791="","",VLOOKUP($D791,Cadastro!$C$4:$G$7,5,FALSE)),"")</f>
        <v/>
      </c>
      <c r="J791" s="15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54" t="str">
        <f>IFERROR(IF($D792="","",VLOOKUP($D792,Cadastro!$C$4:$E$7,3,FALSE)),"")</f>
        <v/>
      </c>
      <c r="G792" s="106"/>
      <c r="H792" s="154" t="str">
        <f>IFERROR(IF($G792="","",$G792*$S$797/$G$797/Cadastro!$E$33),"")</f>
        <v/>
      </c>
      <c r="I792" s="155" t="str">
        <f>IFERROR(IF($D792="","",VLOOKUP($D792,Cadastro!$C$4:$G$7,5,FALSE)),"")</f>
        <v/>
      </c>
      <c r="J792" s="15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54" t="str">
        <f>IFERROR(IF($D793="","",VLOOKUP($D793,Cadastro!$C$4:$E$7,3,FALSE)),"")</f>
        <v/>
      </c>
      <c r="G793" s="106"/>
      <c r="H793" s="154" t="str">
        <f>IFERROR(IF($G793="","",$G793*$S$797/$G$797/Cadastro!$E$33),"")</f>
        <v/>
      </c>
      <c r="I793" s="155" t="str">
        <f>IFERROR(IF($D793="","",VLOOKUP($D793,Cadastro!$C$4:$G$7,5,FALSE)),"")</f>
        <v/>
      </c>
      <c r="J793" s="15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54" t="str">
        <f>IFERROR(IF($D794="","",VLOOKUP($D794,Cadastro!$C$4:$E$7,3,FALSE)),"")</f>
        <v/>
      </c>
      <c r="G794" s="106"/>
      <c r="H794" s="154" t="str">
        <f>IFERROR(IF($G794="","",$G794*$S$797/$G$797/Cadastro!$E$33),"")</f>
        <v/>
      </c>
      <c r="I794" s="155" t="str">
        <f>IFERROR(IF($D794="","",VLOOKUP($D794,Cadastro!$C$4:$G$7,5,FALSE)),"")</f>
        <v/>
      </c>
      <c r="J794" s="15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54" t="str">
        <f>IFERROR(IF($D795="","",VLOOKUP($D795,Cadastro!$C$4:$E$7,3,FALSE)),"")</f>
        <v/>
      </c>
      <c r="G795" s="106"/>
      <c r="H795" s="154" t="str">
        <f>IFERROR(IF($G795="","",$G795*$S$797/$G$797/Cadastro!$E$33),"")</f>
        <v/>
      </c>
      <c r="I795" s="155" t="str">
        <f>IFERROR(IF($D795="","",VLOOKUP($D795,Cadastro!$C$4:$G$7,5,FALSE)),"")</f>
        <v/>
      </c>
      <c r="J795" s="15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57" t="str">
        <f>IFERROR(IF($D796="","",VLOOKUP($D796,Cadastro!$C$4:$E$7,3,FALSE)),"")</f>
        <v/>
      </c>
      <c r="G796" s="106"/>
      <c r="H796" s="157" t="str">
        <f>IFERROR(IF($G796="","",$G796*$S$797/$G$797/Cadastro!$E$33),"")</f>
        <v/>
      </c>
      <c r="I796" s="158" t="str">
        <f>IFERROR(IF($D796="","",VLOOKUP($D796,Cadastro!$C$4:$G$7,5,FALSE)),"")</f>
        <v/>
      </c>
      <c r="J796" s="15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32" t="s">
        <v>241</v>
      </c>
      <c r="B797" s="133"/>
      <c r="C797" s="133"/>
      <c r="D797" s="133"/>
      <c r="E797" s="13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60" t="str">
        <f>IFERROR(IF($D798="","",VLOOKUP($D798,Cadastro!$C$4:$E$7,3,FALSE)),"")</f>
        <v/>
      </c>
      <c r="G798" s="106"/>
      <c r="H798" s="160" t="str">
        <f>IFERROR(IF($G798="","",$G798*$S$810/$G$810/Cadastro!$E$33),"")</f>
        <v/>
      </c>
      <c r="I798" s="161" t="str">
        <f>IFERROR(IF($D798="","",VLOOKUP($D798,Cadastro!$C$4:$G$7,5,FALSE)),"")</f>
        <v/>
      </c>
      <c r="J798" s="16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54" t="str">
        <f>IFERROR(IF($D799="","",VLOOKUP($D799,Cadastro!$C$4:$E$7,3,FALSE)),"")</f>
        <v/>
      </c>
      <c r="G799" s="106"/>
      <c r="H799" s="154" t="str">
        <f>IFERROR(IF($G799="","",$G799*$S$810/$G$810/Cadastro!$E$33),"")</f>
        <v/>
      </c>
      <c r="I799" s="155" t="str">
        <f>IFERROR(IF($D799="","",VLOOKUP($D799,Cadastro!$C$4:$G$7,5,FALSE)),"")</f>
        <v/>
      </c>
      <c r="J799" s="15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54" t="str">
        <f>IFERROR(IF($D800="","",VLOOKUP($D800,Cadastro!$C$4:$E$7,3,FALSE)),"")</f>
        <v/>
      </c>
      <c r="G800" s="106"/>
      <c r="H800" s="154" t="str">
        <f>IFERROR(IF($G800="","",$G800*$S$810/$G$810/Cadastro!$E$33),"")</f>
        <v/>
      </c>
      <c r="I800" s="155" t="str">
        <f>IFERROR(IF($D800="","",VLOOKUP($D800,Cadastro!$C$4:$G$7,5,FALSE)),"")</f>
        <v/>
      </c>
      <c r="J800" s="15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54" t="str">
        <f>IFERROR(IF($D801="","",VLOOKUP($D801,Cadastro!$C$4:$E$7,3,FALSE)),"")</f>
        <v/>
      </c>
      <c r="G801" s="106"/>
      <c r="H801" s="154" t="str">
        <f>IFERROR(IF($G801="","",$G801*$S$810/$G$810/Cadastro!$E$33),"")</f>
        <v/>
      </c>
      <c r="I801" s="155" t="str">
        <f>IFERROR(IF($D801="","",VLOOKUP($D801,Cadastro!$C$4:$G$7,5,FALSE)),"")</f>
        <v/>
      </c>
      <c r="J801" s="15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54" t="str">
        <f>IFERROR(IF($D802="","",VLOOKUP($D802,Cadastro!$C$4:$E$7,3,FALSE)),"")</f>
        <v/>
      </c>
      <c r="G802" s="106"/>
      <c r="H802" s="154" t="str">
        <f>IFERROR(IF($G802="","",$G802*$S$810/$G$810/Cadastro!$E$33),"")</f>
        <v/>
      </c>
      <c r="I802" s="155" t="str">
        <f>IFERROR(IF($D802="","",VLOOKUP($D802,Cadastro!$C$4:$G$7,5,FALSE)),"")</f>
        <v/>
      </c>
      <c r="J802" s="15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54" t="str">
        <f>IFERROR(IF($D803="","",VLOOKUP($D803,Cadastro!$C$4:$E$7,3,FALSE)),"")</f>
        <v/>
      </c>
      <c r="G803" s="106"/>
      <c r="H803" s="154" t="str">
        <f>IFERROR(IF($G803="","",$G803*$S$810/$G$810/Cadastro!$E$33),"")</f>
        <v/>
      </c>
      <c r="I803" s="155" t="str">
        <f>IFERROR(IF($D803="","",VLOOKUP($D803,Cadastro!$C$4:$G$7,5,FALSE)),"")</f>
        <v/>
      </c>
      <c r="J803" s="15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54" t="str">
        <f>IFERROR(IF($D804="","",VLOOKUP($D804,Cadastro!$C$4:$E$7,3,FALSE)),"")</f>
        <v/>
      </c>
      <c r="G804" s="106"/>
      <c r="H804" s="154" t="str">
        <f>IFERROR(IF($G804="","",$G804*$S$810/$G$810/Cadastro!$E$33),"")</f>
        <v/>
      </c>
      <c r="I804" s="155" t="str">
        <f>IFERROR(IF($D804="","",VLOOKUP($D804,Cadastro!$C$4:$G$7,5,FALSE)),"")</f>
        <v/>
      </c>
      <c r="J804" s="15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54" t="str">
        <f>IFERROR(IF($D805="","",VLOOKUP($D805,Cadastro!$C$4:$E$7,3,FALSE)),"")</f>
        <v/>
      </c>
      <c r="G805" s="106"/>
      <c r="H805" s="154" t="str">
        <f>IFERROR(IF($G805="","",$G805*$S$810/$G$810/Cadastro!$E$33),"")</f>
        <v/>
      </c>
      <c r="I805" s="155" t="str">
        <f>IFERROR(IF($D805="","",VLOOKUP($D805,Cadastro!$C$4:$G$7,5,FALSE)),"")</f>
        <v/>
      </c>
      <c r="J805" s="15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54" t="str">
        <f>IFERROR(IF($D806="","",VLOOKUP($D806,Cadastro!$C$4:$E$7,3,FALSE)),"")</f>
        <v/>
      </c>
      <c r="G806" s="106"/>
      <c r="H806" s="154" t="str">
        <f>IFERROR(IF($G806="","",$G806*$S$810/$G$810/Cadastro!$E$33),"")</f>
        <v/>
      </c>
      <c r="I806" s="155" t="str">
        <f>IFERROR(IF($D806="","",VLOOKUP($D806,Cadastro!$C$4:$G$7,5,FALSE)),"")</f>
        <v/>
      </c>
      <c r="J806" s="15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54" t="str">
        <f>IFERROR(IF($D807="","",VLOOKUP($D807,Cadastro!$C$4:$E$7,3,FALSE)),"")</f>
        <v/>
      </c>
      <c r="G807" s="106"/>
      <c r="H807" s="154" t="str">
        <f>IFERROR(IF($G807="","",$G807*$S$810/$G$810/Cadastro!$E$33),"")</f>
        <v/>
      </c>
      <c r="I807" s="155" t="str">
        <f>IFERROR(IF($D807="","",VLOOKUP($D807,Cadastro!$C$4:$G$7,5,FALSE)),"")</f>
        <v/>
      </c>
      <c r="J807" s="15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54" t="str">
        <f>IFERROR(IF($D808="","",VLOOKUP($D808,Cadastro!$C$4:$E$7,3,FALSE)),"")</f>
        <v/>
      </c>
      <c r="G808" s="106"/>
      <c r="H808" s="154" t="str">
        <f>IFERROR(IF($G808="","",$G808*$S$810/$G$810/Cadastro!$E$33),"")</f>
        <v/>
      </c>
      <c r="I808" s="155" t="str">
        <f>IFERROR(IF($D808="","",VLOOKUP($D808,Cadastro!$C$4:$G$7,5,FALSE)),"")</f>
        <v/>
      </c>
      <c r="J808" s="15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57" t="str">
        <f>IFERROR(IF($D809="","",VLOOKUP($D809,Cadastro!$C$4:$E$7,3,FALSE)),"")</f>
        <v/>
      </c>
      <c r="G809" s="106"/>
      <c r="H809" s="157" t="str">
        <f>IFERROR(IF($G809="","",$G809*$S$810/$G$810/Cadastro!$E$33),"")</f>
        <v/>
      </c>
      <c r="I809" s="158" t="str">
        <f>IFERROR(IF($D809="","",VLOOKUP($D809,Cadastro!$C$4:$G$7,5,FALSE)),"")</f>
        <v/>
      </c>
      <c r="J809" s="15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32" t="s">
        <v>244</v>
      </c>
      <c r="B810" s="133"/>
      <c r="C810" s="133"/>
      <c r="D810" s="133"/>
      <c r="E810" s="13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34" t="s">
        <v>245</v>
      </c>
      <c r="B811" s="135"/>
      <c r="C811" s="135"/>
      <c r="D811" s="135"/>
      <c r="E811" s="135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60" t="str">
        <f>IFERROR(IF($D812="","",VLOOKUP($D812,Cadastro!$C$4:$E$7,3,FALSE)),"")</f>
        <v/>
      </c>
      <c r="G812" s="106"/>
      <c r="H812" s="160" t="str">
        <f>IFERROR(IF($G812="","",$G812*$S$824/$G$824/Cadastro!$E$33),"")</f>
        <v/>
      </c>
      <c r="I812" s="161" t="str">
        <f>IFERROR(IF($D812="","",VLOOKUP($D812,Cadastro!$C$4:$G$7,5,FALSE)),"")</f>
        <v/>
      </c>
      <c r="J812" s="16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54" t="str">
        <f>IFERROR(IF($D813="","",VLOOKUP($D813,Cadastro!$C$4:$E$7,3,FALSE)),"")</f>
        <v/>
      </c>
      <c r="G813" s="106"/>
      <c r="H813" s="154" t="str">
        <f>IFERROR(IF($G813="","",$G813*$S$824/$G$824/Cadastro!$E$33),"")</f>
        <v/>
      </c>
      <c r="I813" s="155" t="str">
        <f>IFERROR(IF($D813="","",VLOOKUP($D813,Cadastro!$C$4:$G$7,5,FALSE)),"")</f>
        <v/>
      </c>
      <c r="J813" s="15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54" t="str">
        <f>IFERROR(IF($D814="","",VLOOKUP($D814,Cadastro!$C$4:$E$7,3,FALSE)),"")</f>
        <v/>
      </c>
      <c r="G814" s="106"/>
      <c r="H814" s="154" t="str">
        <f>IFERROR(IF($G814="","",$G814*$S$824/$G$824/Cadastro!$E$33),"")</f>
        <v/>
      </c>
      <c r="I814" s="155" t="str">
        <f>IFERROR(IF($D814="","",VLOOKUP($D814,Cadastro!$C$4:$G$7,5,FALSE)),"")</f>
        <v/>
      </c>
      <c r="J814" s="15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54" t="str">
        <f>IFERROR(IF($D815="","",VLOOKUP($D815,Cadastro!$C$4:$E$7,3,FALSE)),"")</f>
        <v/>
      </c>
      <c r="G815" s="106"/>
      <c r="H815" s="154" t="str">
        <f>IFERROR(IF($G815="","",$G815*$S$824/$G$824/Cadastro!$E$33),"")</f>
        <v/>
      </c>
      <c r="I815" s="155" t="str">
        <f>IFERROR(IF($D815="","",VLOOKUP($D815,Cadastro!$C$4:$G$7,5,FALSE)),"")</f>
        <v/>
      </c>
      <c r="J815" s="15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54" t="str">
        <f>IFERROR(IF($D816="","",VLOOKUP($D816,Cadastro!$C$4:$E$7,3,FALSE)),"")</f>
        <v/>
      </c>
      <c r="G816" s="106"/>
      <c r="H816" s="154" t="str">
        <f>IFERROR(IF($G816="","",$G816*$S$824/$G$824/Cadastro!$E$33),"")</f>
        <v/>
      </c>
      <c r="I816" s="155" t="str">
        <f>IFERROR(IF($D816="","",VLOOKUP($D816,Cadastro!$C$4:$G$7,5,FALSE)),"")</f>
        <v/>
      </c>
      <c r="J816" s="15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54" t="str">
        <f>IFERROR(IF($D817="","",VLOOKUP($D817,Cadastro!$C$4:$E$7,3,FALSE)),"")</f>
        <v/>
      </c>
      <c r="G817" s="106"/>
      <c r="H817" s="154" t="str">
        <f>IFERROR(IF($G817="","",$G817*$S$824/$G$824/Cadastro!$E$33),"")</f>
        <v/>
      </c>
      <c r="I817" s="155" t="str">
        <f>IFERROR(IF($D817="","",VLOOKUP($D817,Cadastro!$C$4:$G$7,5,FALSE)),"")</f>
        <v/>
      </c>
      <c r="J817" s="15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54" t="str">
        <f>IFERROR(IF($D818="","",VLOOKUP($D818,Cadastro!$C$4:$E$7,3,FALSE)),"")</f>
        <v/>
      </c>
      <c r="G818" s="106"/>
      <c r="H818" s="154" t="str">
        <f>IFERROR(IF($G818="","",$G818*$S$824/$G$824/Cadastro!$E$33),"")</f>
        <v/>
      </c>
      <c r="I818" s="155" t="str">
        <f>IFERROR(IF($D818="","",VLOOKUP($D818,Cadastro!$C$4:$G$7,5,FALSE)),"")</f>
        <v/>
      </c>
      <c r="J818" s="15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54" t="str">
        <f>IFERROR(IF($D819="","",VLOOKUP($D819,Cadastro!$C$4:$E$7,3,FALSE)),"")</f>
        <v/>
      </c>
      <c r="G819" s="106"/>
      <c r="H819" s="154" t="str">
        <f>IFERROR(IF($G819="","",$G819*$S$824/$G$824/Cadastro!$E$33),"")</f>
        <v/>
      </c>
      <c r="I819" s="155" t="str">
        <f>IFERROR(IF($D819="","",VLOOKUP($D819,Cadastro!$C$4:$G$7,5,FALSE)),"")</f>
        <v/>
      </c>
      <c r="J819" s="15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54" t="str">
        <f>IFERROR(IF($D820="","",VLOOKUP($D820,Cadastro!$C$4:$E$7,3,FALSE)),"")</f>
        <v/>
      </c>
      <c r="G820" s="106"/>
      <c r="H820" s="154" t="str">
        <f>IFERROR(IF($G820="","",$G820*$S$824/$G$824/Cadastro!$E$33),"")</f>
        <v/>
      </c>
      <c r="I820" s="155" t="str">
        <f>IFERROR(IF($D820="","",VLOOKUP($D820,Cadastro!$C$4:$G$7,5,FALSE)),"")</f>
        <v/>
      </c>
      <c r="J820" s="15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54" t="str">
        <f>IFERROR(IF($D821="","",VLOOKUP($D821,Cadastro!$C$4:$E$7,3,FALSE)),"")</f>
        <v/>
      </c>
      <c r="G821" s="106"/>
      <c r="H821" s="154" t="str">
        <f>IFERROR(IF($G821="","",$G821*$S$824/$G$824/Cadastro!$E$33),"")</f>
        <v/>
      </c>
      <c r="I821" s="155" t="str">
        <f>IFERROR(IF($D821="","",VLOOKUP($D821,Cadastro!$C$4:$G$7,5,FALSE)),"")</f>
        <v/>
      </c>
      <c r="J821" s="15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54" t="str">
        <f>IFERROR(IF($D822="","",VLOOKUP($D822,Cadastro!$C$4:$E$7,3,FALSE)),"")</f>
        <v/>
      </c>
      <c r="G822" s="106"/>
      <c r="H822" s="154" t="str">
        <f>IFERROR(IF($G822="","",$G822*$S$824/$G$824/Cadastro!$E$33),"")</f>
        <v/>
      </c>
      <c r="I822" s="155" t="str">
        <f>IFERROR(IF($D822="","",VLOOKUP($D822,Cadastro!$C$4:$G$7,5,FALSE)),"")</f>
        <v/>
      </c>
      <c r="J822" s="15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57" t="str">
        <f>IFERROR(IF($D823="","",VLOOKUP($D823,Cadastro!$C$4:$E$7,3,FALSE)),"")</f>
        <v/>
      </c>
      <c r="G823" s="106"/>
      <c r="H823" s="157" t="str">
        <f>IFERROR(IF($G823="","",$G823*$S$824/$G$824/Cadastro!$E$33),"")</f>
        <v/>
      </c>
      <c r="I823" s="158" t="str">
        <f>IFERROR(IF($D823="","",VLOOKUP($D823,Cadastro!$C$4:$G$7,5,FALSE)),"")</f>
        <v/>
      </c>
      <c r="J823" s="15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32" t="s">
        <v>241</v>
      </c>
      <c r="B824" s="133"/>
      <c r="C824" s="133"/>
      <c r="D824" s="133"/>
      <c r="E824" s="13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60" t="str">
        <f>IFERROR(IF($D825="","",VLOOKUP($D825,Cadastro!$C$4:$E$7,3,FALSE)),"")</f>
        <v/>
      </c>
      <c r="G825" s="106"/>
      <c r="H825" s="160" t="str">
        <f>IFERROR(IF($G825="","",$G825*$S$837/$G$837/Cadastro!$E$33),"")</f>
        <v/>
      </c>
      <c r="I825" s="161" t="str">
        <f>IFERROR(IF($D825="","",VLOOKUP($D825,Cadastro!$C$4:$G$7,5,FALSE)),"")</f>
        <v/>
      </c>
      <c r="J825" s="16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54" t="str">
        <f>IFERROR(IF($D826="","",VLOOKUP($D826,Cadastro!$C$4:$E$7,3,FALSE)),"")</f>
        <v/>
      </c>
      <c r="G826" s="106"/>
      <c r="H826" s="154" t="str">
        <f>IFERROR(IF($G826="","",$G826*$S$837/$G$837/Cadastro!$E$33),"")</f>
        <v/>
      </c>
      <c r="I826" s="155" t="str">
        <f>IFERROR(IF($D826="","",VLOOKUP($D826,Cadastro!$C$4:$G$7,5,FALSE)),"")</f>
        <v/>
      </c>
      <c r="J826" s="15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54" t="str">
        <f>IFERROR(IF($D827="","",VLOOKUP($D827,Cadastro!$C$4:$E$7,3,FALSE)),"")</f>
        <v/>
      </c>
      <c r="G827" s="106"/>
      <c r="H827" s="154" t="str">
        <f>IFERROR(IF($G827="","",$G827*$S$837/$G$837/Cadastro!$E$33),"")</f>
        <v/>
      </c>
      <c r="I827" s="155" t="str">
        <f>IFERROR(IF($D827="","",VLOOKUP($D827,Cadastro!$C$4:$G$7,5,FALSE)),"")</f>
        <v/>
      </c>
      <c r="J827" s="15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54" t="str">
        <f>IFERROR(IF($D828="","",VLOOKUP($D828,Cadastro!$C$4:$E$7,3,FALSE)),"")</f>
        <v/>
      </c>
      <c r="G828" s="106"/>
      <c r="H828" s="154" t="str">
        <f>IFERROR(IF($G828="","",$G828*$S$837/$G$837/Cadastro!$E$33),"")</f>
        <v/>
      </c>
      <c r="I828" s="155" t="str">
        <f>IFERROR(IF($D828="","",VLOOKUP($D828,Cadastro!$C$4:$G$7,5,FALSE)),"")</f>
        <v/>
      </c>
      <c r="J828" s="15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54" t="str">
        <f>IFERROR(IF($D829="","",VLOOKUP($D829,Cadastro!$C$4:$E$7,3,FALSE)),"")</f>
        <v/>
      </c>
      <c r="G829" s="106"/>
      <c r="H829" s="154" t="str">
        <f>IFERROR(IF($G829="","",$G829*$S$837/$G$837/Cadastro!$E$33),"")</f>
        <v/>
      </c>
      <c r="I829" s="155" t="str">
        <f>IFERROR(IF($D829="","",VLOOKUP($D829,Cadastro!$C$4:$G$7,5,FALSE)),"")</f>
        <v/>
      </c>
      <c r="J829" s="15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54" t="str">
        <f>IFERROR(IF($D830="","",VLOOKUP($D830,Cadastro!$C$4:$E$7,3,FALSE)),"")</f>
        <v/>
      </c>
      <c r="G830" s="106"/>
      <c r="H830" s="154" t="str">
        <f>IFERROR(IF($G830="","",$G830*$S$837/$G$837/Cadastro!$E$33),"")</f>
        <v/>
      </c>
      <c r="I830" s="155" t="str">
        <f>IFERROR(IF($D830="","",VLOOKUP($D830,Cadastro!$C$4:$G$7,5,FALSE)),"")</f>
        <v/>
      </c>
      <c r="J830" s="15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54" t="str">
        <f>IFERROR(IF($D831="","",VLOOKUP($D831,Cadastro!$C$4:$E$7,3,FALSE)),"")</f>
        <v/>
      </c>
      <c r="G831" s="106"/>
      <c r="H831" s="154" t="str">
        <f>IFERROR(IF($G831="","",$G831*$S$837/$G$837/Cadastro!$E$33),"")</f>
        <v/>
      </c>
      <c r="I831" s="155" t="str">
        <f>IFERROR(IF($D831="","",VLOOKUP($D831,Cadastro!$C$4:$G$7,5,FALSE)),"")</f>
        <v/>
      </c>
      <c r="J831" s="15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54" t="str">
        <f>IFERROR(IF($D832="","",VLOOKUP($D832,Cadastro!$C$4:$E$7,3,FALSE)),"")</f>
        <v/>
      </c>
      <c r="G832" s="106"/>
      <c r="H832" s="154" t="str">
        <f>IFERROR(IF($G832="","",$G832*$S$837/$G$837/Cadastro!$E$33),"")</f>
        <v/>
      </c>
      <c r="I832" s="155" t="str">
        <f>IFERROR(IF($D832="","",VLOOKUP($D832,Cadastro!$C$4:$G$7,5,FALSE)),"")</f>
        <v/>
      </c>
      <c r="J832" s="15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54" t="str">
        <f>IFERROR(IF($D833="","",VLOOKUP($D833,Cadastro!$C$4:$E$7,3,FALSE)),"")</f>
        <v/>
      </c>
      <c r="G833" s="106"/>
      <c r="H833" s="154" t="str">
        <f>IFERROR(IF($G833="","",$G833*$S$837/$G$837/Cadastro!$E$33),"")</f>
        <v/>
      </c>
      <c r="I833" s="155" t="str">
        <f>IFERROR(IF($D833="","",VLOOKUP($D833,Cadastro!$C$4:$G$7,5,FALSE)),"")</f>
        <v/>
      </c>
      <c r="J833" s="15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54" t="str">
        <f>IFERROR(IF($D834="","",VLOOKUP($D834,Cadastro!$C$4:$E$7,3,FALSE)),"")</f>
        <v/>
      </c>
      <c r="G834" s="106"/>
      <c r="H834" s="154" t="str">
        <f>IFERROR(IF($G834="","",$G834*$S$837/$G$837/Cadastro!$E$33),"")</f>
        <v/>
      </c>
      <c r="I834" s="155" t="str">
        <f>IFERROR(IF($D834="","",VLOOKUP($D834,Cadastro!$C$4:$G$7,5,FALSE)),"")</f>
        <v/>
      </c>
      <c r="J834" s="15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54" t="str">
        <f>IFERROR(IF($D835="","",VLOOKUP($D835,Cadastro!$C$4:$E$7,3,FALSE)),"")</f>
        <v/>
      </c>
      <c r="G835" s="106"/>
      <c r="H835" s="154" t="str">
        <f>IFERROR(IF($G835="","",$G835*$S$837/$G$837/Cadastro!$E$33),"")</f>
        <v/>
      </c>
      <c r="I835" s="155" t="str">
        <f>IFERROR(IF($D835="","",VLOOKUP($D835,Cadastro!$C$4:$G$7,5,FALSE)),"")</f>
        <v/>
      </c>
      <c r="J835" s="15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57" t="str">
        <f>IFERROR(IF($D836="","",VLOOKUP($D836,Cadastro!$C$4:$E$7,3,FALSE)),"")</f>
        <v/>
      </c>
      <c r="G836" s="106"/>
      <c r="H836" s="157" t="str">
        <f>IFERROR(IF($G836="","",$G836*$S$837/$G$837/Cadastro!$E$33),"")</f>
        <v/>
      </c>
      <c r="I836" s="158" t="str">
        <f>IFERROR(IF($D836="","",VLOOKUP($D836,Cadastro!$C$4:$G$7,5,FALSE)),"")</f>
        <v/>
      </c>
      <c r="J836" s="15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32" t="s">
        <v>244</v>
      </c>
      <c r="B837" s="133"/>
      <c r="C837" s="133"/>
      <c r="D837" s="133"/>
      <c r="E837" s="13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34" t="s">
        <v>245</v>
      </c>
      <c r="B838" s="135"/>
      <c r="C838" s="135"/>
      <c r="D838" s="135"/>
      <c r="E838" s="135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295" activePane="bottomLeft" state="frozen"/>
      <selection pane="bottomLeft" activeCell="R307" sqref="R3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53" t="s">
        <v>17</v>
      </c>
      <c r="G1" s="23" t="s">
        <v>232</v>
      </c>
      <c r="H1" s="153" t="s">
        <v>264</v>
      </c>
      <c r="I1" s="153" t="s">
        <v>18</v>
      </c>
      <c r="J1" s="15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54"/>
      <c r="G2" s="106">
        <v>0</v>
      </c>
      <c r="H2" s="154"/>
      <c r="I2" s="155"/>
      <c r="J2" s="15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54"/>
      <c r="G3" s="106">
        <v>8</v>
      </c>
      <c r="H3" s="154"/>
      <c r="I3" s="155"/>
      <c r="J3" s="15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54"/>
      <c r="G4" s="106">
        <v>10</v>
      </c>
      <c r="H4" s="154"/>
      <c r="I4" s="155"/>
      <c r="J4" s="15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54"/>
      <c r="G5" s="106">
        <v>9</v>
      </c>
      <c r="H5" s="154"/>
      <c r="I5" s="155"/>
      <c r="J5" s="15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54"/>
      <c r="G6" s="106">
        <v>3</v>
      </c>
      <c r="H6" s="154"/>
      <c r="I6" s="155"/>
      <c r="J6" s="15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54"/>
      <c r="G7" s="106">
        <v>6</v>
      </c>
      <c r="H7" s="154"/>
      <c r="I7" s="155"/>
      <c r="J7" s="15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54"/>
      <c r="G8" s="106">
        <v>12</v>
      </c>
      <c r="H8" s="154"/>
      <c r="I8" s="155"/>
      <c r="J8" s="15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54"/>
      <c r="G9" s="106">
        <v>8</v>
      </c>
      <c r="H9" s="154"/>
      <c r="I9" s="155"/>
      <c r="J9" s="15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54"/>
      <c r="G10" s="106">
        <v>8</v>
      </c>
      <c r="H10" s="154"/>
      <c r="I10" s="155"/>
      <c r="J10" s="15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54"/>
      <c r="G11" s="106">
        <v>9</v>
      </c>
      <c r="H11" s="154"/>
      <c r="I11" s="155"/>
      <c r="J11" s="15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54"/>
      <c r="G12" s="106">
        <v>5</v>
      </c>
      <c r="H12" s="154"/>
      <c r="I12" s="155"/>
      <c r="J12" s="15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57"/>
      <c r="G13" s="106">
        <v>3</v>
      </c>
      <c r="H13" s="157"/>
      <c r="I13" s="158"/>
      <c r="J13" s="15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32" t="s">
        <v>241</v>
      </c>
      <c r="B14" s="133"/>
      <c r="C14" s="133"/>
      <c r="D14" s="133"/>
      <c r="E14" s="13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60"/>
      <c r="G15" s="106">
        <v>16</v>
      </c>
      <c r="H15" s="160"/>
      <c r="I15" s="161"/>
      <c r="J15" s="16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54"/>
      <c r="G16" s="106">
        <v>9</v>
      </c>
      <c r="H16" s="154"/>
      <c r="I16" s="155"/>
      <c r="J16" s="15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54"/>
      <c r="G17" s="106">
        <v>12</v>
      </c>
      <c r="H17" s="154"/>
      <c r="I17" s="155"/>
      <c r="J17" s="15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54"/>
      <c r="G18" s="106">
        <v>0</v>
      </c>
      <c r="H18" s="154"/>
      <c r="I18" s="155"/>
      <c r="J18" s="15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54"/>
      <c r="G19" s="106">
        <v>8</v>
      </c>
      <c r="H19" s="154"/>
      <c r="I19" s="155"/>
      <c r="J19" s="15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54"/>
      <c r="G20" s="106">
        <v>6</v>
      </c>
      <c r="H20" s="154"/>
      <c r="I20" s="155"/>
      <c r="J20" s="15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54"/>
      <c r="G21" s="106">
        <v>8</v>
      </c>
      <c r="H21" s="154"/>
      <c r="I21" s="155"/>
      <c r="J21" s="15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54"/>
      <c r="G22" s="106">
        <v>5</v>
      </c>
      <c r="H22" s="154"/>
      <c r="I22" s="155"/>
      <c r="J22" s="15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54"/>
      <c r="G23" s="106">
        <v>10</v>
      </c>
      <c r="H23" s="154"/>
      <c r="I23" s="155"/>
      <c r="J23" s="15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54"/>
      <c r="G24" s="106">
        <v>10</v>
      </c>
      <c r="H24" s="154"/>
      <c r="I24" s="155"/>
      <c r="J24" s="15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54"/>
      <c r="G25" s="106">
        <v>2</v>
      </c>
      <c r="H25" s="154"/>
      <c r="I25" s="155"/>
      <c r="J25" s="15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57"/>
      <c r="G26" s="106">
        <v>5</v>
      </c>
      <c r="H26" s="157"/>
      <c r="I26" s="158"/>
      <c r="J26" s="15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32" t="s">
        <v>244</v>
      </c>
      <c r="B27" s="133"/>
      <c r="C27" s="133"/>
      <c r="D27" s="133"/>
      <c r="E27" s="13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34" t="s">
        <v>245</v>
      </c>
      <c r="B28" s="135"/>
      <c r="C28" s="135"/>
      <c r="D28" s="135"/>
      <c r="E28" s="135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60"/>
      <c r="G29" s="106">
        <v>4</v>
      </c>
      <c r="H29" s="160"/>
      <c r="I29" s="161"/>
      <c r="J29" s="16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54"/>
      <c r="G30" s="106">
        <v>13</v>
      </c>
      <c r="H30" s="154"/>
      <c r="I30" s="155"/>
      <c r="J30" s="15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54"/>
      <c r="G31" s="106">
        <v>4</v>
      </c>
      <c r="H31" s="154"/>
      <c r="I31" s="155"/>
      <c r="J31" s="15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54"/>
      <c r="G32" s="106">
        <v>4</v>
      </c>
      <c r="H32" s="154"/>
      <c r="I32" s="155"/>
      <c r="J32" s="15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54"/>
      <c r="G33" s="106">
        <v>3</v>
      </c>
      <c r="H33" s="154"/>
      <c r="I33" s="155"/>
      <c r="J33" s="15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54"/>
      <c r="G34" s="106">
        <v>10</v>
      </c>
      <c r="H34" s="154"/>
      <c r="I34" s="155"/>
      <c r="J34" s="15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54"/>
      <c r="G35" s="106">
        <v>12</v>
      </c>
      <c r="H35" s="154"/>
      <c r="I35" s="155"/>
      <c r="J35" s="15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54"/>
      <c r="G36" s="106">
        <v>5</v>
      </c>
      <c r="H36" s="154"/>
      <c r="I36" s="155"/>
      <c r="J36" s="15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54"/>
      <c r="G37" s="106">
        <v>3</v>
      </c>
      <c r="H37" s="154"/>
      <c r="I37" s="155"/>
      <c r="J37" s="15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54"/>
      <c r="G38" s="106">
        <v>11</v>
      </c>
      <c r="H38" s="154"/>
      <c r="I38" s="155"/>
      <c r="J38" s="15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54"/>
      <c r="G39" s="106">
        <v>8</v>
      </c>
      <c r="H39" s="154"/>
      <c r="I39" s="155"/>
      <c r="J39" s="15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57"/>
      <c r="G40" s="106">
        <v>0</v>
      </c>
      <c r="H40" s="157"/>
      <c r="I40" s="158"/>
      <c r="J40" s="15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32" t="s">
        <v>241</v>
      </c>
      <c r="B41" s="133"/>
      <c r="C41" s="133"/>
      <c r="D41" s="133"/>
      <c r="E41" s="13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60"/>
      <c r="G42" s="106">
        <v>8</v>
      </c>
      <c r="H42" s="160"/>
      <c r="I42" s="161"/>
      <c r="J42" s="16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54"/>
      <c r="G43" s="106">
        <v>0</v>
      </c>
      <c r="H43" s="154"/>
      <c r="I43" s="155"/>
      <c r="J43" s="15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54"/>
      <c r="G44" s="106">
        <v>5</v>
      </c>
      <c r="H44" s="154"/>
      <c r="I44" s="155"/>
      <c r="J44" s="15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54"/>
      <c r="G45" s="106">
        <v>5</v>
      </c>
      <c r="H45" s="154"/>
      <c r="I45" s="155"/>
      <c r="J45" s="15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54"/>
      <c r="G46" s="106">
        <v>12</v>
      </c>
      <c r="H46" s="154"/>
      <c r="I46" s="155"/>
      <c r="J46" s="15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54"/>
      <c r="G47" s="106">
        <v>9</v>
      </c>
      <c r="H47" s="154"/>
      <c r="I47" s="155"/>
      <c r="J47" s="15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54"/>
      <c r="G48" s="106">
        <v>7</v>
      </c>
      <c r="H48" s="154"/>
      <c r="I48" s="155"/>
      <c r="J48" s="15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54"/>
      <c r="G49" s="106">
        <v>5</v>
      </c>
      <c r="H49" s="154"/>
      <c r="I49" s="155"/>
      <c r="J49" s="15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54"/>
      <c r="G50" s="106">
        <v>14</v>
      </c>
      <c r="H50" s="154"/>
      <c r="I50" s="155"/>
      <c r="J50" s="15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54"/>
      <c r="G51" s="106">
        <v>0</v>
      </c>
      <c r="H51" s="154"/>
      <c r="I51" s="155"/>
      <c r="J51" s="15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54"/>
      <c r="G52" s="106">
        <v>5</v>
      </c>
      <c r="H52" s="154"/>
      <c r="I52" s="155"/>
      <c r="J52" s="15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57"/>
      <c r="G53" s="106"/>
      <c r="H53" s="157"/>
      <c r="I53" s="158"/>
      <c r="J53" s="15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32" t="s">
        <v>244</v>
      </c>
      <c r="B54" s="133"/>
      <c r="C54" s="133"/>
      <c r="D54" s="133"/>
      <c r="E54" s="13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34" t="s">
        <v>245</v>
      </c>
      <c r="B55" s="135"/>
      <c r="C55" s="135"/>
      <c r="D55" s="135"/>
      <c r="E55" s="135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60"/>
      <c r="G56" s="106">
        <v>7</v>
      </c>
      <c r="H56" s="160"/>
      <c r="I56" s="161"/>
      <c r="J56" s="16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54"/>
      <c r="G57" s="106">
        <v>4</v>
      </c>
      <c r="H57" s="154"/>
      <c r="I57" s="155"/>
      <c r="J57" s="15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54"/>
      <c r="G58" s="106">
        <v>3</v>
      </c>
      <c r="H58" s="154"/>
      <c r="I58" s="155"/>
      <c r="J58" s="15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54"/>
      <c r="G59" s="106">
        <v>4</v>
      </c>
      <c r="H59" s="154"/>
      <c r="I59" s="155"/>
      <c r="J59" s="15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54"/>
      <c r="G60" s="106">
        <v>5</v>
      </c>
      <c r="H60" s="154"/>
      <c r="I60" s="155"/>
      <c r="J60" s="15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54"/>
      <c r="G61" s="106">
        <v>6</v>
      </c>
      <c r="H61" s="154"/>
      <c r="I61" s="155"/>
      <c r="J61" s="15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54"/>
      <c r="G62" s="106">
        <v>0</v>
      </c>
      <c r="H62" s="154"/>
      <c r="I62" s="155"/>
      <c r="J62" s="15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54"/>
      <c r="G63" s="106">
        <v>0</v>
      </c>
      <c r="H63" s="154"/>
      <c r="I63" s="155"/>
      <c r="J63" s="15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54"/>
      <c r="G64" s="106">
        <v>10</v>
      </c>
      <c r="H64" s="154"/>
      <c r="I64" s="155"/>
      <c r="J64" s="15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54"/>
      <c r="G65" s="106">
        <v>5</v>
      </c>
      <c r="H65" s="154"/>
      <c r="I65" s="155"/>
      <c r="J65" s="15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54"/>
      <c r="G66" s="106">
        <v>5</v>
      </c>
      <c r="H66" s="154"/>
      <c r="I66" s="155"/>
      <c r="J66" s="15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57"/>
      <c r="G67" s="106">
        <v>1</v>
      </c>
      <c r="H67" s="157"/>
      <c r="I67" s="158"/>
      <c r="J67" s="15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32" t="s">
        <v>241</v>
      </c>
      <c r="B68" s="133"/>
      <c r="C68" s="133"/>
      <c r="D68" s="133"/>
      <c r="E68" s="13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60"/>
      <c r="G69" s="106">
        <v>6</v>
      </c>
      <c r="H69" s="160"/>
      <c r="I69" s="161"/>
      <c r="J69" s="16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54"/>
      <c r="G70" s="106">
        <v>9</v>
      </c>
      <c r="H70" s="154"/>
      <c r="I70" s="155"/>
      <c r="J70" s="15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54"/>
      <c r="G71" s="106">
        <v>9</v>
      </c>
      <c r="H71" s="154"/>
      <c r="I71" s="155"/>
      <c r="J71" s="15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54"/>
      <c r="G72" s="106">
        <v>0</v>
      </c>
      <c r="H72" s="154"/>
      <c r="I72" s="155"/>
      <c r="J72" s="15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54"/>
      <c r="G73" s="106">
        <v>7</v>
      </c>
      <c r="H73" s="154"/>
      <c r="I73" s="155"/>
      <c r="J73" s="15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54"/>
      <c r="G74" s="106">
        <v>0</v>
      </c>
      <c r="H74" s="154"/>
      <c r="I74" s="155"/>
      <c r="J74" s="15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54"/>
      <c r="G75" s="106">
        <v>0</v>
      </c>
      <c r="H75" s="154"/>
      <c r="I75" s="155"/>
      <c r="J75" s="15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54"/>
      <c r="G76" s="106">
        <v>6</v>
      </c>
      <c r="H76" s="154"/>
      <c r="I76" s="155"/>
      <c r="J76" s="15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54"/>
      <c r="G77" s="106">
        <v>0</v>
      </c>
      <c r="H77" s="154"/>
      <c r="I77" s="155"/>
      <c r="J77" s="15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54"/>
      <c r="G78" s="106">
        <v>0</v>
      </c>
      <c r="H78" s="154"/>
      <c r="I78" s="155"/>
      <c r="J78" s="15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54"/>
      <c r="G79" s="106">
        <v>0</v>
      </c>
      <c r="H79" s="154"/>
      <c r="I79" s="155"/>
      <c r="J79" s="15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57"/>
      <c r="G80" s="106">
        <v>5</v>
      </c>
      <c r="H80" s="157"/>
      <c r="I80" s="158"/>
      <c r="J80" s="15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32" t="s">
        <v>244</v>
      </c>
      <c r="B81" s="133"/>
      <c r="C81" s="133"/>
      <c r="D81" s="133"/>
      <c r="E81" s="13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34" t="s">
        <v>245</v>
      </c>
      <c r="B82" s="135"/>
      <c r="C82" s="135"/>
      <c r="D82" s="135"/>
      <c r="E82" s="135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60"/>
      <c r="G83" s="106">
        <v>7</v>
      </c>
      <c r="H83" s="160"/>
      <c r="I83" s="161"/>
      <c r="J83" s="16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54"/>
      <c r="G84" s="106">
        <v>0</v>
      </c>
      <c r="H84" s="154"/>
      <c r="I84" s="155"/>
      <c r="J84" s="15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54"/>
      <c r="G85" s="106">
        <v>5</v>
      </c>
      <c r="H85" s="154"/>
      <c r="I85" s="155"/>
      <c r="J85" s="15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54"/>
      <c r="G86" s="106">
        <v>12</v>
      </c>
      <c r="H86" s="154"/>
      <c r="I86" s="155"/>
      <c r="J86" s="15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54"/>
      <c r="G87" s="106">
        <v>6</v>
      </c>
      <c r="H87" s="154"/>
      <c r="I87" s="155"/>
      <c r="J87" s="15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54"/>
      <c r="G88" s="106">
        <v>5</v>
      </c>
      <c r="H88" s="154"/>
      <c r="I88" s="155"/>
      <c r="J88" s="15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54"/>
      <c r="G89" s="106">
        <v>7</v>
      </c>
      <c r="H89" s="154"/>
      <c r="I89" s="155"/>
      <c r="J89" s="15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54"/>
      <c r="G90" s="106">
        <v>0</v>
      </c>
      <c r="H90" s="154"/>
      <c r="I90" s="155"/>
      <c r="J90" s="15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54"/>
      <c r="G91" s="106">
        <v>0</v>
      </c>
      <c r="H91" s="154"/>
      <c r="I91" s="155"/>
      <c r="J91" s="15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54"/>
      <c r="G92" s="106">
        <v>3</v>
      </c>
      <c r="H92" s="154"/>
      <c r="I92" s="155"/>
      <c r="J92" s="15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54"/>
      <c r="G93" s="106">
        <v>1</v>
      </c>
      <c r="H93" s="154"/>
      <c r="I93" s="155"/>
      <c r="J93" s="15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57"/>
      <c r="G94" s="106">
        <v>2</v>
      </c>
      <c r="H94" s="157"/>
      <c r="I94" s="158"/>
      <c r="J94" s="15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32" t="s">
        <v>241</v>
      </c>
      <c r="B95" s="133"/>
      <c r="C95" s="133"/>
      <c r="D95" s="133"/>
      <c r="E95" s="13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60"/>
      <c r="G96" s="106">
        <v>5</v>
      </c>
      <c r="H96" s="160"/>
      <c r="I96" s="161"/>
      <c r="J96" s="16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54"/>
      <c r="G97" s="106">
        <v>0</v>
      </c>
      <c r="H97" s="154"/>
      <c r="I97" s="155"/>
      <c r="J97" s="15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54"/>
      <c r="G98" s="106">
        <v>5</v>
      </c>
      <c r="H98" s="154"/>
      <c r="I98" s="155"/>
      <c r="J98" s="15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54"/>
      <c r="G99" s="106">
        <v>7</v>
      </c>
      <c r="H99" s="154"/>
      <c r="I99" s="155"/>
      <c r="J99" s="15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54"/>
      <c r="G100" s="106">
        <v>7</v>
      </c>
      <c r="H100" s="154"/>
      <c r="I100" s="155"/>
      <c r="J100" s="15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54"/>
      <c r="G101" s="106">
        <v>11</v>
      </c>
      <c r="H101" s="154"/>
      <c r="I101" s="155"/>
      <c r="J101" s="15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54"/>
      <c r="G102" s="106">
        <v>14</v>
      </c>
      <c r="H102" s="154"/>
      <c r="I102" s="155"/>
      <c r="J102" s="15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54"/>
      <c r="G103" s="106">
        <v>7</v>
      </c>
      <c r="H103" s="154"/>
      <c r="I103" s="155"/>
      <c r="J103" s="15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54"/>
      <c r="G104" s="106">
        <v>12</v>
      </c>
      <c r="H104" s="154"/>
      <c r="I104" s="155"/>
      <c r="J104" s="15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54"/>
      <c r="G105" s="106">
        <v>4</v>
      </c>
      <c r="H105" s="154"/>
      <c r="I105" s="155"/>
      <c r="J105" s="15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54"/>
      <c r="G106" s="106">
        <v>7</v>
      </c>
      <c r="H106" s="154"/>
      <c r="I106" s="155"/>
      <c r="J106" s="15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57"/>
      <c r="G107" s="106">
        <v>10</v>
      </c>
      <c r="H107" s="157"/>
      <c r="I107" s="158"/>
      <c r="J107" s="15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32" t="s">
        <v>244</v>
      </c>
      <c r="B108" s="133"/>
      <c r="C108" s="133"/>
      <c r="D108" s="133"/>
      <c r="E108" s="13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34" t="s">
        <v>245</v>
      </c>
      <c r="B109" s="135"/>
      <c r="C109" s="135"/>
      <c r="D109" s="135"/>
      <c r="E109" s="135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60"/>
      <c r="G110" s="106">
        <v>4</v>
      </c>
      <c r="H110" s="160"/>
      <c r="I110" s="161"/>
      <c r="J110" s="16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54"/>
      <c r="G111" s="106">
        <v>6</v>
      </c>
      <c r="H111" s="154"/>
      <c r="I111" s="155"/>
      <c r="J111" s="15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54"/>
      <c r="G112" s="106">
        <v>5</v>
      </c>
      <c r="H112" s="154"/>
      <c r="I112" s="155"/>
      <c r="J112" s="15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54"/>
      <c r="G113" s="106">
        <v>11</v>
      </c>
      <c r="H113" s="154"/>
      <c r="I113" s="155"/>
      <c r="J113" s="15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54"/>
      <c r="G114" s="106">
        <v>6</v>
      </c>
      <c r="H114" s="154"/>
      <c r="I114" s="155"/>
      <c r="J114" s="15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54"/>
      <c r="G115" s="106">
        <v>6</v>
      </c>
      <c r="H115" s="154"/>
      <c r="I115" s="155"/>
      <c r="J115" s="15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54"/>
      <c r="G116" s="106">
        <v>12</v>
      </c>
      <c r="H116" s="154"/>
      <c r="I116" s="155"/>
      <c r="J116" s="15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54"/>
      <c r="G117" s="106">
        <v>5</v>
      </c>
      <c r="H117" s="154"/>
      <c r="I117" s="155"/>
      <c r="J117" s="15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54"/>
      <c r="G118" s="106">
        <v>7</v>
      </c>
      <c r="H118" s="154"/>
      <c r="I118" s="155"/>
      <c r="J118" s="15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54"/>
      <c r="G119" s="106">
        <v>9</v>
      </c>
      <c r="H119" s="154"/>
      <c r="I119" s="155"/>
      <c r="J119" s="15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54"/>
      <c r="G120" s="106">
        <v>6</v>
      </c>
      <c r="H120" s="154"/>
      <c r="I120" s="155"/>
      <c r="J120" s="15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57"/>
      <c r="G121" s="106">
        <v>1</v>
      </c>
      <c r="H121" s="157"/>
      <c r="I121" s="158"/>
      <c r="J121" s="15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32" t="s">
        <v>241</v>
      </c>
      <c r="B122" s="133"/>
      <c r="C122" s="133"/>
      <c r="D122" s="133"/>
      <c r="E122" s="13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60"/>
      <c r="G123" s="106">
        <v>15</v>
      </c>
      <c r="H123" s="160"/>
      <c r="I123" s="161"/>
      <c r="J123" s="16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54"/>
      <c r="G124" s="106">
        <v>9</v>
      </c>
      <c r="H124" s="154"/>
      <c r="I124" s="155"/>
      <c r="J124" s="15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54"/>
      <c r="G125" s="106">
        <v>0</v>
      </c>
      <c r="H125" s="154"/>
      <c r="I125" s="155"/>
      <c r="J125" s="15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54"/>
      <c r="G126" s="106">
        <v>20</v>
      </c>
      <c r="H126" s="154"/>
      <c r="I126" s="155"/>
      <c r="J126" s="15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54"/>
      <c r="G127" s="106">
        <v>12</v>
      </c>
      <c r="H127" s="154"/>
      <c r="I127" s="155"/>
      <c r="J127" s="15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54"/>
      <c r="G128" s="106">
        <v>10</v>
      </c>
      <c r="H128" s="154"/>
      <c r="I128" s="155"/>
      <c r="J128" s="15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54"/>
      <c r="G129" s="106">
        <v>5</v>
      </c>
      <c r="H129" s="154"/>
      <c r="I129" s="155"/>
      <c r="J129" s="15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54"/>
      <c r="G130" s="106">
        <v>7</v>
      </c>
      <c r="H130" s="154"/>
      <c r="I130" s="155"/>
      <c r="J130" s="15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54"/>
      <c r="G131" s="106">
        <v>10</v>
      </c>
      <c r="H131" s="154"/>
      <c r="I131" s="155"/>
      <c r="J131" s="15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54"/>
      <c r="G132" s="106">
        <v>3</v>
      </c>
      <c r="H132" s="154"/>
      <c r="I132" s="155"/>
      <c r="J132" s="15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54"/>
      <c r="G133" s="106">
        <v>10</v>
      </c>
      <c r="H133" s="154"/>
      <c r="I133" s="155"/>
      <c r="J133" s="15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57"/>
      <c r="G134" s="106">
        <v>9</v>
      </c>
      <c r="H134" s="157"/>
      <c r="I134" s="158"/>
      <c r="J134" s="15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32" t="s">
        <v>244</v>
      </c>
      <c r="B135" s="133"/>
      <c r="C135" s="133"/>
      <c r="D135" s="133"/>
      <c r="E135" s="13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34" t="s">
        <v>245</v>
      </c>
      <c r="B136" s="135"/>
      <c r="C136" s="135"/>
      <c r="D136" s="135"/>
      <c r="E136" s="135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60"/>
      <c r="G137" s="106">
        <v>3</v>
      </c>
      <c r="H137" s="160"/>
      <c r="I137" s="161"/>
      <c r="J137" s="16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54"/>
      <c r="G138" s="106">
        <v>1</v>
      </c>
      <c r="H138" s="154"/>
      <c r="I138" s="155"/>
      <c r="J138" s="15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54"/>
      <c r="G139" s="106">
        <v>5</v>
      </c>
      <c r="H139" s="154"/>
      <c r="I139" s="155"/>
      <c r="J139" s="15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54"/>
      <c r="G140" s="106">
        <v>0</v>
      </c>
      <c r="H140" s="154"/>
      <c r="I140" s="155"/>
      <c r="J140" s="15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54"/>
      <c r="G141" s="106">
        <v>3</v>
      </c>
      <c r="H141" s="154"/>
      <c r="I141" s="155"/>
      <c r="J141" s="15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54"/>
      <c r="G142" s="106">
        <v>0</v>
      </c>
      <c r="H142" s="154"/>
      <c r="I142" s="155"/>
      <c r="J142" s="15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54"/>
      <c r="G143" s="106">
        <v>4</v>
      </c>
      <c r="H143" s="154"/>
      <c r="I143" s="155"/>
      <c r="J143" s="15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54"/>
      <c r="G144" s="106">
        <v>4</v>
      </c>
      <c r="H144" s="154"/>
      <c r="I144" s="155"/>
      <c r="J144" s="15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54"/>
      <c r="G145" s="106">
        <v>4</v>
      </c>
      <c r="H145" s="154"/>
      <c r="I145" s="155"/>
      <c r="J145" s="15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54"/>
      <c r="G146" s="106">
        <v>6</v>
      </c>
      <c r="H146" s="154"/>
      <c r="I146" s="155"/>
      <c r="J146" s="15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54"/>
      <c r="G147" s="106">
        <v>3</v>
      </c>
      <c r="H147" s="154"/>
      <c r="I147" s="155"/>
      <c r="J147" s="15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57"/>
      <c r="G148" s="106">
        <v>0</v>
      </c>
      <c r="H148" s="157"/>
      <c r="I148" s="158"/>
      <c r="J148" s="15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32" t="s">
        <v>241</v>
      </c>
      <c r="B149" s="133"/>
      <c r="C149" s="133"/>
      <c r="D149" s="133"/>
      <c r="E149" s="13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60"/>
      <c r="G150" s="106">
        <v>4</v>
      </c>
      <c r="H150" s="160"/>
      <c r="I150" s="161"/>
      <c r="J150" s="16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54"/>
      <c r="G151" s="106">
        <v>4</v>
      </c>
      <c r="H151" s="154"/>
      <c r="I151" s="155"/>
      <c r="J151" s="15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54"/>
      <c r="G152" s="106">
        <v>0</v>
      </c>
      <c r="H152" s="154"/>
      <c r="I152" s="155"/>
      <c r="J152" s="15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54"/>
      <c r="G153" s="106">
        <v>4</v>
      </c>
      <c r="H153" s="154"/>
      <c r="I153" s="155"/>
      <c r="J153" s="15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54"/>
      <c r="G154" s="106">
        <v>10</v>
      </c>
      <c r="H154" s="154"/>
      <c r="I154" s="155"/>
      <c r="J154" s="15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54"/>
      <c r="G155" s="106">
        <v>0</v>
      </c>
      <c r="H155" s="154"/>
      <c r="I155" s="155"/>
      <c r="J155" s="15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54"/>
      <c r="G156" s="106">
        <v>4</v>
      </c>
      <c r="H156" s="154"/>
      <c r="I156" s="155"/>
      <c r="J156" s="15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54"/>
      <c r="G157" s="106">
        <v>1</v>
      </c>
      <c r="H157" s="154"/>
      <c r="I157" s="155"/>
      <c r="J157" s="15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54"/>
      <c r="G158" s="106">
        <v>6</v>
      </c>
      <c r="H158" s="154"/>
      <c r="I158" s="155"/>
      <c r="J158" s="15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54"/>
      <c r="G159" s="106">
        <v>4</v>
      </c>
      <c r="H159" s="154"/>
      <c r="I159" s="155"/>
      <c r="J159" s="15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54"/>
      <c r="G160" s="106">
        <v>4</v>
      </c>
      <c r="H160" s="154"/>
      <c r="I160" s="155"/>
      <c r="J160" s="15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57"/>
      <c r="G161" s="106">
        <v>2</v>
      </c>
      <c r="H161" s="157"/>
      <c r="I161" s="158"/>
      <c r="J161" s="15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32" t="s">
        <v>244</v>
      </c>
      <c r="B162" s="133"/>
      <c r="C162" s="133"/>
      <c r="D162" s="133"/>
      <c r="E162" s="13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34" t="s">
        <v>245</v>
      </c>
      <c r="B163" s="135"/>
      <c r="C163" s="135"/>
      <c r="D163" s="135"/>
      <c r="E163" s="135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60"/>
      <c r="G164" s="106">
        <v>4</v>
      </c>
      <c r="H164" s="160"/>
      <c r="I164" s="161"/>
      <c r="J164" s="16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54"/>
      <c r="G165" s="106">
        <v>14</v>
      </c>
      <c r="H165" s="154"/>
      <c r="I165" s="155"/>
      <c r="J165" s="15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54"/>
      <c r="G166" s="106">
        <v>7</v>
      </c>
      <c r="H166" s="154"/>
      <c r="I166" s="155"/>
      <c r="J166" s="15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54"/>
      <c r="G167" s="106">
        <v>0</v>
      </c>
      <c r="H167" s="154"/>
      <c r="I167" s="155"/>
      <c r="J167" s="15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54"/>
      <c r="G168" s="106">
        <v>8</v>
      </c>
      <c r="H168" s="154"/>
      <c r="I168" s="155"/>
      <c r="J168" s="15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54"/>
      <c r="G169" s="106">
        <v>7</v>
      </c>
      <c r="H169" s="154"/>
      <c r="I169" s="155"/>
      <c r="J169" s="15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54"/>
      <c r="G170" s="106">
        <v>5</v>
      </c>
      <c r="H170" s="154"/>
      <c r="I170" s="155"/>
      <c r="J170" s="15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54"/>
      <c r="G171" s="106">
        <v>5</v>
      </c>
      <c r="H171" s="154"/>
      <c r="I171" s="155"/>
      <c r="J171" s="15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54"/>
      <c r="G172" s="106">
        <v>4</v>
      </c>
      <c r="H172" s="154"/>
      <c r="I172" s="155"/>
      <c r="J172" s="15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54"/>
      <c r="G173" s="106">
        <v>3</v>
      </c>
      <c r="H173" s="154"/>
      <c r="I173" s="155"/>
      <c r="J173" s="15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54"/>
      <c r="G174" s="106">
        <v>3</v>
      </c>
      <c r="H174" s="154"/>
      <c r="I174" s="155"/>
      <c r="J174" s="15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57"/>
      <c r="G175" s="106">
        <v>5</v>
      </c>
      <c r="H175" s="157"/>
      <c r="I175" s="158"/>
      <c r="J175" s="15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32" t="s">
        <v>241</v>
      </c>
      <c r="B176" s="133"/>
      <c r="C176" s="133"/>
      <c r="D176" s="133"/>
      <c r="E176" s="13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60"/>
      <c r="G177" s="106">
        <v>2</v>
      </c>
      <c r="H177" s="160"/>
      <c r="I177" s="161"/>
      <c r="J177" s="16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54"/>
      <c r="G178" s="106">
        <v>0</v>
      </c>
      <c r="H178" s="154"/>
      <c r="I178" s="155"/>
      <c r="J178" s="15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54"/>
      <c r="G179" s="106">
        <v>0</v>
      </c>
      <c r="H179" s="154"/>
      <c r="I179" s="155"/>
      <c r="J179" s="15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54"/>
      <c r="G180" s="106">
        <v>0</v>
      </c>
      <c r="H180" s="154"/>
      <c r="I180" s="155"/>
      <c r="J180" s="15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54"/>
      <c r="G181" s="106">
        <v>5</v>
      </c>
      <c r="H181" s="154"/>
      <c r="I181" s="155"/>
      <c r="J181" s="15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54"/>
      <c r="G182" s="106">
        <v>2</v>
      </c>
      <c r="H182" s="154"/>
      <c r="I182" s="155"/>
      <c r="J182" s="15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54"/>
      <c r="G183" s="106">
        <v>1</v>
      </c>
      <c r="H183" s="154"/>
      <c r="I183" s="155"/>
      <c r="J183" s="15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54"/>
      <c r="G184" s="106">
        <v>0</v>
      </c>
      <c r="H184" s="154"/>
      <c r="I184" s="155"/>
      <c r="J184" s="15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54"/>
      <c r="G185" s="106">
        <v>2</v>
      </c>
      <c r="H185" s="154"/>
      <c r="I185" s="155"/>
      <c r="J185" s="15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54"/>
      <c r="G186" s="106">
        <v>3</v>
      </c>
      <c r="H186" s="154"/>
      <c r="I186" s="155"/>
      <c r="J186" s="15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54"/>
      <c r="G187" s="106">
        <v>4</v>
      </c>
      <c r="H187" s="154"/>
      <c r="I187" s="155"/>
      <c r="J187" s="15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57"/>
      <c r="G188" s="106">
        <v>0</v>
      </c>
      <c r="H188" s="157"/>
      <c r="I188" s="158"/>
      <c r="J188" s="15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32" t="s">
        <v>244</v>
      </c>
      <c r="B189" s="133"/>
      <c r="C189" s="133"/>
      <c r="D189" s="133"/>
      <c r="E189" s="13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34" t="s">
        <v>245</v>
      </c>
      <c r="B190" s="135"/>
      <c r="C190" s="135"/>
      <c r="D190" s="135"/>
      <c r="E190" s="135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60"/>
      <c r="G191" s="106">
        <v>0</v>
      </c>
      <c r="H191" s="160"/>
      <c r="I191" s="161"/>
      <c r="J191" s="16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54"/>
      <c r="G192" s="106">
        <v>2</v>
      </c>
      <c r="H192" s="154"/>
      <c r="I192" s="155"/>
      <c r="J192" s="15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54"/>
      <c r="G193" s="106">
        <v>0</v>
      </c>
      <c r="H193" s="154"/>
      <c r="I193" s="155"/>
      <c r="J193" s="15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54"/>
      <c r="G194" s="106">
        <v>2</v>
      </c>
      <c r="H194" s="154"/>
      <c r="I194" s="155"/>
      <c r="J194" s="15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54"/>
      <c r="G195" s="106">
        <v>0</v>
      </c>
      <c r="H195" s="154"/>
      <c r="I195" s="155"/>
      <c r="J195" s="15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54"/>
      <c r="G196" s="106">
        <v>0</v>
      </c>
      <c r="H196" s="154"/>
      <c r="I196" s="155"/>
      <c r="J196" s="15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54"/>
      <c r="G197" s="106">
        <v>2</v>
      </c>
      <c r="H197" s="154"/>
      <c r="I197" s="155"/>
      <c r="J197" s="15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54"/>
      <c r="G198" s="106">
        <v>3</v>
      </c>
      <c r="H198" s="154"/>
      <c r="I198" s="155"/>
      <c r="J198" s="15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54"/>
      <c r="G199" s="106">
        <v>0</v>
      </c>
      <c r="H199" s="154"/>
      <c r="I199" s="155"/>
      <c r="J199" s="15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54"/>
      <c r="G200" s="106">
        <v>4</v>
      </c>
      <c r="H200" s="154"/>
      <c r="I200" s="155"/>
      <c r="J200" s="15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54"/>
      <c r="G201" s="106">
        <v>0</v>
      </c>
      <c r="H201" s="154"/>
      <c r="I201" s="155"/>
      <c r="J201" s="15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57"/>
      <c r="G202" s="106">
        <v>2</v>
      </c>
      <c r="H202" s="157"/>
      <c r="I202" s="158"/>
      <c r="J202" s="15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32" t="s">
        <v>241</v>
      </c>
      <c r="B203" s="133"/>
      <c r="C203" s="133"/>
      <c r="D203" s="133"/>
      <c r="E203" s="13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60"/>
      <c r="G204" s="106">
        <v>2</v>
      </c>
      <c r="H204" s="160"/>
      <c r="I204" s="161"/>
      <c r="J204" s="16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54"/>
      <c r="G205" s="106">
        <v>6</v>
      </c>
      <c r="H205" s="154"/>
      <c r="I205" s="155"/>
      <c r="J205" s="15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54"/>
      <c r="G206" s="106">
        <v>1</v>
      </c>
      <c r="H206" s="154"/>
      <c r="I206" s="155"/>
      <c r="J206" s="15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54"/>
      <c r="G207" s="106">
        <v>5</v>
      </c>
      <c r="H207" s="154"/>
      <c r="I207" s="155"/>
      <c r="J207" s="15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54"/>
      <c r="G208" s="106">
        <v>7</v>
      </c>
      <c r="H208" s="154"/>
      <c r="I208" s="155"/>
      <c r="J208" s="15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54"/>
      <c r="G209" s="106">
        <v>7</v>
      </c>
      <c r="H209" s="154"/>
      <c r="I209" s="155"/>
      <c r="J209" s="15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54"/>
      <c r="G210" s="106">
        <v>4</v>
      </c>
      <c r="H210" s="154"/>
      <c r="I210" s="155"/>
      <c r="J210" s="15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54"/>
      <c r="G211" s="106">
        <v>5</v>
      </c>
      <c r="H211" s="154"/>
      <c r="I211" s="155"/>
      <c r="J211" s="15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54"/>
      <c r="G212" s="106">
        <v>0</v>
      </c>
      <c r="H212" s="154"/>
      <c r="I212" s="155"/>
      <c r="J212" s="15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54"/>
      <c r="G213" s="106">
        <v>3</v>
      </c>
      <c r="H213" s="154"/>
      <c r="I213" s="155"/>
      <c r="J213" s="15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54"/>
      <c r="G214" s="106">
        <v>3</v>
      </c>
      <c r="H214" s="154"/>
      <c r="I214" s="155"/>
      <c r="J214" s="15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57"/>
      <c r="G215" s="106">
        <v>3</v>
      </c>
      <c r="H215" s="157"/>
      <c r="I215" s="158"/>
      <c r="J215" s="15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32" t="s">
        <v>244</v>
      </c>
      <c r="B216" s="133"/>
      <c r="C216" s="133"/>
      <c r="D216" s="133"/>
      <c r="E216" s="13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34" t="s">
        <v>245</v>
      </c>
      <c r="B217" s="135"/>
      <c r="C217" s="135"/>
      <c r="D217" s="135"/>
      <c r="E217" s="135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60"/>
      <c r="G218" s="106">
        <v>0</v>
      </c>
      <c r="H218" s="160"/>
      <c r="I218" s="161"/>
      <c r="J218" s="16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54"/>
      <c r="G219" s="106">
        <v>12</v>
      </c>
      <c r="H219" s="154"/>
      <c r="I219" s="155"/>
      <c r="J219" s="15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54"/>
      <c r="G220" s="106">
        <v>10</v>
      </c>
      <c r="H220" s="154"/>
      <c r="I220" s="155"/>
      <c r="J220" s="15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54"/>
      <c r="G221" s="106">
        <v>7</v>
      </c>
      <c r="H221" s="154"/>
      <c r="I221" s="155"/>
      <c r="J221" s="15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54"/>
      <c r="G222" s="106">
        <v>5</v>
      </c>
      <c r="H222" s="154"/>
      <c r="I222" s="155"/>
      <c r="J222" s="15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54"/>
      <c r="G223" s="106">
        <v>7</v>
      </c>
      <c r="H223" s="154"/>
      <c r="I223" s="155"/>
      <c r="J223" s="15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54"/>
      <c r="G224" s="106">
        <v>5</v>
      </c>
      <c r="H224" s="154"/>
      <c r="I224" s="155"/>
      <c r="J224" s="15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54"/>
      <c r="G225" s="106">
        <v>14</v>
      </c>
      <c r="H225" s="154"/>
      <c r="I225" s="155"/>
      <c r="J225" s="15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54"/>
      <c r="G226" s="106">
        <v>3</v>
      </c>
      <c r="H226" s="154"/>
      <c r="I226" s="155"/>
      <c r="J226" s="15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54"/>
      <c r="G227" s="106">
        <v>2</v>
      </c>
      <c r="H227" s="154"/>
      <c r="I227" s="155"/>
      <c r="J227" s="15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54"/>
      <c r="G228" s="106">
        <v>2</v>
      </c>
      <c r="H228" s="154"/>
      <c r="I228" s="155"/>
      <c r="J228" s="15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57"/>
      <c r="G229" s="106">
        <v>10</v>
      </c>
      <c r="H229" s="157"/>
      <c r="I229" s="158"/>
      <c r="J229" s="15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32" t="s">
        <v>241</v>
      </c>
      <c r="B230" s="133"/>
      <c r="C230" s="133"/>
      <c r="D230" s="133"/>
      <c r="E230" s="13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60"/>
      <c r="G231" s="106">
        <v>9</v>
      </c>
      <c r="H231" s="160"/>
      <c r="I231" s="161"/>
      <c r="J231" s="16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54"/>
      <c r="G232" s="106">
        <v>7</v>
      </c>
      <c r="H232" s="154"/>
      <c r="I232" s="155"/>
      <c r="J232" s="15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54"/>
      <c r="G233" s="106">
        <v>2</v>
      </c>
      <c r="H233" s="154"/>
      <c r="I233" s="155"/>
      <c r="J233" s="15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54"/>
      <c r="G234" s="106">
        <v>1</v>
      </c>
      <c r="H234" s="154"/>
      <c r="I234" s="155"/>
      <c r="J234" s="15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54"/>
      <c r="G235" s="106">
        <v>7</v>
      </c>
      <c r="H235" s="154"/>
      <c r="I235" s="155"/>
      <c r="J235" s="15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54"/>
      <c r="G236" s="106">
        <v>11</v>
      </c>
      <c r="H236" s="154"/>
      <c r="I236" s="155"/>
      <c r="J236" s="15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54"/>
      <c r="G237" s="106">
        <v>12</v>
      </c>
      <c r="H237" s="154"/>
      <c r="I237" s="155"/>
      <c r="J237" s="15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54"/>
      <c r="G238" s="106">
        <v>3</v>
      </c>
      <c r="H238" s="154"/>
      <c r="I238" s="155"/>
      <c r="J238" s="15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54"/>
      <c r="G239" s="106">
        <v>7</v>
      </c>
      <c r="H239" s="154"/>
      <c r="I239" s="155"/>
      <c r="J239" s="15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54"/>
      <c r="G240" s="106">
        <v>11</v>
      </c>
      <c r="H240" s="154"/>
      <c r="I240" s="155"/>
      <c r="J240" s="15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54"/>
      <c r="G241" s="106">
        <v>3</v>
      </c>
      <c r="H241" s="154"/>
      <c r="I241" s="155"/>
      <c r="J241" s="15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57"/>
      <c r="G242" s="106">
        <v>0</v>
      </c>
      <c r="H242" s="157"/>
      <c r="I242" s="158"/>
      <c r="J242" s="15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32" t="s">
        <v>244</v>
      </c>
      <c r="B243" s="133"/>
      <c r="C243" s="133"/>
      <c r="D243" s="133"/>
      <c r="E243" s="13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34" t="s">
        <v>245</v>
      </c>
      <c r="B244" s="135"/>
      <c r="C244" s="135"/>
      <c r="D244" s="135"/>
      <c r="E244" s="135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60"/>
      <c r="G245" s="55">
        <v>7</v>
      </c>
      <c r="H245" s="160"/>
      <c r="I245" s="161"/>
      <c r="J245" s="16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54"/>
      <c r="G246" s="55">
        <v>2</v>
      </c>
      <c r="H246" s="154"/>
      <c r="I246" s="155"/>
      <c r="J246" s="15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54"/>
      <c r="G247" s="55">
        <v>10</v>
      </c>
      <c r="H247" s="154"/>
      <c r="I247" s="155"/>
      <c r="J247" s="15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54"/>
      <c r="G248" s="55">
        <v>13</v>
      </c>
      <c r="H248" s="154"/>
      <c r="I248" s="155"/>
      <c r="J248" s="15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54"/>
      <c r="G249" s="55">
        <v>11</v>
      </c>
      <c r="H249" s="154"/>
      <c r="I249" s="155"/>
      <c r="J249" s="15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54"/>
      <c r="G250" s="55">
        <v>7</v>
      </c>
      <c r="H250" s="154"/>
      <c r="I250" s="155"/>
      <c r="J250" s="15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54"/>
      <c r="G251" s="55">
        <v>10</v>
      </c>
      <c r="H251" s="154"/>
      <c r="I251" s="155"/>
      <c r="J251" s="15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54"/>
      <c r="G252" s="55">
        <v>13</v>
      </c>
      <c r="H252" s="154"/>
      <c r="I252" s="155"/>
      <c r="J252" s="15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54"/>
      <c r="G253" s="55">
        <v>15</v>
      </c>
      <c r="H253" s="154"/>
      <c r="I253" s="155"/>
      <c r="J253" s="15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54"/>
      <c r="G254" s="55">
        <v>10</v>
      </c>
      <c r="H254" s="154"/>
      <c r="I254" s="155"/>
      <c r="J254" s="15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54"/>
      <c r="G255" s="55">
        <v>8</v>
      </c>
      <c r="H255" s="154"/>
      <c r="I255" s="155"/>
      <c r="J255" s="15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57"/>
      <c r="G256" s="55">
        <v>7</v>
      </c>
      <c r="H256" s="157"/>
      <c r="I256" s="158"/>
      <c r="J256" s="15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32" t="s">
        <v>241</v>
      </c>
      <c r="B257" s="133"/>
      <c r="C257" s="133"/>
      <c r="D257" s="133"/>
      <c r="E257" s="133"/>
      <c r="F257" s="165"/>
      <c r="G257" s="166">
        <f>SUM(G245:G256)</f>
        <v>113</v>
      </c>
      <c r="H257" s="165"/>
      <c r="I257" s="167"/>
      <c r="J257" s="16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60"/>
      <c r="G258" s="55">
        <v>9</v>
      </c>
      <c r="H258" s="160"/>
      <c r="I258" s="161"/>
      <c r="J258" s="16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54"/>
      <c r="G259" s="55">
        <v>15</v>
      </c>
      <c r="H259" s="154"/>
      <c r="I259" s="155"/>
      <c r="J259" s="15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54"/>
      <c r="G260" s="55">
        <v>7</v>
      </c>
      <c r="H260" s="154"/>
      <c r="I260" s="155"/>
      <c r="J260" s="15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54"/>
      <c r="G261" s="27">
        <v>6</v>
      </c>
      <c r="H261" s="154"/>
      <c r="I261" s="155"/>
      <c r="J261" s="15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54"/>
      <c r="G262" s="27">
        <v>10</v>
      </c>
      <c r="H262" s="154"/>
      <c r="I262" s="155"/>
      <c r="J262" s="15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54"/>
      <c r="G263" s="27">
        <v>8</v>
      </c>
      <c r="H263" s="154"/>
      <c r="I263" s="155"/>
      <c r="J263" s="15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54"/>
      <c r="G264" s="27">
        <v>3</v>
      </c>
      <c r="H264" s="154"/>
      <c r="I264" s="155"/>
      <c r="J264" s="15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54"/>
      <c r="G265" s="27">
        <v>0</v>
      </c>
      <c r="H265" s="154"/>
      <c r="I265" s="155"/>
      <c r="J265" s="15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54"/>
      <c r="G266" s="27">
        <v>0</v>
      </c>
      <c r="H266" s="154"/>
      <c r="I266" s="155"/>
      <c r="J266" s="15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54"/>
      <c r="G267" s="27">
        <v>0</v>
      </c>
      <c r="H267" s="154"/>
      <c r="I267" s="155"/>
      <c r="J267" s="15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54"/>
      <c r="G268" s="27">
        <v>0</v>
      </c>
      <c r="H268" s="154"/>
      <c r="I268" s="155"/>
      <c r="J268" s="15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57"/>
      <c r="G269" s="27">
        <v>0</v>
      </c>
      <c r="H269" s="157"/>
      <c r="I269" s="158"/>
      <c r="J269" s="15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32" t="s">
        <v>244</v>
      </c>
      <c r="B270" s="133"/>
      <c r="C270" s="133"/>
      <c r="D270" s="133"/>
      <c r="E270" s="13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34" t="s">
        <v>245</v>
      </c>
      <c r="B271" s="135"/>
      <c r="C271" s="135"/>
      <c r="D271" s="135"/>
      <c r="E271" s="135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60"/>
      <c r="G272" s="27">
        <v>4</v>
      </c>
      <c r="H272" s="160"/>
      <c r="I272" s="161"/>
      <c r="J272" s="16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54"/>
      <c r="G273" s="27">
        <v>5</v>
      </c>
      <c r="H273" s="154"/>
      <c r="I273" s="155"/>
      <c r="J273" s="15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54"/>
      <c r="G274" s="27">
        <v>8</v>
      </c>
      <c r="H274" s="154"/>
      <c r="I274" s="155"/>
      <c r="J274" s="15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54"/>
      <c r="G275" s="27">
        <v>5</v>
      </c>
      <c r="H275" s="154"/>
      <c r="I275" s="155"/>
      <c r="J275" s="15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54"/>
      <c r="G276" s="27">
        <v>7</v>
      </c>
      <c r="H276" s="154"/>
      <c r="I276" s="155"/>
      <c r="J276" s="15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54"/>
      <c r="G277" s="27">
        <v>15</v>
      </c>
      <c r="H277" s="154"/>
      <c r="I277" s="155"/>
      <c r="J277" s="15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54"/>
      <c r="G278" s="27">
        <v>12</v>
      </c>
      <c r="H278" s="154"/>
      <c r="I278" s="155"/>
      <c r="J278" s="15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54"/>
      <c r="G279" s="27">
        <v>12</v>
      </c>
      <c r="H279" s="154"/>
      <c r="I279" s="155"/>
      <c r="J279" s="15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54"/>
      <c r="G280" s="27">
        <v>6</v>
      </c>
      <c r="H280" s="154"/>
      <c r="I280" s="155"/>
      <c r="J280" s="15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54"/>
      <c r="G281" s="27">
        <v>5</v>
      </c>
      <c r="H281" s="154"/>
      <c r="I281" s="155"/>
      <c r="J281" s="15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54"/>
      <c r="G282" s="27">
        <v>10</v>
      </c>
      <c r="H282" s="154"/>
      <c r="I282" s="155"/>
      <c r="J282" s="15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57"/>
      <c r="G283" s="27">
        <v>6</v>
      </c>
      <c r="H283" s="157"/>
      <c r="I283" s="158"/>
      <c r="J283" s="15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32" t="s">
        <v>241</v>
      </c>
      <c r="B284" s="133"/>
      <c r="C284" s="133"/>
      <c r="D284" s="133"/>
      <c r="E284" s="13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60"/>
      <c r="I285" s="161"/>
      <c r="J285" s="16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54"/>
      <c r="G286" s="27">
        <v>5</v>
      </c>
      <c r="H286" s="154"/>
      <c r="I286" s="155"/>
      <c r="J286" s="15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54"/>
      <c r="G287" s="27">
        <v>6</v>
      </c>
      <c r="H287" s="154"/>
      <c r="I287" s="155"/>
      <c r="J287" s="15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54"/>
      <c r="G288" s="27">
        <v>15</v>
      </c>
      <c r="H288" s="154"/>
      <c r="I288" s="155"/>
      <c r="J288" s="15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54"/>
      <c r="G289" s="27">
        <v>4</v>
      </c>
      <c r="H289" s="154"/>
      <c r="I289" s="155"/>
      <c r="J289" s="15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54"/>
      <c r="G290" s="27">
        <v>5</v>
      </c>
      <c r="H290" s="154"/>
      <c r="I290" s="155"/>
      <c r="J290" s="15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54"/>
      <c r="G291" s="27">
        <v>4</v>
      </c>
      <c r="H291" s="154"/>
      <c r="I291" s="155"/>
      <c r="J291" s="15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54"/>
      <c r="G292" s="27">
        <v>6</v>
      </c>
      <c r="H292" s="154"/>
      <c r="I292" s="155"/>
      <c r="J292" s="15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54"/>
      <c r="G293" s="27">
        <v>9</v>
      </c>
      <c r="H293" s="154"/>
      <c r="I293" s="155"/>
      <c r="J293" s="15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54"/>
      <c r="G294" s="27">
        <v>8</v>
      </c>
      <c r="H294" s="154"/>
      <c r="I294" s="155"/>
      <c r="J294" s="15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54"/>
      <c r="G295" s="27">
        <v>8</v>
      </c>
      <c r="H295" s="154"/>
      <c r="I295" s="155"/>
      <c r="J295" s="15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57"/>
      <c r="G296" s="27">
        <v>9</v>
      </c>
      <c r="H296" s="157"/>
      <c r="I296" s="158"/>
      <c r="J296" s="15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32" t="s">
        <v>244</v>
      </c>
      <c r="B297" s="133"/>
      <c r="C297" s="133"/>
      <c r="D297" s="133"/>
      <c r="E297" s="13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34" t="s">
        <v>245</v>
      </c>
      <c r="B298" s="135"/>
      <c r="C298" s="135"/>
      <c r="D298" s="135"/>
      <c r="E298" s="135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60">
        <f>IFERROR(IF($D299="","",VLOOKUP($D299,Cadastro!$C$4:$E$7,3,FALSE)),"")</f>
        <v>0.23</v>
      </c>
      <c r="G299" s="27">
        <v>8</v>
      </c>
      <c r="H299" s="160">
        <f>IFERROR(IF($G299="","",$G299*$S$311/$G$311/Cadastro!$E$33),"")</f>
        <v>0</v>
      </c>
      <c r="I299" s="161">
        <f>IFERROR(IF($D299="","",VLOOKUP($D299,Cadastro!$C$4:$G$7,5,FALSE)),"")</f>
        <v>0.6</v>
      </c>
      <c r="J299" s="162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54">
        <f>IFERROR(IF($D300="","",VLOOKUP($D300,Cadastro!$C$4:$E$7,3,FALSE)),"")</f>
        <v>0.23</v>
      </c>
      <c r="G300" s="27">
        <v>10</v>
      </c>
      <c r="H300" s="154">
        <f>IFERROR(IF($G300="","",$G300*$S$311/$G$311/Cadastro!$E$33),"")</f>
        <v>0</v>
      </c>
      <c r="I300" s="155">
        <f>IFERROR(IF($D300="","",VLOOKUP($D300,Cadastro!$C$4:$G$7,5,FALSE)),"")</f>
        <v>0.6</v>
      </c>
      <c r="J300" s="156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54">
        <f>IFERROR(IF($D301="","",VLOOKUP($D301,Cadastro!$C$4:$E$7,3,FALSE)),"")</f>
        <v>0.23</v>
      </c>
      <c r="G301" s="27">
        <v>14</v>
      </c>
      <c r="H301" s="154">
        <f>IFERROR(IF($G301="","",$G301*$S$311/$G$311/Cadastro!$E$33),"")</f>
        <v>0</v>
      </c>
      <c r="I301" s="155">
        <f>IFERROR(IF($D301="","",VLOOKUP($D301,Cadastro!$C$4:$G$7,5,FALSE)),"")</f>
        <v>0.6</v>
      </c>
      <c r="J301" s="156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5.2207060187356547E-2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54">
        <f>IFERROR(IF($D302="","",VLOOKUP($D302,Cadastro!$C$4:$E$7,3,FALSE)),"")</f>
        <v>0.23</v>
      </c>
      <c r="G302" s="27">
        <v>15</v>
      </c>
      <c r="H302" s="154">
        <f>IFERROR(IF($G302="","",$G302*$S$311/$G$311/Cadastro!$E$33),"")</f>
        <v>0</v>
      </c>
      <c r="I302" s="155">
        <f>IFERROR(IF($D302="","",VLOOKUP($D302,Cadastro!$C$4:$G$7,5,FALSE)),"")</f>
        <v>0.6</v>
      </c>
      <c r="J302" s="156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54">
        <f>IFERROR(IF($D303="","",VLOOKUP($D303,Cadastro!$C$4:$E$7,3,FALSE)),"")</f>
        <v>0.23</v>
      </c>
      <c r="G303" s="27">
        <v>11</v>
      </c>
      <c r="H303" s="154">
        <f>IFERROR(IF($G303="","",$G303*$S$311/$G$311/Cadastro!$E$33),"")</f>
        <v>0</v>
      </c>
      <c r="I303" s="155">
        <f>IFERROR(IF($D303="","",VLOOKUP($D303,Cadastro!$C$4:$G$7,5,FALSE)),"")</f>
        <v>0.6</v>
      </c>
      <c r="J303" s="156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54">
        <f>IFERROR(IF($D304="","",VLOOKUP($D304,Cadastro!$C$4:$E$7,3,FALSE)),"")</f>
        <v>0.23</v>
      </c>
      <c r="G304" s="27">
        <v>16</v>
      </c>
      <c r="H304" s="154">
        <f>IFERROR(IF($G304="","",$G304*$S$311/$G$311/Cadastro!$E$33),"")</f>
        <v>0</v>
      </c>
      <c r="I304" s="155">
        <f>IFERROR(IF($D304="","",VLOOKUP($D304,Cadastro!$C$4:$G$7,5,FALSE)),"")</f>
        <v>0.6</v>
      </c>
      <c r="J304" s="156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54">
        <f>IFERROR(IF($D305="","",VLOOKUP($D305,Cadastro!$C$4:$E$7,3,FALSE)),"")</f>
        <v>0.23</v>
      </c>
      <c r="G305" s="27">
        <v>5</v>
      </c>
      <c r="H305" s="154">
        <f>IFERROR(IF($G305="","",$G305*$S$311/$G$311/Cadastro!$E$33),"")</f>
        <v>0</v>
      </c>
      <c r="I305" s="155">
        <f>IFERROR(IF($D305="","",VLOOKUP($D305,Cadastro!$C$4:$G$7,5,FALSE)),"")</f>
        <v>0.6</v>
      </c>
      <c r="J305" s="156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54">
        <f>IFERROR(IF($D306="","",VLOOKUP($D306,Cadastro!$C$4:$E$7,3,FALSE)),"")</f>
        <v>0.23</v>
      </c>
      <c r="G306" s="106"/>
      <c r="H306" s="154" t="str">
        <f>IFERROR(IF($G306="","",$G306*$S$311/$G$311/Cadastro!$E$33),"")</f>
        <v/>
      </c>
      <c r="I306" s="155">
        <f>IFERROR(IF($D306="","",VLOOKUP($D306,Cadastro!$C$4:$G$7,5,FALSE)),"")</f>
        <v>0.6</v>
      </c>
      <c r="J306" s="156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54">
        <f>IFERROR(IF($D307="","",VLOOKUP($D307,Cadastro!$C$4:$E$7,3,FALSE)),"")</f>
        <v>0.23</v>
      </c>
      <c r="G307" s="106"/>
      <c r="H307" s="154" t="str">
        <f>IFERROR(IF($G307="","",$G307*$S$311/$G$311/Cadastro!$E$33),"")</f>
        <v/>
      </c>
      <c r="I307" s="155">
        <f>IFERROR(IF($D307="","",VLOOKUP($D307,Cadastro!$C$4:$G$7,5,FALSE)),"")</f>
        <v>0.6</v>
      </c>
      <c r="J307" s="156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54">
        <f>IFERROR(IF($D308="","",VLOOKUP($D308,Cadastro!$C$4:$E$7,3,FALSE)),"")</f>
        <v>0.23</v>
      </c>
      <c r="G308" s="106"/>
      <c r="H308" s="154" t="str">
        <f>IFERROR(IF($G308="","",$G308*$S$311/$G$311/Cadastro!$E$33),"")</f>
        <v/>
      </c>
      <c r="I308" s="155">
        <f>IFERROR(IF($D308="","",VLOOKUP($D308,Cadastro!$C$4:$G$7,5,FALSE)),"")</f>
        <v>0.6</v>
      </c>
      <c r="J308" s="156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54">
        <f>IFERROR(IF($D309="","",VLOOKUP($D309,Cadastro!$C$4:$E$7,3,FALSE)),"")</f>
        <v>0.23</v>
      </c>
      <c r="G309" s="106"/>
      <c r="H309" s="154" t="str">
        <f>IFERROR(IF($G309="","",$G309*$S$311/$G$311/Cadastro!$E$33),"")</f>
        <v/>
      </c>
      <c r="I309" s="155">
        <f>IFERROR(IF($D309="","",VLOOKUP($D309,Cadastro!$C$4:$G$7,5,FALSE)),"")</f>
        <v>0.6</v>
      </c>
      <c r="J309" s="156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57">
        <f>IFERROR(IF($D310="","",VLOOKUP($D310,Cadastro!$C$4:$E$7,3,FALSE)),"")</f>
        <v>0.23</v>
      </c>
      <c r="G310" s="106"/>
      <c r="H310" s="157" t="str">
        <f>IFERROR(IF($G310="","",$G310*$S$311/$G$311/Cadastro!$E$33),"")</f>
        <v/>
      </c>
      <c r="I310" s="158">
        <f>IFERROR(IF($D310="","",VLOOKUP($D310,Cadastro!$C$4:$G$7,5,FALSE)),"")</f>
        <v>0.6</v>
      </c>
      <c r="J310" s="159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32" t="s">
        <v>241</v>
      </c>
      <c r="B311" s="133"/>
      <c r="C311" s="133"/>
      <c r="D311" s="133"/>
      <c r="E311" s="13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6.2623726854023232E-2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60" t="str">
        <f>IFERROR(IF($D312="","",VLOOKUP($D312,Cadastro!$C$4:$E$7,3,FALSE)),"")</f>
        <v/>
      </c>
      <c r="G312" s="106"/>
      <c r="H312" s="160" t="str">
        <f>IFERROR(IF($G312="","",$G312*$S$324/$G$324/Cadastro!$E$33),"")</f>
        <v/>
      </c>
      <c r="I312" s="161" t="str">
        <f>IFERROR(IF($D312="","",VLOOKUP($D312,Cadastro!$C$4:$G$7,5,FALSE)),"")</f>
        <v/>
      </c>
      <c r="J312" s="162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54" t="str">
        <f>IFERROR(IF($D313="","",VLOOKUP($D313,Cadastro!$C$4:$E$7,3,FALSE)),"")</f>
        <v/>
      </c>
      <c r="G313" s="106"/>
      <c r="H313" s="154" t="str">
        <f>IFERROR(IF($G313="","",$G313*$S$324/$G$324/Cadastro!$E$33),"")</f>
        <v/>
      </c>
      <c r="I313" s="155" t="str">
        <f>IFERROR(IF($D313="","",VLOOKUP($D313,Cadastro!$C$4:$G$7,5,FALSE)),"")</f>
        <v/>
      </c>
      <c r="J313" s="156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54" t="str">
        <f>IFERROR(IF($D314="","",VLOOKUP($D314,Cadastro!$C$4:$E$7,3,FALSE)),"")</f>
        <v/>
      </c>
      <c r="G314" s="106"/>
      <c r="H314" s="154" t="str">
        <f>IFERROR(IF($G314="","",$G314*$S$324/$G$324/Cadastro!$E$33),"")</f>
        <v/>
      </c>
      <c r="I314" s="155" t="str">
        <f>IFERROR(IF($D314="","",VLOOKUP($D314,Cadastro!$C$4:$G$7,5,FALSE)),"")</f>
        <v/>
      </c>
      <c r="J314" s="156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54" t="str">
        <f>IFERROR(IF($D315="","",VLOOKUP($D315,Cadastro!$C$4:$E$7,3,FALSE)),"")</f>
        <v/>
      </c>
      <c r="G315" s="106"/>
      <c r="H315" s="154" t="str">
        <f>IFERROR(IF($G315="","",$G315*$S$324/$G$324/Cadastro!$E$33),"")</f>
        <v/>
      </c>
      <c r="I315" s="155" t="str">
        <f>IFERROR(IF($D315="","",VLOOKUP($D315,Cadastro!$C$4:$G$7,5,FALSE)),"")</f>
        <v/>
      </c>
      <c r="J315" s="156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54" t="str">
        <f>IFERROR(IF($D316="","",VLOOKUP($D316,Cadastro!$C$4:$E$7,3,FALSE)),"")</f>
        <v/>
      </c>
      <c r="G316" s="106"/>
      <c r="H316" s="154" t="str">
        <f>IFERROR(IF($G316="","",$G316*$S$324/$G$324/Cadastro!$E$33),"")</f>
        <v/>
      </c>
      <c r="I316" s="155" t="str">
        <f>IFERROR(IF($D316="","",VLOOKUP($D316,Cadastro!$C$4:$G$7,5,FALSE)),"")</f>
        <v/>
      </c>
      <c r="J316" s="156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54" t="str">
        <f>IFERROR(IF($D317="","",VLOOKUP($D317,Cadastro!$C$4:$E$7,3,FALSE)),"")</f>
        <v/>
      </c>
      <c r="G317" s="106"/>
      <c r="H317" s="154" t="str">
        <f>IFERROR(IF($G317="","",$G317*$S$324/$G$324/Cadastro!$E$33),"")</f>
        <v/>
      </c>
      <c r="I317" s="155" t="str">
        <f>IFERROR(IF($D317="","",VLOOKUP($D317,Cadastro!$C$4:$G$7,5,FALSE)),"")</f>
        <v/>
      </c>
      <c r="J317" s="156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54" t="str">
        <f>IFERROR(IF($D318="","",VLOOKUP($D318,Cadastro!$C$4:$E$7,3,FALSE)),"")</f>
        <v/>
      </c>
      <c r="G318" s="106"/>
      <c r="H318" s="154" t="str">
        <f>IFERROR(IF($G318="","",$G318*$S$324/$G$324/Cadastro!$E$33),"")</f>
        <v/>
      </c>
      <c r="I318" s="155" t="str">
        <f>IFERROR(IF($D318="","",VLOOKUP($D318,Cadastro!$C$4:$G$7,5,FALSE)),"")</f>
        <v/>
      </c>
      <c r="J318" s="156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54" t="str">
        <f>IFERROR(IF($D319="","",VLOOKUP($D319,Cadastro!$C$4:$E$7,3,FALSE)),"")</f>
        <v/>
      </c>
      <c r="G319" s="106"/>
      <c r="H319" s="154" t="str">
        <f>IFERROR(IF($G319="","",$G319*$S$324/$G$324/Cadastro!$E$33),"")</f>
        <v/>
      </c>
      <c r="I319" s="155" t="str">
        <f>IFERROR(IF($D319="","",VLOOKUP($D319,Cadastro!$C$4:$G$7,5,FALSE)),"")</f>
        <v/>
      </c>
      <c r="J319" s="156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54" t="str">
        <f>IFERROR(IF($D320="","",VLOOKUP($D320,Cadastro!$C$4:$E$7,3,FALSE)),"")</f>
        <v/>
      </c>
      <c r="G320" s="106"/>
      <c r="H320" s="154" t="str">
        <f>IFERROR(IF($G320="","",$G320*$S$324/$G$324/Cadastro!$E$33),"")</f>
        <v/>
      </c>
      <c r="I320" s="155" t="str">
        <f>IFERROR(IF($D320="","",VLOOKUP($D320,Cadastro!$C$4:$G$7,5,FALSE)),"")</f>
        <v/>
      </c>
      <c r="J320" s="156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54" t="str">
        <f>IFERROR(IF($D321="","",VLOOKUP($D321,Cadastro!$C$4:$E$7,3,FALSE)),"")</f>
        <v/>
      </c>
      <c r="G321" s="106"/>
      <c r="H321" s="154" t="str">
        <f>IFERROR(IF($G321="","",$G321*$S$324/$G$324/Cadastro!$E$33),"")</f>
        <v/>
      </c>
      <c r="I321" s="155" t="str">
        <f>IFERROR(IF($D321="","",VLOOKUP($D321,Cadastro!$C$4:$G$7,5,FALSE)),"")</f>
        <v/>
      </c>
      <c r="J321" s="156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54" t="str">
        <f>IFERROR(IF($D322="","",VLOOKUP($D322,Cadastro!$C$4:$E$7,3,FALSE)),"")</f>
        <v/>
      </c>
      <c r="G322" s="106"/>
      <c r="H322" s="154" t="str">
        <f>IFERROR(IF($G322="","",$G322*$S$324/$G$324/Cadastro!$E$33),"")</f>
        <v/>
      </c>
      <c r="I322" s="155" t="str">
        <f>IFERROR(IF($D322="","",VLOOKUP($D322,Cadastro!$C$4:$G$7,5,FALSE)),"")</f>
        <v/>
      </c>
      <c r="J322" s="156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57" t="str">
        <f>IFERROR(IF($D323="","",VLOOKUP($D323,Cadastro!$C$4:$E$7,3,FALSE)),"")</f>
        <v/>
      </c>
      <c r="G323" s="106"/>
      <c r="H323" s="157" t="str">
        <f>IFERROR(IF($G323="","",$G323*$S$324/$G$324/Cadastro!$E$33),"")</f>
        <v/>
      </c>
      <c r="I323" s="158" t="str">
        <f>IFERROR(IF($D323="","",VLOOKUP($D323,Cadastro!$C$4:$G$7,5,FALSE)),"")</f>
        <v/>
      </c>
      <c r="J323" s="159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32" t="s">
        <v>244</v>
      </c>
      <c r="B324" s="133"/>
      <c r="C324" s="133"/>
      <c r="D324" s="133"/>
      <c r="E324" s="13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34" t="s">
        <v>245</v>
      </c>
      <c r="B325" s="135"/>
      <c r="C325" s="135"/>
      <c r="D325" s="135"/>
      <c r="E325" s="135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6.2623726854023232E-2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60" t="str">
        <f>IFERROR(IF($D326="","",VLOOKUP($D326,Cadastro!$C$4:$E$7,3,FALSE)),"")</f>
        <v/>
      </c>
      <c r="G326" s="106"/>
      <c r="H326" s="160" t="str">
        <f>IFERROR(IF($G326="","",$G326*$S$338/$G$338/Cadastro!$E$33),"")</f>
        <v/>
      </c>
      <c r="I326" s="161" t="str">
        <f>IFERROR(IF($D326="","",VLOOKUP($D326,Cadastro!$C$4:$G$7,5,FALSE)),"")</f>
        <v/>
      </c>
      <c r="J326" s="162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54" t="str">
        <f>IFERROR(IF($D327="","",VLOOKUP($D327,Cadastro!$C$4:$E$7,3,FALSE)),"")</f>
        <v/>
      </c>
      <c r="G327" s="106"/>
      <c r="H327" s="154" t="str">
        <f>IFERROR(IF($G327="","",$G327*$S$338/$G$338/Cadastro!$E$33),"")</f>
        <v/>
      </c>
      <c r="I327" s="155" t="str">
        <f>IFERROR(IF($D327="","",VLOOKUP($D327,Cadastro!$C$4:$G$7,5,FALSE)),"")</f>
        <v/>
      </c>
      <c r="J327" s="156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54" t="str">
        <f>IFERROR(IF($D328="","",VLOOKUP($D328,Cadastro!$C$4:$E$7,3,FALSE)),"")</f>
        <v/>
      </c>
      <c r="G328" s="106"/>
      <c r="H328" s="154" t="str">
        <f>IFERROR(IF($G328="","",$G328*$S$338/$G$338/Cadastro!$E$33),"")</f>
        <v/>
      </c>
      <c r="I328" s="155" t="str">
        <f>IFERROR(IF($D328="","",VLOOKUP($D328,Cadastro!$C$4:$G$7,5,FALSE)),"")</f>
        <v/>
      </c>
      <c r="J328" s="156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54" t="str">
        <f>IFERROR(IF($D329="","",VLOOKUP($D329,Cadastro!$C$4:$E$7,3,FALSE)),"")</f>
        <v/>
      </c>
      <c r="G329" s="106"/>
      <c r="H329" s="154" t="str">
        <f>IFERROR(IF($G329="","",$G329*$S$338/$G$338/Cadastro!$E$33),"")</f>
        <v/>
      </c>
      <c r="I329" s="155" t="str">
        <f>IFERROR(IF($D329="","",VLOOKUP($D329,Cadastro!$C$4:$G$7,5,FALSE)),"")</f>
        <v/>
      </c>
      <c r="J329" s="156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54" t="str">
        <f>IFERROR(IF($D330="","",VLOOKUP($D330,Cadastro!$C$4:$E$7,3,FALSE)),"")</f>
        <v/>
      </c>
      <c r="G330" s="106"/>
      <c r="H330" s="154" t="str">
        <f>IFERROR(IF($G330="","",$G330*$S$338/$G$338/Cadastro!$E$33),"")</f>
        <v/>
      </c>
      <c r="I330" s="155" t="str">
        <f>IFERROR(IF($D330="","",VLOOKUP($D330,Cadastro!$C$4:$G$7,5,FALSE)),"")</f>
        <v/>
      </c>
      <c r="J330" s="156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54" t="str">
        <f>IFERROR(IF($D331="","",VLOOKUP($D331,Cadastro!$C$4:$E$7,3,FALSE)),"")</f>
        <v/>
      </c>
      <c r="G331" s="106"/>
      <c r="H331" s="154" t="str">
        <f>IFERROR(IF($G331="","",$G331*$S$338/$G$338/Cadastro!$E$33),"")</f>
        <v/>
      </c>
      <c r="I331" s="155" t="str">
        <f>IFERROR(IF($D331="","",VLOOKUP($D331,Cadastro!$C$4:$G$7,5,FALSE)),"")</f>
        <v/>
      </c>
      <c r="J331" s="156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54" t="str">
        <f>IFERROR(IF($D332="","",VLOOKUP($D332,Cadastro!$C$4:$E$7,3,FALSE)),"")</f>
        <v/>
      </c>
      <c r="G332" s="106"/>
      <c r="H332" s="154" t="str">
        <f>IFERROR(IF($G332="","",$G332*$S$338/$G$338/Cadastro!$E$33),"")</f>
        <v/>
      </c>
      <c r="I332" s="155" t="str">
        <f>IFERROR(IF($D332="","",VLOOKUP($D332,Cadastro!$C$4:$G$7,5,FALSE)),"")</f>
        <v/>
      </c>
      <c r="J332" s="156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54" t="str">
        <f>IFERROR(IF($D333="","",VLOOKUP($D333,Cadastro!$C$4:$E$7,3,FALSE)),"")</f>
        <v/>
      </c>
      <c r="G333" s="106"/>
      <c r="H333" s="154" t="str">
        <f>IFERROR(IF($G333="","",$G333*$S$338/$G$338/Cadastro!$E$33),"")</f>
        <v/>
      </c>
      <c r="I333" s="155" t="str">
        <f>IFERROR(IF($D333="","",VLOOKUP($D333,Cadastro!$C$4:$G$7,5,FALSE)),"")</f>
        <v/>
      </c>
      <c r="J333" s="156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54" t="str">
        <f>IFERROR(IF($D334="","",VLOOKUP($D334,Cadastro!$C$4:$E$7,3,FALSE)),"")</f>
        <v/>
      </c>
      <c r="G334" s="106"/>
      <c r="H334" s="154" t="str">
        <f>IFERROR(IF($G334="","",$G334*$S$338/$G$338/Cadastro!$E$33),"")</f>
        <v/>
      </c>
      <c r="I334" s="155" t="str">
        <f>IFERROR(IF($D334="","",VLOOKUP($D334,Cadastro!$C$4:$G$7,5,FALSE)),"")</f>
        <v/>
      </c>
      <c r="J334" s="156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54" t="str">
        <f>IFERROR(IF($D335="","",VLOOKUP($D335,Cadastro!$C$4:$E$7,3,FALSE)),"")</f>
        <v/>
      </c>
      <c r="G335" s="106"/>
      <c r="H335" s="154" t="str">
        <f>IFERROR(IF($G335="","",$G335*$S$338/$G$338/Cadastro!$E$33),"")</f>
        <v/>
      </c>
      <c r="I335" s="155" t="str">
        <f>IFERROR(IF($D335="","",VLOOKUP($D335,Cadastro!$C$4:$G$7,5,FALSE)),"")</f>
        <v/>
      </c>
      <c r="J335" s="156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54" t="str">
        <f>IFERROR(IF($D336="","",VLOOKUP($D336,Cadastro!$C$4:$E$7,3,FALSE)),"")</f>
        <v/>
      </c>
      <c r="G336" s="106"/>
      <c r="H336" s="154" t="str">
        <f>IFERROR(IF($G336="","",$G336*$S$338/$G$338/Cadastro!$E$33),"")</f>
        <v/>
      </c>
      <c r="I336" s="155" t="str">
        <f>IFERROR(IF($D336="","",VLOOKUP($D336,Cadastro!$C$4:$G$7,5,FALSE)),"")</f>
        <v/>
      </c>
      <c r="J336" s="156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57" t="str">
        <f>IFERROR(IF($D337="","",VLOOKUP($D337,Cadastro!$C$4:$E$7,3,FALSE)),"")</f>
        <v/>
      </c>
      <c r="G337" s="106"/>
      <c r="H337" s="157" t="str">
        <f>IFERROR(IF($G337="","",$G337*$S$338/$G$338/Cadastro!$E$33),"")</f>
        <v/>
      </c>
      <c r="I337" s="158" t="str">
        <f>IFERROR(IF($D337="","",VLOOKUP($D337,Cadastro!$C$4:$G$7,5,FALSE)),"")</f>
        <v/>
      </c>
      <c r="J337" s="159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32" t="s">
        <v>241</v>
      </c>
      <c r="B338" s="133"/>
      <c r="C338" s="133"/>
      <c r="D338" s="133"/>
      <c r="E338" s="13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60" t="str">
        <f>IFERROR(IF($D339="","",VLOOKUP($D339,Cadastro!$C$4:$E$7,3,FALSE)),"")</f>
        <v/>
      </c>
      <c r="G339" s="106"/>
      <c r="H339" s="160" t="str">
        <f>IFERROR(IF($G339="","",$G339*$S$351/$G$351/Cadastro!$E$33),"")</f>
        <v/>
      </c>
      <c r="I339" s="161" t="str">
        <f>IFERROR(IF($D339="","",VLOOKUP($D339,Cadastro!$C$4:$G$7,5,FALSE)),"")</f>
        <v/>
      </c>
      <c r="J339" s="162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54" t="str">
        <f>IFERROR(IF($D340="","",VLOOKUP($D340,Cadastro!$C$4:$E$7,3,FALSE)),"")</f>
        <v/>
      </c>
      <c r="G340" s="106"/>
      <c r="H340" s="154" t="str">
        <f>IFERROR(IF($G340="","",$G340*$S$351/$G$351/Cadastro!$E$33),"")</f>
        <v/>
      </c>
      <c r="I340" s="155" t="str">
        <f>IFERROR(IF($D340="","",VLOOKUP($D340,Cadastro!$C$4:$G$7,5,FALSE)),"")</f>
        <v/>
      </c>
      <c r="J340" s="156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54" t="str">
        <f>IFERROR(IF($D341="","",VLOOKUP($D341,Cadastro!$C$4:$E$7,3,FALSE)),"")</f>
        <v/>
      </c>
      <c r="G341" s="106"/>
      <c r="H341" s="154" t="str">
        <f>IFERROR(IF($G341="","",$G341*$S$351/$G$351/Cadastro!$E$33),"")</f>
        <v/>
      </c>
      <c r="I341" s="155" t="str">
        <f>IFERROR(IF($D341="","",VLOOKUP($D341,Cadastro!$C$4:$G$7,5,FALSE)),"")</f>
        <v/>
      </c>
      <c r="J341" s="156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54" t="str">
        <f>IFERROR(IF($D342="","",VLOOKUP($D342,Cadastro!$C$4:$E$7,3,FALSE)),"")</f>
        <v/>
      </c>
      <c r="G342" s="106"/>
      <c r="H342" s="154" t="str">
        <f>IFERROR(IF($G342="","",$G342*$S$351/$G$351/Cadastro!$E$33),"")</f>
        <v/>
      </c>
      <c r="I342" s="155" t="str">
        <f>IFERROR(IF($D342="","",VLOOKUP($D342,Cadastro!$C$4:$G$7,5,FALSE)),"")</f>
        <v/>
      </c>
      <c r="J342" s="156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54" t="str">
        <f>IFERROR(IF($D343="","",VLOOKUP($D343,Cadastro!$C$4:$E$7,3,FALSE)),"")</f>
        <v/>
      </c>
      <c r="G343" s="106"/>
      <c r="H343" s="154" t="str">
        <f>IFERROR(IF($G343="","",$G343*$S$351/$G$351/Cadastro!$E$33),"")</f>
        <v/>
      </c>
      <c r="I343" s="155" t="str">
        <f>IFERROR(IF($D343="","",VLOOKUP($D343,Cadastro!$C$4:$G$7,5,FALSE)),"")</f>
        <v/>
      </c>
      <c r="J343" s="156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54" t="str">
        <f>IFERROR(IF($D344="","",VLOOKUP($D344,Cadastro!$C$4:$E$7,3,FALSE)),"")</f>
        <v/>
      </c>
      <c r="G344" s="106"/>
      <c r="H344" s="154" t="str">
        <f>IFERROR(IF($G344="","",$G344*$S$351/$G$351/Cadastro!$E$33),"")</f>
        <v/>
      </c>
      <c r="I344" s="155" t="str">
        <f>IFERROR(IF($D344="","",VLOOKUP($D344,Cadastro!$C$4:$G$7,5,FALSE)),"")</f>
        <v/>
      </c>
      <c r="J344" s="156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54" t="str">
        <f>IFERROR(IF($D345="","",VLOOKUP($D345,Cadastro!$C$4:$E$7,3,FALSE)),"")</f>
        <v/>
      </c>
      <c r="G345" s="106"/>
      <c r="H345" s="154" t="str">
        <f>IFERROR(IF($G345="","",$G345*$S$351/$G$351/Cadastro!$E$33),"")</f>
        <v/>
      </c>
      <c r="I345" s="155" t="str">
        <f>IFERROR(IF($D345="","",VLOOKUP($D345,Cadastro!$C$4:$G$7,5,FALSE)),"")</f>
        <v/>
      </c>
      <c r="J345" s="156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54" t="str">
        <f>IFERROR(IF($D346="","",VLOOKUP($D346,Cadastro!$C$4:$E$7,3,FALSE)),"")</f>
        <v/>
      </c>
      <c r="G346" s="106"/>
      <c r="H346" s="154" t="str">
        <f>IFERROR(IF($G346="","",$G346*$S$351/$G$351/Cadastro!$E$33),"")</f>
        <v/>
      </c>
      <c r="I346" s="155" t="str">
        <f>IFERROR(IF($D346="","",VLOOKUP($D346,Cadastro!$C$4:$G$7,5,FALSE)),"")</f>
        <v/>
      </c>
      <c r="J346" s="156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54" t="str">
        <f>IFERROR(IF($D347="","",VLOOKUP($D347,Cadastro!$C$4:$E$7,3,FALSE)),"")</f>
        <v/>
      </c>
      <c r="G347" s="106"/>
      <c r="H347" s="154" t="str">
        <f>IFERROR(IF($G347="","",$G347*$S$351/$G$351/Cadastro!$E$33),"")</f>
        <v/>
      </c>
      <c r="I347" s="155" t="str">
        <f>IFERROR(IF($D347="","",VLOOKUP($D347,Cadastro!$C$4:$G$7,5,FALSE)),"")</f>
        <v/>
      </c>
      <c r="J347" s="156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54" t="str">
        <f>IFERROR(IF($D348="","",VLOOKUP($D348,Cadastro!$C$4:$E$7,3,FALSE)),"")</f>
        <v/>
      </c>
      <c r="G348" s="106"/>
      <c r="H348" s="154" t="str">
        <f>IFERROR(IF($G348="","",$G348*$S$351/$G$351/Cadastro!$E$33),"")</f>
        <v/>
      </c>
      <c r="I348" s="155" t="str">
        <f>IFERROR(IF($D348="","",VLOOKUP($D348,Cadastro!$C$4:$G$7,5,FALSE)),"")</f>
        <v/>
      </c>
      <c r="J348" s="156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54" t="str">
        <f>IFERROR(IF($D349="","",VLOOKUP($D349,Cadastro!$C$4:$E$7,3,FALSE)),"")</f>
        <v/>
      </c>
      <c r="G349" s="106"/>
      <c r="H349" s="154" t="str">
        <f>IFERROR(IF($G349="","",$G349*$S$351/$G$351/Cadastro!$E$33),"")</f>
        <v/>
      </c>
      <c r="I349" s="155" t="str">
        <f>IFERROR(IF($D349="","",VLOOKUP($D349,Cadastro!$C$4:$G$7,5,FALSE)),"")</f>
        <v/>
      </c>
      <c r="J349" s="156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57" t="str">
        <f>IFERROR(IF($D350="","",VLOOKUP($D350,Cadastro!$C$4:$E$7,3,FALSE)),"")</f>
        <v/>
      </c>
      <c r="G350" s="106"/>
      <c r="H350" s="157" t="str">
        <f>IFERROR(IF($G350="","",$G350*$S$351/$G$351/Cadastro!$E$33),"")</f>
        <v/>
      </c>
      <c r="I350" s="158" t="str">
        <f>IFERROR(IF($D350="","",VLOOKUP($D350,Cadastro!$C$4:$G$7,5,FALSE)),"")</f>
        <v/>
      </c>
      <c r="J350" s="159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32" t="s">
        <v>244</v>
      </c>
      <c r="B351" s="133"/>
      <c r="C351" s="133"/>
      <c r="D351" s="133"/>
      <c r="E351" s="13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34" t="s">
        <v>245</v>
      </c>
      <c r="B352" s="135"/>
      <c r="C352" s="135"/>
      <c r="D352" s="135"/>
      <c r="E352" s="135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60" t="str">
        <f>IFERROR(IF($D353="","",VLOOKUP($D353,Cadastro!$C$4:$E$7,3,FALSE)),"")</f>
        <v/>
      </c>
      <c r="G353" s="106"/>
      <c r="H353" s="160" t="str">
        <f>IFERROR(IF($G353="","",$G353*$S$365/$G$365/Cadastro!$E$33),"")</f>
        <v/>
      </c>
      <c r="I353" s="161" t="str">
        <f>IFERROR(IF($D353="","",VLOOKUP($D353,Cadastro!$C$4:$G$7,5,FALSE)),"")</f>
        <v/>
      </c>
      <c r="J353" s="162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54" t="str">
        <f>IFERROR(IF($D354="","",VLOOKUP($D354,Cadastro!$C$4:$E$7,3,FALSE)),"")</f>
        <v/>
      </c>
      <c r="G354" s="106"/>
      <c r="H354" s="154" t="str">
        <f>IFERROR(IF($G354="","",$G354*$S$365/$G$365/Cadastro!$E$33),"")</f>
        <v/>
      </c>
      <c r="I354" s="155" t="str">
        <f>IFERROR(IF($D354="","",VLOOKUP($D354,Cadastro!$C$4:$G$7,5,FALSE)),"")</f>
        <v/>
      </c>
      <c r="J354" s="156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54" t="str">
        <f>IFERROR(IF($D355="","",VLOOKUP($D355,Cadastro!$C$4:$E$7,3,FALSE)),"")</f>
        <v/>
      </c>
      <c r="G355" s="106"/>
      <c r="H355" s="154" t="str">
        <f>IFERROR(IF($G355="","",$G355*$S$365/$G$365/Cadastro!$E$33),"")</f>
        <v/>
      </c>
      <c r="I355" s="155" t="str">
        <f>IFERROR(IF($D355="","",VLOOKUP($D355,Cadastro!$C$4:$G$7,5,FALSE)),"")</f>
        <v/>
      </c>
      <c r="J355" s="156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54" t="str">
        <f>IFERROR(IF($D356="","",VLOOKUP($D356,Cadastro!$C$4:$E$7,3,FALSE)),"")</f>
        <v/>
      </c>
      <c r="G356" s="106"/>
      <c r="H356" s="154" t="str">
        <f>IFERROR(IF($G356="","",$G356*$S$365/$G$365/Cadastro!$E$33),"")</f>
        <v/>
      </c>
      <c r="I356" s="155" t="str">
        <f>IFERROR(IF($D356="","",VLOOKUP($D356,Cadastro!$C$4:$G$7,5,FALSE)),"")</f>
        <v/>
      </c>
      <c r="J356" s="156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54" t="str">
        <f>IFERROR(IF($D357="","",VLOOKUP($D357,Cadastro!$C$4:$E$7,3,FALSE)),"")</f>
        <v/>
      </c>
      <c r="G357" s="106"/>
      <c r="H357" s="154" t="str">
        <f>IFERROR(IF($G357="","",$G357*$S$365/$G$365/Cadastro!$E$33),"")</f>
        <v/>
      </c>
      <c r="I357" s="155" t="str">
        <f>IFERROR(IF($D357="","",VLOOKUP($D357,Cadastro!$C$4:$G$7,5,FALSE)),"")</f>
        <v/>
      </c>
      <c r="J357" s="156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54" t="str">
        <f>IFERROR(IF($D358="","",VLOOKUP($D358,Cadastro!$C$4:$E$7,3,FALSE)),"")</f>
        <v/>
      </c>
      <c r="G358" s="106"/>
      <c r="H358" s="154" t="str">
        <f>IFERROR(IF($G358="","",$G358*$S$365/$G$365/Cadastro!$E$33),"")</f>
        <v/>
      </c>
      <c r="I358" s="155" t="str">
        <f>IFERROR(IF($D358="","",VLOOKUP($D358,Cadastro!$C$4:$G$7,5,FALSE)),"")</f>
        <v/>
      </c>
      <c r="J358" s="156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54" t="str">
        <f>IFERROR(IF($D359="","",VLOOKUP($D359,Cadastro!$C$4:$E$7,3,FALSE)),"")</f>
        <v/>
      </c>
      <c r="G359" s="106"/>
      <c r="H359" s="154" t="str">
        <f>IFERROR(IF($G359="","",$G359*$S$365/$G$365/Cadastro!$E$33),"")</f>
        <v/>
      </c>
      <c r="I359" s="155" t="str">
        <f>IFERROR(IF($D359="","",VLOOKUP($D359,Cadastro!$C$4:$G$7,5,FALSE)),"")</f>
        <v/>
      </c>
      <c r="J359" s="156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54" t="str">
        <f>IFERROR(IF($D360="","",VLOOKUP($D360,Cadastro!$C$4:$E$7,3,FALSE)),"")</f>
        <v/>
      </c>
      <c r="G360" s="106"/>
      <c r="H360" s="154" t="str">
        <f>IFERROR(IF($G360="","",$G360*$S$365/$G$365/Cadastro!$E$33),"")</f>
        <v/>
      </c>
      <c r="I360" s="155" t="str">
        <f>IFERROR(IF($D360="","",VLOOKUP($D360,Cadastro!$C$4:$G$7,5,FALSE)),"")</f>
        <v/>
      </c>
      <c r="J360" s="156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54" t="str">
        <f>IFERROR(IF($D361="","",VLOOKUP($D361,Cadastro!$C$4:$E$7,3,FALSE)),"")</f>
        <v/>
      </c>
      <c r="G361" s="106"/>
      <c r="H361" s="154" t="str">
        <f>IFERROR(IF($G361="","",$G361*$S$365/$G$365/Cadastro!$E$33),"")</f>
        <v/>
      </c>
      <c r="I361" s="155" t="str">
        <f>IFERROR(IF($D361="","",VLOOKUP($D361,Cadastro!$C$4:$G$7,5,FALSE)),"")</f>
        <v/>
      </c>
      <c r="J361" s="156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54" t="str">
        <f>IFERROR(IF($D362="","",VLOOKUP($D362,Cadastro!$C$4:$E$7,3,FALSE)),"")</f>
        <v/>
      </c>
      <c r="G362" s="106"/>
      <c r="H362" s="154" t="str">
        <f>IFERROR(IF($G362="","",$G362*$S$365/$G$365/Cadastro!$E$33),"")</f>
        <v/>
      </c>
      <c r="I362" s="155" t="str">
        <f>IFERROR(IF($D362="","",VLOOKUP($D362,Cadastro!$C$4:$G$7,5,FALSE)),"")</f>
        <v/>
      </c>
      <c r="J362" s="156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54" t="str">
        <f>IFERROR(IF($D363="","",VLOOKUP($D363,Cadastro!$C$4:$E$7,3,FALSE)),"")</f>
        <v/>
      </c>
      <c r="G363" s="106"/>
      <c r="H363" s="154" t="str">
        <f>IFERROR(IF($G363="","",$G363*$S$365/$G$365/Cadastro!$E$33),"")</f>
        <v/>
      </c>
      <c r="I363" s="155" t="str">
        <f>IFERROR(IF($D363="","",VLOOKUP($D363,Cadastro!$C$4:$G$7,5,FALSE)),"")</f>
        <v/>
      </c>
      <c r="J363" s="156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57" t="str">
        <f>IFERROR(IF($D364="","",VLOOKUP($D364,Cadastro!$C$4:$E$7,3,FALSE)),"")</f>
        <v/>
      </c>
      <c r="G364" s="106"/>
      <c r="H364" s="157" t="str">
        <f>IFERROR(IF($G364="","",$G364*$S$365/$G$365/Cadastro!$E$33),"")</f>
        <v/>
      </c>
      <c r="I364" s="158" t="str">
        <f>IFERROR(IF($D364="","",VLOOKUP($D364,Cadastro!$C$4:$G$7,5,FALSE)),"")</f>
        <v/>
      </c>
      <c r="J364" s="159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32" t="s">
        <v>241</v>
      </c>
      <c r="B365" s="133"/>
      <c r="C365" s="133"/>
      <c r="D365" s="133"/>
      <c r="E365" s="13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60" t="str">
        <f>IFERROR(IF($D366="","",VLOOKUP($D366,Cadastro!$C$4:$E$7,3,FALSE)),"")</f>
        <v/>
      </c>
      <c r="G366" s="106"/>
      <c r="H366" s="160" t="str">
        <f>IFERROR(IF($G366="","",$G366*$S$378/$G$378/Cadastro!$E$33),"")</f>
        <v/>
      </c>
      <c r="I366" s="161" t="str">
        <f>IFERROR(IF($D366="","",VLOOKUP($D366,Cadastro!$C$4:$G$7,5,FALSE)),"")</f>
        <v/>
      </c>
      <c r="J366" s="162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54" t="str">
        <f>IFERROR(IF($D367="","",VLOOKUP($D367,Cadastro!$C$4:$E$7,3,FALSE)),"")</f>
        <v/>
      </c>
      <c r="G367" s="106"/>
      <c r="H367" s="154" t="str">
        <f>IFERROR(IF($G367="","",$G367*$S$378/$G$378/Cadastro!$E$33),"")</f>
        <v/>
      </c>
      <c r="I367" s="155" t="str">
        <f>IFERROR(IF($D367="","",VLOOKUP($D367,Cadastro!$C$4:$G$7,5,FALSE)),"")</f>
        <v/>
      </c>
      <c r="J367" s="156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54" t="str">
        <f>IFERROR(IF($D368="","",VLOOKUP($D368,Cadastro!$C$4:$E$7,3,FALSE)),"")</f>
        <v/>
      </c>
      <c r="G368" s="106"/>
      <c r="H368" s="154" t="str">
        <f>IFERROR(IF($G368="","",$G368*$S$378/$G$378/Cadastro!$E$33),"")</f>
        <v/>
      </c>
      <c r="I368" s="155" t="str">
        <f>IFERROR(IF($D368="","",VLOOKUP($D368,Cadastro!$C$4:$G$7,5,FALSE)),"")</f>
        <v/>
      </c>
      <c r="J368" s="156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54" t="str">
        <f>IFERROR(IF($D369="","",VLOOKUP($D369,Cadastro!$C$4:$E$7,3,FALSE)),"")</f>
        <v/>
      </c>
      <c r="G369" s="106"/>
      <c r="H369" s="154" t="str">
        <f>IFERROR(IF($G369="","",$G369*$S$378/$G$378/Cadastro!$E$33),"")</f>
        <v/>
      </c>
      <c r="I369" s="155" t="str">
        <f>IFERROR(IF($D369="","",VLOOKUP($D369,Cadastro!$C$4:$G$7,5,FALSE)),"")</f>
        <v/>
      </c>
      <c r="J369" s="156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54" t="str">
        <f>IFERROR(IF($D370="","",VLOOKUP($D370,Cadastro!$C$4:$E$7,3,FALSE)),"")</f>
        <v/>
      </c>
      <c r="G370" s="106"/>
      <c r="H370" s="154" t="str">
        <f>IFERROR(IF($G370="","",$G370*$S$378/$G$378/Cadastro!$E$33),"")</f>
        <v/>
      </c>
      <c r="I370" s="155" t="str">
        <f>IFERROR(IF($D370="","",VLOOKUP($D370,Cadastro!$C$4:$G$7,5,FALSE)),"")</f>
        <v/>
      </c>
      <c r="J370" s="156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54" t="str">
        <f>IFERROR(IF($D371="","",VLOOKUP($D371,Cadastro!$C$4:$E$7,3,FALSE)),"")</f>
        <v/>
      </c>
      <c r="G371" s="106"/>
      <c r="H371" s="154" t="str">
        <f>IFERROR(IF($G371="","",$G371*$S$378/$G$378/Cadastro!$E$33),"")</f>
        <v/>
      </c>
      <c r="I371" s="155" t="str">
        <f>IFERROR(IF($D371="","",VLOOKUP($D371,Cadastro!$C$4:$G$7,5,FALSE)),"")</f>
        <v/>
      </c>
      <c r="J371" s="156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54" t="str">
        <f>IFERROR(IF($D372="","",VLOOKUP($D372,Cadastro!$C$4:$E$7,3,FALSE)),"")</f>
        <v/>
      </c>
      <c r="G372" s="106"/>
      <c r="H372" s="154" t="str">
        <f>IFERROR(IF($G372="","",$G372*$S$378/$G$378/Cadastro!$E$33),"")</f>
        <v/>
      </c>
      <c r="I372" s="155" t="str">
        <f>IFERROR(IF($D372="","",VLOOKUP($D372,Cadastro!$C$4:$G$7,5,FALSE)),"")</f>
        <v/>
      </c>
      <c r="J372" s="156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54" t="str">
        <f>IFERROR(IF($D373="","",VLOOKUP($D373,Cadastro!$C$4:$E$7,3,FALSE)),"")</f>
        <v/>
      </c>
      <c r="G373" s="106"/>
      <c r="H373" s="154" t="str">
        <f>IFERROR(IF($G373="","",$G373*$S$378/$G$378/Cadastro!$E$33),"")</f>
        <v/>
      </c>
      <c r="I373" s="155" t="str">
        <f>IFERROR(IF($D373="","",VLOOKUP($D373,Cadastro!$C$4:$G$7,5,FALSE)),"")</f>
        <v/>
      </c>
      <c r="J373" s="156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54" t="str">
        <f>IFERROR(IF($D374="","",VLOOKUP($D374,Cadastro!$C$4:$E$7,3,FALSE)),"")</f>
        <v/>
      </c>
      <c r="G374" s="106"/>
      <c r="H374" s="154" t="str">
        <f>IFERROR(IF($G374="","",$G374*$S$378/$G$378/Cadastro!$E$33),"")</f>
        <v/>
      </c>
      <c r="I374" s="155" t="str">
        <f>IFERROR(IF($D374="","",VLOOKUP($D374,Cadastro!$C$4:$G$7,5,FALSE)),"")</f>
        <v/>
      </c>
      <c r="J374" s="156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54" t="str">
        <f>IFERROR(IF($D375="","",VLOOKUP($D375,Cadastro!$C$4:$E$7,3,FALSE)),"")</f>
        <v/>
      </c>
      <c r="G375" s="106"/>
      <c r="H375" s="154" t="str">
        <f>IFERROR(IF($G375="","",$G375*$S$378/$G$378/Cadastro!$E$33),"")</f>
        <v/>
      </c>
      <c r="I375" s="155" t="str">
        <f>IFERROR(IF($D375="","",VLOOKUP($D375,Cadastro!$C$4:$G$7,5,FALSE)),"")</f>
        <v/>
      </c>
      <c r="J375" s="156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54" t="str">
        <f>IFERROR(IF($D376="","",VLOOKUP($D376,Cadastro!$C$4:$E$7,3,FALSE)),"")</f>
        <v/>
      </c>
      <c r="G376" s="106"/>
      <c r="H376" s="154" t="str">
        <f>IFERROR(IF($G376="","",$G376*$S$378/$G$378/Cadastro!$E$33),"")</f>
        <v/>
      </c>
      <c r="I376" s="155" t="str">
        <f>IFERROR(IF($D376="","",VLOOKUP($D376,Cadastro!$C$4:$G$7,5,FALSE)),"")</f>
        <v/>
      </c>
      <c r="J376" s="156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57" t="str">
        <f>IFERROR(IF($D377="","",VLOOKUP($D377,Cadastro!$C$4:$E$7,3,FALSE)),"")</f>
        <v/>
      </c>
      <c r="G377" s="106"/>
      <c r="H377" s="157" t="str">
        <f>IFERROR(IF($G377="","",$G377*$S$378/$G$378/Cadastro!$E$33),"")</f>
        <v/>
      </c>
      <c r="I377" s="158" t="str">
        <f>IFERROR(IF($D377="","",VLOOKUP($D377,Cadastro!$C$4:$G$7,5,FALSE)),"")</f>
        <v/>
      </c>
      <c r="J377" s="159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32" t="s">
        <v>244</v>
      </c>
      <c r="B378" s="133"/>
      <c r="C378" s="133"/>
      <c r="D378" s="133"/>
      <c r="E378" s="13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34" t="s">
        <v>245</v>
      </c>
      <c r="B379" s="135"/>
      <c r="C379" s="135"/>
      <c r="D379" s="135"/>
      <c r="E379" s="135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60" t="str">
        <f>IFERROR(IF($D380="","",VLOOKUP($D380,Cadastro!$C$4:$E$7,3,FALSE)),"")</f>
        <v/>
      </c>
      <c r="G380" s="106"/>
      <c r="H380" s="160" t="str">
        <f>IFERROR(IF($G380="","",$G380*$S$392/$G$392/Cadastro!$E$33),"")</f>
        <v/>
      </c>
      <c r="I380" s="161" t="str">
        <f>IFERROR(IF($D380="","",VLOOKUP($D380,Cadastro!$C$4:$G$7,5,FALSE)),"")</f>
        <v/>
      </c>
      <c r="J380" s="162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54" t="str">
        <f>IFERROR(IF($D381="","",VLOOKUP($D381,Cadastro!$C$4:$E$7,3,FALSE)),"")</f>
        <v/>
      </c>
      <c r="G381" s="106"/>
      <c r="H381" s="154" t="str">
        <f>IFERROR(IF($G381="","",$G381*$S$392/$G$392/Cadastro!$E$33),"")</f>
        <v/>
      </c>
      <c r="I381" s="155" t="str">
        <f>IFERROR(IF($D381="","",VLOOKUP($D381,Cadastro!$C$4:$G$7,5,FALSE)),"")</f>
        <v/>
      </c>
      <c r="J381" s="156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54" t="str">
        <f>IFERROR(IF($D382="","",VLOOKUP($D382,Cadastro!$C$4:$E$7,3,FALSE)),"")</f>
        <v/>
      </c>
      <c r="G382" s="106"/>
      <c r="H382" s="154" t="str">
        <f>IFERROR(IF($G382="","",$G382*$S$392/$G$392/Cadastro!$E$33),"")</f>
        <v/>
      </c>
      <c r="I382" s="155" t="str">
        <f>IFERROR(IF($D382="","",VLOOKUP($D382,Cadastro!$C$4:$G$7,5,FALSE)),"")</f>
        <v/>
      </c>
      <c r="J382" s="156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54" t="str">
        <f>IFERROR(IF($D383="","",VLOOKUP($D383,Cadastro!$C$4:$E$7,3,FALSE)),"")</f>
        <v/>
      </c>
      <c r="G383" s="106"/>
      <c r="H383" s="154" t="str">
        <f>IFERROR(IF($G383="","",$G383*$S$392/$G$392/Cadastro!$E$33),"")</f>
        <v/>
      </c>
      <c r="I383" s="155" t="str">
        <f>IFERROR(IF($D383="","",VLOOKUP($D383,Cadastro!$C$4:$G$7,5,FALSE)),"")</f>
        <v/>
      </c>
      <c r="J383" s="156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54" t="str">
        <f>IFERROR(IF($D384="","",VLOOKUP($D384,Cadastro!$C$4:$E$7,3,FALSE)),"")</f>
        <v/>
      </c>
      <c r="G384" s="106"/>
      <c r="H384" s="154" t="str">
        <f>IFERROR(IF($G384="","",$G384*$S$392/$G$392/Cadastro!$E$33),"")</f>
        <v/>
      </c>
      <c r="I384" s="155" t="str">
        <f>IFERROR(IF($D384="","",VLOOKUP($D384,Cadastro!$C$4:$G$7,5,FALSE)),"")</f>
        <v/>
      </c>
      <c r="J384" s="156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54" t="str">
        <f>IFERROR(IF($D385="","",VLOOKUP($D385,Cadastro!$C$4:$E$7,3,FALSE)),"")</f>
        <v/>
      </c>
      <c r="G385" s="106"/>
      <c r="H385" s="154" t="str">
        <f>IFERROR(IF($G385="","",$G385*$S$392/$G$392/Cadastro!$E$33),"")</f>
        <v/>
      </c>
      <c r="I385" s="155" t="str">
        <f>IFERROR(IF($D385="","",VLOOKUP($D385,Cadastro!$C$4:$G$7,5,FALSE)),"")</f>
        <v/>
      </c>
      <c r="J385" s="156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54" t="str">
        <f>IFERROR(IF($D386="","",VLOOKUP($D386,Cadastro!$C$4:$E$7,3,FALSE)),"")</f>
        <v/>
      </c>
      <c r="G386" s="106"/>
      <c r="H386" s="154" t="str">
        <f>IFERROR(IF($G386="","",$G386*$S$392/$G$392/Cadastro!$E$33),"")</f>
        <v/>
      </c>
      <c r="I386" s="155" t="str">
        <f>IFERROR(IF($D386="","",VLOOKUP($D386,Cadastro!$C$4:$G$7,5,FALSE)),"")</f>
        <v/>
      </c>
      <c r="J386" s="156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54" t="str">
        <f>IFERROR(IF($D387="","",VLOOKUP($D387,Cadastro!$C$4:$E$7,3,FALSE)),"")</f>
        <v/>
      </c>
      <c r="G387" s="106"/>
      <c r="H387" s="154" t="str">
        <f>IFERROR(IF($G387="","",$G387*$S$392/$G$392/Cadastro!$E$33),"")</f>
        <v/>
      </c>
      <c r="I387" s="155" t="str">
        <f>IFERROR(IF($D387="","",VLOOKUP($D387,Cadastro!$C$4:$G$7,5,FALSE)),"")</f>
        <v/>
      </c>
      <c r="J387" s="156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54" t="str">
        <f>IFERROR(IF($D388="","",VLOOKUP($D388,Cadastro!$C$4:$E$7,3,FALSE)),"")</f>
        <v/>
      </c>
      <c r="G388" s="106"/>
      <c r="H388" s="154" t="str">
        <f>IFERROR(IF($G388="","",$G388*$S$392/$G$392/Cadastro!$E$33),"")</f>
        <v/>
      </c>
      <c r="I388" s="155" t="str">
        <f>IFERROR(IF($D388="","",VLOOKUP($D388,Cadastro!$C$4:$G$7,5,FALSE)),"")</f>
        <v/>
      </c>
      <c r="J388" s="156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54" t="str">
        <f>IFERROR(IF($D389="","",VLOOKUP($D389,Cadastro!$C$4:$E$7,3,FALSE)),"")</f>
        <v/>
      </c>
      <c r="G389" s="106"/>
      <c r="H389" s="154" t="str">
        <f>IFERROR(IF($G389="","",$G389*$S$392/$G$392/Cadastro!$E$33),"")</f>
        <v/>
      </c>
      <c r="I389" s="155" t="str">
        <f>IFERROR(IF($D389="","",VLOOKUP($D389,Cadastro!$C$4:$G$7,5,FALSE)),"")</f>
        <v/>
      </c>
      <c r="J389" s="156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54" t="str">
        <f>IFERROR(IF($D390="","",VLOOKUP($D390,Cadastro!$C$4:$E$7,3,FALSE)),"")</f>
        <v/>
      </c>
      <c r="G390" s="106"/>
      <c r="H390" s="154" t="str">
        <f>IFERROR(IF($G390="","",$G390*$S$392/$G$392/Cadastro!$E$33),"")</f>
        <v/>
      </c>
      <c r="I390" s="155" t="str">
        <f>IFERROR(IF($D390="","",VLOOKUP($D390,Cadastro!$C$4:$G$7,5,FALSE)),"")</f>
        <v/>
      </c>
      <c r="J390" s="156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57" t="str">
        <f>IFERROR(IF($D391="","",VLOOKUP($D391,Cadastro!$C$4:$E$7,3,FALSE)),"")</f>
        <v/>
      </c>
      <c r="G391" s="106"/>
      <c r="H391" s="157" t="str">
        <f>IFERROR(IF($G391="","",$G391*$S$392/$G$392/Cadastro!$E$33),"")</f>
        <v/>
      </c>
      <c r="I391" s="158" t="str">
        <f>IFERROR(IF($D391="","",VLOOKUP($D391,Cadastro!$C$4:$G$7,5,FALSE)),"")</f>
        <v/>
      </c>
      <c r="J391" s="159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32" t="s">
        <v>241</v>
      </c>
      <c r="B392" s="133"/>
      <c r="C392" s="133"/>
      <c r="D392" s="133"/>
      <c r="E392" s="13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60" t="str">
        <f>IFERROR(IF($D393="","",VLOOKUP($D393,Cadastro!$C$4:$E$7,3,FALSE)),"")</f>
        <v/>
      </c>
      <c r="G393" s="106"/>
      <c r="H393" s="160" t="str">
        <f>IFERROR(IF($G393="","",$G393*$S$405/$G$405/Cadastro!$E$33),"")</f>
        <v/>
      </c>
      <c r="I393" s="161" t="str">
        <f>IFERROR(IF($D393="","",VLOOKUP($D393,Cadastro!$C$4:$G$7,5,FALSE)),"")</f>
        <v/>
      </c>
      <c r="J393" s="162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54" t="str">
        <f>IFERROR(IF($D394="","",VLOOKUP($D394,Cadastro!$C$4:$E$7,3,FALSE)),"")</f>
        <v/>
      </c>
      <c r="G394" s="106"/>
      <c r="H394" s="154" t="str">
        <f>IFERROR(IF($G394="","",$G394*$S$405/$G$405/Cadastro!$E$33),"")</f>
        <v/>
      </c>
      <c r="I394" s="155" t="str">
        <f>IFERROR(IF($D394="","",VLOOKUP($D394,Cadastro!$C$4:$G$7,5,FALSE)),"")</f>
        <v/>
      </c>
      <c r="J394" s="156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54" t="str">
        <f>IFERROR(IF($D395="","",VLOOKUP($D395,Cadastro!$C$4:$E$7,3,FALSE)),"")</f>
        <v/>
      </c>
      <c r="G395" s="106"/>
      <c r="H395" s="154" t="str">
        <f>IFERROR(IF($G395="","",$G395*$S$405/$G$405/Cadastro!$E$33),"")</f>
        <v/>
      </c>
      <c r="I395" s="155" t="str">
        <f>IFERROR(IF($D395="","",VLOOKUP($D395,Cadastro!$C$4:$G$7,5,FALSE)),"")</f>
        <v/>
      </c>
      <c r="J395" s="156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54" t="str">
        <f>IFERROR(IF($D396="","",VLOOKUP($D396,Cadastro!$C$4:$E$7,3,FALSE)),"")</f>
        <v/>
      </c>
      <c r="G396" s="106"/>
      <c r="H396" s="154" t="str">
        <f>IFERROR(IF($G396="","",$G396*$S$405/$G$405/Cadastro!$E$33),"")</f>
        <v/>
      </c>
      <c r="I396" s="155" t="str">
        <f>IFERROR(IF($D396="","",VLOOKUP($D396,Cadastro!$C$4:$G$7,5,FALSE)),"")</f>
        <v/>
      </c>
      <c r="J396" s="156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54" t="str">
        <f>IFERROR(IF($D397="","",VLOOKUP($D397,Cadastro!$C$4:$E$7,3,FALSE)),"")</f>
        <v/>
      </c>
      <c r="G397" s="106"/>
      <c r="H397" s="154" t="str">
        <f>IFERROR(IF($G397="","",$G397*$S$405/$G$405/Cadastro!$E$33),"")</f>
        <v/>
      </c>
      <c r="I397" s="155" t="str">
        <f>IFERROR(IF($D397="","",VLOOKUP($D397,Cadastro!$C$4:$G$7,5,FALSE)),"")</f>
        <v/>
      </c>
      <c r="J397" s="156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54" t="str">
        <f>IFERROR(IF($D398="","",VLOOKUP($D398,Cadastro!$C$4:$E$7,3,FALSE)),"")</f>
        <v/>
      </c>
      <c r="G398" s="106"/>
      <c r="H398" s="154" t="str">
        <f>IFERROR(IF($G398="","",$G398*$S$405/$G$405/Cadastro!$E$33),"")</f>
        <v/>
      </c>
      <c r="I398" s="155" t="str">
        <f>IFERROR(IF($D398="","",VLOOKUP($D398,Cadastro!$C$4:$G$7,5,FALSE)),"")</f>
        <v/>
      </c>
      <c r="J398" s="156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54" t="str">
        <f>IFERROR(IF($D399="","",VLOOKUP($D399,Cadastro!$C$4:$E$7,3,FALSE)),"")</f>
        <v/>
      </c>
      <c r="G399" s="106"/>
      <c r="H399" s="154" t="str">
        <f>IFERROR(IF($G399="","",$G399*$S$405/$G$405/Cadastro!$E$33),"")</f>
        <v/>
      </c>
      <c r="I399" s="155" t="str">
        <f>IFERROR(IF($D399="","",VLOOKUP($D399,Cadastro!$C$4:$G$7,5,FALSE)),"")</f>
        <v/>
      </c>
      <c r="J399" s="156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54" t="str">
        <f>IFERROR(IF($D400="","",VLOOKUP($D400,Cadastro!$C$4:$E$7,3,FALSE)),"")</f>
        <v/>
      </c>
      <c r="G400" s="106"/>
      <c r="H400" s="154" t="str">
        <f>IFERROR(IF($G400="","",$G400*$S$405/$G$405/Cadastro!$E$33),"")</f>
        <v/>
      </c>
      <c r="I400" s="155" t="str">
        <f>IFERROR(IF($D400="","",VLOOKUP($D400,Cadastro!$C$4:$G$7,5,FALSE)),"")</f>
        <v/>
      </c>
      <c r="J400" s="156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54" t="str">
        <f>IFERROR(IF($D401="","",VLOOKUP($D401,Cadastro!$C$4:$E$7,3,FALSE)),"")</f>
        <v/>
      </c>
      <c r="G401" s="106"/>
      <c r="H401" s="154" t="str">
        <f>IFERROR(IF($G401="","",$G401*$S$405/$G$405/Cadastro!$E$33),"")</f>
        <v/>
      </c>
      <c r="I401" s="155" t="str">
        <f>IFERROR(IF($D401="","",VLOOKUP($D401,Cadastro!$C$4:$G$7,5,FALSE)),"")</f>
        <v/>
      </c>
      <c r="J401" s="156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54" t="str">
        <f>IFERROR(IF($D402="","",VLOOKUP($D402,Cadastro!$C$4:$E$7,3,FALSE)),"")</f>
        <v/>
      </c>
      <c r="G402" s="106"/>
      <c r="H402" s="154" t="str">
        <f>IFERROR(IF($G402="","",$G402*$S$405/$G$405/Cadastro!$E$33),"")</f>
        <v/>
      </c>
      <c r="I402" s="155" t="str">
        <f>IFERROR(IF($D402="","",VLOOKUP($D402,Cadastro!$C$4:$G$7,5,FALSE)),"")</f>
        <v/>
      </c>
      <c r="J402" s="156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54" t="str">
        <f>IFERROR(IF($D403="","",VLOOKUP($D403,Cadastro!$C$4:$E$7,3,FALSE)),"")</f>
        <v/>
      </c>
      <c r="G403" s="106"/>
      <c r="H403" s="154" t="str">
        <f>IFERROR(IF($G403="","",$G403*$S$405/$G$405/Cadastro!$E$33),"")</f>
        <v/>
      </c>
      <c r="I403" s="155" t="str">
        <f>IFERROR(IF($D403="","",VLOOKUP($D403,Cadastro!$C$4:$G$7,5,FALSE)),"")</f>
        <v/>
      </c>
      <c r="J403" s="156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57" t="str">
        <f>IFERROR(IF($D404="","",VLOOKUP($D404,Cadastro!$C$4:$E$7,3,FALSE)),"")</f>
        <v/>
      </c>
      <c r="G404" s="106"/>
      <c r="H404" s="157" t="str">
        <f>IFERROR(IF($G404="","",$G404*$S$405/$G$405/Cadastro!$E$33),"")</f>
        <v/>
      </c>
      <c r="I404" s="158" t="str">
        <f>IFERROR(IF($D404="","",VLOOKUP($D404,Cadastro!$C$4:$G$7,5,FALSE)),"")</f>
        <v/>
      </c>
      <c r="J404" s="159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32" t="s">
        <v>244</v>
      </c>
      <c r="B405" s="133"/>
      <c r="C405" s="133"/>
      <c r="D405" s="133"/>
      <c r="E405" s="13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34" t="s">
        <v>245</v>
      </c>
      <c r="B406" s="135"/>
      <c r="C406" s="135"/>
      <c r="D406" s="135"/>
      <c r="E406" s="135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60" t="str">
        <f>IFERROR(IF($D407="","",VLOOKUP($D407,Cadastro!$C$4:$E$7,3,FALSE)),"")</f>
        <v/>
      </c>
      <c r="G407" s="106"/>
      <c r="H407" s="160" t="str">
        <f>IFERROR(IF($G407="","",$G407*$S$419/$G$419/Cadastro!$E$33),"")</f>
        <v/>
      </c>
      <c r="I407" s="161" t="str">
        <f>IFERROR(IF($D407="","",VLOOKUP($D407,Cadastro!$C$4:$G$7,5,FALSE)),"")</f>
        <v/>
      </c>
      <c r="J407" s="162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54" t="str">
        <f>IFERROR(IF($D408="","",VLOOKUP($D408,Cadastro!$C$4:$E$7,3,FALSE)),"")</f>
        <v/>
      </c>
      <c r="G408" s="106"/>
      <c r="H408" s="154" t="str">
        <f>IFERROR(IF($G408="","",$G408*$S$419/$G$419/Cadastro!$E$33),"")</f>
        <v/>
      </c>
      <c r="I408" s="155" t="str">
        <f>IFERROR(IF($D408="","",VLOOKUP($D408,Cadastro!$C$4:$G$7,5,FALSE)),"")</f>
        <v/>
      </c>
      <c r="J408" s="156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54" t="str">
        <f>IFERROR(IF($D409="","",VLOOKUP($D409,Cadastro!$C$4:$E$7,3,FALSE)),"")</f>
        <v/>
      </c>
      <c r="G409" s="106"/>
      <c r="H409" s="154" t="str">
        <f>IFERROR(IF($G409="","",$G409*$S$419/$G$419/Cadastro!$E$33),"")</f>
        <v/>
      </c>
      <c r="I409" s="155" t="str">
        <f>IFERROR(IF($D409="","",VLOOKUP($D409,Cadastro!$C$4:$G$7,5,FALSE)),"")</f>
        <v/>
      </c>
      <c r="J409" s="156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54" t="str">
        <f>IFERROR(IF($D410="","",VLOOKUP($D410,Cadastro!$C$4:$E$7,3,FALSE)),"")</f>
        <v/>
      </c>
      <c r="G410" s="106"/>
      <c r="H410" s="154" t="str">
        <f>IFERROR(IF($G410="","",$G410*$S$419/$G$419/Cadastro!$E$33),"")</f>
        <v/>
      </c>
      <c r="I410" s="155" t="str">
        <f>IFERROR(IF($D410="","",VLOOKUP($D410,Cadastro!$C$4:$G$7,5,FALSE)),"")</f>
        <v/>
      </c>
      <c r="J410" s="156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54" t="str">
        <f>IFERROR(IF($D411="","",VLOOKUP($D411,Cadastro!$C$4:$E$7,3,FALSE)),"")</f>
        <v/>
      </c>
      <c r="G411" s="106"/>
      <c r="H411" s="154" t="str">
        <f>IFERROR(IF($G411="","",$G411*$S$419/$G$419/Cadastro!$E$33),"")</f>
        <v/>
      </c>
      <c r="I411" s="155" t="str">
        <f>IFERROR(IF($D411="","",VLOOKUP($D411,Cadastro!$C$4:$G$7,5,FALSE)),"")</f>
        <v/>
      </c>
      <c r="J411" s="156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54" t="str">
        <f>IFERROR(IF($D412="","",VLOOKUP($D412,Cadastro!$C$4:$E$7,3,FALSE)),"")</f>
        <v/>
      </c>
      <c r="G412" s="106"/>
      <c r="H412" s="154" t="str">
        <f>IFERROR(IF($G412="","",$G412*$S$419/$G$419/Cadastro!$E$33),"")</f>
        <v/>
      </c>
      <c r="I412" s="155" t="str">
        <f>IFERROR(IF($D412="","",VLOOKUP($D412,Cadastro!$C$4:$G$7,5,FALSE)),"")</f>
        <v/>
      </c>
      <c r="J412" s="156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54" t="str">
        <f>IFERROR(IF($D413="","",VLOOKUP($D413,Cadastro!$C$4:$E$7,3,FALSE)),"")</f>
        <v/>
      </c>
      <c r="G413" s="106"/>
      <c r="H413" s="154" t="str">
        <f>IFERROR(IF($G413="","",$G413*$S$419/$G$419/Cadastro!$E$33),"")</f>
        <v/>
      </c>
      <c r="I413" s="155" t="str">
        <f>IFERROR(IF($D413="","",VLOOKUP($D413,Cadastro!$C$4:$G$7,5,FALSE)),"")</f>
        <v/>
      </c>
      <c r="J413" s="156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54" t="str">
        <f>IFERROR(IF($D414="","",VLOOKUP($D414,Cadastro!$C$4:$E$7,3,FALSE)),"")</f>
        <v/>
      </c>
      <c r="G414" s="106"/>
      <c r="H414" s="154" t="str">
        <f>IFERROR(IF($G414="","",$G414*$S$419/$G$419/Cadastro!$E$33),"")</f>
        <v/>
      </c>
      <c r="I414" s="155" t="str">
        <f>IFERROR(IF($D414="","",VLOOKUP($D414,Cadastro!$C$4:$G$7,5,FALSE)),"")</f>
        <v/>
      </c>
      <c r="J414" s="156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54" t="str">
        <f>IFERROR(IF($D415="","",VLOOKUP($D415,Cadastro!$C$4:$E$7,3,FALSE)),"")</f>
        <v/>
      </c>
      <c r="G415" s="106"/>
      <c r="H415" s="154" t="str">
        <f>IFERROR(IF($G415="","",$G415*$S$419/$G$419/Cadastro!$E$33),"")</f>
        <v/>
      </c>
      <c r="I415" s="155" t="str">
        <f>IFERROR(IF($D415="","",VLOOKUP($D415,Cadastro!$C$4:$G$7,5,FALSE)),"")</f>
        <v/>
      </c>
      <c r="J415" s="156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54" t="str">
        <f>IFERROR(IF($D416="","",VLOOKUP($D416,Cadastro!$C$4:$E$7,3,FALSE)),"")</f>
        <v/>
      </c>
      <c r="G416" s="106"/>
      <c r="H416" s="154" t="str">
        <f>IFERROR(IF($G416="","",$G416*$S$419/$G$419/Cadastro!$E$33),"")</f>
        <v/>
      </c>
      <c r="I416" s="155" t="str">
        <f>IFERROR(IF($D416="","",VLOOKUP($D416,Cadastro!$C$4:$G$7,5,FALSE)),"")</f>
        <v/>
      </c>
      <c r="J416" s="156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54" t="str">
        <f>IFERROR(IF($D417="","",VLOOKUP($D417,Cadastro!$C$4:$E$7,3,FALSE)),"")</f>
        <v/>
      </c>
      <c r="G417" s="106"/>
      <c r="H417" s="154" t="str">
        <f>IFERROR(IF($G417="","",$G417*$S$419/$G$419/Cadastro!$E$33),"")</f>
        <v/>
      </c>
      <c r="I417" s="155" t="str">
        <f>IFERROR(IF($D417="","",VLOOKUP($D417,Cadastro!$C$4:$G$7,5,FALSE)),"")</f>
        <v/>
      </c>
      <c r="J417" s="156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57" t="str">
        <f>IFERROR(IF($D418="","",VLOOKUP($D418,Cadastro!$C$4:$E$7,3,FALSE)),"")</f>
        <v/>
      </c>
      <c r="G418" s="106"/>
      <c r="H418" s="157" t="str">
        <f>IFERROR(IF($G418="","",$G418*$S$419/$G$419/Cadastro!$E$33),"")</f>
        <v/>
      </c>
      <c r="I418" s="158" t="str">
        <f>IFERROR(IF($D418="","",VLOOKUP($D418,Cadastro!$C$4:$G$7,5,FALSE)),"")</f>
        <v/>
      </c>
      <c r="J418" s="159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32" t="s">
        <v>241</v>
      </c>
      <c r="B419" s="133"/>
      <c r="C419" s="133"/>
      <c r="D419" s="133"/>
      <c r="E419" s="13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60" t="str">
        <f>IFERROR(IF($D420="","",VLOOKUP($D420,Cadastro!$C$4:$E$7,3,FALSE)),"")</f>
        <v/>
      </c>
      <c r="G420" s="106"/>
      <c r="H420" s="160" t="str">
        <f>IFERROR(IF($G420="","",$G420*$S$432/$G$432/Cadastro!$E$33),"")</f>
        <v/>
      </c>
      <c r="I420" s="161" t="str">
        <f>IFERROR(IF($D420="","",VLOOKUP($D420,Cadastro!$C$4:$G$7,5,FALSE)),"")</f>
        <v/>
      </c>
      <c r="J420" s="162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54" t="str">
        <f>IFERROR(IF($D421="","",VLOOKUP($D421,Cadastro!$C$4:$E$7,3,FALSE)),"")</f>
        <v/>
      </c>
      <c r="G421" s="106"/>
      <c r="H421" s="154" t="str">
        <f>IFERROR(IF($G421="","",$G421*$S$432/$G$432/Cadastro!$E$33),"")</f>
        <v/>
      </c>
      <c r="I421" s="155" t="str">
        <f>IFERROR(IF($D421="","",VLOOKUP($D421,Cadastro!$C$4:$G$7,5,FALSE)),"")</f>
        <v/>
      </c>
      <c r="J421" s="156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54" t="str">
        <f>IFERROR(IF($D422="","",VLOOKUP($D422,Cadastro!$C$4:$E$7,3,FALSE)),"")</f>
        <v/>
      </c>
      <c r="G422" s="106"/>
      <c r="H422" s="154" t="str">
        <f>IFERROR(IF($G422="","",$G422*$S$432/$G$432/Cadastro!$E$33),"")</f>
        <v/>
      </c>
      <c r="I422" s="155" t="str">
        <f>IFERROR(IF($D422="","",VLOOKUP($D422,Cadastro!$C$4:$G$7,5,FALSE)),"")</f>
        <v/>
      </c>
      <c r="J422" s="156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54" t="str">
        <f>IFERROR(IF($D423="","",VLOOKUP($D423,Cadastro!$C$4:$E$7,3,FALSE)),"")</f>
        <v/>
      </c>
      <c r="G423" s="106"/>
      <c r="H423" s="154" t="str">
        <f>IFERROR(IF($G423="","",$G423*$S$432/$G$432/Cadastro!$E$33),"")</f>
        <v/>
      </c>
      <c r="I423" s="155" t="str">
        <f>IFERROR(IF($D423="","",VLOOKUP($D423,Cadastro!$C$4:$G$7,5,FALSE)),"")</f>
        <v/>
      </c>
      <c r="J423" s="156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54" t="str">
        <f>IFERROR(IF($D424="","",VLOOKUP($D424,Cadastro!$C$4:$E$7,3,FALSE)),"")</f>
        <v/>
      </c>
      <c r="G424" s="106"/>
      <c r="H424" s="154" t="str">
        <f>IFERROR(IF($G424="","",$G424*$S$432/$G$432/Cadastro!$E$33),"")</f>
        <v/>
      </c>
      <c r="I424" s="155" t="str">
        <f>IFERROR(IF($D424="","",VLOOKUP($D424,Cadastro!$C$4:$G$7,5,FALSE)),"")</f>
        <v/>
      </c>
      <c r="J424" s="156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54" t="str">
        <f>IFERROR(IF($D425="","",VLOOKUP($D425,Cadastro!$C$4:$E$7,3,FALSE)),"")</f>
        <v/>
      </c>
      <c r="G425" s="106"/>
      <c r="H425" s="154" t="str">
        <f>IFERROR(IF($G425="","",$G425*$S$432/$G$432/Cadastro!$E$33),"")</f>
        <v/>
      </c>
      <c r="I425" s="155" t="str">
        <f>IFERROR(IF($D425="","",VLOOKUP($D425,Cadastro!$C$4:$G$7,5,FALSE)),"")</f>
        <v/>
      </c>
      <c r="J425" s="156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54" t="str">
        <f>IFERROR(IF($D426="","",VLOOKUP($D426,Cadastro!$C$4:$E$7,3,FALSE)),"")</f>
        <v/>
      </c>
      <c r="G426" s="106"/>
      <c r="H426" s="154" t="str">
        <f>IFERROR(IF($G426="","",$G426*$S$432/$G$432/Cadastro!$E$33),"")</f>
        <v/>
      </c>
      <c r="I426" s="155" t="str">
        <f>IFERROR(IF($D426="","",VLOOKUP($D426,Cadastro!$C$4:$G$7,5,FALSE)),"")</f>
        <v/>
      </c>
      <c r="J426" s="156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54" t="str">
        <f>IFERROR(IF($D427="","",VLOOKUP($D427,Cadastro!$C$4:$E$7,3,FALSE)),"")</f>
        <v/>
      </c>
      <c r="G427" s="106"/>
      <c r="H427" s="154" t="str">
        <f>IFERROR(IF($G427="","",$G427*$S$432/$G$432/Cadastro!$E$33),"")</f>
        <v/>
      </c>
      <c r="I427" s="155" t="str">
        <f>IFERROR(IF($D427="","",VLOOKUP($D427,Cadastro!$C$4:$G$7,5,FALSE)),"")</f>
        <v/>
      </c>
      <c r="J427" s="156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54" t="str">
        <f>IFERROR(IF($D428="","",VLOOKUP($D428,Cadastro!$C$4:$E$7,3,FALSE)),"")</f>
        <v/>
      </c>
      <c r="G428" s="106"/>
      <c r="H428" s="154" t="str">
        <f>IFERROR(IF($G428="","",$G428*$S$432/$G$432/Cadastro!$E$33),"")</f>
        <v/>
      </c>
      <c r="I428" s="155" t="str">
        <f>IFERROR(IF($D428="","",VLOOKUP($D428,Cadastro!$C$4:$G$7,5,FALSE)),"")</f>
        <v/>
      </c>
      <c r="J428" s="156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54" t="str">
        <f>IFERROR(IF($D429="","",VLOOKUP($D429,Cadastro!$C$4:$E$7,3,FALSE)),"")</f>
        <v/>
      </c>
      <c r="G429" s="106"/>
      <c r="H429" s="154" t="str">
        <f>IFERROR(IF($G429="","",$G429*$S$432/$G$432/Cadastro!$E$33),"")</f>
        <v/>
      </c>
      <c r="I429" s="155" t="str">
        <f>IFERROR(IF($D429="","",VLOOKUP($D429,Cadastro!$C$4:$G$7,5,FALSE)),"")</f>
        <v/>
      </c>
      <c r="J429" s="156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54" t="str">
        <f>IFERROR(IF($D430="","",VLOOKUP($D430,Cadastro!$C$4:$E$7,3,FALSE)),"")</f>
        <v/>
      </c>
      <c r="G430" s="106"/>
      <c r="H430" s="154" t="str">
        <f>IFERROR(IF($G430="","",$G430*$S$432/$G$432/Cadastro!$E$33),"")</f>
        <v/>
      </c>
      <c r="I430" s="155" t="str">
        <f>IFERROR(IF($D430="","",VLOOKUP($D430,Cadastro!$C$4:$G$7,5,FALSE)),"")</f>
        <v/>
      </c>
      <c r="J430" s="156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57" t="str">
        <f>IFERROR(IF($D431="","",VLOOKUP($D431,Cadastro!$C$4:$E$7,3,FALSE)),"")</f>
        <v/>
      </c>
      <c r="G431" s="106"/>
      <c r="H431" s="157" t="str">
        <f>IFERROR(IF($G431="","",$G431*$S$432/$G$432/Cadastro!$E$33),"")</f>
        <v/>
      </c>
      <c r="I431" s="158" t="str">
        <f>IFERROR(IF($D431="","",VLOOKUP($D431,Cadastro!$C$4:$G$7,5,FALSE)),"")</f>
        <v/>
      </c>
      <c r="J431" s="159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32" t="s">
        <v>244</v>
      </c>
      <c r="B432" s="133"/>
      <c r="C432" s="133"/>
      <c r="D432" s="133"/>
      <c r="E432" s="13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34" t="s">
        <v>245</v>
      </c>
      <c r="B433" s="135"/>
      <c r="C433" s="135"/>
      <c r="D433" s="135"/>
      <c r="E433" s="135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60" t="str">
        <f>IFERROR(IF($D434="","",VLOOKUP($D434,Cadastro!$C$4:$E$7,3,FALSE)),"")</f>
        <v/>
      </c>
      <c r="G434" s="106"/>
      <c r="H434" s="160" t="str">
        <f>IFERROR(IF($G434="","",$G434*$S$446/$G$446/Cadastro!$E$33),"")</f>
        <v/>
      </c>
      <c r="I434" s="161" t="str">
        <f>IFERROR(IF($D434="","",VLOOKUP($D434,Cadastro!$C$4:$G$7,5,FALSE)),"")</f>
        <v/>
      </c>
      <c r="J434" s="162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54" t="str">
        <f>IFERROR(IF($D435="","",VLOOKUP($D435,Cadastro!$C$4:$E$7,3,FALSE)),"")</f>
        <v/>
      </c>
      <c r="G435" s="106"/>
      <c r="H435" s="154" t="str">
        <f>IFERROR(IF($G435="","",$G435*$S$446/$G$446/Cadastro!$E$33),"")</f>
        <v/>
      </c>
      <c r="I435" s="155" t="str">
        <f>IFERROR(IF($D435="","",VLOOKUP($D435,Cadastro!$C$4:$G$7,5,FALSE)),"")</f>
        <v/>
      </c>
      <c r="J435" s="156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54" t="str">
        <f>IFERROR(IF($D436="","",VLOOKUP($D436,Cadastro!$C$4:$E$7,3,FALSE)),"")</f>
        <v/>
      </c>
      <c r="G436" s="106"/>
      <c r="H436" s="154" t="str">
        <f>IFERROR(IF($G436="","",$G436*$S$446/$G$446/Cadastro!$E$33),"")</f>
        <v/>
      </c>
      <c r="I436" s="155" t="str">
        <f>IFERROR(IF($D436="","",VLOOKUP($D436,Cadastro!$C$4:$G$7,5,FALSE)),"")</f>
        <v/>
      </c>
      <c r="J436" s="156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54" t="str">
        <f>IFERROR(IF($D437="","",VLOOKUP($D437,Cadastro!$C$4:$E$7,3,FALSE)),"")</f>
        <v/>
      </c>
      <c r="G437" s="106"/>
      <c r="H437" s="154" t="str">
        <f>IFERROR(IF($G437="","",$G437*$S$446/$G$446/Cadastro!$E$33),"")</f>
        <v/>
      </c>
      <c r="I437" s="155" t="str">
        <f>IFERROR(IF($D437="","",VLOOKUP($D437,Cadastro!$C$4:$G$7,5,FALSE)),"")</f>
        <v/>
      </c>
      <c r="J437" s="156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54" t="str">
        <f>IFERROR(IF($D438="","",VLOOKUP($D438,Cadastro!$C$4:$E$7,3,FALSE)),"")</f>
        <v/>
      </c>
      <c r="G438" s="106"/>
      <c r="H438" s="154" t="str">
        <f>IFERROR(IF($G438="","",$G438*$S$446/$G$446/Cadastro!$E$33),"")</f>
        <v/>
      </c>
      <c r="I438" s="155" t="str">
        <f>IFERROR(IF($D438="","",VLOOKUP($D438,Cadastro!$C$4:$G$7,5,FALSE)),"")</f>
        <v/>
      </c>
      <c r="J438" s="156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54" t="str">
        <f>IFERROR(IF($D439="","",VLOOKUP($D439,Cadastro!$C$4:$E$7,3,FALSE)),"")</f>
        <v/>
      </c>
      <c r="G439" s="106"/>
      <c r="H439" s="154" t="str">
        <f>IFERROR(IF($G439="","",$G439*$S$446/$G$446/Cadastro!$E$33),"")</f>
        <v/>
      </c>
      <c r="I439" s="155" t="str">
        <f>IFERROR(IF($D439="","",VLOOKUP($D439,Cadastro!$C$4:$G$7,5,FALSE)),"")</f>
        <v/>
      </c>
      <c r="J439" s="156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54" t="str">
        <f>IFERROR(IF($D440="","",VLOOKUP($D440,Cadastro!$C$4:$E$7,3,FALSE)),"")</f>
        <v/>
      </c>
      <c r="G440" s="106"/>
      <c r="H440" s="154" t="str">
        <f>IFERROR(IF($G440="","",$G440*$S$446/$G$446/Cadastro!$E$33),"")</f>
        <v/>
      </c>
      <c r="I440" s="155" t="str">
        <f>IFERROR(IF($D440="","",VLOOKUP($D440,Cadastro!$C$4:$G$7,5,FALSE)),"")</f>
        <v/>
      </c>
      <c r="J440" s="156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54" t="str">
        <f>IFERROR(IF($D441="","",VLOOKUP($D441,Cadastro!$C$4:$E$7,3,FALSE)),"")</f>
        <v/>
      </c>
      <c r="G441" s="106"/>
      <c r="H441" s="154" t="str">
        <f>IFERROR(IF($G441="","",$G441*$S$446/$G$446/Cadastro!$E$33),"")</f>
        <v/>
      </c>
      <c r="I441" s="155" t="str">
        <f>IFERROR(IF($D441="","",VLOOKUP($D441,Cadastro!$C$4:$G$7,5,FALSE)),"")</f>
        <v/>
      </c>
      <c r="J441" s="156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54" t="str">
        <f>IFERROR(IF($D442="","",VLOOKUP($D442,Cadastro!$C$4:$E$7,3,FALSE)),"")</f>
        <v/>
      </c>
      <c r="G442" s="106"/>
      <c r="H442" s="154" t="str">
        <f>IFERROR(IF($G442="","",$G442*$S$446/$G$446/Cadastro!$E$33),"")</f>
        <v/>
      </c>
      <c r="I442" s="155" t="str">
        <f>IFERROR(IF($D442="","",VLOOKUP($D442,Cadastro!$C$4:$G$7,5,FALSE)),"")</f>
        <v/>
      </c>
      <c r="J442" s="156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54" t="str">
        <f>IFERROR(IF($D443="","",VLOOKUP($D443,Cadastro!$C$4:$E$7,3,FALSE)),"")</f>
        <v/>
      </c>
      <c r="G443" s="106"/>
      <c r="H443" s="154" t="str">
        <f>IFERROR(IF($G443="","",$G443*$S$446/$G$446/Cadastro!$E$33),"")</f>
        <v/>
      </c>
      <c r="I443" s="155" t="str">
        <f>IFERROR(IF($D443="","",VLOOKUP($D443,Cadastro!$C$4:$G$7,5,FALSE)),"")</f>
        <v/>
      </c>
      <c r="J443" s="156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54" t="str">
        <f>IFERROR(IF($D444="","",VLOOKUP($D444,Cadastro!$C$4:$E$7,3,FALSE)),"")</f>
        <v/>
      </c>
      <c r="G444" s="106"/>
      <c r="H444" s="154" t="str">
        <f>IFERROR(IF($G444="","",$G444*$S$446/$G$446/Cadastro!$E$33),"")</f>
        <v/>
      </c>
      <c r="I444" s="155" t="str">
        <f>IFERROR(IF($D444="","",VLOOKUP($D444,Cadastro!$C$4:$G$7,5,FALSE)),"")</f>
        <v/>
      </c>
      <c r="J444" s="156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57" t="str">
        <f>IFERROR(IF($D445="","",VLOOKUP($D445,Cadastro!$C$4:$E$7,3,FALSE)),"")</f>
        <v/>
      </c>
      <c r="G445" s="106"/>
      <c r="H445" s="157" t="str">
        <f>IFERROR(IF($G445="","",$G445*$S$446/$G$446/Cadastro!$E$33),"")</f>
        <v/>
      </c>
      <c r="I445" s="158" t="str">
        <f>IFERROR(IF($D445="","",VLOOKUP($D445,Cadastro!$C$4:$G$7,5,FALSE)),"")</f>
        <v/>
      </c>
      <c r="J445" s="159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32" t="s">
        <v>241</v>
      </c>
      <c r="B446" s="133"/>
      <c r="C446" s="133"/>
      <c r="D446" s="133"/>
      <c r="E446" s="13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60" t="str">
        <f>IFERROR(IF($D447="","",VLOOKUP($D447,Cadastro!$C$4:$E$7,3,FALSE)),"")</f>
        <v/>
      </c>
      <c r="G447" s="106"/>
      <c r="H447" s="160" t="str">
        <f>IFERROR(IF($G447="","",$G447*$S$459/$G$459/Cadastro!$E$33),"")</f>
        <v/>
      </c>
      <c r="I447" s="161" t="str">
        <f>IFERROR(IF($D447="","",VLOOKUP($D447,Cadastro!$C$4:$G$7,5,FALSE)),"")</f>
        <v/>
      </c>
      <c r="J447" s="162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54" t="str">
        <f>IFERROR(IF($D448="","",VLOOKUP($D448,Cadastro!$C$4:$E$7,3,FALSE)),"")</f>
        <v/>
      </c>
      <c r="G448" s="106"/>
      <c r="H448" s="154" t="str">
        <f>IFERROR(IF($G448="","",$G448*$S$459/$G$459/Cadastro!$E$33),"")</f>
        <v/>
      </c>
      <c r="I448" s="155" t="str">
        <f>IFERROR(IF($D448="","",VLOOKUP($D448,Cadastro!$C$4:$G$7,5,FALSE)),"")</f>
        <v/>
      </c>
      <c r="J448" s="156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54" t="str">
        <f>IFERROR(IF($D449="","",VLOOKUP($D449,Cadastro!$C$4:$E$7,3,FALSE)),"")</f>
        <v/>
      </c>
      <c r="G449" s="106"/>
      <c r="H449" s="154" t="str">
        <f>IFERROR(IF($G449="","",$G449*$S$459/$G$459/Cadastro!$E$33),"")</f>
        <v/>
      </c>
      <c r="I449" s="155" t="str">
        <f>IFERROR(IF($D449="","",VLOOKUP($D449,Cadastro!$C$4:$G$7,5,FALSE)),"")</f>
        <v/>
      </c>
      <c r="J449" s="156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54" t="str">
        <f>IFERROR(IF($D450="","",VLOOKUP($D450,Cadastro!$C$4:$E$7,3,FALSE)),"")</f>
        <v/>
      </c>
      <c r="G450" s="106"/>
      <c r="H450" s="154" t="str">
        <f>IFERROR(IF($G450="","",$G450*$S$459/$G$459/Cadastro!$E$33),"")</f>
        <v/>
      </c>
      <c r="I450" s="155" t="str">
        <f>IFERROR(IF($D450="","",VLOOKUP($D450,Cadastro!$C$4:$G$7,5,FALSE)),"")</f>
        <v/>
      </c>
      <c r="J450" s="156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54" t="str">
        <f>IFERROR(IF($D451="","",VLOOKUP($D451,Cadastro!$C$4:$E$7,3,FALSE)),"")</f>
        <v/>
      </c>
      <c r="G451" s="106"/>
      <c r="H451" s="154" t="str">
        <f>IFERROR(IF($G451="","",$G451*$S$459/$G$459/Cadastro!$E$33),"")</f>
        <v/>
      </c>
      <c r="I451" s="155" t="str">
        <f>IFERROR(IF($D451="","",VLOOKUP($D451,Cadastro!$C$4:$G$7,5,FALSE)),"")</f>
        <v/>
      </c>
      <c r="J451" s="156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54" t="str">
        <f>IFERROR(IF($D452="","",VLOOKUP($D452,Cadastro!$C$4:$E$7,3,FALSE)),"")</f>
        <v/>
      </c>
      <c r="G452" s="106"/>
      <c r="H452" s="154" t="str">
        <f>IFERROR(IF($G452="","",$G452*$S$459/$G$459/Cadastro!$E$33),"")</f>
        <v/>
      </c>
      <c r="I452" s="155" t="str">
        <f>IFERROR(IF($D452="","",VLOOKUP($D452,Cadastro!$C$4:$G$7,5,FALSE)),"")</f>
        <v/>
      </c>
      <c r="J452" s="156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54" t="str">
        <f>IFERROR(IF($D453="","",VLOOKUP($D453,Cadastro!$C$4:$E$7,3,FALSE)),"")</f>
        <v/>
      </c>
      <c r="G453" s="106"/>
      <c r="H453" s="154" t="str">
        <f>IFERROR(IF($G453="","",$G453*$S$459/$G$459/Cadastro!$E$33),"")</f>
        <v/>
      </c>
      <c r="I453" s="155" t="str">
        <f>IFERROR(IF($D453="","",VLOOKUP($D453,Cadastro!$C$4:$G$7,5,FALSE)),"")</f>
        <v/>
      </c>
      <c r="J453" s="156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54" t="str">
        <f>IFERROR(IF($D454="","",VLOOKUP($D454,Cadastro!$C$4:$E$7,3,FALSE)),"")</f>
        <v/>
      </c>
      <c r="G454" s="106"/>
      <c r="H454" s="154" t="str">
        <f>IFERROR(IF($G454="","",$G454*$S$459/$G$459/Cadastro!$E$33),"")</f>
        <v/>
      </c>
      <c r="I454" s="155" t="str">
        <f>IFERROR(IF($D454="","",VLOOKUP($D454,Cadastro!$C$4:$G$7,5,FALSE)),"")</f>
        <v/>
      </c>
      <c r="J454" s="156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54" t="str">
        <f>IFERROR(IF($D455="","",VLOOKUP($D455,Cadastro!$C$4:$E$7,3,FALSE)),"")</f>
        <v/>
      </c>
      <c r="G455" s="106"/>
      <c r="H455" s="154" t="str">
        <f>IFERROR(IF($G455="","",$G455*$S$459/$G$459/Cadastro!$E$33),"")</f>
        <v/>
      </c>
      <c r="I455" s="155" t="str">
        <f>IFERROR(IF($D455="","",VLOOKUP($D455,Cadastro!$C$4:$G$7,5,FALSE)),"")</f>
        <v/>
      </c>
      <c r="J455" s="156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54" t="str">
        <f>IFERROR(IF($D456="","",VLOOKUP($D456,Cadastro!$C$4:$E$7,3,FALSE)),"")</f>
        <v/>
      </c>
      <c r="G456" s="106"/>
      <c r="H456" s="154" t="str">
        <f>IFERROR(IF($G456="","",$G456*$S$459/$G$459/Cadastro!$E$33),"")</f>
        <v/>
      </c>
      <c r="I456" s="155" t="str">
        <f>IFERROR(IF($D456="","",VLOOKUP($D456,Cadastro!$C$4:$G$7,5,FALSE)),"")</f>
        <v/>
      </c>
      <c r="J456" s="156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54" t="str">
        <f>IFERROR(IF($D457="","",VLOOKUP($D457,Cadastro!$C$4:$E$7,3,FALSE)),"")</f>
        <v/>
      </c>
      <c r="G457" s="106"/>
      <c r="H457" s="154" t="str">
        <f>IFERROR(IF($G457="","",$G457*$S$459/$G$459/Cadastro!$E$33),"")</f>
        <v/>
      </c>
      <c r="I457" s="155" t="str">
        <f>IFERROR(IF($D457="","",VLOOKUP($D457,Cadastro!$C$4:$G$7,5,FALSE)),"")</f>
        <v/>
      </c>
      <c r="J457" s="156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57" t="str">
        <f>IFERROR(IF($D458="","",VLOOKUP($D458,Cadastro!$C$4:$E$7,3,FALSE)),"")</f>
        <v/>
      </c>
      <c r="G458" s="106"/>
      <c r="H458" s="157" t="str">
        <f>IFERROR(IF($G458="","",$G458*$S$459/$G$459/Cadastro!$E$33),"")</f>
        <v/>
      </c>
      <c r="I458" s="158" t="str">
        <f>IFERROR(IF($D458="","",VLOOKUP($D458,Cadastro!$C$4:$G$7,5,FALSE)),"")</f>
        <v/>
      </c>
      <c r="J458" s="159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32" t="s">
        <v>244</v>
      </c>
      <c r="B459" s="133"/>
      <c r="C459" s="133"/>
      <c r="D459" s="133"/>
      <c r="E459" s="13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34" t="s">
        <v>245</v>
      </c>
      <c r="B460" s="135"/>
      <c r="C460" s="135"/>
      <c r="D460" s="135"/>
      <c r="E460" s="135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60" t="str">
        <f>IFERROR(IF($D461="","",VLOOKUP($D461,Cadastro!$C$4:$E$7,3,FALSE)),"")</f>
        <v/>
      </c>
      <c r="G461" s="106"/>
      <c r="H461" s="160" t="str">
        <f>IFERROR(IF($G461="","",$G461*$S$473/$G$473/Cadastro!$E$33),"")</f>
        <v/>
      </c>
      <c r="I461" s="161" t="str">
        <f>IFERROR(IF($D461="","",VLOOKUP($D461,Cadastro!$C$4:$G$7,5,FALSE)),"")</f>
        <v/>
      </c>
      <c r="J461" s="162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54" t="str">
        <f>IFERROR(IF($D462="","",VLOOKUP($D462,Cadastro!$C$4:$E$7,3,FALSE)),"")</f>
        <v/>
      </c>
      <c r="G462" s="106"/>
      <c r="H462" s="154" t="str">
        <f>IFERROR(IF($G462="","",$G462*$S$473/$G$473/Cadastro!$E$33),"")</f>
        <v/>
      </c>
      <c r="I462" s="155" t="str">
        <f>IFERROR(IF($D462="","",VLOOKUP($D462,Cadastro!$C$4:$G$7,5,FALSE)),"")</f>
        <v/>
      </c>
      <c r="J462" s="156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54" t="str">
        <f>IFERROR(IF($D463="","",VLOOKUP($D463,Cadastro!$C$4:$E$7,3,FALSE)),"")</f>
        <v/>
      </c>
      <c r="G463" s="106"/>
      <c r="H463" s="154" t="str">
        <f>IFERROR(IF($G463="","",$G463*$S$473/$G$473/Cadastro!$E$33),"")</f>
        <v/>
      </c>
      <c r="I463" s="155" t="str">
        <f>IFERROR(IF($D463="","",VLOOKUP($D463,Cadastro!$C$4:$G$7,5,FALSE)),"")</f>
        <v/>
      </c>
      <c r="J463" s="156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54" t="str">
        <f>IFERROR(IF($D464="","",VLOOKUP($D464,Cadastro!$C$4:$E$7,3,FALSE)),"")</f>
        <v/>
      </c>
      <c r="G464" s="106"/>
      <c r="H464" s="154" t="str">
        <f>IFERROR(IF($G464="","",$G464*$S$473/$G$473/Cadastro!$E$33),"")</f>
        <v/>
      </c>
      <c r="I464" s="155" t="str">
        <f>IFERROR(IF($D464="","",VLOOKUP($D464,Cadastro!$C$4:$G$7,5,FALSE)),"")</f>
        <v/>
      </c>
      <c r="J464" s="156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54" t="str">
        <f>IFERROR(IF($D465="","",VLOOKUP($D465,Cadastro!$C$4:$E$7,3,FALSE)),"")</f>
        <v/>
      </c>
      <c r="G465" s="106"/>
      <c r="H465" s="154" t="str">
        <f>IFERROR(IF($G465="","",$G465*$S$473/$G$473/Cadastro!$E$33),"")</f>
        <v/>
      </c>
      <c r="I465" s="155" t="str">
        <f>IFERROR(IF($D465="","",VLOOKUP($D465,Cadastro!$C$4:$G$7,5,FALSE)),"")</f>
        <v/>
      </c>
      <c r="J465" s="156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54" t="str">
        <f>IFERROR(IF($D466="","",VLOOKUP($D466,Cadastro!$C$4:$E$7,3,FALSE)),"")</f>
        <v/>
      </c>
      <c r="G466" s="106"/>
      <c r="H466" s="154" t="str">
        <f>IFERROR(IF($G466="","",$G466*$S$473/$G$473/Cadastro!$E$33),"")</f>
        <v/>
      </c>
      <c r="I466" s="155" t="str">
        <f>IFERROR(IF($D466="","",VLOOKUP($D466,Cadastro!$C$4:$G$7,5,FALSE)),"")</f>
        <v/>
      </c>
      <c r="J466" s="156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54" t="str">
        <f>IFERROR(IF($D467="","",VLOOKUP($D467,Cadastro!$C$4:$E$7,3,FALSE)),"")</f>
        <v/>
      </c>
      <c r="G467" s="106"/>
      <c r="H467" s="154" t="str">
        <f>IFERROR(IF($G467="","",$G467*$S$473/$G$473/Cadastro!$E$33),"")</f>
        <v/>
      </c>
      <c r="I467" s="155" t="str">
        <f>IFERROR(IF($D467="","",VLOOKUP($D467,Cadastro!$C$4:$G$7,5,FALSE)),"")</f>
        <v/>
      </c>
      <c r="J467" s="156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54" t="str">
        <f>IFERROR(IF($D468="","",VLOOKUP($D468,Cadastro!$C$4:$E$7,3,FALSE)),"")</f>
        <v/>
      </c>
      <c r="G468" s="106"/>
      <c r="H468" s="154" t="str">
        <f>IFERROR(IF($G468="","",$G468*$S$473/$G$473/Cadastro!$E$33),"")</f>
        <v/>
      </c>
      <c r="I468" s="155" t="str">
        <f>IFERROR(IF($D468="","",VLOOKUP($D468,Cadastro!$C$4:$G$7,5,FALSE)),"")</f>
        <v/>
      </c>
      <c r="J468" s="156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54" t="str">
        <f>IFERROR(IF($D469="","",VLOOKUP($D469,Cadastro!$C$4:$E$7,3,FALSE)),"")</f>
        <v/>
      </c>
      <c r="G469" s="106"/>
      <c r="H469" s="154" t="str">
        <f>IFERROR(IF($G469="","",$G469*$S$473/$G$473/Cadastro!$E$33),"")</f>
        <v/>
      </c>
      <c r="I469" s="155" t="str">
        <f>IFERROR(IF($D469="","",VLOOKUP($D469,Cadastro!$C$4:$G$7,5,FALSE)),"")</f>
        <v/>
      </c>
      <c r="J469" s="156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54" t="str">
        <f>IFERROR(IF($D470="","",VLOOKUP($D470,Cadastro!$C$4:$E$7,3,FALSE)),"")</f>
        <v/>
      </c>
      <c r="G470" s="106"/>
      <c r="H470" s="154" t="str">
        <f>IFERROR(IF($G470="","",$G470*$S$473/$G$473/Cadastro!$E$33),"")</f>
        <v/>
      </c>
      <c r="I470" s="155" t="str">
        <f>IFERROR(IF($D470="","",VLOOKUP($D470,Cadastro!$C$4:$G$7,5,FALSE)),"")</f>
        <v/>
      </c>
      <c r="J470" s="156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54" t="str">
        <f>IFERROR(IF($D471="","",VLOOKUP($D471,Cadastro!$C$4:$E$7,3,FALSE)),"")</f>
        <v/>
      </c>
      <c r="G471" s="106"/>
      <c r="H471" s="154" t="str">
        <f>IFERROR(IF($G471="","",$G471*$S$473/$G$473/Cadastro!$E$33),"")</f>
        <v/>
      </c>
      <c r="I471" s="155" t="str">
        <f>IFERROR(IF($D471="","",VLOOKUP($D471,Cadastro!$C$4:$G$7,5,FALSE)),"")</f>
        <v/>
      </c>
      <c r="J471" s="156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57" t="str">
        <f>IFERROR(IF($D472="","",VLOOKUP($D472,Cadastro!$C$4:$E$7,3,FALSE)),"")</f>
        <v/>
      </c>
      <c r="G472" s="106"/>
      <c r="H472" s="157" t="str">
        <f>IFERROR(IF($G472="","",$G472*$S$473/$G$473/Cadastro!$E$33),"")</f>
        <v/>
      </c>
      <c r="I472" s="158" t="str">
        <f>IFERROR(IF($D472="","",VLOOKUP($D472,Cadastro!$C$4:$G$7,5,FALSE)),"")</f>
        <v/>
      </c>
      <c r="J472" s="159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32" t="s">
        <v>241</v>
      </c>
      <c r="B473" s="133"/>
      <c r="C473" s="133"/>
      <c r="D473" s="133"/>
      <c r="E473" s="13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60" t="str">
        <f>IFERROR(IF($D474="","",VLOOKUP($D474,Cadastro!$C$4:$E$7,3,FALSE)),"")</f>
        <v/>
      </c>
      <c r="G474" s="106"/>
      <c r="H474" s="160" t="str">
        <f>IFERROR(IF($G474="","",$G474*$S$486/$G$486/Cadastro!$E$33),"")</f>
        <v/>
      </c>
      <c r="I474" s="161" t="str">
        <f>IFERROR(IF($D474="","",VLOOKUP($D474,Cadastro!$C$4:$G$7,5,FALSE)),"")</f>
        <v/>
      </c>
      <c r="J474" s="162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54" t="str">
        <f>IFERROR(IF($D475="","",VLOOKUP($D475,Cadastro!$C$4:$E$7,3,FALSE)),"")</f>
        <v/>
      </c>
      <c r="G475" s="106"/>
      <c r="H475" s="154" t="str">
        <f>IFERROR(IF($G475="","",$G475*$S$486/$G$486/Cadastro!$E$33),"")</f>
        <v/>
      </c>
      <c r="I475" s="155" t="str">
        <f>IFERROR(IF($D475="","",VLOOKUP($D475,Cadastro!$C$4:$G$7,5,FALSE)),"")</f>
        <v/>
      </c>
      <c r="J475" s="156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54" t="str">
        <f>IFERROR(IF($D476="","",VLOOKUP($D476,Cadastro!$C$4:$E$7,3,FALSE)),"")</f>
        <v/>
      </c>
      <c r="G476" s="106"/>
      <c r="H476" s="154" t="str">
        <f>IFERROR(IF($G476="","",$G476*$S$486/$G$486/Cadastro!$E$33),"")</f>
        <v/>
      </c>
      <c r="I476" s="155" t="str">
        <f>IFERROR(IF($D476="","",VLOOKUP($D476,Cadastro!$C$4:$G$7,5,FALSE)),"")</f>
        <v/>
      </c>
      <c r="J476" s="156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54" t="str">
        <f>IFERROR(IF($D477="","",VLOOKUP($D477,Cadastro!$C$4:$E$7,3,FALSE)),"")</f>
        <v/>
      </c>
      <c r="G477" s="106"/>
      <c r="H477" s="154" t="str">
        <f>IFERROR(IF($G477="","",$G477*$S$486/$G$486/Cadastro!$E$33),"")</f>
        <v/>
      </c>
      <c r="I477" s="155" t="str">
        <f>IFERROR(IF($D477="","",VLOOKUP($D477,Cadastro!$C$4:$G$7,5,FALSE)),"")</f>
        <v/>
      </c>
      <c r="J477" s="156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54" t="str">
        <f>IFERROR(IF($D478="","",VLOOKUP($D478,Cadastro!$C$4:$E$7,3,FALSE)),"")</f>
        <v/>
      </c>
      <c r="G478" s="106"/>
      <c r="H478" s="154" t="str">
        <f>IFERROR(IF($G478="","",$G478*$S$486/$G$486/Cadastro!$E$33),"")</f>
        <v/>
      </c>
      <c r="I478" s="155" t="str">
        <f>IFERROR(IF($D478="","",VLOOKUP($D478,Cadastro!$C$4:$G$7,5,FALSE)),"")</f>
        <v/>
      </c>
      <c r="J478" s="156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54" t="str">
        <f>IFERROR(IF($D479="","",VLOOKUP($D479,Cadastro!$C$4:$E$7,3,FALSE)),"")</f>
        <v/>
      </c>
      <c r="G479" s="106"/>
      <c r="H479" s="154" t="str">
        <f>IFERROR(IF($G479="","",$G479*$S$486/$G$486/Cadastro!$E$33),"")</f>
        <v/>
      </c>
      <c r="I479" s="155" t="str">
        <f>IFERROR(IF($D479="","",VLOOKUP($D479,Cadastro!$C$4:$G$7,5,FALSE)),"")</f>
        <v/>
      </c>
      <c r="J479" s="156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54" t="str">
        <f>IFERROR(IF($D480="","",VLOOKUP($D480,Cadastro!$C$4:$E$7,3,FALSE)),"")</f>
        <v/>
      </c>
      <c r="G480" s="106"/>
      <c r="H480" s="154" t="str">
        <f>IFERROR(IF($G480="","",$G480*$S$486/$G$486/Cadastro!$E$33),"")</f>
        <v/>
      </c>
      <c r="I480" s="155" t="str">
        <f>IFERROR(IF($D480="","",VLOOKUP($D480,Cadastro!$C$4:$G$7,5,FALSE)),"")</f>
        <v/>
      </c>
      <c r="J480" s="156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54" t="str">
        <f>IFERROR(IF($D481="","",VLOOKUP($D481,Cadastro!$C$4:$E$7,3,FALSE)),"")</f>
        <v/>
      </c>
      <c r="G481" s="106"/>
      <c r="H481" s="154" t="str">
        <f>IFERROR(IF($G481="","",$G481*$S$486/$G$486/Cadastro!$E$33),"")</f>
        <v/>
      </c>
      <c r="I481" s="155" t="str">
        <f>IFERROR(IF($D481="","",VLOOKUP($D481,Cadastro!$C$4:$G$7,5,FALSE)),"")</f>
        <v/>
      </c>
      <c r="J481" s="156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54" t="str">
        <f>IFERROR(IF($D482="","",VLOOKUP($D482,Cadastro!$C$4:$E$7,3,FALSE)),"")</f>
        <v/>
      </c>
      <c r="G482" s="106"/>
      <c r="H482" s="154" t="str">
        <f>IFERROR(IF($G482="","",$G482*$S$486/$G$486/Cadastro!$E$33),"")</f>
        <v/>
      </c>
      <c r="I482" s="155" t="str">
        <f>IFERROR(IF($D482="","",VLOOKUP($D482,Cadastro!$C$4:$G$7,5,FALSE)),"")</f>
        <v/>
      </c>
      <c r="J482" s="156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54" t="str">
        <f>IFERROR(IF($D483="","",VLOOKUP($D483,Cadastro!$C$4:$E$7,3,FALSE)),"")</f>
        <v/>
      </c>
      <c r="G483" s="106"/>
      <c r="H483" s="154" t="str">
        <f>IFERROR(IF($G483="","",$G483*$S$486/$G$486/Cadastro!$E$33),"")</f>
        <v/>
      </c>
      <c r="I483" s="155" t="str">
        <f>IFERROR(IF($D483="","",VLOOKUP($D483,Cadastro!$C$4:$G$7,5,FALSE)),"")</f>
        <v/>
      </c>
      <c r="J483" s="156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54" t="str">
        <f>IFERROR(IF($D484="","",VLOOKUP($D484,Cadastro!$C$4:$E$7,3,FALSE)),"")</f>
        <v/>
      </c>
      <c r="G484" s="106"/>
      <c r="H484" s="154" t="str">
        <f>IFERROR(IF($G484="","",$G484*$S$486/$G$486/Cadastro!$E$33),"")</f>
        <v/>
      </c>
      <c r="I484" s="155" t="str">
        <f>IFERROR(IF($D484="","",VLOOKUP($D484,Cadastro!$C$4:$G$7,5,FALSE)),"")</f>
        <v/>
      </c>
      <c r="J484" s="156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57" t="str">
        <f>IFERROR(IF($D485="","",VLOOKUP($D485,Cadastro!$C$4:$E$7,3,FALSE)),"")</f>
        <v/>
      </c>
      <c r="G485" s="106"/>
      <c r="H485" s="157" t="str">
        <f>IFERROR(IF($G485="","",$G485*$S$486/$G$486/Cadastro!$E$33),"")</f>
        <v/>
      </c>
      <c r="I485" s="158" t="str">
        <f>IFERROR(IF($D485="","",VLOOKUP($D485,Cadastro!$C$4:$G$7,5,FALSE)),"")</f>
        <v/>
      </c>
      <c r="J485" s="159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32" t="s">
        <v>244</v>
      </c>
      <c r="B486" s="133"/>
      <c r="C486" s="133"/>
      <c r="D486" s="133"/>
      <c r="E486" s="13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34" t="s">
        <v>245</v>
      </c>
      <c r="B487" s="135"/>
      <c r="C487" s="135"/>
      <c r="D487" s="135"/>
      <c r="E487" s="135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60" t="str">
        <f>IFERROR(IF($D488="","",VLOOKUP($D488,Cadastro!$C$4:$E$7,3,FALSE)),"")</f>
        <v/>
      </c>
      <c r="G488" s="106"/>
      <c r="H488" s="160" t="str">
        <f>IFERROR(IF($G488="","",$G488*$S$500/$G$500/Cadastro!$E$33),"")</f>
        <v/>
      </c>
      <c r="I488" s="161" t="str">
        <f>IFERROR(IF($D488="","",VLOOKUP($D488,Cadastro!$C$4:$G$7,5,FALSE)),"")</f>
        <v/>
      </c>
      <c r="J488" s="162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54" t="str">
        <f>IFERROR(IF($D489="","",VLOOKUP($D489,Cadastro!$C$4:$E$7,3,FALSE)),"")</f>
        <v/>
      </c>
      <c r="G489" s="106"/>
      <c r="H489" s="154" t="str">
        <f>IFERROR(IF($G489="","",$G489*$S$500/$G$500/Cadastro!$E$33),"")</f>
        <v/>
      </c>
      <c r="I489" s="155" t="str">
        <f>IFERROR(IF($D489="","",VLOOKUP($D489,Cadastro!$C$4:$G$7,5,FALSE)),"")</f>
        <v/>
      </c>
      <c r="J489" s="156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54" t="str">
        <f>IFERROR(IF($D490="","",VLOOKUP($D490,Cadastro!$C$4:$E$7,3,FALSE)),"")</f>
        <v/>
      </c>
      <c r="G490" s="106"/>
      <c r="H490" s="154" t="str">
        <f>IFERROR(IF($G490="","",$G490*$S$500/$G$500/Cadastro!$E$33),"")</f>
        <v/>
      </c>
      <c r="I490" s="155" t="str">
        <f>IFERROR(IF($D490="","",VLOOKUP($D490,Cadastro!$C$4:$G$7,5,FALSE)),"")</f>
        <v/>
      </c>
      <c r="J490" s="156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54" t="str">
        <f>IFERROR(IF($D491="","",VLOOKUP($D491,Cadastro!$C$4:$E$7,3,FALSE)),"")</f>
        <v/>
      </c>
      <c r="G491" s="106"/>
      <c r="H491" s="154" t="str">
        <f>IFERROR(IF($G491="","",$G491*$S$500/$G$500/Cadastro!$E$33),"")</f>
        <v/>
      </c>
      <c r="I491" s="155" t="str">
        <f>IFERROR(IF($D491="","",VLOOKUP($D491,Cadastro!$C$4:$G$7,5,FALSE)),"")</f>
        <v/>
      </c>
      <c r="J491" s="156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54" t="str">
        <f>IFERROR(IF($D492="","",VLOOKUP($D492,Cadastro!$C$4:$E$7,3,FALSE)),"")</f>
        <v/>
      </c>
      <c r="G492" s="106"/>
      <c r="H492" s="154" t="str">
        <f>IFERROR(IF($G492="","",$G492*$S$500/$G$500/Cadastro!$E$33),"")</f>
        <v/>
      </c>
      <c r="I492" s="155" t="str">
        <f>IFERROR(IF($D492="","",VLOOKUP($D492,Cadastro!$C$4:$G$7,5,FALSE)),"")</f>
        <v/>
      </c>
      <c r="J492" s="156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54" t="str">
        <f>IFERROR(IF($D493="","",VLOOKUP($D493,Cadastro!$C$4:$E$7,3,FALSE)),"")</f>
        <v/>
      </c>
      <c r="G493" s="106"/>
      <c r="H493" s="154" t="str">
        <f>IFERROR(IF($G493="","",$G493*$S$500/$G$500/Cadastro!$E$33),"")</f>
        <v/>
      </c>
      <c r="I493" s="155" t="str">
        <f>IFERROR(IF($D493="","",VLOOKUP($D493,Cadastro!$C$4:$G$7,5,FALSE)),"")</f>
        <v/>
      </c>
      <c r="J493" s="156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54" t="str">
        <f>IFERROR(IF($D494="","",VLOOKUP($D494,Cadastro!$C$4:$E$7,3,FALSE)),"")</f>
        <v/>
      </c>
      <c r="G494" s="106"/>
      <c r="H494" s="154" t="str">
        <f>IFERROR(IF($G494="","",$G494*$S$500/$G$500/Cadastro!$E$33),"")</f>
        <v/>
      </c>
      <c r="I494" s="155" t="str">
        <f>IFERROR(IF($D494="","",VLOOKUP($D494,Cadastro!$C$4:$G$7,5,FALSE)),"")</f>
        <v/>
      </c>
      <c r="J494" s="156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54" t="str">
        <f>IFERROR(IF($D495="","",VLOOKUP($D495,Cadastro!$C$4:$E$7,3,FALSE)),"")</f>
        <v/>
      </c>
      <c r="G495" s="106"/>
      <c r="H495" s="154" t="str">
        <f>IFERROR(IF($G495="","",$G495*$S$500/$G$500/Cadastro!$E$33),"")</f>
        <v/>
      </c>
      <c r="I495" s="155" t="str">
        <f>IFERROR(IF($D495="","",VLOOKUP($D495,Cadastro!$C$4:$G$7,5,FALSE)),"")</f>
        <v/>
      </c>
      <c r="J495" s="156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54" t="str">
        <f>IFERROR(IF($D496="","",VLOOKUP($D496,Cadastro!$C$4:$E$7,3,FALSE)),"")</f>
        <v/>
      </c>
      <c r="G496" s="106"/>
      <c r="H496" s="154" t="str">
        <f>IFERROR(IF($G496="","",$G496*$S$500/$G$500/Cadastro!$E$33),"")</f>
        <v/>
      </c>
      <c r="I496" s="155" t="str">
        <f>IFERROR(IF($D496="","",VLOOKUP($D496,Cadastro!$C$4:$G$7,5,FALSE)),"")</f>
        <v/>
      </c>
      <c r="J496" s="156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54" t="str">
        <f>IFERROR(IF($D497="","",VLOOKUP($D497,Cadastro!$C$4:$E$7,3,FALSE)),"")</f>
        <v/>
      </c>
      <c r="G497" s="106"/>
      <c r="H497" s="154" t="str">
        <f>IFERROR(IF($G497="","",$G497*$S$500/$G$500/Cadastro!$E$33),"")</f>
        <v/>
      </c>
      <c r="I497" s="155" t="str">
        <f>IFERROR(IF($D497="","",VLOOKUP($D497,Cadastro!$C$4:$G$7,5,FALSE)),"")</f>
        <v/>
      </c>
      <c r="J497" s="156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54" t="str">
        <f>IFERROR(IF($D498="","",VLOOKUP($D498,Cadastro!$C$4:$E$7,3,FALSE)),"")</f>
        <v/>
      </c>
      <c r="G498" s="106"/>
      <c r="H498" s="154" t="str">
        <f>IFERROR(IF($G498="","",$G498*$S$500/$G$500/Cadastro!$E$33),"")</f>
        <v/>
      </c>
      <c r="I498" s="155" t="str">
        <f>IFERROR(IF($D498="","",VLOOKUP($D498,Cadastro!$C$4:$G$7,5,FALSE)),"")</f>
        <v/>
      </c>
      <c r="J498" s="156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57" t="str">
        <f>IFERROR(IF($D499="","",VLOOKUP($D499,Cadastro!$C$4:$E$7,3,FALSE)),"")</f>
        <v/>
      </c>
      <c r="G499" s="106"/>
      <c r="H499" s="157" t="str">
        <f>IFERROR(IF($G499="","",$G499*$S$500/$G$500/Cadastro!$E$33),"")</f>
        <v/>
      </c>
      <c r="I499" s="158" t="str">
        <f>IFERROR(IF($D499="","",VLOOKUP($D499,Cadastro!$C$4:$G$7,5,FALSE)),"")</f>
        <v/>
      </c>
      <c r="J499" s="159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32" t="s">
        <v>241</v>
      </c>
      <c r="B500" s="133"/>
      <c r="C500" s="133"/>
      <c r="D500" s="133"/>
      <c r="E500" s="13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60" t="str">
        <f>IFERROR(IF($D501="","",VLOOKUP($D501,Cadastro!$C$4:$E$7,3,FALSE)),"")</f>
        <v/>
      </c>
      <c r="G501" s="106"/>
      <c r="H501" s="160" t="str">
        <f>IFERROR(IF($G501="","",$G501*$S$513/$G$513/Cadastro!$E$33),"")</f>
        <v/>
      </c>
      <c r="I501" s="161" t="str">
        <f>IFERROR(IF($D501="","",VLOOKUP($D501,Cadastro!$C$4:$G$7,5,FALSE)),"")</f>
        <v/>
      </c>
      <c r="J501" s="162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54" t="str">
        <f>IFERROR(IF($D502="","",VLOOKUP($D502,Cadastro!$C$4:$E$7,3,FALSE)),"")</f>
        <v/>
      </c>
      <c r="G502" s="106"/>
      <c r="H502" s="154" t="str">
        <f>IFERROR(IF($G502="","",$G502*$S$513/$G$513/Cadastro!$E$33),"")</f>
        <v/>
      </c>
      <c r="I502" s="155" t="str">
        <f>IFERROR(IF($D502="","",VLOOKUP($D502,Cadastro!$C$4:$G$7,5,FALSE)),"")</f>
        <v/>
      </c>
      <c r="J502" s="156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54" t="str">
        <f>IFERROR(IF($D503="","",VLOOKUP($D503,Cadastro!$C$4:$E$7,3,FALSE)),"")</f>
        <v/>
      </c>
      <c r="G503" s="106"/>
      <c r="H503" s="154" t="str">
        <f>IFERROR(IF($G503="","",$G503*$S$513/$G$513/Cadastro!$E$33),"")</f>
        <v/>
      </c>
      <c r="I503" s="155" t="str">
        <f>IFERROR(IF($D503="","",VLOOKUP($D503,Cadastro!$C$4:$G$7,5,FALSE)),"")</f>
        <v/>
      </c>
      <c r="J503" s="156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54" t="str">
        <f>IFERROR(IF($D504="","",VLOOKUP($D504,Cadastro!$C$4:$E$7,3,FALSE)),"")</f>
        <v/>
      </c>
      <c r="G504" s="106"/>
      <c r="H504" s="154" t="str">
        <f>IFERROR(IF($G504="","",$G504*$S$513/$G$513/Cadastro!$E$33),"")</f>
        <v/>
      </c>
      <c r="I504" s="155" t="str">
        <f>IFERROR(IF($D504="","",VLOOKUP($D504,Cadastro!$C$4:$G$7,5,FALSE)),"")</f>
        <v/>
      </c>
      <c r="J504" s="156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54" t="str">
        <f>IFERROR(IF($D505="","",VLOOKUP($D505,Cadastro!$C$4:$E$7,3,FALSE)),"")</f>
        <v/>
      </c>
      <c r="G505" s="106"/>
      <c r="H505" s="154" t="str">
        <f>IFERROR(IF($G505="","",$G505*$S$513/$G$513/Cadastro!$E$33),"")</f>
        <v/>
      </c>
      <c r="I505" s="155" t="str">
        <f>IFERROR(IF($D505="","",VLOOKUP($D505,Cadastro!$C$4:$G$7,5,FALSE)),"")</f>
        <v/>
      </c>
      <c r="J505" s="156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54" t="str">
        <f>IFERROR(IF($D506="","",VLOOKUP($D506,Cadastro!$C$4:$E$7,3,FALSE)),"")</f>
        <v/>
      </c>
      <c r="G506" s="106"/>
      <c r="H506" s="154" t="str">
        <f>IFERROR(IF($G506="","",$G506*$S$513/$G$513/Cadastro!$E$33),"")</f>
        <v/>
      </c>
      <c r="I506" s="155" t="str">
        <f>IFERROR(IF($D506="","",VLOOKUP($D506,Cadastro!$C$4:$G$7,5,FALSE)),"")</f>
        <v/>
      </c>
      <c r="J506" s="156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54" t="str">
        <f>IFERROR(IF($D507="","",VLOOKUP($D507,Cadastro!$C$4:$E$7,3,FALSE)),"")</f>
        <v/>
      </c>
      <c r="G507" s="106"/>
      <c r="H507" s="154" t="str">
        <f>IFERROR(IF($G507="","",$G507*$S$513/$G$513/Cadastro!$E$33),"")</f>
        <v/>
      </c>
      <c r="I507" s="155" t="str">
        <f>IFERROR(IF($D507="","",VLOOKUP($D507,Cadastro!$C$4:$G$7,5,FALSE)),"")</f>
        <v/>
      </c>
      <c r="J507" s="156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54" t="str">
        <f>IFERROR(IF($D508="","",VLOOKUP($D508,Cadastro!$C$4:$E$7,3,FALSE)),"")</f>
        <v/>
      </c>
      <c r="G508" s="106"/>
      <c r="H508" s="154" t="str">
        <f>IFERROR(IF($G508="","",$G508*$S$513/$G$513/Cadastro!$E$33),"")</f>
        <v/>
      </c>
      <c r="I508" s="155" t="str">
        <f>IFERROR(IF($D508="","",VLOOKUP($D508,Cadastro!$C$4:$G$7,5,FALSE)),"")</f>
        <v/>
      </c>
      <c r="J508" s="156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54" t="str">
        <f>IFERROR(IF($D509="","",VLOOKUP($D509,Cadastro!$C$4:$E$7,3,FALSE)),"")</f>
        <v/>
      </c>
      <c r="G509" s="106"/>
      <c r="H509" s="154" t="str">
        <f>IFERROR(IF($G509="","",$G509*$S$513/$G$513/Cadastro!$E$33),"")</f>
        <v/>
      </c>
      <c r="I509" s="155" t="str">
        <f>IFERROR(IF($D509="","",VLOOKUP($D509,Cadastro!$C$4:$G$7,5,FALSE)),"")</f>
        <v/>
      </c>
      <c r="J509" s="156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54" t="str">
        <f>IFERROR(IF($D510="","",VLOOKUP($D510,Cadastro!$C$4:$E$7,3,FALSE)),"")</f>
        <v/>
      </c>
      <c r="G510" s="106"/>
      <c r="H510" s="154" t="str">
        <f>IFERROR(IF($G510="","",$G510*$S$513/$G$513/Cadastro!$E$33),"")</f>
        <v/>
      </c>
      <c r="I510" s="155" t="str">
        <f>IFERROR(IF($D510="","",VLOOKUP($D510,Cadastro!$C$4:$G$7,5,FALSE)),"")</f>
        <v/>
      </c>
      <c r="J510" s="156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54" t="str">
        <f>IFERROR(IF($D511="","",VLOOKUP($D511,Cadastro!$C$4:$E$7,3,FALSE)),"")</f>
        <v/>
      </c>
      <c r="G511" s="106"/>
      <c r="H511" s="154" t="str">
        <f>IFERROR(IF($G511="","",$G511*$S$513/$G$513/Cadastro!$E$33),"")</f>
        <v/>
      </c>
      <c r="I511" s="155" t="str">
        <f>IFERROR(IF($D511="","",VLOOKUP($D511,Cadastro!$C$4:$G$7,5,FALSE)),"")</f>
        <v/>
      </c>
      <c r="J511" s="156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57" t="str">
        <f>IFERROR(IF($D512="","",VLOOKUP($D512,Cadastro!$C$4:$E$7,3,FALSE)),"")</f>
        <v/>
      </c>
      <c r="G512" s="106"/>
      <c r="H512" s="157" t="str">
        <f>IFERROR(IF($G512="","",$G512*$S$513/$G$513/Cadastro!$E$33),"")</f>
        <v/>
      </c>
      <c r="I512" s="158" t="str">
        <f>IFERROR(IF($D512="","",VLOOKUP($D512,Cadastro!$C$4:$G$7,5,FALSE)),"")</f>
        <v/>
      </c>
      <c r="J512" s="159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32" t="s">
        <v>244</v>
      </c>
      <c r="B513" s="133"/>
      <c r="C513" s="133"/>
      <c r="D513" s="133"/>
      <c r="E513" s="13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34" t="s">
        <v>245</v>
      </c>
      <c r="B514" s="135"/>
      <c r="C514" s="135"/>
      <c r="D514" s="135"/>
      <c r="E514" s="135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60" t="str">
        <f>IFERROR(IF($D515="","",VLOOKUP($D515,Cadastro!$C$4:$E$7,3,FALSE)),"")</f>
        <v/>
      </c>
      <c r="G515" s="106"/>
      <c r="H515" s="160" t="str">
        <f>IFERROR(IF($G515="","",$G515*$S$527/$G$527/Cadastro!$E$33),"")</f>
        <v/>
      </c>
      <c r="I515" s="161" t="str">
        <f>IFERROR(IF($D515="","",VLOOKUP($D515,Cadastro!$C$4:$G$7,5,FALSE)),"")</f>
        <v/>
      </c>
      <c r="J515" s="162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54" t="str">
        <f>IFERROR(IF($D516="","",VLOOKUP($D516,Cadastro!$C$4:$E$7,3,FALSE)),"")</f>
        <v/>
      </c>
      <c r="G516" s="106"/>
      <c r="H516" s="154" t="str">
        <f>IFERROR(IF($G516="","",$G516*$S$527/$G$527/Cadastro!$E$33),"")</f>
        <v/>
      </c>
      <c r="I516" s="155" t="str">
        <f>IFERROR(IF($D516="","",VLOOKUP($D516,Cadastro!$C$4:$G$7,5,FALSE)),"")</f>
        <v/>
      </c>
      <c r="J516" s="156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54" t="str">
        <f>IFERROR(IF($D517="","",VLOOKUP($D517,Cadastro!$C$4:$E$7,3,FALSE)),"")</f>
        <v/>
      </c>
      <c r="G517" s="106"/>
      <c r="H517" s="154" t="str">
        <f>IFERROR(IF($G517="","",$G517*$S$527/$G$527/Cadastro!$E$33),"")</f>
        <v/>
      </c>
      <c r="I517" s="155" t="str">
        <f>IFERROR(IF($D517="","",VLOOKUP($D517,Cadastro!$C$4:$G$7,5,FALSE)),"")</f>
        <v/>
      </c>
      <c r="J517" s="156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54" t="str">
        <f>IFERROR(IF($D518="","",VLOOKUP($D518,Cadastro!$C$4:$E$7,3,FALSE)),"")</f>
        <v/>
      </c>
      <c r="G518" s="106"/>
      <c r="H518" s="154" t="str">
        <f>IFERROR(IF($G518="","",$G518*$S$527/$G$527/Cadastro!$E$33),"")</f>
        <v/>
      </c>
      <c r="I518" s="155" t="str">
        <f>IFERROR(IF($D518="","",VLOOKUP($D518,Cadastro!$C$4:$G$7,5,FALSE)),"")</f>
        <v/>
      </c>
      <c r="J518" s="156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54" t="str">
        <f>IFERROR(IF($D519="","",VLOOKUP($D519,Cadastro!$C$4:$E$7,3,FALSE)),"")</f>
        <v/>
      </c>
      <c r="G519" s="106"/>
      <c r="H519" s="154" t="str">
        <f>IFERROR(IF($G519="","",$G519*$S$527/$G$527/Cadastro!$E$33),"")</f>
        <v/>
      </c>
      <c r="I519" s="155" t="str">
        <f>IFERROR(IF($D519="","",VLOOKUP($D519,Cadastro!$C$4:$G$7,5,FALSE)),"")</f>
        <v/>
      </c>
      <c r="J519" s="156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54" t="str">
        <f>IFERROR(IF($D520="","",VLOOKUP($D520,Cadastro!$C$4:$E$7,3,FALSE)),"")</f>
        <v/>
      </c>
      <c r="G520" s="106"/>
      <c r="H520" s="154" t="str">
        <f>IFERROR(IF($G520="","",$G520*$S$527/$G$527/Cadastro!$E$33),"")</f>
        <v/>
      </c>
      <c r="I520" s="155" t="str">
        <f>IFERROR(IF($D520="","",VLOOKUP($D520,Cadastro!$C$4:$G$7,5,FALSE)),"")</f>
        <v/>
      </c>
      <c r="J520" s="156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54" t="str">
        <f>IFERROR(IF($D521="","",VLOOKUP($D521,Cadastro!$C$4:$E$7,3,FALSE)),"")</f>
        <v/>
      </c>
      <c r="G521" s="106"/>
      <c r="H521" s="154" t="str">
        <f>IFERROR(IF($G521="","",$G521*$S$527/$G$527/Cadastro!$E$33),"")</f>
        <v/>
      </c>
      <c r="I521" s="155" t="str">
        <f>IFERROR(IF($D521="","",VLOOKUP($D521,Cadastro!$C$4:$G$7,5,FALSE)),"")</f>
        <v/>
      </c>
      <c r="J521" s="156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54" t="str">
        <f>IFERROR(IF($D522="","",VLOOKUP($D522,Cadastro!$C$4:$E$7,3,FALSE)),"")</f>
        <v/>
      </c>
      <c r="G522" s="106"/>
      <c r="H522" s="154" t="str">
        <f>IFERROR(IF($G522="","",$G522*$S$527/$G$527/Cadastro!$E$33),"")</f>
        <v/>
      </c>
      <c r="I522" s="155" t="str">
        <f>IFERROR(IF($D522="","",VLOOKUP($D522,Cadastro!$C$4:$G$7,5,FALSE)),"")</f>
        <v/>
      </c>
      <c r="J522" s="156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54" t="str">
        <f>IFERROR(IF($D523="","",VLOOKUP($D523,Cadastro!$C$4:$E$7,3,FALSE)),"")</f>
        <v/>
      </c>
      <c r="G523" s="106"/>
      <c r="H523" s="154" t="str">
        <f>IFERROR(IF($G523="","",$G523*$S$527/$G$527/Cadastro!$E$33),"")</f>
        <v/>
      </c>
      <c r="I523" s="155" t="str">
        <f>IFERROR(IF($D523="","",VLOOKUP($D523,Cadastro!$C$4:$G$7,5,FALSE)),"")</f>
        <v/>
      </c>
      <c r="J523" s="156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54" t="str">
        <f>IFERROR(IF($D524="","",VLOOKUP($D524,Cadastro!$C$4:$E$7,3,FALSE)),"")</f>
        <v/>
      </c>
      <c r="G524" s="106"/>
      <c r="H524" s="154" t="str">
        <f>IFERROR(IF($G524="","",$G524*$S$527/$G$527/Cadastro!$E$33),"")</f>
        <v/>
      </c>
      <c r="I524" s="155" t="str">
        <f>IFERROR(IF($D524="","",VLOOKUP($D524,Cadastro!$C$4:$G$7,5,FALSE)),"")</f>
        <v/>
      </c>
      <c r="J524" s="156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54" t="str">
        <f>IFERROR(IF($D525="","",VLOOKUP($D525,Cadastro!$C$4:$E$7,3,FALSE)),"")</f>
        <v/>
      </c>
      <c r="G525" s="106"/>
      <c r="H525" s="154" t="str">
        <f>IFERROR(IF($G525="","",$G525*$S$527/$G$527/Cadastro!$E$33),"")</f>
        <v/>
      </c>
      <c r="I525" s="155" t="str">
        <f>IFERROR(IF($D525="","",VLOOKUP($D525,Cadastro!$C$4:$G$7,5,FALSE)),"")</f>
        <v/>
      </c>
      <c r="J525" s="156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57" t="str">
        <f>IFERROR(IF($D526="","",VLOOKUP($D526,Cadastro!$C$4:$E$7,3,FALSE)),"")</f>
        <v/>
      </c>
      <c r="G526" s="106"/>
      <c r="H526" s="157" t="str">
        <f>IFERROR(IF($G526="","",$G526*$S$527/$G$527/Cadastro!$E$33),"")</f>
        <v/>
      </c>
      <c r="I526" s="158" t="str">
        <f>IFERROR(IF($D526="","",VLOOKUP($D526,Cadastro!$C$4:$G$7,5,FALSE)),"")</f>
        <v/>
      </c>
      <c r="J526" s="159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32" t="s">
        <v>241</v>
      </c>
      <c r="B527" s="133"/>
      <c r="C527" s="133"/>
      <c r="D527" s="133"/>
      <c r="E527" s="13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60" t="str">
        <f>IFERROR(IF($D528="","",VLOOKUP($D528,Cadastro!$C$4:$E$7,3,FALSE)),"")</f>
        <v/>
      </c>
      <c r="G528" s="106"/>
      <c r="H528" s="160" t="str">
        <f>IFERROR(IF($G528="","",$G528*$S$540/$G$540/Cadastro!$E$33),"")</f>
        <v/>
      </c>
      <c r="I528" s="161" t="str">
        <f>IFERROR(IF($D528="","",VLOOKUP($D528,Cadastro!$C$4:$G$7,5,FALSE)),"")</f>
        <v/>
      </c>
      <c r="J528" s="162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54" t="str">
        <f>IFERROR(IF($D529="","",VLOOKUP($D529,Cadastro!$C$4:$E$7,3,FALSE)),"")</f>
        <v/>
      </c>
      <c r="G529" s="106"/>
      <c r="H529" s="154" t="str">
        <f>IFERROR(IF($G529="","",$G529*$S$540/$G$540/Cadastro!$E$33),"")</f>
        <v/>
      </c>
      <c r="I529" s="155" t="str">
        <f>IFERROR(IF($D529="","",VLOOKUP($D529,Cadastro!$C$4:$G$7,5,FALSE)),"")</f>
        <v/>
      </c>
      <c r="J529" s="156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54" t="str">
        <f>IFERROR(IF($D530="","",VLOOKUP($D530,Cadastro!$C$4:$E$7,3,FALSE)),"")</f>
        <v/>
      </c>
      <c r="G530" s="106"/>
      <c r="H530" s="154" t="str">
        <f>IFERROR(IF($G530="","",$G530*$S$540/$G$540/Cadastro!$E$33),"")</f>
        <v/>
      </c>
      <c r="I530" s="155" t="str">
        <f>IFERROR(IF($D530="","",VLOOKUP($D530,Cadastro!$C$4:$G$7,5,FALSE)),"")</f>
        <v/>
      </c>
      <c r="J530" s="156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54" t="str">
        <f>IFERROR(IF($D531="","",VLOOKUP($D531,Cadastro!$C$4:$E$7,3,FALSE)),"")</f>
        <v/>
      </c>
      <c r="G531" s="106"/>
      <c r="H531" s="154" t="str">
        <f>IFERROR(IF($G531="","",$G531*$S$540/$G$540/Cadastro!$E$33),"")</f>
        <v/>
      </c>
      <c r="I531" s="155" t="str">
        <f>IFERROR(IF($D531="","",VLOOKUP($D531,Cadastro!$C$4:$G$7,5,FALSE)),"")</f>
        <v/>
      </c>
      <c r="J531" s="156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54" t="str">
        <f>IFERROR(IF($D532="","",VLOOKUP($D532,Cadastro!$C$4:$E$7,3,FALSE)),"")</f>
        <v/>
      </c>
      <c r="G532" s="106"/>
      <c r="H532" s="154" t="str">
        <f>IFERROR(IF($G532="","",$G532*$S$540/$G$540/Cadastro!$E$33),"")</f>
        <v/>
      </c>
      <c r="I532" s="155" t="str">
        <f>IFERROR(IF($D532="","",VLOOKUP($D532,Cadastro!$C$4:$G$7,5,FALSE)),"")</f>
        <v/>
      </c>
      <c r="J532" s="156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54" t="str">
        <f>IFERROR(IF($D533="","",VLOOKUP($D533,Cadastro!$C$4:$E$7,3,FALSE)),"")</f>
        <v/>
      </c>
      <c r="G533" s="106"/>
      <c r="H533" s="154" t="str">
        <f>IFERROR(IF($G533="","",$G533*$S$540/$G$540/Cadastro!$E$33),"")</f>
        <v/>
      </c>
      <c r="I533" s="155" t="str">
        <f>IFERROR(IF($D533="","",VLOOKUP($D533,Cadastro!$C$4:$G$7,5,FALSE)),"")</f>
        <v/>
      </c>
      <c r="J533" s="156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54" t="str">
        <f>IFERROR(IF($D534="","",VLOOKUP($D534,Cadastro!$C$4:$E$7,3,FALSE)),"")</f>
        <v/>
      </c>
      <c r="G534" s="106"/>
      <c r="H534" s="154" t="str">
        <f>IFERROR(IF($G534="","",$G534*$S$540/$G$540/Cadastro!$E$33),"")</f>
        <v/>
      </c>
      <c r="I534" s="155" t="str">
        <f>IFERROR(IF($D534="","",VLOOKUP($D534,Cadastro!$C$4:$G$7,5,FALSE)),"")</f>
        <v/>
      </c>
      <c r="J534" s="156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54" t="str">
        <f>IFERROR(IF($D535="","",VLOOKUP($D535,Cadastro!$C$4:$E$7,3,FALSE)),"")</f>
        <v/>
      </c>
      <c r="G535" s="106"/>
      <c r="H535" s="154" t="str">
        <f>IFERROR(IF($G535="","",$G535*$S$540/$G$540/Cadastro!$E$33),"")</f>
        <v/>
      </c>
      <c r="I535" s="155" t="str">
        <f>IFERROR(IF($D535="","",VLOOKUP($D535,Cadastro!$C$4:$G$7,5,FALSE)),"")</f>
        <v/>
      </c>
      <c r="J535" s="156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54" t="str">
        <f>IFERROR(IF($D536="","",VLOOKUP($D536,Cadastro!$C$4:$E$7,3,FALSE)),"")</f>
        <v/>
      </c>
      <c r="G536" s="106"/>
      <c r="H536" s="154" t="str">
        <f>IFERROR(IF($G536="","",$G536*$S$540/$G$540/Cadastro!$E$33),"")</f>
        <v/>
      </c>
      <c r="I536" s="155" t="str">
        <f>IFERROR(IF($D536="","",VLOOKUP($D536,Cadastro!$C$4:$G$7,5,FALSE)),"")</f>
        <v/>
      </c>
      <c r="J536" s="156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54" t="str">
        <f>IFERROR(IF($D537="","",VLOOKUP($D537,Cadastro!$C$4:$E$7,3,FALSE)),"")</f>
        <v/>
      </c>
      <c r="G537" s="106"/>
      <c r="H537" s="154" t="str">
        <f>IFERROR(IF($G537="","",$G537*$S$540/$G$540/Cadastro!$E$33),"")</f>
        <v/>
      </c>
      <c r="I537" s="155" t="str">
        <f>IFERROR(IF($D537="","",VLOOKUP($D537,Cadastro!$C$4:$G$7,5,FALSE)),"")</f>
        <v/>
      </c>
      <c r="J537" s="156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54" t="str">
        <f>IFERROR(IF($D538="","",VLOOKUP($D538,Cadastro!$C$4:$E$7,3,FALSE)),"")</f>
        <v/>
      </c>
      <c r="G538" s="106"/>
      <c r="H538" s="154" t="str">
        <f>IFERROR(IF($G538="","",$G538*$S$540/$G$540/Cadastro!$E$33),"")</f>
        <v/>
      </c>
      <c r="I538" s="155" t="str">
        <f>IFERROR(IF($D538="","",VLOOKUP($D538,Cadastro!$C$4:$G$7,5,FALSE)),"")</f>
        <v/>
      </c>
      <c r="J538" s="156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57" t="str">
        <f>IFERROR(IF($D539="","",VLOOKUP($D539,Cadastro!$C$4:$E$7,3,FALSE)),"")</f>
        <v/>
      </c>
      <c r="G539" s="106"/>
      <c r="H539" s="157" t="str">
        <f>IFERROR(IF($G539="","",$G539*$S$540/$G$540/Cadastro!$E$33),"")</f>
        <v/>
      </c>
      <c r="I539" s="158" t="str">
        <f>IFERROR(IF($D539="","",VLOOKUP($D539,Cadastro!$C$4:$G$7,5,FALSE)),"")</f>
        <v/>
      </c>
      <c r="J539" s="159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32" t="s">
        <v>244</v>
      </c>
      <c r="B540" s="133"/>
      <c r="C540" s="133"/>
      <c r="D540" s="133"/>
      <c r="E540" s="13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34" t="s">
        <v>245</v>
      </c>
      <c r="B541" s="135"/>
      <c r="C541" s="135"/>
      <c r="D541" s="135"/>
      <c r="E541" s="135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60" t="str">
        <f>IFERROR(IF($D542="","",VLOOKUP($D542,Cadastro!$C$4:$E$7,3,FALSE)),"")</f>
        <v/>
      </c>
      <c r="G542" s="106"/>
      <c r="H542" s="160" t="str">
        <f>IFERROR(IF($G542="","",$G542*$S$554/$G$554/Cadastro!$E$33),"")</f>
        <v/>
      </c>
      <c r="I542" s="161" t="str">
        <f>IFERROR(IF($D542="","",VLOOKUP($D542,Cadastro!$C$4:$G$7,5,FALSE)),"")</f>
        <v/>
      </c>
      <c r="J542" s="162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54" t="str">
        <f>IFERROR(IF($D543="","",VLOOKUP($D543,Cadastro!$C$4:$E$7,3,FALSE)),"")</f>
        <v/>
      </c>
      <c r="G543" s="106"/>
      <c r="H543" s="154" t="str">
        <f>IFERROR(IF($G543="","",$G543*$S$554/$G$554/Cadastro!$E$33),"")</f>
        <v/>
      </c>
      <c r="I543" s="155" t="str">
        <f>IFERROR(IF($D543="","",VLOOKUP($D543,Cadastro!$C$4:$G$7,5,FALSE)),"")</f>
        <v/>
      </c>
      <c r="J543" s="156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54" t="str">
        <f>IFERROR(IF($D544="","",VLOOKUP($D544,Cadastro!$C$4:$E$7,3,FALSE)),"")</f>
        <v/>
      </c>
      <c r="G544" s="106"/>
      <c r="H544" s="154" t="str">
        <f>IFERROR(IF($G544="","",$G544*$S$554/$G$554/Cadastro!$E$33),"")</f>
        <v/>
      </c>
      <c r="I544" s="155" t="str">
        <f>IFERROR(IF($D544="","",VLOOKUP($D544,Cadastro!$C$4:$G$7,5,FALSE)),"")</f>
        <v/>
      </c>
      <c r="J544" s="156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54" t="str">
        <f>IFERROR(IF($D545="","",VLOOKUP($D545,Cadastro!$C$4:$E$7,3,FALSE)),"")</f>
        <v/>
      </c>
      <c r="G545" s="106"/>
      <c r="H545" s="154" t="str">
        <f>IFERROR(IF($G545="","",$G545*$S$554/$G$554/Cadastro!$E$33),"")</f>
        <v/>
      </c>
      <c r="I545" s="155" t="str">
        <f>IFERROR(IF($D545="","",VLOOKUP($D545,Cadastro!$C$4:$G$7,5,FALSE)),"")</f>
        <v/>
      </c>
      <c r="J545" s="156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54" t="str">
        <f>IFERROR(IF($D546="","",VLOOKUP($D546,Cadastro!$C$4:$E$7,3,FALSE)),"")</f>
        <v/>
      </c>
      <c r="G546" s="106"/>
      <c r="H546" s="154" t="str">
        <f>IFERROR(IF($G546="","",$G546*$S$554/$G$554/Cadastro!$E$33),"")</f>
        <v/>
      </c>
      <c r="I546" s="155" t="str">
        <f>IFERROR(IF($D546="","",VLOOKUP($D546,Cadastro!$C$4:$G$7,5,FALSE)),"")</f>
        <v/>
      </c>
      <c r="J546" s="156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54" t="str">
        <f>IFERROR(IF($D547="","",VLOOKUP($D547,Cadastro!$C$4:$E$7,3,FALSE)),"")</f>
        <v/>
      </c>
      <c r="G547" s="106"/>
      <c r="H547" s="154" t="str">
        <f>IFERROR(IF($G547="","",$G547*$S$554/$G$554/Cadastro!$E$33),"")</f>
        <v/>
      </c>
      <c r="I547" s="155" t="str">
        <f>IFERROR(IF($D547="","",VLOOKUP($D547,Cadastro!$C$4:$G$7,5,FALSE)),"")</f>
        <v/>
      </c>
      <c r="J547" s="156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54" t="str">
        <f>IFERROR(IF($D548="","",VLOOKUP($D548,Cadastro!$C$4:$E$7,3,FALSE)),"")</f>
        <v/>
      </c>
      <c r="G548" s="106"/>
      <c r="H548" s="154" t="str">
        <f>IFERROR(IF($G548="","",$G548*$S$554/$G$554/Cadastro!$E$33),"")</f>
        <v/>
      </c>
      <c r="I548" s="155" t="str">
        <f>IFERROR(IF($D548="","",VLOOKUP($D548,Cadastro!$C$4:$G$7,5,FALSE)),"")</f>
        <v/>
      </c>
      <c r="J548" s="156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54" t="str">
        <f>IFERROR(IF($D549="","",VLOOKUP($D549,Cadastro!$C$4:$E$7,3,FALSE)),"")</f>
        <v/>
      </c>
      <c r="G549" s="106"/>
      <c r="H549" s="154" t="str">
        <f>IFERROR(IF($G549="","",$G549*$S$554/$G$554/Cadastro!$E$33),"")</f>
        <v/>
      </c>
      <c r="I549" s="155" t="str">
        <f>IFERROR(IF($D549="","",VLOOKUP($D549,Cadastro!$C$4:$G$7,5,FALSE)),"")</f>
        <v/>
      </c>
      <c r="J549" s="156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54" t="str">
        <f>IFERROR(IF($D550="","",VLOOKUP($D550,Cadastro!$C$4:$E$7,3,FALSE)),"")</f>
        <v/>
      </c>
      <c r="G550" s="106"/>
      <c r="H550" s="154" t="str">
        <f>IFERROR(IF($G550="","",$G550*$S$554/$G$554/Cadastro!$E$33),"")</f>
        <v/>
      </c>
      <c r="I550" s="155" t="str">
        <f>IFERROR(IF($D550="","",VLOOKUP($D550,Cadastro!$C$4:$G$7,5,FALSE)),"")</f>
        <v/>
      </c>
      <c r="J550" s="156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54" t="str">
        <f>IFERROR(IF($D551="","",VLOOKUP($D551,Cadastro!$C$4:$E$7,3,FALSE)),"")</f>
        <v/>
      </c>
      <c r="G551" s="106"/>
      <c r="H551" s="154" t="str">
        <f>IFERROR(IF($G551="","",$G551*$S$554/$G$554/Cadastro!$E$33),"")</f>
        <v/>
      </c>
      <c r="I551" s="155" t="str">
        <f>IFERROR(IF($D551="","",VLOOKUP($D551,Cadastro!$C$4:$G$7,5,FALSE)),"")</f>
        <v/>
      </c>
      <c r="J551" s="156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54" t="str">
        <f>IFERROR(IF($D552="","",VLOOKUP($D552,Cadastro!$C$4:$E$7,3,FALSE)),"")</f>
        <v/>
      </c>
      <c r="G552" s="106"/>
      <c r="H552" s="154" t="str">
        <f>IFERROR(IF($G552="","",$G552*$S$554/$G$554/Cadastro!$E$33),"")</f>
        <v/>
      </c>
      <c r="I552" s="155" t="str">
        <f>IFERROR(IF($D552="","",VLOOKUP($D552,Cadastro!$C$4:$G$7,5,FALSE)),"")</f>
        <v/>
      </c>
      <c r="J552" s="156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57" t="str">
        <f>IFERROR(IF($D553="","",VLOOKUP($D553,Cadastro!$C$4:$E$7,3,FALSE)),"")</f>
        <v/>
      </c>
      <c r="G553" s="106"/>
      <c r="H553" s="157" t="str">
        <f>IFERROR(IF($G553="","",$G553*$S$554/$G$554/Cadastro!$E$33),"")</f>
        <v/>
      </c>
      <c r="I553" s="158" t="str">
        <f>IFERROR(IF($D553="","",VLOOKUP($D553,Cadastro!$C$4:$G$7,5,FALSE)),"")</f>
        <v/>
      </c>
      <c r="J553" s="159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32" t="s">
        <v>241</v>
      </c>
      <c r="B554" s="133"/>
      <c r="C554" s="133"/>
      <c r="D554" s="133"/>
      <c r="E554" s="13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60" t="str">
        <f>IFERROR(IF($D555="","",VLOOKUP($D555,Cadastro!$C$4:$E$7,3,FALSE)),"")</f>
        <v/>
      </c>
      <c r="G555" s="106"/>
      <c r="H555" s="160" t="str">
        <f>IFERROR(IF($G555="","",$G555*$S$567/$G$567/Cadastro!$E$33),"")</f>
        <v/>
      </c>
      <c r="I555" s="161" t="str">
        <f>IFERROR(IF($D555="","",VLOOKUP($D555,Cadastro!$C$4:$G$7,5,FALSE)),"")</f>
        <v/>
      </c>
      <c r="J555" s="162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54" t="str">
        <f>IFERROR(IF($D556="","",VLOOKUP($D556,Cadastro!$C$4:$E$7,3,FALSE)),"")</f>
        <v/>
      </c>
      <c r="G556" s="106"/>
      <c r="H556" s="154" t="str">
        <f>IFERROR(IF($G556="","",$G556*$S$567/$G$567/Cadastro!$E$33),"")</f>
        <v/>
      </c>
      <c r="I556" s="155" t="str">
        <f>IFERROR(IF($D556="","",VLOOKUP($D556,Cadastro!$C$4:$G$7,5,FALSE)),"")</f>
        <v/>
      </c>
      <c r="J556" s="156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54" t="str">
        <f>IFERROR(IF($D557="","",VLOOKUP($D557,Cadastro!$C$4:$E$7,3,FALSE)),"")</f>
        <v/>
      </c>
      <c r="G557" s="106"/>
      <c r="H557" s="154" t="str">
        <f>IFERROR(IF($G557="","",$G557*$S$567/$G$567/Cadastro!$E$33),"")</f>
        <v/>
      </c>
      <c r="I557" s="155" t="str">
        <f>IFERROR(IF($D557="","",VLOOKUP($D557,Cadastro!$C$4:$G$7,5,FALSE)),"")</f>
        <v/>
      </c>
      <c r="J557" s="156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54" t="str">
        <f>IFERROR(IF($D558="","",VLOOKUP($D558,Cadastro!$C$4:$E$7,3,FALSE)),"")</f>
        <v/>
      </c>
      <c r="G558" s="106"/>
      <c r="H558" s="154" t="str">
        <f>IFERROR(IF($G558="","",$G558*$S$567/$G$567/Cadastro!$E$33),"")</f>
        <v/>
      </c>
      <c r="I558" s="155" t="str">
        <f>IFERROR(IF($D558="","",VLOOKUP($D558,Cadastro!$C$4:$G$7,5,FALSE)),"")</f>
        <v/>
      </c>
      <c r="J558" s="156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54" t="str">
        <f>IFERROR(IF($D559="","",VLOOKUP($D559,Cadastro!$C$4:$E$7,3,FALSE)),"")</f>
        <v/>
      </c>
      <c r="G559" s="106"/>
      <c r="H559" s="154" t="str">
        <f>IFERROR(IF($G559="","",$G559*$S$567/$G$567/Cadastro!$E$33),"")</f>
        <v/>
      </c>
      <c r="I559" s="155" t="str">
        <f>IFERROR(IF($D559="","",VLOOKUP($D559,Cadastro!$C$4:$G$7,5,FALSE)),"")</f>
        <v/>
      </c>
      <c r="J559" s="156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54" t="str">
        <f>IFERROR(IF($D560="","",VLOOKUP($D560,Cadastro!$C$4:$E$7,3,FALSE)),"")</f>
        <v/>
      </c>
      <c r="G560" s="106"/>
      <c r="H560" s="154" t="str">
        <f>IFERROR(IF($G560="","",$G560*$S$567/$G$567/Cadastro!$E$33),"")</f>
        <v/>
      </c>
      <c r="I560" s="155" t="str">
        <f>IFERROR(IF($D560="","",VLOOKUP($D560,Cadastro!$C$4:$G$7,5,FALSE)),"")</f>
        <v/>
      </c>
      <c r="J560" s="156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54" t="str">
        <f>IFERROR(IF($D561="","",VLOOKUP($D561,Cadastro!$C$4:$E$7,3,FALSE)),"")</f>
        <v/>
      </c>
      <c r="G561" s="106"/>
      <c r="H561" s="154" t="str">
        <f>IFERROR(IF($G561="","",$G561*$S$567/$G$567/Cadastro!$E$33),"")</f>
        <v/>
      </c>
      <c r="I561" s="155" t="str">
        <f>IFERROR(IF($D561="","",VLOOKUP($D561,Cadastro!$C$4:$G$7,5,FALSE)),"")</f>
        <v/>
      </c>
      <c r="J561" s="156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54" t="str">
        <f>IFERROR(IF($D562="","",VLOOKUP($D562,Cadastro!$C$4:$E$7,3,FALSE)),"")</f>
        <v/>
      </c>
      <c r="G562" s="106"/>
      <c r="H562" s="154" t="str">
        <f>IFERROR(IF($G562="","",$G562*$S$567/$G$567/Cadastro!$E$33),"")</f>
        <v/>
      </c>
      <c r="I562" s="155" t="str">
        <f>IFERROR(IF($D562="","",VLOOKUP($D562,Cadastro!$C$4:$G$7,5,FALSE)),"")</f>
        <v/>
      </c>
      <c r="J562" s="156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54" t="str">
        <f>IFERROR(IF($D563="","",VLOOKUP($D563,Cadastro!$C$4:$E$7,3,FALSE)),"")</f>
        <v/>
      </c>
      <c r="G563" s="106"/>
      <c r="H563" s="154" t="str">
        <f>IFERROR(IF($G563="","",$G563*$S$567/$G$567/Cadastro!$E$33),"")</f>
        <v/>
      </c>
      <c r="I563" s="155" t="str">
        <f>IFERROR(IF($D563="","",VLOOKUP($D563,Cadastro!$C$4:$G$7,5,FALSE)),"")</f>
        <v/>
      </c>
      <c r="J563" s="156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54" t="str">
        <f>IFERROR(IF($D564="","",VLOOKUP($D564,Cadastro!$C$4:$E$7,3,FALSE)),"")</f>
        <v/>
      </c>
      <c r="G564" s="106"/>
      <c r="H564" s="154" t="str">
        <f>IFERROR(IF($G564="","",$G564*$S$567/$G$567/Cadastro!$E$33),"")</f>
        <v/>
      </c>
      <c r="I564" s="155" t="str">
        <f>IFERROR(IF($D564="","",VLOOKUP($D564,Cadastro!$C$4:$G$7,5,FALSE)),"")</f>
        <v/>
      </c>
      <c r="J564" s="156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54" t="str">
        <f>IFERROR(IF($D565="","",VLOOKUP($D565,Cadastro!$C$4:$E$7,3,FALSE)),"")</f>
        <v/>
      </c>
      <c r="G565" s="106"/>
      <c r="H565" s="154" t="str">
        <f>IFERROR(IF($G565="","",$G565*$S$567/$G$567/Cadastro!$E$33),"")</f>
        <v/>
      </c>
      <c r="I565" s="155" t="str">
        <f>IFERROR(IF($D565="","",VLOOKUP($D565,Cadastro!$C$4:$G$7,5,FALSE)),"")</f>
        <v/>
      </c>
      <c r="J565" s="156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57" t="str">
        <f>IFERROR(IF($D566="","",VLOOKUP($D566,Cadastro!$C$4:$E$7,3,FALSE)),"")</f>
        <v/>
      </c>
      <c r="G566" s="106"/>
      <c r="H566" s="157" t="str">
        <f>IFERROR(IF($G566="","",$G566*$S$567/$G$567/Cadastro!$E$33),"")</f>
        <v/>
      </c>
      <c r="I566" s="158" t="str">
        <f>IFERROR(IF($D566="","",VLOOKUP($D566,Cadastro!$C$4:$G$7,5,FALSE)),"")</f>
        <v/>
      </c>
      <c r="J566" s="159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32" t="s">
        <v>244</v>
      </c>
      <c r="B567" s="133"/>
      <c r="C567" s="133"/>
      <c r="D567" s="133"/>
      <c r="E567" s="13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34" t="s">
        <v>245</v>
      </c>
      <c r="B568" s="135"/>
      <c r="C568" s="135"/>
      <c r="D568" s="135"/>
      <c r="E568" s="135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60" t="str">
        <f>IFERROR(IF($D569="","",VLOOKUP($D569,Cadastro!$C$4:$E$7,3,FALSE)),"")</f>
        <v/>
      </c>
      <c r="G569" s="106"/>
      <c r="H569" s="160" t="str">
        <f>IFERROR(IF($G569="","",$G569*$S$581/$G$581/Cadastro!$E$33),"")</f>
        <v/>
      </c>
      <c r="I569" s="161" t="str">
        <f>IFERROR(IF($D569="","",VLOOKUP($D569,Cadastro!$C$4:$G$7,5,FALSE)),"")</f>
        <v/>
      </c>
      <c r="J569" s="162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54" t="str">
        <f>IFERROR(IF($D570="","",VLOOKUP($D570,Cadastro!$C$4:$E$7,3,FALSE)),"")</f>
        <v/>
      </c>
      <c r="G570" s="106"/>
      <c r="H570" s="154" t="str">
        <f>IFERROR(IF($G570="","",$G570*$S$581/$G$581/Cadastro!$E$33),"")</f>
        <v/>
      </c>
      <c r="I570" s="155" t="str">
        <f>IFERROR(IF($D570="","",VLOOKUP($D570,Cadastro!$C$4:$G$7,5,FALSE)),"")</f>
        <v/>
      </c>
      <c r="J570" s="156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54" t="str">
        <f>IFERROR(IF($D571="","",VLOOKUP($D571,Cadastro!$C$4:$E$7,3,FALSE)),"")</f>
        <v/>
      </c>
      <c r="G571" s="106"/>
      <c r="H571" s="154" t="str">
        <f>IFERROR(IF($G571="","",$G571*$S$581/$G$581/Cadastro!$E$33),"")</f>
        <v/>
      </c>
      <c r="I571" s="155" t="str">
        <f>IFERROR(IF($D571="","",VLOOKUP($D571,Cadastro!$C$4:$G$7,5,FALSE)),"")</f>
        <v/>
      </c>
      <c r="J571" s="156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54" t="str">
        <f>IFERROR(IF($D572="","",VLOOKUP($D572,Cadastro!$C$4:$E$7,3,FALSE)),"")</f>
        <v/>
      </c>
      <c r="G572" s="106"/>
      <c r="H572" s="154" t="str">
        <f>IFERROR(IF($G572="","",$G572*$S$581/$G$581/Cadastro!$E$33),"")</f>
        <v/>
      </c>
      <c r="I572" s="155" t="str">
        <f>IFERROR(IF($D572="","",VLOOKUP($D572,Cadastro!$C$4:$G$7,5,FALSE)),"")</f>
        <v/>
      </c>
      <c r="J572" s="156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54" t="str">
        <f>IFERROR(IF($D573="","",VLOOKUP($D573,Cadastro!$C$4:$E$7,3,FALSE)),"")</f>
        <v/>
      </c>
      <c r="G573" s="106"/>
      <c r="H573" s="154" t="str">
        <f>IFERROR(IF($G573="","",$G573*$S$581/$G$581/Cadastro!$E$33),"")</f>
        <v/>
      </c>
      <c r="I573" s="155" t="str">
        <f>IFERROR(IF($D573="","",VLOOKUP($D573,Cadastro!$C$4:$G$7,5,FALSE)),"")</f>
        <v/>
      </c>
      <c r="J573" s="156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54" t="str">
        <f>IFERROR(IF($D574="","",VLOOKUP($D574,Cadastro!$C$4:$E$7,3,FALSE)),"")</f>
        <v/>
      </c>
      <c r="G574" s="106"/>
      <c r="H574" s="154" t="str">
        <f>IFERROR(IF($G574="","",$G574*$S$581/$G$581/Cadastro!$E$33),"")</f>
        <v/>
      </c>
      <c r="I574" s="155" t="str">
        <f>IFERROR(IF($D574="","",VLOOKUP($D574,Cadastro!$C$4:$G$7,5,FALSE)),"")</f>
        <v/>
      </c>
      <c r="J574" s="156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54" t="str">
        <f>IFERROR(IF($D575="","",VLOOKUP($D575,Cadastro!$C$4:$E$7,3,FALSE)),"")</f>
        <v/>
      </c>
      <c r="G575" s="106"/>
      <c r="H575" s="154" t="str">
        <f>IFERROR(IF($G575="","",$G575*$S$581/$G$581/Cadastro!$E$33),"")</f>
        <v/>
      </c>
      <c r="I575" s="155" t="str">
        <f>IFERROR(IF($D575="","",VLOOKUP($D575,Cadastro!$C$4:$G$7,5,FALSE)),"")</f>
        <v/>
      </c>
      <c r="J575" s="156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54" t="str">
        <f>IFERROR(IF($D576="","",VLOOKUP($D576,Cadastro!$C$4:$E$7,3,FALSE)),"")</f>
        <v/>
      </c>
      <c r="G576" s="108"/>
      <c r="H576" s="154" t="str">
        <f>IFERROR(IF($G576="","",$G576*$S$581/$G$581/Cadastro!$E$33),"")</f>
        <v/>
      </c>
      <c r="I576" s="155" t="str">
        <f>IFERROR(IF($D576="","",VLOOKUP($D576,Cadastro!$C$4:$G$7,5,FALSE)),"")</f>
        <v/>
      </c>
      <c r="J576" s="156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54" t="str">
        <f>IFERROR(IF($D577="","",VLOOKUP($D577,Cadastro!$C$4:$E$7,3,FALSE)),"")</f>
        <v/>
      </c>
      <c r="G577" s="106"/>
      <c r="H577" s="154" t="str">
        <f>IFERROR(IF($G577="","",$G577*$S$581/$G$581/Cadastro!$E$33),"")</f>
        <v/>
      </c>
      <c r="I577" s="155" t="str">
        <f>IFERROR(IF($D577="","",VLOOKUP($D577,Cadastro!$C$4:$G$7,5,FALSE)),"")</f>
        <v/>
      </c>
      <c r="J577" s="156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54" t="str">
        <f>IFERROR(IF($D578="","",VLOOKUP($D578,Cadastro!$C$4:$E$7,3,FALSE)),"")</f>
        <v/>
      </c>
      <c r="G578" s="106"/>
      <c r="H578" s="154" t="str">
        <f>IFERROR(IF($G578="","",$G578*$S$581/$G$581/Cadastro!$E$33),"")</f>
        <v/>
      </c>
      <c r="I578" s="155" t="str">
        <f>IFERROR(IF($D578="","",VLOOKUP($D578,Cadastro!$C$4:$G$7,5,FALSE)),"")</f>
        <v/>
      </c>
      <c r="J578" s="156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54" t="str">
        <f>IFERROR(IF($D579="","",VLOOKUP($D579,Cadastro!$C$4:$E$7,3,FALSE)),"")</f>
        <v/>
      </c>
      <c r="G579" s="106"/>
      <c r="H579" s="154" t="str">
        <f>IFERROR(IF($G579="","",$G579*$S$581/$G$581/Cadastro!$E$33),"")</f>
        <v/>
      </c>
      <c r="I579" s="155" t="str">
        <f>IFERROR(IF($D579="","",VLOOKUP($D579,Cadastro!$C$4:$G$7,5,FALSE)),"")</f>
        <v/>
      </c>
      <c r="J579" s="156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57" t="str">
        <f>IFERROR(IF($D580="","",VLOOKUP($D580,Cadastro!$C$4:$E$7,3,FALSE)),"")</f>
        <v/>
      </c>
      <c r="G580" s="106"/>
      <c r="H580" s="157" t="str">
        <f>IFERROR(IF($G580="","",$G580*$S$581/$G$581/Cadastro!$E$33),"")</f>
        <v/>
      </c>
      <c r="I580" s="158" t="str">
        <f>IFERROR(IF($D580="","",VLOOKUP($D580,Cadastro!$C$4:$G$7,5,FALSE)),"")</f>
        <v/>
      </c>
      <c r="J580" s="159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32" t="s">
        <v>241</v>
      </c>
      <c r="B581" s="133"/>
      <c r="C581" s="133"/>
      <c r="D581" s="133"/>
      <c r="E581" s="13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60" t="str">
        <f>IFERROR(IF($D582="","",VLOOKUP($D582,Cadastro!$C$4:$E$7,3,FALSE)),"")</f>
        <v/>
      </c>
      <c r="G582" s="106"/>
      <c r="H582" s="160" t="str">
        <f>IFERROR(IF($G582="","",$G582*$S$594/$G$594/Cadastro!$E$33),"")</f>
        <v/>
      </c>
      <c r="I582" s="161" t="str">
        <f>IFERROR(IF($D582="","",VLOOKUP($D582,Cadastro!$C$4:$G$7,5,FALSE)),"")</f>
        <v/>
      </c>
      <c r="J582" s="162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54" t="str">
        <f>IFERROR(IF($D583="","",VLOOKUP($D583,Cadastro!$C$4:$E$7,3,FALSE)),"")</f>
        <v/>
      </c>
      <c r="G583" s="106"/>
      <c r="H583" s="154" t="str">
        <f>IFERROR(IF($G583="","",$G583*$S$594/$G$594/Cadastro!$E$33),"")</f>
        <v/>
      </c>
      <c r="I583" s="155" t="str">
        <f>IFERROR(IF($D583="","",VLOOKUP($D583,Cadastro!$C$4:$G$7,5,FALSE)),"")</f>
        <v/>
      </c>
      <c r="J583" s="156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54" t="str">
        <f>IFERROR(IF($D584="","",VLOOKUP($D584,Cadastro!$C$4:$E$7,3,FALSE)),"")</f>
        <v/>
      </c>
      <c r="G584" s="106"/>
      <c r="H584" s="154" t="str">
        <f>IFERROR(IF($G584="","",$G584*$S$594/$G$594/Cadastro!$E$33),"")</f>
        <v/>
      </c>
      <c r="I584" s="155" t="str">
        <f>IFERROR(IF($D584="","",VLOOKUP($D584,Cadastro!$C$4:$G$7,5,FALSE)),"")</f>
        <v/>
      </c>
      <c r="J584" s="156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54" t="str">
        <f>IFERROR(IF($D585="","",VLOOKUP($D585,Cadastro!$C$4:$E$7,3,FALSE)),"")</f>
        <v/>
      </c>
      <c r="G585" s="106"/>
      <c r="H585" s="154" t="str">
        <f>IFERROR(IF($G585="","",$G585*$S$594/$G$594/Cadastro!$E$33),"")</f>
        <v/>
      </c>
      <c r="I585" s="155" t="str">
        <f>IFERROR(IF($D585="","",VLOOKUP($D585,Cadastro!$C$4:$G$7,5,FALSE)),"")</f>
        <v/>
      </c>
      <c r="J585" s="156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54" t="str">
        <f>IFERROR(IF($D586="","",VLOOKUP($D586,Cadastro!$C$4:$E$7,3,FALSE)),"")</f>
        <v/>
      </c>
      <c r="G586" s="106"/>
      <c r="H586" s="154" t="str">
        <f>IFERROR(IF($G586="","",$G586*$S$594/$G$594/Cadastro!$E$33),"")</f>
        <v/>
      </c>
      <c r="I586" s="155" t="str">
        <f>IFERROR(IF($D586="","",VLOOKUP($D586,Cadastro!$C$4:$G$7,5,FALSE)),"")</f>
        <v/>
      </c>
      <c r="J586" s="156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54" t="str">
        <f>IFERROR(IF($D587="","",VLOOKUP($D587,Cadastro!$C$4:$E$7,3,FALSE)),"")</f>
        <v/>
      </c>
      <c r="G587" s="106"/>
      <c r="H587" s="154" t="str">
        <f>IFERROR(IF($G587="","",$G587*$S$594/$G$594/Cadastro!$E$33),"")</f>
        <v/>
      </c>
      <c r="I587" s="155" t="str">
        <f>IFERROR(IF($D587="","",VLOOKUP($D587,Cadastro!$C$4:$G$7,5,FALSE)),"")</f>
        <v/>
      </c>
      <c r="J587" s="156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54" t="str">
        <f>IFERROR(IF($D588="","",VLOOKUP($D588,Cadastro!$C$4:$E$7,3,FALSE)),"")</f>
        <v/>
      </c>
      <c r="G588" s="106"/>
      <c r="H588" s="154" t="str">
        <f>IFERROR(IF($G588="","",$G588*$S$594/$G$594/Cadastro!$E$33),"")</f>
        <v/>
      </c>
      <c r="I588" s="155" t="str">
        <f>IFERROR(IF($D588="","",VLOOKUP($D588,Cadastro!$C$4:$G$7,5,FALSE)),"")</f>
        <v/>
      </c>
      <c r="J588" s="156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54" t="str">
        <f>IFERROR(IF($D589="","",VLOOKUP($D589,Cadastro!$C$4:$E$7,3,FALSE)),"")</f>
        <v/>
      </c>
      <c r="G589" s="106"/>
      <c r="H589" s="154" t="str">
        <f>IFERROR(IF($G589="","",$G589*$S$594/$G$594/Cadastro!$E$33),"")</f>
        <v/>
      </c>
      <c r="I589" s="155" t="str">
        <f>IFERROR(IF($D589="","",VLOOKUP($D589,Cadastro!$C$4:$G$7,5,FALSE)),"")</f>
        <v/>
      </c>
      <c r="J589" s="156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54" t="str">
        <f>IFERROR(IF($D590="","",VLOOKUP($D590,Cadastro!$C$4:$E$7,3,FALSE)),"")</f>
        <v/>
      </c>
      <c r="G590" s="106"/>
      <c r="H590" s="154" t="str">
        <f>IFERROR(IF($G590="","",$G590*$S$594/$G$594/Cadastro!$E$33),"")</f>
        <v/>
      </c>
      <c r="I590" s="155" t="str">
        <f>IFERROR(IF($D590="","",VLOOKUP($D590,Cadastro!$C$4:$G$7,5,FALSE)),"")</f>
        <v/>
      </c>
      <c r="J590" s="156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54" t="str">
        <f>IFERROR(IF($D591="","",VLOOKUP($D591,Cadastro!$C$4:$E$7,3,FALSE)),"")</f>
        <v/>
      </c>
      <c r="G591" s="106"/>
      <c r="H591" s="154" t="str">
        <f>IFERROR(IF($G591="","",$G591*$S$594/$G$594/Cadastro!$E$33),"")</f>
        <v/>
      </c>
      <c r="I591" s="155" t="str">
        <f>IFERROR(IF($D591="","",VLOOKUP($D591,Cadastro!$C$4:$G$7,5,FALSE)),"")</f>
        <v/>
      </c>
      <c r="J591" s="156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54" t="str">
        <f>IFERROR(IF($D592="","",VLOOKUP($D592,Cadastro!$C$4:$E$7,3,FALSE)),"")</f>
        <v/>
      </c>
      <c r="G592" s="106"/>
      <c r="H592" s="154" t="str">
        <f>IFERROR(IF($G592="","",$G592*$S$594/$G$594/Cadastro!$E$33),"")</f>
        <v/>
      </c>
      <c r="I592" s="155" t="str">
        <f>IFERROR(IF($D592="","",VLOOKUP($D592,Cadastro!$C$4:$G$7,5,FALSE)),"")</f>
        <v/>
      </c>
      <c r="J592" s="156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57" t="str">
        <f>IFERROR(IF($D593="","",VLOOKUP($D593,Cadastro!$C$4:$E$7,3,FALSE)),"")</f>
        <v/>
      </c>
      <c r="G593" s="106"/>
      <c r="H593" s="157" t="str">
        <f>IFERROR(IF($G593="","",$G593*$S$594/$G$594/Cadastro!$E$33),"")</f>
        <v/>
      </c>
      <c r="I593" s="158" t="str">
        <f>IFERROR(IF($D593="","",VLOOKUP($D593,Cadastro!$C$4:$G$7,5,FALSE)),"")</f>
        <v/>
      </c>
      <c r="J593" s="159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32" t="s">
        <v>244</v>
      </c>
      <c r="B594" s="133"/>
      <c r="C594" s="133"/>
      <c r="D594" s="133"/>
      <c r="E594" s="13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34" t="s">
        <v>245</v>
      </c>
      <c r="B595" s="135"/>
      <c r="C595" s="135"/>
      <c r="D595" s="135"/>
      <c r="E595" s="135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60" t="str">
        <f>IFERROR(IF($D596="","",VLOOKUP($D596,Cadastro!$C$4:$E$7,3,FALSE)),"")</f>
        <v/>
      </c>
      <c r="G596" s="106"/>
      <c r="H596" s="160" t="str">
        <f>IFERROR(IF($G596="","",$G596*$S$608/$G$608/Cadastro!$E$33),"")</f>
        <v/>
      </c>
      <c r="I596" s="161" t="str">
        <f>IFERROR(IF($D596="","",VLOOKUP($D596,Cadastro!$C$4:$G$7,5,FALSE)),"")</f>
        <v/>
      </c>
      <c r="J596" s="162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54" t="str">
        <f>IFERROR(IF($D597="","",VLOOKUP($D597,Cadastro!$C$4:$E$7,3,FALSE)),"")</f>
        <v/>
      </c>
      <c r="G597" s="106"/>
      <c r="H597" s="154" t="str">
        <f>IFERROR(IF($G597="","",$G597*$S$608/$G$608/Cadastro!$E$33),"")</f>
        <v/>
      </c>
      <c r="I597" s="155" t="str">
        <f>IFERROR(IF($D597="","",VLOOKUP($D597,Cadastro!$C$4:$G$7,5,FALSE)),"")</f>
        <v/>
      </c>
      <c r="J597" s="156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54" t="str">
        <f>IFERROR(IF($D598="","",VLOOKUP($D598,Cadastro!$C$4:$E$7,3,FALSE)),"")</f>
        <v/>
      </c>
      <c r="G598" s="106"/>
      <c r="H598" s="154" t="str">
        <f>IFERROR(IF($G598="","",$G598*$S$608/$G$608/Cadastro!$E$33),"")</f>
        <v/>
      </c>
      <c r="I598" s="155" t="str">
        <f>IFERROR(IF($D598="","",VLOOKUP($D598,Cadastro!$C$4:$G$7,5,FALSE)),"")</f>
        <v/>
      </c>
      <c r="J598" s="156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54" t="str">
        <f>IFERROR(IF($D599="","",VLOOKUP($D599,Cadastro!$C$4:$E$7,3,FALSE)),"")</f>
        <v/>
      </c>
      <c r="G599" s="106"/>
      <c r="H599" s="154" t="str">
        <f>IFERROR(IF($G599="","",$G599*$S$608/$G$608/Cadastro!$E$33),"")</f>
        <v/>
      </c>
      <c r="I599" s="155" t="str">
        <f>IFERROR(IF($D599="","",VLOOKUP($D599,Cadastro!$C$4:$G$7,5,FALSE)),"")</f>
        <v/>
      </c>
      <c r="J599" s="156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54" t="str">
        <f>IFERROR(IF($D600="","",VLOOKUP($D600,Cadastro!$C$4:$E$7,3,FALSE)),"")</f>
        <v/>
      </c>
      <c r="G600" s="106"/>
      <c r="H600" s="154" t="str">
        <f>IFERROR(IF($G600="","",$G600*$S$608/$G$608/Cadastro!$E$33),"")</f>
        <v/>
      </c>
      <c r="I600" s="155" t="str">
        <f>IFERROR(IF($D600="","",VLOOKUP($D600,Cadastro!$C$4:$G$7,5,FALSE)),"")</f>
        <v/>
      </c>
      <c r="J600" s="156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54" t="str">
        <f>IFERROR(IF($D601="","",VLOOKUP($D601,Cadastro!$C$4:$E$7,3,FALSE)),"")</f>
        <v/>
      </c>
      <c r="G601" s="106"/>
      <c r="H601" s="154" t="str">
        <f>IFERROR(IF($G601="","",$G601*$S$608/$G$608/Cadastro!$E$33),"")</f>
        <v/>
      </c>
      <c r="I601" s="155" t="str">
        <f>IFERROR(IF($D601="","",VLOOKUP($D601,Cadastro!$C$4:$G$7,5,FALSE)),"")</f>
        <v/>
      </c>
      <c r="J601" s="156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54" t="str">
        <f>IFERROR(IF($D602="","",VLOOKUP($D602,Cadastro!$C$4:$E$7,3,FALSE)),"")</f>
        <v/>
      </c>
      <c r="G602" s="106"/>
      <c r="H602" s="154" t="str">
        <f>IFERROR(IF($G602="","",$G602*$S$608/$G$608/Cadastro!$E$33),"")</f>
        <v/>
      </c>
      <c r="I602" s="155" t="str">
        <f>IFERROR(IF($D602="","",VLOOKUP($D602,Cadastro!$C$4:$G$7,5,FALSE)),"")</f>
        <v/>
      </c>
      <c r="J602" s="156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54" t="str">
        <f>IFERROR(IF($D603="","",VLOOKUP($D603,Cadastro!$C$4:$E$7,3,FALSE)),"")</f>
        <v/>
      </c>
      <c r="G603" s="106"/>
      <c r="H603" s="154" t="str">
        <f>IFERROR(IF($G603="","",$G603*$S$608/$G$608/Cadastro!$E$33),"")</f>
        <v/>
      </c>
      <c r="I603" s="155" t="str">
        <f>IFERROR(IF($D603="","",VLOOKUP($D603,Cadastro!$C$4:$G$7,5,FALSE)),"")</f>
        <v/>
      </c>
      <c r="J603" s="156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54" t="str">
        <f>IFERROR(IF($D604="","",VLOOKUP($D604,Cadastro!$C$4:$E$7,3,FALSE)),"")</f>
        <v/>
      </c>
      <c r="G604" s="106"/>
      <c r="H604" s="154" t="str">
        <f>IFERROR(IF($G604="","",$G604*$S$608/$G$608/Cadastro!$E$33),"")</f>
        <v/>
      </c>
      <c r="I604" s="155" t="str">
        <f>IFERROR(IF($D604="","",VLOOKUP($D604,Cadastro!$C$4:$G$7,5,FALSE)),"")</f>
        <v/>
      </c>
      <c r="J604" s="156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54" t="str">
        <f>IFERROR(IF($D605="","",VLOOKUP($D605,Cadastro!$C$4:$E$7,3,FALSE)),"")</f>
        <v/>
      </c>
      <c r="G605" s="106"/>
      <c r="H605" s="154" t="str">
        <f>IFERROR(IF($G605="","",$G605*$S$608/$G$608/Cadastro!$E$33),"")</f>
        <v/>
      </c>
      <c r="I605" s="155" t="str">
        <f>IFERROR(IF($D605="","",VLOOKUP($D605,Cadastro!$C$4:$G$7,5,FALSE)),"")</f>
        <v/>
      </c>
      <c r="J605" s="156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54" t="str">
        <f>IFERROR(IF($D606="","",VLOOKUP($D606,Cadastro!$C$4:$E$7,3,FALSE)),"")</f>
        <v/>
      </c>
      <c r="G606" s="106"/>
      <c r="H606" s="154" t="str">
        <f>IFERROR(IF($G606="","",$G606*$S$608/$G$608/Cadastro!$E$33),"")</f>
        <v/>
      </c>
      <c r="I606" s="155" t="str">
        <f>IFERROR(IF($D606="","",VLOOKUP($D606,Cadastro!$C$4:$G$7,5,FALSE)),"")</f>
        <v/>
      </c>
      <c r="J606" s="156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57" t="str">
        <f>IFERROR(IF($D607="","",VLOOKUP($D607,Cadastro!$C$4:$E$7,3,FALSE)),"")</f>
        <v/>
      </c>
      <c r="G607" s="106"/>
      <c r="H607" s="157" t="str">
        <f>IFERROR(IF($G607="","",$G607*$S$608/$G$608/Cadastro!$E$33),"")</f>
        <v/>
      </c>
      <c r="I607" s="158" t="str">
        <f>IFERROR(IF($D607="","",VLOOKUP($D607,Cadastro!$C$4:$G$7,5,FALSE)),"")</f>
        <v/>
      </c>
      <c r="J607" s="159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32" t="s">
        <v>241</v>
      </c>
      <c r="B608" s="133"/>
      <c r="C608" s="133"/>
      <c r="D608" s="133"/>
      <c r="E608" s="13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60" t="str">
        <f>IFERROR(IF($D609="","",VLOOKUP($D609,Cadastro!$C$4:$E$7,3,FALSE)),"")</f>
        <v/>
      </c>
      <c r="G609" s="106"/>
      <c r="H609" s="160" t="str">
        <f>IFERROR(IF($G609="","",$G609*$S$621/$G$621/Cadastro!$E$33),"")</f>
        <v/>
      </c>
      <c r="I609" s="161" t="str">
        <f>IFERROR(IF($D609="","",VLOOKUP($D609,Cadastro!$C$4:$G$7,5,FALSE)),"")</f>
        <v/>
      </c>
      <c r="J609" s="162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54" t="str">
        <f>IFERROR(IF($D610="","",VLOOKUP($D610,Cadastro!$C$4:$E$7,3,FALSE)),"")</f>
        <v/>
      </c>
      <c r="G610" s="106"/>
      <c r="H610" s="154" t="str">
        <f>IFERROR(IF($G610="","",$G610*$S$621/$G$621/Cadastro!$E$33),"")</f>
        <v/>
      </c>
      <c r="I610" s="155" t="str">
        <f>IFERROR(IF($D610="","",VLOOKUP($D610,Cadastro!$C$4:$G$7,5,FALSE)),"")</f>
        <v/>
      </c>
      <c r="J610" s="156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54" t="str">
        <f>IFERROR(IF($D611="","",VLOOKUP($D611,Cadastro!$C$4:$E$7,3,FALSE)),"")</f>
        <v/>
      </c>
      <c r="G611" s="106"/>
      <c r="H611" s="154" t="str">
        <f>IFERROR(IF($G611="","",$G611*$S$621/$G$621/Cadastro!$E$33),"")</f>
        <v/>
      </c>
      <c r="I611" s="155" t="str">
        <f>IFERROR(IF($D611="","",VLOOKUP($D611,Cadastro!$C$4:$G$7,5,FALSE)),"")</f>
        <v/>
      </c>
      <c r="J611" s="156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54" t="str">
        <f>IFERROR(IF($D612="","",VLOOKUP($D612,Cadastro!$C$4:$E$7,3,FALSE)),"")</f>
        <v/>
      </c>
      <c r="G612" s="106"/>
      <c r="H612" s="154" t="str">
        <f>IFERROR(IF($G612="","",$G612*$S$621/$G$621/Cadastro!$E$33),"")</f>
        <v/>
      </c>
      <c r="I612" s="155" t="str">
        <f>IFERROR(IF($D612="","",VLOOKUP($D612,Cadastro!$C$4:$G$7,5,FALSE)),"")</f>
        <v/>
      </c>
      <c r="J612" s="156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54" t="str">
        <f>IFERROR(IF($D613="","",VLOOKUP($D613,Cadastro!$C$4:$E$7,3,FALSE)),"")</f>
        <v/>
      </c>
      <c r="G613" s="106"/>
      <c r="H613" s="154" t="str">
        <f>IFERROR(IF($G613="","",$G613*$S$621/$G$621/Cadastro!$E$33),"")</f>
        <v/>
      </c>
      <c r="I613" s="155" t="str">
        <f>IFERROR(IF($D613="","",VLOOKUP($D613,Cadastro!$C$4:$G$7,5,FALSE)),"")</f>
        <v/>
      </c>
      <c r="J613" s="156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54" t="str">
        <f>IFERROR(IF($D614="","",VLOOKUP($D614,Cadastro!$C$4:$E$7,3,FALSE)),"")</f>
        <v/>
      </c>
      <c r="G614" s="106"/>
      <c r="H614" s="154" t="str">
        <f>IFERROR(IF($G614="","",$G614*$S$621/$G$621/Cadastro!$E$33),"")</f>
        <v/>
      </c>
      <c r="I614" s="155" t="str">
        <f>IFERROR(IF($D614="","",VLOOKUP($D614,Cadastro!$C$4:$G$7,5,FALSE)),"")</f>
        <v/>
      </c>
      <c r="J614" s="156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54" t="str">
        <f>IFERROR(IF($D615="","",VLOOKUP($D615,Cadastro!$C$4:$E$7,3,FALSE)),"")</f>
        <v/>
      </c>
      <c r="G615" s="106"/>
      <c r="H615" s="154" t="str">
        <f>IFERROR(IF($G615="","",$G615*$S$621/$G$621/Cadastro!$E$33),"")</f>
        <v/>
      </c>
      <c r="I615" s="155" t="str">
        <f>IFERROR(IF($D615="","",VLOOKUP($D615,Cadastro!$C$4:$G$7,5,FALSE)),"")</f>
        <v/>
      </c>
      <c r="J615" s="156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54" t="str">
        <f>IFERROR(IF($D616="","",VLOOKUP($D616,Cadastro!$C$4:$E$7,3,FALSE)),"")</f>
        <v/>
      </c>
      <c r="G616" s="106"/>
      <c r="H616" s="154" t="str">
        <f>IFERROR(IF($G616="","",$G616*$S$621/$G$621/Cadastro!$E$33),"")</f>
        <v/>
      </c>
      <c r="I616" s="155" t="str">
        <f>IFERROR(IF($D616="","",VLOOKUP($D616,Cadastro!$C$4:$G$7,5,FALSE)),"")</f>
        <v/>
      </c>
      <c r="J616" s="156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54" t="str">
        <f>IFERROR(IF($D617="","",VLOOKUP($D617,Cadastro!$C$4:$E$7,3,FALSE)),"")</f>
        <v/>
      </c>
      <c r="G617" s="106"/>
      <c r="H617" s="154" t="str">
        <f>IFERROR(IF($G617="","",$G617*$S$621/$G$621/Cadastro!$E$33),"")</f>
        <v/>
      </c>
      <c r="I617" s="155" t="str">
        <f>IFERROR(IF($D617="","",VLOOKUP($D617,Cadastro!$C$4:$G$7,5,FALSE)),"")</f>
        <v/>
      </c>
      <c r="J617" s="156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54" t="str">
        <f>IFERROR(IF($D618="","",VLOOKUP($D618,Cadastro!$C$4:$E$7,3,FALSE)),"")</f>
        <v/>
      </c>
      <c r="G618" s="106"/>
      <c r="H618" s="154" t="str">
        <f>IFERROR(IF($G618="","",$G618*$S$621/$G$621/Cadastro!$E$33),"")</f>
        <v/>
      </c>
      <c r="I618" s="155" t="str">
        <f>IFERROR(IF($D618="","",VLOOKUP($D618,Cadastro!$C$4:$G$7,5,FALSE)),"")</f>
        <v/>
      </c>
      <c r="J618" s="156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54" t="str">
        <f>IFERROR(IF($D619="","",VLOOKUP($D619,Cadastro!$C$4:$E$7,3,FALSE)),"")</f>
        <v/>
      </c>
      <c r="G619" s="106"/>
      <c r="H619" s="154" t="str">
        <f>IFERROR(IF($G619="","",$G619*$S$621/$G$621/Cadastro!$E$33),"")</f>
        <v/>
      </c>
      <c r="I619" s="155" t="str">
        <f>IFERROR(IF($D619="","",VLOOKUP($D619,Cadastro!$C$4:$G$7,5,FALSE)),"")</f>
        <v/>
      </c>
      <c r="J619" s="156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57" t="str">
        <f>IFERROR(IF($D620="","",VLOOKUP($D620,Cadastro!$C$4:$E$7,3,FALSE)),"")</f>
        <v/>
      </c>
      <c r="G620" s="106"/>
      <c r="H620" s="157" t="str">
        <f>IFERROR(IF($G620="","",$G620*$S$621/$G$621/Cadastro!$E$33),"")</f>
        <v/>
      </c>
      <c r="I620" s="158" t="str">
        <f>IFERROR(IF($D620="","",VLOOKUP($D620,Cadastro!$C$4:$G$7,5,FALSE)),"")</f>
        <v/>
      </c>
      <c r="J620" s="159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32" t="s">
        <v>244</v>
      </c>
      <c r="B621" s="133"/>
      <c r="C621" s="133"/>
      <c r="D621" s="133"/>
      <c r="E621" s="13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34" t="s">
        <v>245</v>
      </c>
      <c r="B622" s="135"/>
      <c r="C622" s="135"/>
      <c r="D622" s="135"/>
      <c r="E622" s="135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60" t="str">
        <f>IFERROR(IF($D623="","",VLOOKUP($D623,Cadastro!$C$4:$E$7,3,FALSE)),"")</f>
        <v/>
      </c>
      <c r="G623" s="106"/>
      <c r="H623" s="160" t="str">
        <f>IFERROR(IF($G623="","",$G623*$S$635/$G$635/Cadastro!$E$33),"")</f>
        <v/>
      </c>
      <c r="I623" s="161" t="str">
        <f>IFERROR(IF($D623="","",VLOOKUP($D623,Cadastro!$C$4:$G$7,5,FALSE)),"")</f>
        <v/>
      </c>
      <c r="J623" s="162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54" t="str">
        <f>IFERROR(IF($D624="","",VLOOKUP($D624,Cadastro!$C$4:$E$7,3,FALSE)),"")</f>
        <v/>
      </c>
      <c r="G624" s="106"/>
      <c r="H624" s="154" t="str">
        <f>IFERROR(IF($G624="","",$G624*$S$635/$G$635/Cadastro!$E$33),"")</f>
        <v/>
      </c>
      <c r="I624" s="155" t="str">
        <f>IFERROR(IF($D624="","",VLOOKUP($D624,Cadastro!$C$4:$G$7,5,FALSE)),"")</f>
        <v/>
      </c>
      <c r="J624" s="156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54" t="str">
        <f>IFERROR(IF($D625="","",VLOOKUP($D625,Cadastro!$C$4:$E$7,3,FALSE)),"")</f>
        <v/>
      </c>
      <c r="G625" s="106"/>
      <c r="H625" s="154" t="str">
        <f>IFERROR(IF($G625="","",$G625*$S$635/$G$635/Cadastro!$E$33),"")</f>
        <v/>
      </c>
      <c r="I625" s="155" t="str">
        <f>IFERROR(IF($D625="","",VLOOKUP($D625,Cadastro!$C$4:$G$7,5,FALSE)),"")</f>
        <v/>
      </c>
      <c r="J625" s="156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54" t="str">
        <f>IFERROR(IF($D626="","",VLOOKUP($D626,Cadastro!$C$4:$E$7,3,FALSE)),"")</f>
        <v/>
      </c>
      <c r="G626" s="106"/>
      <c r="H626" s="154" t="str">
        <f>IFERROR(IF($G626="","",$G626*$S$635/$G$635/Cadastro!$E$33),"")</f>
        <v/>
      </c>
      <c r="I626" s="155" t="str">
        <f>IFERROR(IF($D626="","",VLOOKUP($D626,Cadastro!$C$4:$G$7,5,FALSE)),"")</f>
        <v/>
      </c>
      <c r="J626" s="156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54" t="str">
        <f>IFERROR(IF($D627="","",VLOOKUP($D627,Cadastro!$C$4:$E$7,3,FALSE)),"")</f>
        <v/>
      </c>
      <c r="G627" s="106"/>
      <c r="H627" s="154" t="str">
        <f>IFERROR(IF($G627="","",$G627*$S$635/$G$635/Cadastro!$E$33),"")</f>
        <v/>
      </c>
      <c r="I627" s="155" t="str">
        <f>IFERROR(IF($D627="","",VLOOKUP($D627,Cadastro!$C$4:$G$7,5,FALSE)),"")</f>
        <v/>
      </c>
      <c r="J627" s="156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54" t="str">
        <f>IFERROR(IF($D628="","",VLOOKUP($D628,Cadastro!$C$4:$E$7,3,FALSE)),"")</f>
        <v/>
      </c>
      <c r="G628" s="106"/>
      <c r="H628" s="154" t="str">
        <f>IFERROR(IF($G628="","",$G628*$S$635/$G$635/Cadastro!$E$33),"")</f>
        <v/>
      </c>
      <c r="I628" s="155" t="str">
        <f>IFERROR(IF($D628="","",VLOOKUP($D628,Cadastro!$C$4:$G$7,5,FALSE)),"")</f>
        <v/>
      </c>
      <c r="J628" s="156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54" t="str">
        <f>IFERROR(IF($D629="","",VLOOKUP($D629,Cadastro!$C$4:$E$7,3,FALSE)),"")</f>
        <v/>
      </c>
      <c r="G629" s="106"/>
      <c r="H629" s="154" t="str">
        <f>IFERROR(IF($G629="","",$G629*$S$635/$G$635/Cadastro!$E$33),"")</f>
        <v/>
      </c>
      <c r="I629" s="155" t="str">
        <f>IFERROR(IF($D629="","",VLOOKUP($D629,Cadastro!$C$4:$G$7,5,FALSE)),"")</f>
        <v/>
      </c>
      <c r="J629" s="156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54" t="str">
        <f>IFERROR(IF($D630="","",VLOOKUP($D630,Cadastro!$C$4:$E$7,3,FALSE)),"")</f>
        <v/>
      </c>
      <c r="G630" s="106"/>
      <c r="H630" s="154" t="str">
        <f>IFERROR(IF($G630="","",$G630*$S$635/$G$635/Cadastro!$E$33),"")</f>
        <v/>
      </c>
      <c r="I630" s="155" t="str">
        <f>IFERROR(IF($D630="","",VLOOKUP($D630,Cadastro!$C$4:$G$7,5,FALSE)),"")</f>
        <v/>
      </c>
      <c r="J630" s="156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54" t="str">
        <f>IFERROR(IF($D631="","",VLOOKUP($D631,Cadastro!$C$4:$E$7,3,FALSE)),"")</f>
        <v/>
      </c>
      <c r="G631" s="106"/>
      <c r="H631" s="154" t="str">
        <f>IFERROR(IF($G631="","",$G631*$S$635/$G$635/Cadastro!$E$33),"")</f>
        <v/>
      </c>
      <c r="I631" s="155" t="str">
        <f>IFERROR(IF($D631="","",VLOOKUP($D631,Cadastro!$C$4:$G$7,5,FALSE)),"")</f>
        <v/>
      </c>
      <c r="J631" s="156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54" t="str">
        <f>IFERROR(IF($D632="","",VLOOKUP($D632,Cadastro!$C$4:$E$7,3,FALSE)),"")</f>
        <v/>
      </c>
      <c r="G632" s="106"/>
      <c r="H632" s="154" t="str">
        <f>IFERROR(IF($G632="","",$G632*$S$635/$G$635/Cadastro!$E$33),"")</f>
        <v/>
      </c>
      <c r="I632" s="155" t="str">
        <f>IFERROR(IF($D632="","",VLOOKUP($D632,Cadastro!$C$4:$G$7,5,FALSE)),"")</f>
        <v/>
      </c>
      <c r="J632" s="156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54" t="str">
        <f>IFERROR(IF($D633="","",VLOOKUP($D633,Cadastro!$C$4:$E$7,3,FALSE)),"")</f>
        <v/>
      </c>
      <c r="G633" s="106"/>
      <c r="H633" s="154" t="str">
        <f>IFERROR(IF($G633="","",$G633*$S$635/$G$635/Cadastro!$E$33),"")</f>
        <v/>
      </c>
      <c r="I633" s="155" t="str">
        <f>IFERROR(IF($D633="","",VLOOKUP($D633,Cadastro!$C$4:$G$7,5,FALSE)),"")</f>
        <v/>
      </c>
      <c r="J633" s="156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57" t="str">
        <f>IFERROR(IF($D634="","",VLOOKUP($D634,Cadastro!$C$4:$E$7,3,FALSE)),"")</f>
        <v/>
      </c>
      <c r="G634" s="106"/>
      <c r="H634" s="157" t="str">
        <f>IFERROR(IF($G634="","",$G634*$S$635/$G$635/Cadastro!$E$33),"")</f>
        <v/>
      </c>
      <c r="I634" s="158" t="str">
        <f>IFERROR(IF($D634="","",VLOOKUP($D634,Cadastro!$C$4:$G$7,5,FALSE)),"")</f>
        <v/>
      </c>
      <c r="J634" s="159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32" t="s">
        <v>241</v>
      </c>
      <c r="B635" s="133"/>
      <c r="C635" s="133"/>
      <c r="D635" s="133"/>
      <c r="E635" s="13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60" t="str">
        <f>IFERROR(IF($D636="","",VLOOKUP($D636,Cadastro!$C$4:$E$7,3,FALSE)),"")</f>
        <v/>
      </c>
      <c r="G636" s="106"/>
      <c r="H636" s="160" t="str">
        <f>IFERROR(IF($G636="","",$G636*$S$648/$G$648/Cadastro!$E$33),"")</f>
        <v/>
      </c>
      <c r="I636" s="161" t="str">
        <f>IFERROR(IF($D636="","",VLOOKUP($D636,Cadastro!$C$4:$G$7,5,FALSE)),"")</f>
        <v/>
      </c>
      <c r="J636" s="162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54" t="str">
        <f>IFERROR(IF($D637="","",VLOOKUP($D637,Cadastro!$C$4:$E$7,3,FALSE)),"")</f>
        <v/>
      </c>
      <c r="G637" s="106"/>
      <c r="H637" s="154" t="str">
        <f>IFERROR(IF($G637="","",$G637*$S$648/$G$648/Cadastro!$E$33),"")</f>
        <v/>
      </c>
      <c r="I637" s="155" t="str">
        <f>IFERROR(IF($D637="","",VLOOKUP($D637,Cadastro!$C$4:$G$7,5,FALSE)),"")</f>
        <v/>
      </c>
      <c r="J637" s="156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54" t="str">
        <f>IFERROR(IF($D638="","",VLOOKUP($D638,Cadastro!$C$4:$E$7,3,FALSE)),"")</f>
        <v/>
      </c>
      <c r="G638" s="106"/>
      <c r="H638" s="154" t="str">
        <f>IFERROR(IF($G638="","",$G638*$S$648/$G$648/Cadastro!$E$33),"")</f>
        <v/>
      </c>
      <c r="I638" s="155" t="str">
        <f>IFERROR(IF($D638="","",VLOOKUP($D638,Cadastro!$C$4:$G$7,5,FALSE)),"")</f>
        <v/>
      </c>
      <c r="J638" s="156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54" t="str">
        <f>IFERROR(IF($D639="","",VLOOKUP($D639,Cadastro!$C$4:$E$7,3,FALSE)),"")</f>
        <v/>
      </c>
      <c r="G639" s="106"/>
      <c r="H639" s="154" t="str">
        <f>IFERROR(IF($G639="","",$G639*$S$648/$G$648/Cadastro!$E$33),"")</f>
        <v/>
      </c>
      <c r="I639" s="155" t="str">
        <f>IFERROR(IF($D639="","",VLOOKUP($D639,Cadastro!$C$4:$G$7,5,FALSE)),"")</f>
        <v/>
      </c>
      <c r="J639" s="156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54" t="str">
        <f>IFERROR(IF($D640="","",VLOOKUP($D640,Cadastro!$C$4:$E$7,3,FALSE)),"")</f>
        <v/>
      </c>
      <c r="G640" s="106"/>
      <c r="H640" s="154" t="str">
        <f>IFERROR(IF($G640="","",$G640*$S$648/$G$648/Cadastro!$E$33),"")</f>
        <v/>
      </c>
      <c r="I640" s="155" t="str">
        <f>IFERROR(IF($D640="","",VLOOKUP($D640,Cadastro!$C$4:$G$7,5,FALSE)),"")</f>
        <v/>
      </c>
      <c r="J640" s="156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54" t="str">
        <f>IFERROR(IF($D641="","",VLOOKUP($D641,Cadastro!$C$4:$E$7,3,FALSE)),"")</f>
        <v/>
      </c>
      <c r="G641" s="106"/>
      <c r="H641" s="154" t="str">
        <f>IFERROR(IF($G641="","",$G641*$S$648/$G$648/Cadastro!$E$33),"")</f>
        <v/>
      </c>
      <c r="I641" s="155" t="str">
        <f>IFERROR(IF($D641="","",VLOOKUP($D641,Cadastro!$C$4:$G$7,5,FALSE)),"")</f>
        <v/>
      </c>
      <c r="J641" s="156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54" t="str">
        <f>IFERROR(IF($D642="","",VLOOKUP($D642,Cadastro!$C$4:$E$7,3,FALSE)),"")</f>
        <v/>
      </c>
      <c r="G642" s="106"/>
      <c r="H642" s="154" t="str">
        <f>IFERROR(IF($G642="","",$G642*$S$648/$G$648/Cadastro!$E$33),"")</f>
        <v/>
      </c>
      <c r="I642" s="155" t="str">
        <f>IFERROR(IF($D642="","",VLOOKUP($D642,Cadastro!$C$4:$G$7,5,FALSE)),"")</f>
        <v/>
      </c>
      <c r="J642" s="156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54" t="str">
        <f>IFERROR(IF($D643="","",VLOOKUP($D643,Cadastro!$C$4:$E$7,3,FALSE)),"")</f>
        <v/>
      </c>
      <c r="G643" s="106"/>
      <c r="H643" s="154" t="str">
        <f>IFERROR(IF($G643="","",$G643*$S$648/$G$648/Cadastro!$E$33),"")</f>
        <v/>
      </c>
      <c r="I643" s="155" t="str">
        <f>IFERROR(IF($D643="","",VLOOKUP($D643,Cadastro!$C$4:$G$7,5,FALSE)),"")</f>
        <v/>
      </c>
      <c r="J643" s="156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54" t="str">
        <f>IFERROR(IF($D644="","",VLOOKUP($D644,Cadastro!$C$4:$E$7,3,FALSE)),"")</f>
        <v/>
      </c>
      <c r="G644" s="106"/>
      <c r="H644" s="154" t="str">
        <f>IFERROR(IF($G644="","",$G644*$S$648/$G$648/Cadastro!$E$33),"")</f>
        <v/>
      </c>
      <c r="I644" s="155" t="str">
        <f>IFERROR(IF($D644="","",VLOOKUP($D644,Cadastro!$C$4:$G$7,5,FALSE)),"")</f>
        <v/>
      </c>
      <c r="J644" s="156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54" t="str">
        <f>IFERROR(IF($D645="","",VLOOKUP($D645,Cadastro!$C$4:$E$7,3,FALSE)),"")</f>
        <v/>
      </c>
      <c r="G645" s="106"/>
      <c r="H645" s="154" t="str">
        <f>IFERROR(IF($G645="","",$G645*$S$648/$G$648/Cadastro!$E$33),"")</f>
        <v/>
      </c>
      <c r="I645" s="155" t="str">
        <f>IFERROR(IF($D645="","",VLOOKUP($D645,Cadastro!$C$4:$G$7,5,FALSE)),"")</f>
        <v/>
      </c>
      <c r="J645" s="156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54" t="str">
        <f>IFERROR(IF($D646="","",VLOOKUP($D646,Cadastro!$C$4:$E$7,3,FALSE)),"")</f>
        <v/>
      </c>
      <c r="G646" s="106"/>
      <c r="H646" s="154" t="str">
        <f>IFERROR(IF($G646="","",$G646*$S$648/$G$648/Cadastro!$E$33),"")</f>
        <v/>
      </c>
      <c r="I646" s="155" t="str">
        <f>IFERROR(IF($D646="","",VLOOKUP($D646,Cadastro!$C$4:$G$7,5,FALSE)),"")</f>
        <v/>
      </c>
      <c r="J646" s="156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57" t="str">
        <f>IFERROR(IF($D647="","",VLOOKUP($D647,Cadastro!$C$4:$E$7,3,FALSE)),"")</f>
        <v/>
      </c>
      <c r="G647" s="106"/>
      <c r="H647" s="157" t="str">
        <f>IFERROR(IF($G647="","",$G647*$S$648/$G$648/Cadastro!$E$33),"")</f>
        <v/>
      </c>
      <c r="I647" s="158" t="str">
        <f>IFERROR(IF($D647="","",VLOOKUP($D647,Cadastro!$C$4:$G$7,5,FALSE)),"")</f>
        <v/>
      </c>
      <c r="J647" s="159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32" t="s">
        <v>244</v>
      </c>
      <c r="B648" s="133"/>
      <c r="C648" s="133"/>
      <c r="D648" s="133"/>
      <c r="E648" s="13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34" t="s">
        <v>245</v>
      </c>
      <c r="B649" s="135"/>
      <c r="C649" s="135"/>
      <c r="D649" s="135"/>
      <c r="E649" s="135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60" t="str">
        <f>IFERROR(IF($D650="","",VLOOKUP($D650,Cadastro!$C$4:$E$7,3,FALSE)),"")</f>
        <v/>
      </c>
      <c r="G650" s="106"/>
      <c r="H650" s="160" t="str">
        <f>IFERROR(IF($G650="","",$G650*$S$662/$G$662/Cadastro!$E$33),"")</f>
        <v/>
      </c>
      <c r="I650" s="161" t="str">
        <f>IFERROR(IF($D650="","",VLOOKUP($D650,Cadastro!$C$4:$G$7,5,FALSE)),"")</f>
        <v/>
      </c>
      <c r="J650" s="162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54" t="str">
        <f>IFERROR(IF($D651="","",VLOOKUP($D651,Cadastro!$C$4:$E$7,3,FALSE)),"")</f>
        <v/>
      </c>
      <c r="G651" s="106"/>
      <c r="H651" s="154" t="str">
        <f>IFERROR(IF($G651="","",$G651*$S$662/$G$662/Cadastro!$E$33),"")</f>
        <v/>
      </c>
      <c r="I651" s="155" t="str">
        <f>IFERROR(IF($D651="","",VLOOKUP($D651,Cadastro!$C$4:$G$7,5,FALSE)),"")</f>
        <v/>
      </c>
      <c r="J651" s="156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54" t="str">
        <f>IFERROR(IF($D652="","",VLOOKUP($D652,Cadastro!$C$4:$E$7,3,FALSE)),"")</f>
        <v/>
      </c>
      <c r="G652" s="106"/>
      <c r="H652" s="154" t="str">
        <f>IFERROR(IF($G652="","",$G652*$S$662/$G$662/Cadastro!$E$33),"")</f>
        <v/>
      </c>
      <c r="I652" s="155" t="str">
        <f>IFERROR(IF($D652="","",VLOOKUP($D652,Cadastro!$C$4:$G$7,5,FALSE)),"")</f>
        <v/>
      </c>
      <c r="J652" s="156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54" t="str">
        <f>IFERROR(IF($D653="","",VLOOKUP($D653,Cadastro!$C$4:$E$7,3,FALSE)),"")</f>
        <v/>
      </c>
      <c r="G653" s="106"/>
      <c r="H653" s="154" t="str">
        <f>IFERROR(IF($G653="","",$G653*$S$662/$G$662/Cadastro!$E$33),"")</f>
        <v/>
      </c>
      <c r="I653" s="155" t="str">
        <f>IFERROR(IF($D653="","",VLOOKUP($D653,Cadastro!$C$4:$G$7,5,FALSE)),"")</f>
        <v/>
      </c>
      <c r="J653" s="156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54" t="str">
        <f>IFERROR(IF($D654="","",VLOOKUP($D654,Cadastro!$C$4:$E$7,3,FALSE)),"")</f>
        <v/>
      </c>
      <c r="G654" s="106"/>
      <c r="H654" s="154" t="str">
        <f>IFERROR(IF($G654="","",$G654*$S$662/$G$662/Cadastro!$E$33),"")</f>
        <v/>
      </c>
      <c r="I654" s="155" t="str">
        <f>IFERROR(IF($D654="","",VLOOKUP($D654,Cadastro!$C$4:$G$7,5,FALSE)),"")</f>
        <v/>
      </c>
      <c r="J654" s="156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54" t="str">
        <f>IFERROR(IF($D655="","",VLOOKUP($D655,Cadastro!$C$4:$E$7,3,FALSE)),"")</f>
        <v/>
      </c>
      <c r="G655" s="106"/>
      <c r="H655" s="154" t="str">
        <f>IFERROR(IF($G655="","",$G655*$S$662/$G$662/Cadastro!$E$33),"")</f>
        <v/>
      </c>
      <c r="I655" s="155" t="str">
        <f>IFERROR(IF($D655="","",VLOOKUP($D655,Cadastro!$C$4:$G$7,5,FALSE)),"")</f>
        <v/>
      </c>
      <c r="J655" s="156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54" t="str">
        <f>IFERROR(IF($D656="","",VLOOKUP($D656,Cadastro!$C$4:$E$7,3,FALSE)),"")</f>
        <v/>
      </c>
      <c r="G656" s="106"/>
      <c r="H656" s="154" t="str">
        <f>IFERROR(IF($G656="","",$G656*$S$662/$G$662/Cadastro!$E$33),"")</f>
        <v/>
      </c>
      <c r="I656" s="155" t="str">
        <f>IFERROR(IF($D656="","",VLOOKUP($D656,Cadastro!$C$4:$G$7,5,FALSE)),"")</f>
        <v/>
      </c>
      <c r="J656" s="156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54" t="str">
        <f>IFERROR(IF($D657="","",VLOOKUP($D657,Cadastro!$C$4:$E$7,3,FALSE)),"")</f>
        <v/>
      </c>
      <c r="G657" s="106"/>
      <c r="H657" s="154" t="str">
        <f>IFERROR(IF($G657="","",$G657*$S$662/$G$662/Cadastro!$E$33),"")</f>
        <v/>
      </c>
      <c r="I657" s="155" t="str">
        <f>IFERROR(IF($D657="","",VLOOKUP($D657,Cadastro!$C$4:$G$7,5,FALSE)),"")</f>
        <v/>
      </c>
      <c r="J657" s="156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54" t="str">
        <f>IFERROR(IF($D658="","",VLOOKUP($D658,Cadastro!$C$4:$E$7,3,FALSE)),"")</f>
        <v/>
      </c>
      <c r="G658" s="106"/>
      <c r="H658" s="154" t="str">
        <f>IFERROR(IF($G658="","",$G658*$S$662/$G$662/Cadastro!$E$33),"")</f>
        <v/>
      </c>
      <c r="I658" s="155" t="str">
        <f>IFERROR(IF($D658="","",VLOOKUP($D658,Cadastro!$C$4:$G$7,5,FALSE)),"")</f>
        <v/>
      </c>
      <c r="J658" s="156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54" t="str">
        <f>IFERROR(IF($D659="","",VLOOKUP($D659,Cadastro!$C$4:$E$7,3,FALSE)),"")</f>
        <v/>
      </c>
      <c r="G659" s="106"/>
      <c r="H659" s="154" t="str">
        <f>IFERROR(IF($G659="","",$G659*$S$662/$G$662/Cadastro!$E$33),"")</f>
        <v/>
      </c>
      <c r="I659" s="155" t="str">
        <f>IFERROR(IF($D659="","",VLOOKUP($D659,Cadastro!$C$4:$G$7,5,FALSE)),"")</f>
        <v/>
      </c>
      <c r="J659" s="156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54" t="str">
        <f>IFERROR(IF($D660="","",VLOOKUP($D660,Cadastro!$C$4:$E$7,3,FALSE)),"")</f>
        <v/>
      </c>
      <c r="G660" s="106"/>
      <c r="H660" s="154" t="str">
        <f>IFERROR(IF($G660="","",$G660*$S$662/$G$662/Cadastro!$E$33),"")</f>
        <v/>
      </c>
      <c r="I660" s="155" t="str">
        <f>IFERROR(IF($D660="","",VLOOKUP($D660,Cadastro!$C$4:$G$7,5,FALSE)),"")</f>
        <v/>
      </c>
      <c r="J660" s="156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57" t="str">
        <f>IFERROR(IF($D661="","",VLOOKUP($D661,Cadastro!$C$4:$E$7,3,FALSE)),"")</f>
        <v/>
      </c>
      <c r="G661" s="106"/>
      <c r="H661" s="157" t="str">
        <f>IFERROR(IF($G661="","",$G661*$S$662/$G$662/Cadastro!$E$33),"")</f>
        <v/>
      </c>
      <c r="I661" s="158" t="str">
        <f>IFERROR(IF($D661="","",VLOOKUP($D661,Cadastro!$C$4:$G$7,5,FALSE)),"")</f>
        <v/>
      </c>
      <c r="J661" s="159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32" t="s">
        <v>241</v>
      </c>
      <c r="B662" s="133"/>
      <c r="C662" s="133"/>
      <c r="D662" s="133"/>
      <c r="E662" s="13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60" t="str">
        <f>IFERROR(IF($D663="","",VLOOKUP($D663,Cadastro!$C$4:$E$7,3,FALSE)),"")</f>
        <v/>
      </c>
      <c r="G663" s="106"/>
      <c r="H663" s="160" t="str">
        <f>IFERROR(IF($G663="","",$G663*$S$675/$G$675/Cadastro!$E$33),"")</f>
        <v/>
      </c>
      <c r="I663" s="161" t="str">
        <f>IFERROR(IF($D663="","",VLOOKUP($D663,Cadastro!$C$4:$G$7,5,FALSE)),"")</f>
        <v/>
      </c>
      <c r="J663" s="162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54" t="str">
        <f>IFERROR(IF($D664="","",VLOOKUP($D664,Cadastro!$C$4:$E$7,3,FALSE)),"")</f>
        <v/>
      </c>
      <c r="G664" s="106"/>
      <c r="H664" s="154" t="str">
        <f>IFERROR(IF($G664="","",$G664*$S$675/$G$675/Cadastro!$E$33),"")</f>
        <v/>
      </c>
      <c r="I664" s="155" t="str">
        <f>IFERROR(IF($D664="","",VLOOKUP($D664,Cadastro!$C$4:$G$7,5,FALSE)),"")</f>
        <v/>
      </c>
      <c r="J664" s="156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54" t="str">
        <f>IFERROR(IF($D665="","",VLOOKUP($D665,Cadastro!$C$4:$E$7,3,FALSE)),"")</f>
        <v/>
      </c>
      <c r="G665" s="106"/>
      <c r="H665" s="154" t="str">
        <f>IFERROR(IF($G665="","",$G665*$S$675/$G$675/Cadastro!$E$33),"")</f>
        <v/>
      </c>
      <c r="I665" s="155" t="str">
        <f>IFERROR(IF($D665="","",VLOOKUP($D665,Cadastro!$C$4:$G$7,5,FALSE)),"")</f>
        <v/>
      </c>
      <c r="J665" s="156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54" t="str">
        <f>IFERROR(IF($D666="","",VLOOKUP($D666,Cadastro!$C$4:$E$7,3,FALSE)),"")</f>
        <v/>
      </c>
      <c r="G666" s="106"/>
      <c r="H666" s="154" t="str">
        <f>IFERROR(IF($G666="","",$G666*$S$675/$G$675/Cadastro!$E$33),"")</f>
        <v/>
      </c>
      <c r="I666" s="155" t="str">
        <f>IFERROR(IF($D666="","",VLOOKUP($D666,Cadastro!$C$4:$G$7,5,FALSE)),"")</f>
        <v/>
      </c>
      <c r="J666" s="156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54" t="str">
        <f>IFERROR(IF($D667="","",VLOOKUP($D667,Cadastro!$C$4:$E$7,3,FALSE)),"")</f>
        <v/>
      </c>
      <c r="G667" s="106"/>
      <c r="H667" s="154" t="str">
        <f>IFERROR(IF($G667="","",$G667*$S$675/$G$675/Cadastro!$E$33),"")</f>
        <v/>
      </c>
      <c r="I667" s="155" t="str">
        <f>IFERROR(IF($D667="","",VLOOKUP($D667,Cadastro!$C$4:$G$7,5,FALSE)),"")</f>
        <v/>
      </c>
      <c r="J667" s="156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54" t="str">
        <f>IFERROR(IF($D668="","",VLOOKUP($D668,Cadastro!$C$4:$E$7,3,FALSE)),"")</f>
        <v/>
      </c>
      <c r="G668" s="106"/>
      <c r="H668" s="154" t="str">
        <f>IFERROR(IF($G668="","",$G668*$S$675/$G$675/Cadastro!$E$33),"")</f>
        <v/>
      </c>
      <c r="I668" s="155" t="str">
        <f>IFERROR(IF($D668="","",VLOOKUP($D668,Cadastro!$C$4:$G$7,5,FALSE)),"")</f>
        <v/>
      </c>
      <c r="J668" s="156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54" t="str">
        <f>IFERROR(IF($D669="","",VLOOKUP($D669,Cadastro!$C$4:$E$7,3,FALSE)),"")</f>
        <v/>
      </c>
      <c r="G669" s="106"/>
      <c r="H669" s="154" t="str">
        <f>IFERROR(IF($G669="","",$G669*$S$675/$G$675/Cadastro!$E$33),"")</f>
        <v/>
      </c>
      <c r="I669" s="155" t="str">
        <f>IFERROR(IF($D669="","",VLOOKUP($D669,Cadastro!$C$4:$G$7,5,FALSE)),"")</f>
        <v/>
      </c>
      <c r="J669" s="156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54" t="str">
        <f>IFERROR(IF($D670="","",VLOOKUP($D670,Cadastro!$C$4:$E$7,3,FALSE)),"")</f>
        <v/>
      </c>
      <c r="G670" s="106"/>
      <c r="H670" s="154" t="str">
        <f>IFERROR(IF($G670="","",$G670*$S$675/$G$675/Cadastro!$E$33),"")</f>
        <v/>
      </c>
      <c r="I670" s="155" t="str">
        <f>IFERROR(IF($D670="","",VLOOKUP($D670,Cadastro!$C$4:$G$7,5,FALSE)),"")</f>
        <v/>
      </c>
      <c r="J670" s="156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54" t="str">
        <f>IFERROR(IF($D671="","",VLOOKUP($D671,Cadastro!$C$4:$E$7,3,FALSE)),"")</f>
        <v/>
      </c>
      <c r="G671" s="106"/>
      <c r="H671" s="154" t="str">
        <f>IFERROR(IF($G671="","",$G671*$S$675/$G$675/Cadastro!$E$33),"")</f>
        <v/>
      </c>
      <c r="I671" s="155" t="str">
        <f>IFERROR(IF($D671="","",VLOOKUP($D671,Cadastro!$C$4:$G$7,5,FALSE)),"")</f>
        <v/>
      </c>
      <c r="J671" s="156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54" t="str">
        <f>IFERROR(IF($D672="","",VLOOKUP($D672,Cadastro!$C$4:$E$7,3,FALSE)),"")</f>
        <v/>
      </c>
      <c r="G672" s="106"/>
      <c r="H672" s="154" t="str">
        <f>IFERROR(IF($G672="","",$G672*$S$675/$G$675/Cadastro!$E$33),"")</f>
        <v/>
      </c>
      <c r="I672" s="155" t="str">
        <f>IFERROR(IF($D672="","",VLOOKUP($D672,Cadastro!$C$4:$G$7,5,FALSE)),"")</f>
        <v/>
      </c>
      <c r="J672" s="156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54" t="str">
        <f>IFERROR(IF($D673="","",VLOOKUP($D673,Cadastro!$C$4:$E$7,3,FALSE)),"")</f>
        <v/>
      </c>
      <c r="G673" s="106"/>
      <c r="H673" s="154" t="str">
        <f>IFERROR(IF($G673="","",$G673*$S$675/$G$675/Cadastro!$E$33),"")</f>
        <v/>
      </c>
      <c r="I673" s="155" t="str">
        <f>IFERROR(IF($D673="","",VLOOKUP($D673,Cadastro!$C$4:$G$7,5,FALSE)),"")</f>
        <v/>
      </c>
      <c r="J673" s="156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57" t="str">
        <f>IFERROR(IF($D674="","",VLOOKUP($D674,Cadastro!$C$4:$E$7,3,FALSE)),"")</f>
        <v/>
      </c>
      <c r="G674" s="106"/>
      <c r="H674" s="157" t="str">
        <f>IFERROR(IF($G674="","",$G674*$S$675/$G$675/Cadastro!$E$33),"")</f>
        <v/>
      </c>
      <c r="I674" s="158" t="str">
        <f>IFERROR(IF($D674="","",VLOOKUP($D674,Cadastro!$C$4:$G$7,5,FALSE)),"")</f>
        <v/>
      </c>
      <c r="J674" s="159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32" t="s">
        <v>244</v>
      </c>
      <c r="B675" s="133"/>
      <c r="C675" s="133"/>
      <c r="D675" s="133"/>
      <c r="E675" s="13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34" t="s">
        <v>245</v>
      </c>
      <c r="B676" s="135"/>
      <c r="C676" s="135"/>
      <c r="D676" s="135"/>
      <c r="E676" s="135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60" t="str">
        <f>IFERROR(IF($D677="","",VLOOKUP($D677,Cadastro!$C$4:$E$7,3,FALSE)),"")</f>
        <v/>
      </c>
      <c r="G677" s="106"/>
      <c r="H677" s="160" t="str">
        <f>IFERROR(IF($G677="","",$G677*$S$689/$G$689/Cadastro!$E$33),"")</f>
        <v/>
      </c>
      <c r="I677" s="161" t="str">
        <f>IFERROR(IF($D677="","",VLOOKUP($D677,Cadastro!$C$4:$G$7,5,FALSE)),"")</f>
        <v/>
      </c>
      <c r="J677" s="162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54" t="str">
        <f>IFERROR(IF($D678="","",VLOOKUP($D678,Cadastro!$C$4:$E$7,3,FALSE)),"")</f>
        <v/>
      </c>
      <c r="G678" s="106"/>
      <c r="H678" s="154" t="str">
        <f>IFERROR(IF($G678="","",$G678*$S$689/$G$689/Cadastro!$E$33),"")</f>
        <v/>
      </c>
      <c r="I678" s="155" t="str">
        <f>IFERROR(IF($D678="","",VLOOKUP($D678,Cadastro!$C$4:$G$7,5,FALSE)),"")</f>
        <v/>
      </c>
      <c r="J678" s="156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54" t="str">
        <f>IFERROR(IF($D679="","",VLOOKUP($D679,Cadastro!$C$4:$E$7,3,FALSE)),"")</f>
        <v/>
      </c>
      <c r="G679" s="106"/>
      <c r="H679" s="154" t="str">
        <f>IFERROR(IF($G679="","",$G679*$S$689/$G$689/Cadastro!$E$33),"")</f>
        <v/>
      </c>
      <c r="I679" s="155" t="str">
        <f>IFERROR(IF($D679="","",VLOOKUP($D679,Cadastro!$C$4:$G$7,5,FALSE)),"")</f>
        <v/>
      </c>
      <c r="J679" s="156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54" t="str">
        <f>IFERROR(IF($D680="","",VLOOKUP($D680,Cadastro!$C$4:$E$7,3,FALSE)),"")</f>
        <v/>
      </c>
      <c r="G680" s="106"/>
      <c r="H680" s="154" t="str">
        <f>IFERROR(IF($G680="","",$G680*$S$689/$G$689/Cadastro!$E$33),"")</f>
        <v/>
      </c>
      <c r="I680" s="155" t="str">
        <f>IFERROR(IF($D680="","",VLOOKUP($D680,Cadastro!$C$4:$G$7,5,FALSE)),"")</f>
        <v/>
      </c>
      <c r="J680" s="156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54" t="str">
        <f>IFERROR(IF($D681="","",VLOOKUP($D681,Cadastro!$C$4:$E$7,3,FALSE)),"")</f>
        <v/>
      </c>
      <c r="G681" s="106"/>
      <c r="H681" s="154" t="str">
        <f>IFERROR(IF($G681="","",$G681*$S$689/$G$689/Cadastro!$E$33),"")</f>
        <v/>
      </c>
      <c r="I681" s="155" t="str">
        <f>IFERROR(IF($D681="","",VLOOKUP($D681,Cadastro!$C$4:$G$7,5,FALSE)),"")</f>
        <v/>
      </c>
      <c r="J681" s="156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54" t="str">
        <f>IFERROR(IF($D682="","",VLOOKUP($D682,Cadastro!$C$4:$E$7,3,FALSE)),"")</f>
        <v/>
      </c>
      <c r="G682" s="106"/>
      <c r="H682" s="154" t="str">
        <f>IFERROR(IF($G682="","",$G682*$S$689/$G$689/Cadastro!$E$33),"")</f>
        <v/>
      </c>
      <c r="I682" s="155" t="str">
        <f>IFERROR(IF($D682="","",VLOOKUP($D682,Cadastro!$C$4:$G$7,5,FALSE)),"")</f>
        <v/>
      </c>
      <c r="J682" s="156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54" t="str">
        <f>IFERROR(IF($D683="","",VLOOKUP($D683,Cadastro!$C$4:$E$7,3,FALSE)),"")</f>
        <v/>
      </c>
      <c r="G683" s="106"/>
      <c r="H683" s="154" t="str">
        <f>IFERROR(IF($G683="","",$G683*$S$689/$G$689/Cadastro!$E$33),"")</f>
        <v/>
      </c>
      <c r="I683" s="155" t="str">
        <f>IFERROR(IF($D683="","",VLOOKUP($D683,Cadastro!$C$4:$G$7,5,FALSE)),"")</f>
        <v/>
      </c>
      <c r="J683" s="156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54" t="str">
        <f>IFERROR(IF($D684="","",VLOOKUP($D684,Cadastro!$C$4:$E$7,3,FALSE)),"")</f>
        <v/>
      </c>
      <c r="G684" s="106"/>
      <c r="H684" s="154" t="str">
        <f>IFERROR(IF($G684="","",$G684*$S$689/$G$689/Cadastro!$E$33),"")</f>
        <v/>
      </c>
      <c r="I684" s="155" t="str">
        <f>IFERROR(IF($D684="","",VLOOKUP($D684,Cadastro!$C$4:$G$7,5,FALSE)),"")</f>
        <v/>
      </c>
      <c r="J684" s="156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54" t="str">
        <f>IFERROR(IF($D685="","",VLOOKUP($D685,Cadastro!$C$4:$E$7,3,FALSE)),"")</f>
        <v/>
      </c>
      <c r="G685" s="106"/>
      <c r="H685" s="154" t="str">
        <f>IFERROR(IF($G685="","",$G685*$S$689/$G$689/Cadastro!$E$33),"")</f>
        <v/>
      </c>
      <c r="I685" s="155" t="str">
        <f>IFERROR(IF($D685="","",VLOOKUP($D685,Cadastro!$C$4:$G$7,5,FALSE)),"")</f>
        <v/>
      </c>
      <c r="J685" s="156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54" t="str">
        <f>IFERROR(IF($D686="","",VLOOKUP($D686,Cadastro!$C$4:$E$7,3,FALSE)),"")</f>
        <v/>
      </c>
      <c r="G686" s="106"/>
      <c r="H686" s="154" t="str">
        <f>IFERROR(IF($G686="","",$G686*$S$689/$G$689/Cadastro!$E$33),"")</f>
        <v/>
      </c>
      <c r="I686" s="155" t="str">
        <f>IFERROR(IF($D686="","",VLOOKUP($D686,Cadastro!$C$4:$G$7,5,FALSE)),"")</f>
        <v/>
      </c>
      <c r="J686" s="156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54" t="str">
        <f>IFERROR(IF($D687="","",VLOOKUP($D687,Cadastro!$C$4:$E$7,3,FALSE)),"")</f>
        <v/>
      </c>
      <c r="G687" s="106"/>
      <c r="H687" s="154" t="str">
        <f>IFERROR(IF($G687="","",$G687*$S$689/$G$689/Cadastro!$E$33),"")</f>
        <v/>
      </c>
      <c r="I687" s="155" t="str">
        <f>IFERROR(IF($D687="","",VLOOKUP($D687,Cadastro!$C$4:$G$7,5,FALSE)),"")</f>
        <v/>
      </c>
      <c r="J687" s="156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57" t="str">
        <f>IFERROR(IF($D688="","",VLOOKUP($D688,Cadastro!$C$4:$E$7,3,FALSE)),"")</f>
        <v/>
      </c>
      <c r="G688" s="106"/>
      <c r="H688" s="157" t="str">
        <f>IFERROR(IF($G688="","",$G688*$S$689/$G$689/Cadastro!$E$33),"")</f>
        <v/>
      </c>
      <c r="I688" s="158" t="str">
        <f>IFERROR(IF($D688="","",VLOOKUP($D688,Cadastro!$C$4:$G$7,5,FALSE)),"")</f>
        <v/>
      </c>
      <c r="J688" s="159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32" t="s">
        <v>241</v>
      </c>
      <c r="B689" s="133"/>
      <c r="C689" s="133"/>
      <c r="D689" s="133"/>
      <c r="E689" s="13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60" t="str">
        <f>IFERROR(IF($D690="","",VLOOKUP($D690,Cadastro!$C$4:$E$7,3,FALSE)),"")</f>
        <v/>
      </c>
      <c r="G690" s="106"/>
      <c r="H690" s="160" t="str">
        <f>IFERROR(IF($G690="","",$G690*$S$702/$G$702/Cadastro!$E$33),"")</f>
        <v/>
      </c>
      <c r="I690" s="161" t="str">
        <f>IFERROR(IF($D690="","",VLOOKUP($D690,Cadastro!$C$4:$G$7,5,FALSE)),"")</f>
        <v/>
      </c>
      <c r="J690" s="162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54" t="str">
        <f>IFERROR(IF($D691="","",VLOOKUP($D691,Cadastro!$C$4:$E$7,3,FALSE)),"")</f>
        <v/>
      </c>
      <c r="G691" s="106"/>
      <c r="H691" s="154" t="str">
        <f>IFERROR(IF($G691="","",$G691*$S$702/$G$702/Cadastro!$E$33),"")</f>
        <v/>
      </c>
      <c r="I691" s="155" t="str">
        <f>IFERROR(IF($D691="","",VLOOKUP($D691,Cadastro!$C$4:$G$7,5,FALSE)),"")</f>
        <v/>
      </c>
      <c r="J691" s="156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54" t="str">
        <f>IFERROR(IF($D692="","",VLOOKUP($D692,Cadastro!$C$4:$E$7,3,FALSE)),"")</f>
        <v/>
      </c>
      <c r="G692" s="106"/>
      <c r="H692" s="154" t="str">
        <f>IFERROR(IF($G692="","",$G692*$S$702/$G$702/Cadastro!$E$33),"")</f>
        <v/>
      </c>
      <c r="I692" s="155" t="str">
        <f>IFERROR(IF($D692="","",VLOOKUP($D692,Cadastro!$C$4:$G$7,5,FALSE)),"")</f>
        <v/>
      </c>
      <c r="J692" s="156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54" t="str">
        <f>IFERROR(IF($D693="","",VLOOKUP($D693,Cadastro!$C$4:$E$7,3,FALSE)),"")</f>
        <v/>
      </c>
      <c r="G693" s="106"/>
      <c r="H693" s="154" t="str">
        <f>IFERROR(IF($G693="","",$G693*$S$702/$G$702/Cadastro!$E$33),"")</f>
        <v/>
      </c>
      <c r="I693" s="155" t="str">
        <f>IFERROR(IF($D693="","",VLOOKUP($D693,Cadastro!$C$4:$G$7,5,FALSE)),"")</f>
        <v/>
      </c>
      <c r="J693" s="156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54" t="str">
        <f>IFERROR(IF($D694="","",VLOOKUP($D694,Cadastro!$C$4:$E$7,3,FALSE)),"")</f>
        <v/>
      </c>
      <c r="G694" s="106"/>
      <c r="H694" s="154" t="str">
        <f>IFERROR(IF($G694="","",$G694*$S$702/$G$702/Cadastro!$E$33),"")</f>
        <v/>
      </c>
      <c r="I694" s="155" t="str">
        <f>IFERROR(IF($D694="","",VLOOKUP($D694,Cadastro!$C$4:$G$7,5,FALSE)),"")</f>
        <v/>
      </c>
      <c r="J694" s="156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54" t="str">
        <f>IFERROR(IF($D695="","",VLOOKUP($D695,Cadastro!$C$4:$E$7,3,FALSE)),"")</f>
        <v/>
      </c>
      <c r="G695" s="106"/>
      <c r="H695" s="154" t="str">
        <f>IFERROR(IF($G695="","",$G695*$S$702/$G$702/Cadastro!$E$33),"")</f>
        <v/>
      </c>
      <c r="I695" s="155" t="str">
        <f>IFERROR(IF($D695="","",VLOOKUP($D695,Cadastro!$C$4:$G$7,5,FALSE)),"")</f>
        <v/>
      </c>
      <c r="J695" s="156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54" t="str">
        <f>IFERROR(IF($D696="","",VLOOKUP($D696,Cadastro!$C$4:$E$7,3,FALSE)),"")</f>
        <v/>
      </c>
      <c r="G696" s="106"/>
      <c r="H696" s="154" t="str">
        <f>IFERROR(IF($G696="","",$G696*$S$702/$G$702/Cadastro!$E$33),"")</f>
        <v/>
      </c>
      <c r="I696" s="155" t="str">
        <f>IFERROR(IF($D696="","",VLOOKUP($D696,Cadastro!$C$4:$G$7,5,FALSE)),"")</f>
        <v/>
      </c>
      <c r="J696" s="156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54" t="str">
        <f>IFERROR(IF($D697="","",VLOOKUP($D697,Cadastro!$C$4:$E$7,3,FALSE)),"")</f>
        <v/>
      </c>
      <c r="G697" s="106"/>
      <c r="H697" s="154" t="str">
        <f>IFERROR(IF($G697="","",$G697*$S$702/$G$702/Cadastro!$E$33),"")</f>
        <v/>
      </c>
      <c r="I697" s="155" t="str">
        <f>IFERROR(IF($D697="","",VLOOKUP($D697,Cadastro!$C$4:$G$7,5,FALSE)),"")</f>
        <v/>
      </c>
      <c r="J697" s="156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54" t="str">
        <f>IFERROR(IF($D698="","",VLOOKUP($D698,Cadastro!$C$4:$E$7,3,FALSE)),"")</f>
        <v/>
      </c>
      <c r="G698" s="106"/>
      <c r="H698" s="154" t="str">
        <f>IFERROR(IF($G698="","",$G698*$S$702/$G$702/Cadastro!$E$33),"")</f>
        <v/>
      </c>
      <c r="I698" s="155" t="str">
        <f>IFERROR(IF($D698="","",VLOOKUP($D698,Cadastro!$C$4:$G$7,5,FALSE)),"")</f>
        <v/>
      </c>
      <c r="J698" s="156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54" t="str">
        <f>IFERROR(IF($D699="","",VLOOKUP($D699,Cadastro!$C$4:$E$7,3,FALSE)),"")</f>
        <v/>
      </c>
      <c r="G699" s="106"/>
      <c r="H699" s="154" t="str">
        <f>IFERROR(IF($G699="","",$G699*$S$702/$G$702/Cadastro!$E$33),"")</f>
        <v/>
      </c>
      <c r="I699" s="155" t="str">
        <f>IFERROR(IF($D699="","",VLOOKUP($D699,Cadastro!$C$4:$G$7,5,FALSE)),"")</f>
        <v/>
      </c>
      <c r="J699" s="156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54" t="str">
        <f>IFERROR(IF($D700="","",VLOOKUP($D700,Cadastro!$C$4:$E$7,3,FALSE)),"")</f>
        <v/>
      </c>
      <c r="G700" s="106"/>
      <c r="H700" s="154" t="str">
        <f>IFERROR(IF($G700="","",$G700*$S$702/$G$702/Cadastro!$E$33),"")</f>
        <v/>
      </c>
      <c r="I700" s="155" t="str">
        <f>IFERROR(IF($D700="","",VLOOKUP($D700,Cadastro!$C$4:$G$7,5,FALSE)),"")</f>
        <v/>
      </c>
      <c r="J700" s="156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57" t="str">
        <f>IFERROR(IF($D701="","",VLOOKUP($D701,Cadastro!$C$4:$E$7,3,FALSE)),"")</f>
        <v/>
      </c>
      <c r="G701" s="106"/>
      <c r="H701" s="157" t="str">
        <f>IFERROR(IF($G701="","",$G701*$S$702/$G$702/Cadastro!$E$33),"")</f>
        <v/>
      </c>
      <c r="I701" s="158" t="str">
        <f>IFERROR(IF($D701="","",VLOOKUP($D701,Cadastro!$C$4:$G$7,5,FALSE)),"")</f>
        <v/>
      </c>
      <c r="J701" s="159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32" t="s">
        <v>244</v>
      </c>
      <c r="B702" s="133"/>
      <c r="C702" s="133"/>
      <c r="D702" s="133"/>
      <c r="E702" s="13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34" t="s">
        <v>245</v>
      </c>
      <c r="B703" s="135"/>
      <c r="C703" s="135"/>
      <c r="D703" s="135"/>
      <c r="E703" s="135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60" t="str">
        <f>IFERROR(IF($D704="","",VLOOKUP($D704,Cadastro!$C$4:$E$7,3,FALSE)),"")</f>
        <v/>
      </c>
      <c r="G704" s="106"/>
      <c r="H704" s="160" t="str">
        <f>IFERROR(IF($G704="","",$G704*$S$716/$G$716/Cadastro!$E$33),"")</f>
        <v/>
      </c>
      <c r="I704" s="161" t="str">
        <f>IFERROR(IF($D704="","",VLOOKUP($D704,Cadastro!$C$4:$G$7,5,FALSE)),"")</f>
        <v/>
      </c>
      <c r="J704" s="162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54" t="str">
        <f>IFERROR(IF($D705="","",VLOOKUP($D705,Cadastro!$C$4:$E$7,3,FALSE)),"")</f>
        <v/>
      </c>
      <c r="G705" s="106"/>
      <c r="H705" s="154" t="str">
        <f>IFERROR(IF($G705="","",$G705*$S$716/$G$716/Cadastro!$E$33),"")</f>
        <v/>
      </c>
      <c r="I705" s="155" t="str">
        <f>IFERROR(IF($D705="","",VLOOKUP($D705,Cadastro!$C$4:$G$7,5,FALSE)),"")</f>
        <v/>
      </c>
      <c r="J705" s="156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54" t="str">
        <f>IFERROR(IF($D706="","",VLOOKUP($D706,Cadastro!$C$4:$E$7,3,FALSE)),"")</f>
        <v/>
      </c>
      <c r="G706" s="106"/>
      <c r="H706" s="154" t="str">
        <f>IFERROR(IF($G706="","",$G706*$S$716/$G$716/Cadastro!$E$33),"")</f>
        <v/>
      </c>
      <c r="I706" s="155" t="str">
        <f>IFERROR(IF($D706="","",VLOOKUP($D706,Cadastro!$C$4:$G$7,5,FALSE)),"")</f>
        <v/>
      </c>
      <c r="J706" s="156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54" t="str">
        <f>IFERROR(IF($D707="","",VLOOKUP($D707,Cadastro!$C$4:$E$7,3,FALSE)),"")</f>
        <v/>
      </c>
      <c r="G707" s="106"/>
      <c r="H707" s="154" t="str">
        <f>IFERROR(IF($G707="","",$G707*$S$716/$G$716/Cadastro!$E$33),"")</f>
        <v/>
      </c>
      <c r="I707" s="155" t="str">
        <f>IFERROR(IF($D707="","",VLOOKUP($D707,Cadastro!$C$4:$G$7,5,FALSE)),"")</f>
        <v/>
      </c>
      <c r="J707" s="156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54" t="str">
        <f>IFERROR(IF($D708="","",VLOOKUP($D708,Cadastro!$C$4:$E$7,3,FALSE)),"")</f>
        <v/>
      </c>
      <c r="G708" s="106"/>
      <c r="H708" s="154" t="str">
        <f>IFERROR(IF($G708="","",$G708*$S$716/$G$716/Cadastro!$E$33),"")</f>
        <v/>
      </c>
      <c r="I708" s="155" t="str">
        <f>IFERROR(IF($D708="","",VLOOKUP($D708,Cadastro!$C$4:$G$7,5,FALSE)),"")</f>
        <v/>
      </c>
      <c r="J708" s="156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54" t="str">
        <f>IFERROR(IF($D709="","",VLOOKUP($D709,Cadastro!$C$4:$E$7,3,FALSE)),"")</f>
        <v/>
      </c>
      <c r="G709" s="106"/>
      <c r="H709" s="154" t="str">
        <f>IFERROR(IF($G709="","",$G709*$S$716/$G$716/Cadastro!$E$33),"")</f>
        <v/>
      </c>
      <c r="I709" s="155" t="str">
        <f>IFERROR(IF($D709="","",VLOOKUP($D709,Cadastro!$C$4:$G$7,5,FALSE)),"")</f>
        <v/>
      </c>
      <c r="J709" s="156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54" t="str">
        <f>IFERROR(IF($D710="","",VLOOKUP($D710,Cadastro!$C$4:$E$7,3,FALSE)),"")</f>
        <v/>
      </c>
      <c r="G710" s="106"/>
      <c r="H710" s="154" t="str">
        <f>IFERROR(IF($G710="","",$G710*$S$716/$G$716/Cadastro!$E$33),"")</f>
        <v/>
      </c>
      <c r="I710" s="155" t="str">
        <f>IFERROR(IF($D710="","",VLOOKUP($D710,Cadastro!$C$4:$G$7,5,FALSE)),"")</f>
        <v/>
      </c>
      <c r="J710" s="156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54" t="str">
        <f>IFERROR(IF($D711="","",VLOOKUP($D711,Cadastro!$C$4:$E$7,3,FALSE)),"")</f>
        <v/>
      </c>
      <c r="G711" s="106"/>
      <c r="H711" s="154" t="str">
        <f>IFERROR(IF($G711="","",$G711*$S$716/$G$716/Cadastro!$E$33),"")</f>
        <v/>
      </c>
      <c r="I711" s="155" t="str">
        <f>IFERROR(IF($D711="","",VLOOKUP($D711,Cadastro!$C$4:$G$7,5,FALSE)),"")</f>
        <v/>
      </c>
      <c r="J711" s="156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54" t="str">
        <f>IFERROR(IF($D712="","",VLOOKUP($D712,Cadastro!$C$4:$E$7,3,FALSE)),"")</f>
        <v/>
      </c>
      <c r="G712" s="106"/>
      <c r="H712" s="154" t="str">
        <f>IFERROR(IF($G712="","",$G712*$S$716/$G$716/Cadastro!$E$33),"")</f>
        <v/>
      </c>
      <c r="I712" s="155" t="str">
        <f>IFERROR(IF($D712="","",VLOOKUP($D712,Cadastro!$C$4:$G$7,5,FALSE)),"")</f>
        <v/>
      </c>
      <c r="J712" s="156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54" t="str">
        <f>IFERROR(IF($D713="","",VLOOKUP($D713,Cadastro!$C$4:$E$7,3,FALSE)),"")</f>
        <v/>
      </c>
      <c r="G713" s="106"/>
      <c r="H713" s="154" t="str">
        <f>IFERROR(IF($G713="","",$G713*$S$716/$G$716/Cadastro!$E$33),"")</f>
        <v/>
      </c>
      <c r="I713" s="155" t="str">
        <f>IFERROR(IF($D713="","",VLOOKUP($D713,Cadastro!$C$4:$G$7,5,FALSE)),"")</f>
        <v/>
      </c>
      <c r="J713" s="156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54" t="str">
        <f>IFERROR(IF($D714="","",VLOOKUP($D714,Cadastro!$C$4:$E$7,3,FALSE)),"")</f>
        <v/>
      </c>
      <c r="G714" s="106"/>
      <c r="H714" s="154" t="str">
        <f>IFERROR(IF($G714="","",$G714*$S$716/$G$716/Cadastro!$E$33),"")</f>
        <v/>
      </c>
      <c r="I714" s="155" t="str">
        <f>IFERROR(IF($D714="","",VLOOKUP($D714,Cadastro!$C$4:$G$7,5,FALSE)),"")</f>
        <v/>
      </c>
      <c r="J714" s="156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57" t="str">
        <f>IFERROR(IF($D715="","",VLOOKUP($D715,Cadastro!$C$4:$E$7,3,FALSE)),"")</f>
        <v/>
      </c>
      <c r="G715" s="106"/>
      <c r="H715" s="157" t="str">
        <f>IFERROR(IF($G715="","",$G715*$S$716/$G$716/Cadastro!$E$33),"")</f>
        <v/>
      </c>
      <c r="I715" s="158" t="str">
        <f>IFERROR(IF($D715="","",VLOOKUP($D715,Cadastro!$C$4:$G$7,5,FALSE)),"")</f>
        <v/>
      </c>
      <c r="J715" s="159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32" t="s">
        <v>241</v>
      </c>
      <c r="B716" s="133"/>
      <c r="C716" s="133"/>
      <c r="D716" s="133"/>
      <c r="E716" s="13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60" t="str">
        <f>IFERROR(IF($D717="","",VLOOKUP($D717,Cadastro!$C$4:$E$7,3,FALSE)),"")</f>
        <v/>
      </c>
      <c r="G717" s="106"/>
      <c r="H717" s="160" t="str">
        <f>IFERROR(IF($G717="","",$G717*$S$729/$G$729/Cadastro!$E$33),"")</f>
        <v/>
      </c>
      <c r="I717" s="161" t="str">
        <f>IFERROR(IF($D717="","",VLOOKUP($D717,Cadastro!$C$4:$G$7,5,FALSE)),"")</f>
        <v/>
      </c>
      <c r="J717" s="162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54" t="str">
        <f>IFERROR(IF($D718="","",VLOOKUP($D718,Cadastro!$C$4:$E$7,3,FALSE)),"")</f>
        <v/>
      </c>
      <c r="G718" s="106"/>
      <c r="H718" s="154" t="str">
        <f>IFERROR(IF($G718="","",$G718*$S$729/$G$729/Cadastro!$E$33),"")</f>
        <v/>
      </c>
      <c r="I718" s="155" t="str">
        <f>IFERROR(IF($D718="","",VLOOKUP($D718,Cadastro!$C$4:$G$7,5,FALSE)),"")</f>
        <v/>
      </c>
      <c r="J718" s="156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54" t="str">
        <f>IFERROR(IF($D719="","",VLOOKUP($D719,Cadastro!$C$4:$E$7,3,FALSE)),"")</f>
        <v/>
      </c>
      <c r="G719" s="106"/>
      <c r="H719" s="154" t="str">
        <f>IFERROR(IF($G719="","",$G719*$S$729/$G$729/Cadastro!$E$33),"")</f>
        <v/>
      </c>
      <c r="I719" s="155" t="str">
        <f>IFERROR(IF($D719="","",VLOOKUP($D719,Cadastro!$C$4:$G$7,5,FALSE)),"")</f>
        <v/>
      </c>
      <c r="J719" s="156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54" t="str">
        <f>IFERROR(IF($D720="","",VLOOKUP($D720,Cadastro!$C$4:$E$7,3,FALSE)),"")</f>
        <v/>
      </c>
      <c r="G720" s="106"/>
      <c r="H720" s="154" t="str">
        <f>IFERROR(IF($G720="","",$G720*$S$729/$G$729/Cadastro!$E$33),"")</f>
        <v/>
      </c>
      <c r="I720" s="155" t="str">
        <f>IFERROR(IF($D720="","",VLOOKUP($D720,Cadastro!$C$4:$G$7,5,FALSE)),"")</f>
        <v/>
      </c>
      <c r="J720" s="156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54" t="str">
        <f>IFERROR(IF($D721="","",VLOOKUP($D721,Cadastro!$C$4:$E$7,3,FALSE)),"")</f>
        <v/>
      </c>
      <c r="G721" s="106"/>
      <c r="H721" s="154" t="str">
        <f>IFERROR(IF($G721="","",$G721*$S$729/$G$729/Cadastro!$E$33),"")</f>
        <v/>
      </c>
      <c r="I721" s="155" t="str">
        <f>IFERROR(IF($D721="","",VLOOKUP($D721,Cadastro!$C$4:$G$7,5,FALSE)),"")</f>
        <v/>
      </c>
      <c r="J721" s="156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54" t="str">
        <f>IFERROR(IF($D722="","",VLOOKUP($D722,Cadastro!$C$4:$E$7,3,FALSE)),"")</f>
        <v/>
      </c>
      <c r="G722" s="106"/>
      <c r="H722" s="154" t="str">
        <f>IFERROR(IF($G722="","",$G722*$S$729/$G$729/Cadastro!$E$33),"")</f>
        <v/>
      </c>
      <c r="I722" s="155" t="str">
        <f>IFERROR(IF($D722="","",VLOOKUP($D722,Cadastro!$C$4:$G$7,5,FALSE)),"")</f>
        <v/>
      </c>
      <c r="J722" s="156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54" t="str">
        <f>IFERROR(IF($D723="","",VLOOKUP($D723,Cadastro!$C$4:$E$7,3,FALSE)),"")</f>
        <v/>
      </c>
      <c r="G723" s="106"/>
      <c r="H723" s="154" t="str">
        <f>IFERROR(IF($G723="","",$G723*$S$729/$G$729/Cadastro!$E$33),"")</f>
        <v/>
      </c>
      <c r="I723" s="155" t="str">
        <f>IFERROR(IF($D723="","",VLOOKUP($D723,Cadastro!$C$4:$G$7,5,FALSE)),"")</f>
        <v/>
      </c>
      <c r="J723" s="156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54" t="str">
        <f>IFERROR(IF($D724="","",VLOOKUP($D724,Cadastro!$C$4:$E$7,3,FALSE)),"")</f>
        <v/>
      </c>
      <c r="G724" s="106"/>
      <c r="H724" s="154" t="str">
        <f>IFERROR(IF($G724="","",$G724*$S$729/$G$729/Cadastro!$E$33),"")</f>
        <v/>
      </c>
      <c r="I724" s="155" t="str">
        <f>IFERROR(IF($D724="","",VLOOKUP($D724,Cadastro!$C$4:$G$7,5,FALSE)),"")</f>
        <v/>
      </c>
      <c r="J724" s="156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54" t="str">
        <f>IFERROR(IF($D725="","",VLOOKUP($D725,Cadastro!$C$4:$E$7,3,FALSE)),"")</f>
        <v/>
      </c>
      <c r="G725" s="106"/>
      <c r="H725" s="154" t="str">
        <f>IFERROR(IF($G725="","",$G725*$S$729/$G$729/Cadastro!$E$33),"")</f>
        <v/>
      </c>
      <c r="I725" s="155" t="str">
        <f>IFERROR(IF($D725="","",VLOOKUP($D725,Cadastro!$C$4:$G$7,5,FALSE)),"")</f>
        <v/>
      </c>
      <c r="J725" s="156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54" t="str">
        <f>IFERROR(IF($D726="","",VLOOKUP($D726,Cadastro!$C$4:$E$7,3,FALSE)),"")</f>
        <v/>
      </c>
      <c r="G726" s="106"/>
      <c r="H726" s="154" t="str">
        <f>IFERROR(IF($G726="","",$G726*$S$729/$G$729/Cadastro!$E$33),"")</f>
        <v/>
      </c>
      <c r="I726" s="155" t="str">
        <f>IFERROR(IF($D726="","",VLOOKUP($D726,Cadastro!$C$4:$G$7,5,FALSE)),"")</f>
        <v/>
      </c>
      <c r="J726" s="156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54" t="str">
        <f>IFERROR(IF($D727="","",VLOOKUP($D727,Cadastro!$C$4:$E$7,3,FALSE)),"")</f>
        <v/>
      </c>
      <c r="G727" s="106"/>
      <c r="H727" s="154" t="str">
        <f>IFERROR(IF($G727="","",$G727*$S$729/$G$729/Cadastro!$E$33),"")</f>
        <v/>
      </c>
      <c r="I727" s="155" t="str">
        <f>IFERROR(IF($D727="","",VLOOKUP($D727,Cadastro!$C$4:$G$7,5,FALSE)),"")</f>
        <v/>
      </c>
      <c r="J727" s="156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57" t="str">
        <f>IFERROR(IF($D728="","",VLOOKUP($D728,Cadastro!$C$4:$E$7,3,FALSE)),"")</f>
        <v/>
      </c>
      <c r="G728" s="106"/>
      <c r="H728" s="157" t="str">
        <f>IFERROR(IF($G728="","",$G728*$S$729/$G$729/Cadastro!$E$33),"")</f>
        <v/>
      </c>
      <c r="I728" s="158" t="str">
        <f>IFERROR(IF($D728="","",VLOOKUP($D728,Cadastro!$C$4:$G$7,5,FALSE)),"")</f>
        <v/>
      </c>
      <c r="J728" s="159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32" t="s">
        <v>244</v>
      </c>
      <c r="B729" s="133"/>
      <c r="C729" s="133"/>
      <c r="D729" s="133"/>
      <c r="E729" s="13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34" t="s">
        <v>245</v>
      </c>
      <c r="B730" s="135"/>
      <c r="C730" s="135"/>
      <c r="D730" s="135"/>
      <c r="E730" s="135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60" t="str">
        <f>IFERROR(IF($D731="","",VLOOKUP($D731,Cadastro!$C$4:$E$7,3,FALSE)),"")</f>
        <v/>
      </c>
      <c r="G731" s="106"/>
      <c r="H731" s="160" t="str">
        <f>IFERROR(IF($G731="","",$G731*$S$743/$G$743/Cadastro!$E$33),"")</f>
        <v/>
      </c>
      <c r="I731" s="161" t="str">
        <f>IFERROR(IF($D731="","",VLOOKUP($D731,Cadastro!$C$4:$G$7,5,FALSE)),"")</f>
        <v/>
      </c>
      <c r="J731" s="162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54" t="str">
        <f>IFERROR(IF($D732="","",VLOOKUP($D732,Cadastro!$C$4:$E$7,3,FALSE)),"")</f>
        <v/>
      </c>
      <c r="G732" s="106"/>
      <c r="H732" s="154" t="str">
        <f>IFERROR(IF($G732="","",$G732*$S$743/$G$743/Cadastro!$E$33),"")</f>
        <v/>
      </c>
      <c r="I732" s="155" t="str">
        <f>IFERROR(IF($D732="","",VLOOKUP($D732,Cadastro!$C$4:$G$7,5,FALSE)),"")</f>
        <v/>
      </c>
      <c r="J732" s="156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54" t="str">
        <f>IFERROR(IF($D733="","",VLOOKUP($D733,Cadastro!$C$4:$E$7,3,FALSE)),"")</f>
        <v/>
      </c>
      <c r="G733" s="106"/>
      <c r="H733" s="154" t="str">
        <f>IFERROR(IF($G733="","",$G733*$S$743/$G$743/Cadastro!$E$33),"")</f>
        <v/>
      </c>
      <c r="I733" s="155" t="str">
        <f>IFERROR(IF($D733="","",VLOOKUP($D733,Cadastro!$C$4:$G$7,5,FALSE)),"")</f>
        <v/>
      </c>
      <c r="J733" s="156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54" t="str">
        <f>IFERROR(IF($D734="","",VLOOKUP($D734,Cadastro!$C$4:$E$7,3,FALSE)),"")</f>
        <v/>
      </c>
      <c r="G734" s="106"/>
      <c r="H734" s="154" t="str">
        <f>IFERROR(IF($G734="","",$G734*$S$743/$G$743/Cadastro!$E$33),"")</f>
        <v/>
      </c>
      <c r="I734" s="155" t="str">
        <f>IFERROR(IF($D734="","",VLOOKUP($D734,Cadastro!$C$4:$G$7,5,FALSE)),"")</f>
        <v/>
      </c>
      <c r="J734" s="156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54" t="str">
        <f>IFERROR(IF($D735="","",VLOOKUP($D735,Cadastro!$C$4:$E$7,3,FALSE)),"")</f>
        <v/>
      </c>
      <c r="G735" s="106"/>
      <c r="H735" s="154" t="str">
        <f>IFERROR(IF($G735="","",$G735*$S$743/$G$743/Cadastro!$E$33),"")</f>
        <v/>
      </c>
      <c r="I735" s="155" t="str">
        <f>IFERROR(IF($D735="","",VLOOKUP($D735,Cadastro!$C$4:$G$7,5,FALSE)),"")</f>
        <v/>
      </c>
      <c r="J735" s="156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54" t="str">
        <f>IFERROR(IF($D736="","",VLOOKUP($D736,Cadastro!$C$4:$E$7,3,FALSE)),"")</f>
        <v/>
      </c>
      <c r="G736" s="106"/>
      <c r="H736" s="154" t="str">
        <f>IFERROR(IF($G736="","",$G736*$S$743/$G$743/Cadastro!$E$33),"")</f>
        <v/>
      </c>
      <c r="I736" s="155" t="str">
        <f>IFERROR(IF($D736="","",VLOOKUP($D736,Cadastro!$C$4:$G$7,5,FALSE)),"")</f>
        <v/>
      </c>
      <c r="J736" s="156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54" t="str">
        <f>IFERROR(IF($D737="","",VLOOKUP($D737,Cadastro!$C$4:$E$7,3,FALSE)),"")</f>
        <v/>
      </c>
      <c r="G737" s="106"/>
      <c r="H737" s="154" t="str">
        <f>IFERROR(IF($G737="","",$G737*$S$743/$G$743/Cadastro!$E$33),"")</f>
        <v/>
      </c>
      <c r="I737" s="155" t="str">
        <f>IFERROR(IF($D737="","",VLOOKUP($D737,Cadastro!$C$4:$G$7,5,FALSE)),"")</f>
        <v/>
      </c>
      <c r="J737" s="156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54" t="str">
        <f>IFERROR(IF($D738="","",VLOOKUP($D738,Cadastro!$C$4:$E$7,3,FALSE)),"")</f>
        <v/>
      </c>
      <c r="G738" s="106"/>
      <c r="H738" s="154" t="str">
        <f>IFERROR(IF($G738="","",$G738*$S$743/$G$743/Cadastro!$E$33),"")</f>
        <v/>
      </c>
      <c r="I738" s="155" t="str">
        <f>IFERROR(IF($D738="","",VLOOKUP($D738,Cadastro!$C$4:$G$7,5,FALSE)),"")</f>
        <v/>
      </c>
      <c r="J738" s="156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54" t="str">
        <f>IFERROR(IF($D739="","",VLOOKUP($D739,Cadastro!$C$4:$E$7,3,FALSE)),"")</f>
        <v/>
      </c>
      <c r="G739" s="106"/>
      <c r="H739" s="154" t="str">
        <f>IFERROR(IF($G739="","",$G739*$S$743/$G$743/Cadastro!$E$33),"")</f>
        <v/>
      </c>
      <c r="I739" s="155" t="str">
        <f>IFERROR(IF($D739="","",VLOOKUP($D739,Cadastro!$C$4:$G$7,5,FALSE)),"")</f>
        <v/>
      </c>
      <c r="J739" s="156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54" t="str">
        <f>IFERROR(IF($D740="","",VLOOKUP($D740,Cadastro!$C$4:$E$7,3,FALSE)),"")</f>
        <v/>
      </c>
      <c r="G740" s="106"/>
      <c r="H740" s="154" t="str">
        <f>IFERROR(IF($G740="","",$G740*$S$743/$G$743/Cadastro!$E$33),"")</f>
        <v/>
      </c>
      <c r="I740" s="155" t="str">
        <f>IFERROR(IF($D740="","",VLOOKUP($D740,Cadastro!$C$4:$G$7,5,FALSE)),"")</f>
        <v/>
      </c>
      <c r="J740" s="156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54" t="str">
        <f>IFERROR(IF($D741="","",VLOOKUP($D741,Cadastro!$C$4:$E$7,3,FALSE)),"")</f>
        <v/>
      </c>
      <c r="G741" s="106"/>
      <c r="H741" s="154" t="str">
        <f>IFERROR(IF($G741="","",$G741*$S$743/$G$743/Cadastro!$E$33),"")</f>
        <v/>
      </c>
      <c r="I741" s="155" t="str">
        <f>IFERROR(IF($D741="","",VLOOKUP($D741,Cadastro!$C$4:$G$7,5,FALSE)),"")</f>
        <v/>
      </c>
      <c r="J741" s="156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57" t="str">
        <f>IFERROR(IF($D742="","",VLOOKUP($D742,Cadastro!$C$4:$E$7,3,FALSE)),"")</f>
        <v/>
      </c>
      <c r="G742" s="106"/>
      <c r="H742" s="157" t="str">
        <f>IFERROR(IF($G742="","",$G742*$S$743/$G$743/Cadastro!$E$33),"")</f>
        <v/>
      </c>
      <c r="I742" s="158" t="str">
        <f>IFERROR(IF($D742="","",VLOOKUP($D742,Cadastro!$C$4:$G$7,5,FALSE)),"")</f>
        <v/>
      </c>
      <c r="J742" s="159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32" t="s">
        <v>241</v>
      </c>
      <c r="B743" s="133"/>
      <c r="C743" s="133"/>
      <c r="D743" s="133"/>
      <c r="E743" s="13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60" t="str">
        <f>IFERROR(IF($D744="","",VLOOKUP($D744,Cadastro!$C$4:$E$7,3,FALSE)),"")</f>
        <v/>
      </c>
      <c r="G744" s="106"/>
      <c r="H744" s="160" t="str">
        <f>IFERROR(IF($G744="","",$G744*$S$756/$G$756/Cadastro!$E$33),"")</f>
        <v/>
      </c>
      <c r="I744" s="161" t="str">
        <f>IFERROR(IF($D744="","",VLOOKUP($D744,Cadastro!$C$4:$G$7,5,FALSE)),"")</f>
        <v/>
      </c>
      <c r="J744" s="162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54" t="str">
        <f>IFERROR(IF($D745="","",VLOOKUP($D745,Cadastro!$C$4:$E$7,3,FALSE)),"")</f>
        <v/>
      </c>
      <c r="G745" s="106"/>
      <c r="H745" s="154" t="str">
        <f>IFERROR(IF($G745="","",$G745*$S$756/$G$756/Cadastro!$E$33),"")</f>
        <v/>
      </c>
      <c r="I745" s="155" t="str">
        <f>IFERROR(IF($D745="","",VLOOKUP($D745,Cadastro!$C$4:$G$7,5,FALSE)),"")</f>
        <v/>
      </c>
      <c r="J745" s="156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54" t="str">
        <f>IFERROR(IF($D746="","",VLOOKUP($D746,Cadastro!$C$4:$E$7,3,FALSE)),"")</f>
        <v/>
      </c>
      <c r="G746" s="106"/>
      <c r="H746" s="154" t="str">
        <f>IFERROR(IF($G746="","",$G746*$S$756/$G$756/Cadastro!$E$33),"")</f>
        <v/>
      </c>
      <c r="I746" s="155" t="str">
        <f>IFERROR(IF($D746="","",VLOOKUP($D746,Cadastro!$C$4:$G$7,5,FALSE)),"")</f>
        <v/>
      </c>
      <c r="J746" s="156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54" t="str">
        <f>IFERROR(IF($D747="","",VLOOKUP($D747,Cadastro!$C$4:$E$7,3,FALSE)),"")</f>
        <v/>
      </c>
      <c r="G747" s="106"/>
      <c r="H747" s="154" t="str">
        <f>IFERROR(IF($G747="","",$G747*$S$756/$G$756/Cadastro!$E$33),"")</f>
        <v/>
      </c>
      <c r="I747" s="155" t="str">
        <f>IFERROR(IF($D747="","",VLOOKUP($D747,Cadastro!$C$4:$G$7,5,FALSE)),"")</f>
        <v/>
      </c>
      <c r="J747" s="156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54" t="str">
        <f>IFERROR(IF($D748="","",VLOOKUP($D748,Cadastro!$C$4:$E$7,3,FALSE)),"")</f>
        <v/>
      </c>
      <c r="G748" s="106"/>
      <c r="H748" s="154" t="str">
        <f>IFERROR(IF($G748="","",$G748*$S$756/$G$756/Cadastro!$E$33),"")</f>
        <v/>
      </c>
      <c r="I748" s="155" t="str">
        <f>IFERROR(IF($D748="","",VLOOKUP($D748,Cadastro!$C$4:$G$7,5,FALSE)),"")</f>
        <v/>
      </c>
      <c r="J748" s="156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54" t="str">
        <f>IFERROR(IF($D749="","",VLOOKUP($D749,Cadastro!$C$4:$E$7,3,FALSE)),"")</f>
        <v/>
      </c>
      <c r="G749" s="106"/>
      <c r="H749" s="154" t="str">
        <f>IFERROR(IF($G749="","",$G749*$S$756/$G$756/Cadastro!$E$33),"")</f>
        <v/>
      </c>
      <c r="I749" s="155" t="str">
        <f>IFERROR(IF($D749="","",VLOOKUP($D749,Cadastro!$C$4:$G$7,5,FALSE)),"")</f>
        <v/>
      </c>
      <c r="J749" s="156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54" t="str">
        <f>IFERROR(IF($D750="","",VLOOKUP($D750,Cadastro!$C$4:$E$7,3,FALSE)),"")</f>
        <v/>
      </c>
      <c r="G750" s="106"/>
      <c r="H750" s="154" t="str">
        <f>IFERROR(IF($G750="","",$G750*$S$756/$G$756/Cadastro!$E$33),"")</f>
        <v/>
      </c>
      <c r="I750" s="155" t="str">
        <f>IFERROR(IF($D750="","",VLOOKUP($D750,Cadastro!$C$4:$G$7,5,FALSE)),"")</f>
        <v/>
      </c>
      <c r="J750" s="156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54" t="str">
        <f>IFERROR(IF($D751="","",VLOOKUP($D751,Cadastro!$C$4:$E$7,3,FALSE)),"")</f>
        <v/>
      </c>
      <c r="G751" s="106"/>
      <c r="H751" s="154" t="str">
        <f>IFERROR(IF($G751="","",$G751*$S$756/$G$756/Cadastro!$E$33),"")</f>
        <v/>
      </c>
      <c r="I751" s="155" t="str">
        <f>IFERROR(IF($D751="","",VLOOKUP($D751,Cadastro!$C$4:$G$7,5,FALSE)),"")</f>
        <v/>
      </c>
      <c r="J751" s="156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54" t="str">
        <f>IFERROR(IF($D752="","",VLOOKUP($D752,Cadastro!$C$4:$E$7,3,FALSE)),"")</f>
        <v/>
      </c>
      <c r="G752" s="106"/>
      <c r="H752" s="154" t="str">
        <f>IFERROR(IF($G752="","",$G752*$S$756/$G$756/Cadastro!$E$33),"")</f>
        <v/>
      </c>
      <c r="I752" s="155" t="str">
        <f>IFERROR(IF($D752="","",VLOOKUP($D752,Cadastro!$C$4:$G$7,5,FALSE)),"")</f>
        <v/>
      </c>
      <c r="J752" s="156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54" t="str">
        <f>IFERROR(IF($D753="","",VLOOKUP($D753,Cadastro!$C$4:$E$7,3,FALSE)),"")</f>
        <v/>
      </c>
      <c r="G753" s="106"/>
      <c r="H753" s="154" t="str">
        <f>IFERROR(IF($G753="","",$G753*$S$756/$G$756/Cadastro!$E$33),"")</f>
        <v/>
      </c>
      <c r="I753" s="155" t="str">
        <f>IFERROR(IF($D753="","",VLOOKUP($D753,Cadastro!$C$4:$G$7,5,FALSE)),"")</f>
        <v/>
      </c>
      <c r="J753" s="156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54" t="str">
        <f>IFERROR(IF($D754="","",VLOOKUP($D754,Cadastro!$C$4:$E$7,3,FALSE)),"")</f>
        <v/>
      </c>
      <c r="G754" s="106"/>
      <c r="H754" s="154" t="str">
        <f>IFERROR(IF($G754="","",$G754*$S$756/$G$756/Cadastro!$E$33),"")</f>
        <v/>
      </c>
      <c r="I754" s="155" t="str">
        <f>IFERROR(IF($D754="","",VLOOKUP($D754,Cadastro!$C$4:$G$7,5,FALSE)),"")</f>
        <v/>
      </c>
      <c r="J754" s="156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57" t="str">
        <f>IFERROR(IF($D755="","",VLOOKUP($D755,Cadastro!$C$4:$E$7,3,FALSE)),"")</f>
        <v/>
      </c>
      <c r="G755" s="106"/>
      <c r="H755" s="157" t="str">
        <f>IFERROR(IF($G755="","",$G755*$S$756/$G$756/Cadastro!$E$33),"")</f>
        <v/>
      </c>
      <c r="I755" s="158" t="str">
        <f>IFERROR(IF($D755="","",VLOOKUP($D755,Cadastro!$C$4:$G$7,5,FALSE)),"")</f>
        <v/>
      </c>
      <c r="J755" s="159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32" t="s">
        <v>244</v>
      </c>
      <c r="B756" s="133"/>
      <c r="C756" s="133"/>
      <c r="D756" s="133"/>
      <c r="E756" s="13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34" t="s">
        <v>245</v>
      </c>
      <c r="B757" s="135"/>
      <c r="C757" s="135"/>
      <c r="D757" s="135"/>
      <c r="E757" s="135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60" t="str">
        <f>IFERROR(IF($D758="","",VLOOKUP($D758,Cadastro!$C$4:$E$7,3,FALSE)),"")</f>
        <v/>
      </c>
      <c r="G758" s="106"/>
      <c r="H758" s="160" t="str">
        <f>IFERROR(IF($G758="","",$G758*$S$770/$G$770/Cadastro!$E$33),"")</f>
        <v/>
      </c>
      <c r="I758" s="161" t="str">
        <f>IFERROR(IF($D758="","",VLOOKUP($D758,Cadastro!$C$4:$G$7,5,FALSE)),"")</f>
        <v/>
      </c>
      <c r="J758" s="162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54" t="str">
        <f>IFERROR(IF($D759="","",VLOOKUP($D759,Cadastro!$C$4:$E$7,3,FALSE)),"")</f>
        <v/>
      </c>
      <c r="G759" s="106"/>
      <c r="H759" s="154" t="str">
        <f>IFERROR(IF($G759="","",$G759*$S$770/$G$770/Cadastro!$E$33),"")</f>
        <v/>
      </c>
      <c r="I759" s="155" t="str">
        <f>IFERROR(IF($D759="","",VLOOKUP($D759,Cadastro!$C$4:$G$7,5,FALSE)),"")</f>
        <v/>
      </c>
      <c r="J759" s="156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54" t="str">
        <f>IFERROR(IF($D760="","",VLOOKUP($D760,Cadastro!$C$4:$E$7,3,FALSE)),"")</f>
        <v/>
      </c>
      <c r="G760" s="106"/>
      <c r="H760" s="154" t="str">
        <f>IFERROR(IF($G760="","",$G760*$S$770/$G$770/Cadastro!$E$33),"")</f>
        <v/>
      </c>
      <c r="I760" s="155" t="str">
        <f>IFERROR(IF($D760="","",VLOOKUP($D760,Cadastro!$C$4:$G$7,5,FALSE)),"")</f>
        <v/>
      </c>
      <c r="J760" s="156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54" t="str">
        <f>IFERROR(IF($D761="","",VLOOKUP($D761,Cadastro!$C$4:$E$7,3,FALSE)),"")</f>
        <v/>
      </c>
      <c r="G761" s="106"/>
      <c r="H761" s="154" t="str">
        <f>IFERROR(IF($G761="","",$G761*$S$770/$G$770/Cadastro!$E$33),"")</f>
        <v/>
      </c>
      <c r="I761" s="155" t="str">
        <f>IFERROR(IF($D761="","",VLOOKUP($D761,Cadastro!$C$4:$G$7,5,FALSE)),"")</f>
        <v/>
      </c>
      <c r="J761" s="156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54" t="str">
        <f>IFERROR(IF($D762="","",VLOOKUP($D762,Cadastro!$C$4:$E$7,3,FALSE)),"")</f>
        <v/>
      </c>
      <c r="G762" s="106"/>
      <c r="H762" s="154" t="str">
        <f>IFERROR(IF($G762="","",$G762*$S$770/$G$770/Cadastro!$E$33),"")</f>
        <v/>
      </c>
      <c r="I762" s="155" t="str">
        <f>IFERROR(IF($D762="","",VLOOKUP($D762,Cadastro!$C$4:$G$7,5,FALSE)),"")</f>
        <v/>
      </c>
      <c r="J762" s="156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54" t="str">
        <f>IFERROR(IF($D763="","",VLOOKUP($D763,Cadastro!$C$4:$E$7,3,FALSE)),"")</f>
        <v/>
      </c>
      <c r="G763" s="106"/>
      <c r="H763" s="154" t="str">
        <f>IFERROR(IF($G763="","",$G763*$S$770/$G$770/Cadastro!$E$33),"")</f>
        <v/>
      </c>
      <c r="I763" s="155" t="str">
        <f>IFERROR(IF($D763="","",VLOOKUP($D763,Cadastro!$C$4:$G$7,5,FALSE)),"")</f>
        <v/>
      </c>
      <c r="J763" s="156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54" t="str">
        <f>IFERROR(IF($D764="","",VLOOKUP($D764,Cadastro!$C$4:$E$7,3,FALSE)),"")</f>
        <v/>
      </c>
      <c r="G764" s="106"/>
      <c r="H764" s="154" t="str">
        <f>IFERROR(IF($G764="","",$G764*$S$770/$G$770/Cadastro!$E$33),"")</f>
        <v/>
      </c>
      <c r="I764" s="155" t="str">
        <f>IFERROR(IF($D764="","",VLOOKUP($D764,Cadastro!$C$4:$G$7,5,FALSE)),"")</f>
        <v/>
      </c>
      <c r="J764" s="156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54" t="str">
        <f>IFERROR(IF($D765="","",VLOOKUP($D765,Cadastro!$C$4:$E$7,3,FALSE)),"")</f>
        <v/>
      </c>
      <c r="G765" s="106"/>
      <c r="H765" s="154" t="str">
        <f>IFERROR(IF($G765="","",$G765*$S$770/$G$770/Cadastro!$E$33),"")</f>
        <v/>
      </c>
      <c r="I765" s="155" t="str">
        <f>IFERROR(IF($D765="","",VLOOKUP($D765,Cadastro!$C$4:$G$7,5,FALSE)),"")</f>
        <v/>
      </c>
      <c r="J765" s="156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54" t="str">
        <f>IFERROR(IF($D766="","",VLOOKUP($D766,Cadastro!$C$4:$E$7,3,FALSE)),"")</f>
        <v/>
      </c>
      <c r="G766" s="106"/>
      <c r="H766" s="154" t="str">
        <f>IFERROR(IF($G766="","",$G766*$S$770/$G$770/Cadastro!$E$33),"")</f>
        <v/>
      </c>
      <c r="I766" s="155" t="str">
        <f>IFERROR(IF($D766="","",VLOOKUP($D766,Cadastro!$C$4:$G$7,5,FALSE)),"")</f>
        <v/>
      </c>
      <c r="J766" s="156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54" t="str">
        <f>IFERROR(IF($D767="","",VLOOKUP($D767,Cadastro!$C$4:$E$7,3,FALSE)),"")</f>
        <v/>
      </c>
      <c r="G767" s="106"/>
      <c r="H767" s="154" t="str">
        <f>IFERROR(IF($G767="","",$G767*$S$770/$G$770/Cadastro!$E$33),"")</f>
        <v/>
      </c>
      <c r="I767" s="155" t="str">
        <f>IFERROR(IF($D767="","",VLOOKUP($D767,Cadastro!$C$4:$G$7,5,FALSE)),"")</f>
        <v/>
      </c>
      <c r="J767" s="156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54" t="str">
        <f>IFERROR(IF($D768="","",VLOOKUP($D768,Cadastro!$C$4:$E$7,3,FALSE)),"")</f>
        <v/>
      </c>
      <c r="G768" s="106"/>
      <c r="H768" s="154" t="str">
        <f>IFERROR(IF($G768="","",$G768*$S$770/$G$770/Cadastro!$E$33),"")</f>
        <v/>
      </c>
      <c r="I768" s="155" t="str">
        <f>IFERROR(IF($D768="","",VLOOKUP($D768,Cadastro!$C$4:$G$7,5,FALSE)),"")</f>
        <v/>
      </c>
      <c r="J768" s="156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57" t="str">
        <f>IFERROR(IF($D769="","",VLOOKUP($D769,Cadastro!$C$4:$E$7,3,FALSE)),"")</f>
        <v/>
      </c>
      <c r="G769" s="106"/>
      <c r="H769" s="157" t="str">
        <f>IFERROR(IF($G769="","",$G769*$S$770/$G$770/Cadastro!$E$33),"")</f>
        <v/>
      </c>
      <c r="I769" s="158" t="str">
        <f>IFERROR(IF($D769="","",VLOOKUP($D769,Cadastro!$C$4:$G$7,5,FALSE)),"")</f>
        <v/>
      </c>
      <c r="J769" s="159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32" t="s">
        <v>241</v>
      </c>
      <c r="B770" s="133"/>
      <c r="C770" s="133"/>
      <c r="D770" s="133"/>
      <c r="E770" s="13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60" t="str">
        <f>IFERROR(IF($D771="","",VLOOKUP($D771,Cadastro!$C$4:$E$7,3,FALSE)),"")</f>
        <v/>
      </c>
      <c r="G771" s="106"/>
      <c r="H771" s="160" t="str">
        <f>IFERROR(IF($G771="","",$G771*$S$783/$G$783/Cadastro!$E$33),"")</f>
        <v/>
      </c>
      <c r="I771" s="161" t="str">
        <f>IFERROR(IF($D771="","",VLOOKUP($D771,Cadastro!$C$4:$G$7,5,FALSE)),"")</f>
        <v/>
      </c>
      <c r="J771" s="162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54" t="str">
        <f>IFERROR(IF($D772="","",VLOOKUP($D772,Cadastro!$C$4:$E$7,3,FALSE)),"")</f>
        <v/>
      </c>
      <c r="G772" s="106"/>
      <c r="H772" s="154" t="str">
        <f>IFERROR(IF($G772="","",$G772*$S$783/$G$783/Cadastro!$E$33),"")</f>
        <v/>
      </c>
      <c r="I772" s="155" t="str">
        <f>IFERROR(IF($D772="","",VLOOKUP($D772,Cadastro!$C$4:$G$7,5,FALSE)),"")</f>
        <v/>
      </c>
      <c r="J772" s="156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54" t="str">
        <f>IFERROR(IF($D773="","",VLOOKUP($D773,Cadastro!$C$4:$E$7,3,FALSE)),"")</f>
        <v/>
      </c>
      <c r="G773" s="106"/>
      <c r="H773" s="154" t="str">
        <f>IFERROR(IF($G773="","",$G773*$S$783/$G$783/Cadastro!$E$33),"")</f>
        <v/>
      </c>
      <c r="I773" s="155" t="str">
        <f>IFERROR(IF($D773="","",VLOOKUP($D773,Cadastro!$C$4:$G$7,5,FALSE)),"")</f>
        <v/>
      </c>
      <c r="J773" s="156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54" t="str">
        <f>IFERROR(IF($D774="","",VLOOKUP($D774,Cadastro!$C$4:$E$7,3,FALSE)),"")</f>
        <v/>
      </c>
      <c r="G774" s="106"/>
      <c r="H774" s="154" t="str">
        <f>IFERROR(IF($G774="","",$G774*$S$783/$G$783/Cadastro!$E$33),"")</f>
        <v/>
      </c>
      <c r="I774" s="155" t="str">
        <f>IFERROR(IF($D774="","",VLOOKUP($D774,Cadastro!$C$4:$G$7,5,FALSE)),"")</f>
        <v/>
      </c>
      <c r="J774" s="156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54" t="str">
        <f>IFERROR(IF($D775="","",VLOOKUP($D775,Cadastro!$C$4:$E$7,3,FALSE)),"")</f>
        <v/>
      </c>
      <c r="G775" s="106"/>
      <c r="H775" s="154" t="str">
        <f>IFERROR(IF($G775="","",$G775*$S$783/$G$783/Cadastro!$E$33),"")</f>
        <v/>
      </c>
      <c r="I775" s="155" t="str">
        <f>IFERROR(IF($D775="","",VLOOKUP($D775,Cadastro!$C$4:$G$7,5,FALSE)),"")</f>
        <v/>
      </c>
      <c r="J775" s="156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54" t="str">
        <f>IFERROR(IF($D776="","",VLOOKUP($D776,Cadastro!$C$4:$E$7,3,FALSE)),"")</f>
        <v/>
      </c>
      <c r="G776" s="106"/>
      <c r="H776" s="154" t="str">
        <f>IFERROR(IF($G776="","",$G776*$S$783/$G$783/Cadastro!$E$33),"")</f>
        <v/>
      </c>
      <c r="I776" s="155" t="str">
        <f>IFERROR(IF($D776="","",VLOOKUP($D776,Cadastro!$C$4:$G$7,5,FALSE)),"")</f>
        <v/>
      </c>
      <c r="J776" s="156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54" t="str">
        <f>IFERROR(IF($D777="","",VLOOKUP($D777,Cadastro!$C$4:$E$7,3,FALSE)),"")</f>
        <v/>
      </c>
      <c r="G777" s="106"/>
      <c r="H777" s="154" t="str">
        <f>IFERROR(IF($G777="","",$G777*$S$783/$G$783/Cadastro!$E$33),"")</f>
        <v/>
      </c>
      <c r="I777" s="155" t="str">
        <f>IFERROR(IF($D777="","",VLOOKUP($D777,Cadastro!$C$4:$G$7,5,FALSE)),"")</f>
        <v/>
      </c>
      <c r="J777" s="156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54" t="str">
        <f>IFERROR(IF($D778="","",VLOOKUP($D778,Cadastro!$C$4:$E$7,3,FALSE)),"")</f>
        <v/>
      </c>
      <c r="G778" s="106"/>
      <c r="H778" s="154" t="str">
        <f>IFERROR(IF($G778="","",$G778*$S$783/$G$783/Cadastro!$E$33),"")</f>
        <v/>
      </c>
      <c r="I778" s="155" t="str">
        <f>IFERROR(IF($D778="","",VLOOKUP($D778,Cadastro!$C$4:$G$7,5,FALSE)),"")</f>
        <v/>
      </c>
      <c r="J778" s="156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54" t="str">
        <f>IFERROR(IF($D779="","",VLOOKUP($D779,Cadastro!$C$4:$E$7,3,FALSE)),"")</f>
        <v/>
      </c>
      <c r="G779" s="106"/>
      <c r="H779" s="154" t="str">
        <f>IFERROR(IF($G779="","",$G779*$S$783/$G$783/Cadastro!$E$33),"")</f>
        <v/>
      </c>
      <c r="I779" s="155" t="str">
        <f>IFERROR(IF($D779="","",VLOOKUP($D779,Cadastro!$C$4:$G$7,5,FALSE)),"")</f>
        <v/>
      </c>
      <c r="J779" s="156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54" t="str">
        <f>IFERROR(IF($D780="","",VLOOKUP($D780,Cadastro!$C$4:$E$7,3,FALSE)),"")</f>
        <v/>
      </c>
      <c r="G780" s="106"/>
      <c r="H780" s="154" t="str">
        <f>IFERROR(IF($G780="","",$G780*$S$783/$G$783/Cadastro!$E$33),"")</f>
        <v/>
      </c>
      <c r="I780" s="155" t="str">
        <f>IFERROR(IF($D780="","",VLOOKUP($D780,Cadastro!$C$4:$G$7,5,FALSE)),"")</f>
        <v/>
      </c>
      <c r="J780" s="156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54" t="str">
        <f>IFERROR(IF($D781="","",VLOOKUP($D781,Cadastro!$C$4:$E$7,3,FALSE)),"")</f>
        <v/>
      </c>
      <c r="G781" s="106"/>
      <c r="H781" s="154" t="str">
        <f>IFERROR(IF($G781="","",$G781*$S$783/$G$783/Cadastro!$E$33),"")</f>
        <v/>
      </c>
      <c r="I781" s="155" t="str">
        <f>IFERROR(IF($D781="","",VLOOKUP($D781,Cadastro!$C$4:$G$7,5,FALSE)),"")</f>
        <v/>
      </c>
      <c r="J781" s="156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57" t="str">
        <f>IFERROR(IF($D782="","",VLOOKUP($D782,Cadastro!$C$4:$E$7,3,FALSE)),"")</f>
        <v/>
      </c>
      <c r="G782" s="106"/>
      <c r="H782" s="157" t="str">
        <f>IFERROR(IF($G782="","",$G782*$S$783/$G$783/Cadastro!$E$33),"")</f>
        <v/>
      </c>
      <c r="I782" s="158" t="str">
        <f>IFERROR(IF($D782="","",VLOOKUP($D782,Cadastro!$C$4:$G$7,5,FALSE)),"")</f>
        <v/>
      </c>
      <c r="J782" s="159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32" t="s">
        <v>244</v>
      </c>
      <c r="B783" s="133"/>
      <c r="C783" s="133"/>
      <c r="D783" s="133"/>
      <c r="E783" s="13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34" t="s">
        <v>245</v>
      </c>
      <c r="B784" s="135"/>
      <c r="C784" s="135"/>
      <c r="D784" s="135"/>
      <c r="E784" s="135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60" t="str">
        <f>IFERROR(IF($D785="","",VLOOKUP($D785,Cadastro!$C$4:$E$7,3,FALSE)),"")</f>
        <v/>
      </c>
      <c r="G785" s="106"/>
      <c r="H785" s="160" t="str">
        <f>IFERROR(IF($G785="","",$G785*$S$797/$G$797/Cadastro!$E$33),"")</f>
        <v/>
      </c>
      <c r="I785" s="161" t="str">
        <f>IFERROR(IF($D785="","",VLOOKUP($D785,Cadastro!$C$4:$G$7,5,FALSE)),"")</f>
        <v/>
      </c>
      <c r="J785" s="162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54" t="str">
        <f>IFERROR(IF($D786="","",VLOOKUP($D786,Cadastro!$C$4:$E$7,3,FALSE)),"")</f>
        <v/>
      </c>
      <c r="G786" s="106"/>
      <c r="H786" s="154" t="str">
        <f>IFERROR(IF($G786="","",$G786*$S$797/$G$797/Cadastro!$E$33),"")</f>
        <v/>
      </c>
      <c r="I786" s="155" t="str">
        <f>IFERROR(IF($D786="","",VLOOKUP($D786,Cadastro!$C$4:$G$7,5,FALSE)),"")</f>
        <v/>
      </c>
      <c r="J786" s="156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54" t="str">
        <f>IFERROR(IF($D787="","",VLOOKUP($D787,Cadastro!$C$4:$E$7,3,FALSE)),"")</f>
        <v/>
      </c>
      <c r="G787" s="106"/>
      <c r="H787" s="154" t="str">
        <f>IFERROR(IF($G787="","",$G787*$S$797/$G$797/Cadastro!$E$33),"")</f>
        <v/>
      </c>
      <c r="I787" s="155" t="str">
        <f>IFERROR(IF($D787="","",VLOOKUP($D787,Cadastro!$C$4:$G$7,5,FALSE)),"")</f>
        <v/>
      </c>
      <c r="J787" s="156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54" t="str">
        <f>IFERROR(IF($D788="","",VLOOKUP($D788,Cadastro!$C$4:$E$7,3,FALSE)),"")</f>
        <v/>
      </c>
      <c r="G788" s="106"/>
      <c r="H788" s="154" t="str">
        <f>IFERROR(IF($G788="","",$G788*$S$797/$G$797/Cadastro!$E$33),"")</f>
        <v/>
      </c>
      <c r="I788" s="155" t="str">
        <f>IFERROR(IF($D788="","",VLOOKUP($D788,Cadastro!$C$4:$G$7,5,FALSE)),"")</f>
        <v/>
      </c>
      <c r="J788" s="156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54" t="str">
        <f>IFERROR(IF($D789="","",VLOOKUP($D789,Cadastro!$C$4:$E$7,3,FALSE)),"")</f>
        <v/>
      </c>
      <c r="G789" s="106"/>
      <c r="H789" s="154" t="str">
        <f>IFERROR(IF($G789="","",$G789*$S$797/$G$797/Cadastro!$E$33),"")</f>
        <v/>
      </c>
      <c r="I789" s="155" t="str">
        <f>IFERROR(IF($D789="","",VLOOKUP($D789,Cadastro!$C$4:$G$7,5,FALSE)),"")</f>
        <v/>
      </c>
      <c r="J789" s="156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54" t="str">
        <f>IFERROR(IF($D790="","",VLOOKUP($D790,Cadastro!$C$4:$E$7,3,FALSE)),"")</f>
        <v/>
      </c>
      <c r="G790" s="106"/>
      <c r="H790" s="154" t="str">
        <f>IFERROR(IF($G790="","",$G790*$S$797/$G$797/Cadastro!$E$33),"")</f>
        <v/>
      </c>
      <c r="I790" s="155" t="str">
        <f>IFERROR(IF($D790="","",VLOOKUP($D790,Cadastro!$C$4:$G$7,5,FALSE)),"")</f>
        <v/>
      </c>
      <c r="J790" s="156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54" t="str">
        <f>IFERROR(IF($D791="","",VLOOKUP($D791,Cadastro!$C$4:$E$7,3,FALSE)),"")</f>
        <v/>
      </c>
      <c r="G791" s="106"/>
      <c r="H791" s="154" t="str">
        <f>IFERROR(IF($G791="","",$G791*$S$797/$G$797/Cadastro!$E$33),"")</f>
        <v/>
      </c>
      <c r="I791" s="155" t="str">
        <f>IFERROR(IF($D791="","",VLOOKUP($D791,Cadastro!$C$4:$G$7,5,FALSE)),"")</f>
        <v/>
      </c>
      <c r="J791" s="156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54" t="str">
        <f>IFERROR(IF($D792="","",VLOOKUP($D792,Cadastro!$C$4:$E$7,3,FALSE)),"")</f>
        <v/>
      </c>
      <c r="G792" s="106"/>
      <c r="H792" s="154" t="str">
        <f>IFERROR(IF($G792="","",$G792*$S$797/$G$797/Cadastro!$E$33),"")</f>
        <v/>
      </c>
      <c r="I792" s="155" t="str">
        <f>IFERROR(IF($D792="","",VLOOKUP($D792,Cadastro!$C$4:$G$7,5,FALSE)),"")</f>
        <v/>
      </c>
      <c r="J792" s="156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54" t="str">
        <f>IFERROR(IF($D793="","",VLOOKUP($D793,Cadastro!$C$4:$E$7,3,FALSE)),"")</f>
        <v/>
      </c>
      <c r="G793" s="106"/>
      <c r="H793" s="154" t="str">
        <f>IFERROR(IF($G793="","",$G793*$S$797/$G$797/Cadastro!$E$33),"")</f>
        <v/>
      </c>
      <c r="I793" s="155" t="str">
        <f>IFERROR(IF($D793="","",VLOOKUP($D793,Cadastro!$C$4:$G$7,5,FALSE)),"")</f>
        <v/>
      </c>
      <c r="J793" s="156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54" t="str">
        <f>IFERROR(IF($D794="","",VLOOKUP($D794,Cadastro!$C$4:$E$7,3,FALSE)),"")</f>
        <v/>
      </c>
      <c r="G794" s="106"/>
      <c r="H794" s="154" t="str">
        <f>IFERROR(IF($G794="","",$G794*$S$797/$G$797/Cadastro!$E$33),"")</f>
        <v/>
      </c>
      <c r="I794" s="155" t="str">
        <f>IFERROR(IF($D794="","",VLOOKUP($D794,Cadastro!$C$4:$G$7,5,FALSE)),"")</f>
        <v/>
      </c>
      <c r="J794" s="156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54" t="str">
        <f>IFERROR(IF($D795="","",VLOOKUP($D795,Cadastro!$C$4:$E$7,3,FALSE)),"")</f>
        <v/>
      </c>
      <c r="G795" s="106"/>
      <c r="H795" s="154" t="str">
        <f>IFERROR(IF($G795="","",$G795*$S$797/$G$797/Cadastro!$E$33),"")</f>
        <v/>
      </c>
      <c r="I795" s="155" t="str">
        <f>IFERROR(IF($D795="","",VLOOKUP($D795,Cadastro!$C$4:$G$7,5,FALSE)),"")</f>
        <v/>
      </c>
      <c r="J795" s="156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57" t="str">
        <f>IFERROR(IF($D796="","",VLOOKUP($D796,Cadastro!$C$4:$E$7,3,FALSE)),"")</f>
        <v/>
      </c>
      <c r="G796" s="106"/>
      <c r="H796" s="157" t="str">
        <f>IFERROR(IF($G796="","",$G796*$S$797/$G$797/Cadastro!$E$33),"")</f>
        <v/>
      </c>
      <c r="I796" s="158" t="str">
        <f>IFERROR(IF($D796="","",VLOOKUP($D796,Cadastro!$C$4:$G$7,5,FALSE)),"")</f>
        <v/>
      </c>
      <c r="J796" s="159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32" t="s">
        <v>241</v>
      </c>
      <c r="B797" s="133"/>
      <c r="C797" s="133"/>
      <c r="D797" s="133"/>
      <c r="E797" s="13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60" t="str">
        <f>IFERROR(IF($D798="","",VLOOKUP($D798,Cadastro!$C$4:$E$7,3,FALSE)),"")</f>
        <v/>
      </c>
      <c r="G798" s="106"/>
      <c r="H798" s="160" t="str">
        <f>IFERROR(IF($G798="","",$G798*$S$810/$G$810/Cadastro!$E$33),"")</f>
        <v/>
      </c>
      <c r="I798" s="161" t="str">
        <f>IFERROR(IF($D798="","",VLOOKUP($D798,Cadastro!$C$4:$G$7,5,FALSE)),"")</f>
        <v/>
      </c>
      <c r="J798" s="162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54" t="str">
        <f>IFERROR(IF($D799="","",VLOOKUP($D799,Cadastro!$C$4:$E$7,3,FALSE)),"")</f>
        <v/>
      </c>
      <c r="G799" s="106"/>
      <c r="H799" s="154" t="str">
        <f>IFERROR(IF($G799="","",$G799*$S$810/$G$810/Cadastro!$E$33),"")</f>
        <v/>
      </c>
      <c r="I799" s="155" t="str">
        <f>IFERROR(IF($D799="","",VLOOKUP($D799,Cadastro!$C$4:$G$7,5,FALSE)),"")</f>
        <v/>
      </c>
      <c r="J799" s="156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54" t="str">
        <f>IFERROR(IF($D800="","",VLOOKUP($D800,Cadastro!$C$4:$E$7,3,FALSE)),"")</f>
        <v/>
      </c>
      <c r="G800" s="106"/>
      <c r="H800" s="154" t="str">
        <f>IFERROR(IF($G800="","",$G800*$S$810/$G$810/Cadastro!$E$33),"")</f>
        <v/>
      </c>
      <c r="I800" s="155" t="str">
        <f>IFERROR(IF($D800="","",VLOOKUP($D800,Cadastro!$C$4:$G$7,5,FALSE)),"")</f>
        <v/>
      </c>
      <c r="J800" s="156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54" t="str">
        <f>IFERROR(IF($D801="","",VLOOKUP($D801,Cadastro!$C$4:$E$7,3,FALSE)),"")</f>
        <v/>
      </c>
      <c r="G801" s="106"/>
      <c r="H801" s="154" t="str">
        <f>IFERROR(IF($G801="","",$G801*$S$810/$G$810/Cadastro!$E$33),"")</f>
        <v/>
      </c>
      <c r="I801" s="155" t="str">
        <f>IFERROR(IF($D801="","",VLOOKUP($D801,Cadastro!$C$4:$G$7,5,FALSE)),"")</f>
        <v/>
      </c>
      <c r="J801" s="156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54" t="str">
        <f>IFERROR(IF($D802="","",VLOOKUP($D802,Cadastro!$C$4:$E$7,3,FALSE)),"")</f>
        <v/>
      </c>
      <c r="G802" s="106"/>
      <c r="H802" s="154" t="str">
        <f>IFERROR(IF($G802="","",$G802*$S$810/$G$810/Cadastro!$E$33),"")</f>
        <v/>
      </c>
      <c r="I802" s="155" t="str">
        <f>IFERROR(IF($D802="","",VLOOKUP($D802,Cadastro!$C$4:$G$7,5,FALSE)),"")</f>
        <v/>
      </c>
      <c r="J802" s="156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54" t="str">
        <f>IFERROR(IF($D803="","",VLOOKUP($D803,Cadastro!$C$4:$E$7,3,FALSE)),"")</f>
        <v/>
      </c>
      <c r="G803" s="106"/>
      <c r="H803" s="154" t="str">
        <f>IFERROR(IF($G803="","",$G803*$S$810/$G$810/Cadastro!$E$33),"")</f>
        <v/>
      </c>
      <c r="I803" s="155" t="str">
        <f>IFERROR(IF($D803="","",VLOOKUP($D803,Cadastro!$C$4:$G$7,5,FALSE)),"")</f>
        <v/>
      </c>
      <c r="J803" s="156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54" t="str">
        <f>IFERROR(IF($D804="","",VLOOKUP($D804,Cadastro!$C$4:$E$7,3,FALSE)),"")</f>
        <v/>
      </c>
      <c r="G804" s="106"/>
      <c r="H804" s="154" t="str">
        <f>IFERROR(IF($G804="","",$G804*$S$810/$G$810/Cadastro!$E$33),"")</f>
        <v/>
      </c>
      <c r="I804" s="155" t="str">
        <f>IFERROR(IF($D804="","",VLOOKUP($D804,Cadastro!$C$4:$G$7,5,FALSE)),"")</f>
        <v/>
      </c>
      <c r="J804" s="156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54" t="str">
        <f>IFERROR(IF($D805="","",VLOOKUP($D805,Cadastro!$C$4:$E$7,3,FALSE)),"")</f>
        <v/>
      </c>
      <c r="G805" s="106"/>
      <c r="H805" s="154" t="str">
        <f>IFERROR(IF($G805="","",$G805*$S$810/$G$810/Cadastro!$E$33),"")</f>
        <v/>
      </c>
      <c r="I805" s="155" t="str">
        <f>IFERROR(IF($D805="","",VLOOKUP($D805,Cadastro!$C$4:$G$7,5,FALSE)),"")</f>
        <v/>
      </c>
      <c r="J805" s="156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54" t="str">
        <f>IFERROR(IF($D806="","",VLOOKUP($D806,Cadastro!$C$4:$E$7,3,FALSE)),"")</f>
        <v/>
      </c>
      <c r="G806" s="106"/>
      <c r="H806" s="154" t="str">
        <f>IFERROR(IF($G806="","",$G806*$S$810/$G$810/Cadastro!$E$33),"")</f>
        <v/>
      </c>
      <c r="I806" s="155" t="str">
        <f>IFERROR(IF($D806="","",VLOOKUP($D806,Cadastro!$C$4:$G$7,5,FALSE)),"")</f>
        <v/>
      </c>
      <c r="J806" s="156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54" t="str">
        <f>IFERROR(IF($D807="","",VLOOKUP($D807,Cadastro!$C$4:$E$7,3,FALSE)),"")</f>
        <v/>
      </c>
      <c r="G807" s="106"/>
      <c r="H807" s="154" t="str">
        <f>IFERROR(IF($G807="","",$G807*$S$810/$G$810/Cadastro!$E$33),"")</f>
        <v/>
      </c>
      <c r="I807" s="155" t="str">
        <f>IFERROR(IF($D807="","",VLOOKUP($D807,Cadastro!$C$4:$G$7,5,FALSE)),"")</f>
        <v/>
      </c>
      <c r="J807" s="156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54" t="str">
        <f>IFERROR(IF($D808="","",VLOOKUP($D808,Cadastro!$C$4:$E$7,3,FALSE)),"")</f>
        <v/>
      </c>
      <c r="G808" s="106"/>
      <c r="H808" s="154" t="str">
        <f>IFERROR(IF($G808="","",$G808*$S$810/$G$810/Cadastro!$E$33),"")</f>
        <v/>
      </c>
      <c r="I808" s="155" t="str">
        <f>IFERROR(IF($D808="","",VLOOKUP($D808,Cadastro!$C$4:$G$7,5,FALSE)),"")</f>
        <v/>
      </c>
      <c r="J808" s="156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57" t="str">
        <f>IFERROR(IF($D809="","",VLOOKUP($D809,Cadastro!$C$4:$E$7,3,FALSE)),"")</f>
        <v/>
      </c>
      <c r="G809" s="106"/>
      <c r="H809" s="157" t="str">
        <f>IFERROR(IF($G809="","",$G809*$S$810/$G$810/Cadastro!$E$33),"")</f>
        <v/>
      </c>
      <c r="I809" s="158" t="str">
        <f>IFERROR(IF($D809="","",VLOOKUP($D809,Cadastro!$C$4:$G$7,5,FALSE)),"")</f>
        <v/>
      </c>
      <c r="J809" s="159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32" t="s">
        <v>244</v>
      </c>
      <c r="B810" s="133"/>
      <c r="C810" s="133"/>
      <c r="D810" s="133"/>
      <c r="E810" s="13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34" t="s">
        <v>245</v>
      </c>
      <c r="B811" s="135"/>
      <c r="C811" s="135"/>
      <c r="D811" s="135"/>
      <c r="E811" s="135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60" t="str">
        <f>IFERROR(IF($D812="","",VLOOKUP($D812,Cadastro!$C$4:$E$7,3,FALSE)),"")</f>
        <v/>
      </c>
      <c r="G812" s="106"/>
      <c r="H812" s="160" t="str">
        <f>IFERROR(IF($G812="","",$G812*$S$824/$G$824/Cadastro!$E$33),"")</f>
        <v/>
      </c>
      <c r="I812" s="161" t="str">
        <f>IFERROR(IF($D812="","",VLOOKUP($D812,Cadastro!$C$4:$G$7,5,FALSE)),"")</f>
        <v/>
      </c>
      <c r="J812" s="162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54" t="str">
        <f>IFERROR(IF($D813="","",VLOOKUP($D813,Cadastro!$C$4:$E$7,3,FALSE)),"")</f>
        <v/>
      </c>
      <c r="G813" s="106"/>
      <c r="H813" s="154" t="str">
        <f>IFERROR(IF($G813="","",$G813*$S$824/$G$824/Cadastro!$E$33),"")</f>
        <v/>
      </c>
      <c r="I813" s="155" t="str">
        <f>IFERROR(IF($D813="","",VLOOKUP($D813,Cadastro!$C$4:$G$7,5,FALSE)),"")</f>
        <v/>
      </c>
      <c r="J813" s="156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54" t="str">
        <f>IFERROR(IF($D814="","",VLOOKUP($D814,Cadastro!$C$4:$E$7,3,FALSE)),"")</f>
        <v/>
      </c>
      <c r="G814" s="106"/>
      <c r="H814" s="154" t="str">
        <f>IFERROR(IF($G814="","",$G814*$S$824/$G$824/Cadastro!$E$33),"")</f>
        <v/>
      </c>
      <c r="I814" s="155" t="str">
        <f>IFERROR(IF($D814="","",VLOOKUP($D814,Cadastro!$C$4:$G$7,5,FALSE)),"")</f>
        <v/>
      </c>
      <c r="J814" s="156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54" t="str">
        <f>IFERROR(IF($D815="","",VLOOKUP($D815,Cadastro!$C$4:$E$7,3,FALSE)),"")</f>
        <v/>
      </c>
      <c r="G815" s="106"/>
      <c r="H815" s="154" t="str">
        <f>IFERROR(IF($G815="","",$G815*$S$824/$G$824/Cadastro!$E$33),"")</f>
        <v/>
      </c>
      <c r="I815" s="155" t="str">
        <f>IFERROR(IF($D815="","",VLOOKUP($D815,Cadastro!$C$4:$G$7,5,FALSE)),"")</f>
        <v/>
      </c>
      <c r="J815" s="156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54" t="str">
        <f>IFERROR(IF($D816="","",VLOOKUP($D816,Cadastro!$C$4:$E$7,3,FALSE)),"")</f>
        <v/>
      </c>
      <c r="G816" s="106"/>
      <c r="H816" s="154" t="str">
        <f>IFERROR(IF($G816="","",$G816*$S$824/$G$824/Cadastro!$E$33),"")</f>
        <v/>
      </c>
      <c r="I816" s="155" t="str">
        <f>IFERROR(IF($D816="","",VLOOKUP($D816,Cadastro!$C$4:$G$7,5,FALSE)),"")</f>
        <v/>
      </c>
      <c r="J816" s="156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54" t="str">
        <f>IFERROR(IF($D817="","",VLOOKUP($D817,Cadastro!$C$4:$E$7,3,FALSE)),"")</f>
        <v/>
      </c>
      <c r="G817" s="106"/>
      <c r="H817" s="154" t="str">
        <f>IFERROR(IF($G817="","",$G817*$S$824/$G$824/Cadastro!$E$33),"")</f>
        <v/>
      </c>
      <c r="I817" s="155" t="str">
        <f>IFERROR(IF($D817="","",VLOOKUP($D817,Cadastro!$C$4:$G$7,5,FALSE)),"")</f>
        <v/>
      </c>
      <c r="J817" s="156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54" t="str">
        <f>IFERROR(IF($D818="","",VLOOKUP($D818,Cadastro!$C$4:$E$7,3,FALSE)),"")</f>
        <v/>
      </c>
      <c r="G818" s="106"/>
      <c r="H818" s="154" t="str">
        <f>IFERROR(IF($G818="","",$G818*$S$824/$G$824/Cadastro!$E$33),"")</f>
        <v/>
      </c>
      <c r="I818" s="155" t="str">
        <f>IFERROR(IF($D818="","",VLOOKUP($D818,Cadastro!$C$4:$G$7,5,FALSE)),"")</f>
        <v/>
      </c>
      <c r="J818" s="156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54" t="str">
        <f>IFERROR(IF($D819="","",VLOOKUP($D819,Cadastro!$C$4:$E$7,3,FALSE)),"")</f>
        <v/>
      </c>
      <c r="G819" s="106"/>
      <c r="H819" s="154" t="str">
        <f>IFERROR(IF($G819="","",$G819*$S$824/$G$824/Cadastro!$E$33),"")</f>
        <v/>
      </c>
      <c r="I819" s="155" t="str">
        <f>IFERROR(IF($D819="","",VLOOKUP($D819,Cadastro!$C$4:$G$7,5,FALSE)),"")</f>
        <v/>
      </c>
      <c r="J819" s="156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54" t="str">
        <f>IFERROR(IF($D820="","",VLOOKUP($D820,Cadastro!$C$4:$E$7,3,FALSE)),"")</f>
        <v/>
      </c>
      <c r="G820" s="106"/>
      <c r="H820" s="154" t="str">
        <f>IFERROR(IF($G820="","",$G820*$S$824/$G$824/Cadastro!$E$33),"")</f>
        <v/>
      </c>
      <c r="I820" s="155" t="str">
        <f>IFERROR(IF($D820="","",VLOOKUP($D820,Cadastro!$C$4:$G$7,5,FALSE)),"")</f>
        <v/>
      </c>
      <c r="J820" s="156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54" t="str">
        <f>IFERROR(IF($D821="","",VLOOKUP($D821,Cadastro!$C$4:$E$7,3,FALSE)),"")</f>
        <v/>
      </c>
      <c r="G821" s="106"/>
      <c r="H821" s="154" t="str">
        <f>IFERROR(IF($G821="","",$G821*$S$824/$G$824/Cadastro!$E$33),"")</f>
        <v/>
      </c>
      <c r="I821" s="155" t="str">
        <f>IFERROR(IF($D821="","",VLOOKUP($D821,Cadastro!$C$4:$G$7,5,FALSE)),"")</f>
        <v/>
      </c>
      <c r="J821" s="156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54" t="str">
        <f>IFERROR(IF($D822="","",VLOOKUP($D822,Cadastro!$C$4:$E$7,3,FALSE)),"")</f>
        <v/>
      </c>
      <c r="G822" s="106"/>
      <c r="H822" s="154" t="str">
        <f>IFERROR(IF($G822="","",$G822*$S$824/$G$824/Cadastro!$E$33),"")</f>
        <v/>
      </c>
      <c r="I822" s="155" t="str">
        <f>IFERROR(IF($D822="","",VLOOKUP($D822,Cadastro!$C$4:$G$7,5,FALSE)),"")</f>
        <v/>
      </c>
      <c r="J822" s="156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57" t="str">
        <f>IFERROR(IF($D823="","",VLOOKUP($D823,Cadastro!$C$4:$E$7,3,FALSE)),"")</f>
        <v/>
      </c>
      <c r="G823" s="106"/>
      <c r="H823" s="157" t="str">
        <f>IFERROR(IF($G823="","",$G823*$S$824/$G$824/Cadastro!$E$33),"")</f>
        <v/>
      </c>
      <c r="I823" s="158" t="str">
        <f>IFERROR(IF($D823="","",VLOOKUP($D823,Cadastro!$C$4:$G$7,5,FALSE)),"")</f>
        <v/>
      </c>
      <c r="J823" s="159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32" t="s">
        <v>241</v>
      </c>
      <c r="B824" s="133"/>
      <c r="C824" s="133"/>
      <c r="D824" s="133"/>
      <c r="E824" s="13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60" t="str">
        <f>IFERROR(IF($D825="","",VLOOKUP($D825,Cadastro!$C$4:$E$7,3,FALSE)),"")</f>
        <v/>
      </c>
      <c r="G825" s="106"/>
      <c r="H825" s="160" t="str">
        <f>IFERROR(IF($G825="","",$G825*$S$837/$G$837/Cadastro!$E$33),"")</f>
        <v/>
      </c>
      <c r="I825" s="161" t="str">
        <f>IFERROR(IF($D825="","",VLOOKUP($D825,Cadastro!$C$4:$G$7,5,FALSE)),"")</f>
        <v/>
      </c>
      <c r="J825" s="162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54" t="str">
        <f>IFERROR(IF($D826="","",VLOOKUP($D826,Cadastro!$C$4:$E$7,3,FALSE)),"")</f>
        <v/>
      </c>
      <c r="G826" s="106"/>
      <c r="H826" s="154" t="str">
        <f>IFERROR(IF($G826="","",$G826*$S$837/$G$837/Cadastro!$E$33),"")</f>
        <v/>
      </c>
      <c r="I826" s="155" t="str">
        <f>IFERROR(IF($D826="","",VLOOKUP($D826,Cadastro!$C$4:$G$7,5,FALSE)),"")</f>
        <v/>
      </c>
      <c r="J826" s="156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54" t="str">
        <f>IFERROR(IF($D827="","",VLOOKUP($D827,Cadastro!$C$4:$E$7,3,FALSE)),"")</f>
        <v/>
      </c>
      <c r="G827" s="106"/>
      <c r="H827" s="154" t="str">
        <f>IFERROR(IF($G827="","",$G827*$S$837/$G$837/Cadastro!$E$33),"")</f>
        <v/>
      </c>
      <c r="I827" s="155" t="str">
        <f>IFERROR(IF($D827="","",VLOOKUP($D827,Cadastro!$C$4:$G$7,5,FALSE)),"")</f>
        <v/>
      </c>
      <c r="J827" s="156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54" t="str">
        <f>IFERROR(IF($D828="","",VLOOKUP($D828,Cadastro!$C$4:$E$7,3,FALSE)),"")</f>
        <v/>
      </c>
      <c r="G828" s="106"/>
      <c r="H828" s="154" t="str">
        <f>IFERROR(IF($G828="","",$G828*$S$837/$G$837/Cadastro!$E$33),"")</f>
        <v/>
      </c>
      <c r="I828" s="155" t="str">
        <f>IFERROR(IF($D828="","",VLOOKUP($D828,Cadastro!$C$4:$G$7,5,FALSE)),"")</f>
        <v/>
      </c>
      <c r="J828" s="156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54" t="str">
        <f>IFERROR(IF($D829="","",VLOOKUP($D829,Cadastro!$C$4:$E$7,3,FALSE)),"")</f>
        <v/>
      </c>
      <c r="G829" s="106"/>
      <c r="H829" s="154" t="str">
        <f>IFERROR(IF($G829="","",$G829*$S$837/$G$837/Cadastro!$E$33),"")</f>
        <v/>
      </c>
      <c r="I829" s="155" t="str">
        <f>IFERROR(IF($D829="","",VLOOKUP($D829,Cadastro!$C$4:$G$7,5,FALSE)),"")</f>
        <v/>
      </c>
      <c r="J829" s="156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54" t="str">
        <f>IFERROR(IF($D830="","",VLOOKUP($D830,Cadastro!$C$4:$E$7,3,FALSE)),"")</f>
        <v/>
      </c>
      <c r="G830" s="106"/>
      <c r="H830" s="154" t="str">
        <f>IFERROR(IF($G830="","",$G830*$S$837/$G$837/Cadastro!$E$33),"")</f>
        <v/>
      </c>
      <c r="I830" s="155" t="str">
        <f>IFERROR(IF($D830="","",VLOOKUP($D830,Cadastro!$C$4:$G$7,5,FALSE)),"")</f>
        <v/>
      </c>
      <c r="J830" s="156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54" t="str">
        <f>IFERROR(IF($D831="","",VLOOKUP($D831,Cadastro!$C$4:$E$7,3,FALSE)),"")</f>
        <v/>
      </c>
      <c r="G831" s="106"/>
      <c r="H831" s="154" t="str">
        <f>IFERROR(IF($G831="","",$G831*$S$837/$G$837/Cadastro!$E$33),"")</f>
        <v/>
      </c>
      <c r="I831" s="155" t="str">
        <f>IFERROR(IF($D831="","",VLOOKUP($D831,Cadastro!$C$4:$G$7,5,FALSE)),"")</f>
        <v/>
      </c>
      <c r="J831" s="156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54" t="str">
        <f>IFERROR(IF($D832="","",VLOOKUP($D832,Cadastro!$C$4:$E$7,3,FALSE)),"")</f>
        <v/>
      </c>
      <c r="G832" s="106"/>
      <c r="H832" s="154" t="str">
        <f>IFERROR(IF($G832="","",$G832*$S$837/$G$837/Cadastro!$E$33),"")</f>
        <v/>
      </c>
      <c r="I832" s="155" t="str">
        <f>IFERROR(IF($D832="","",VLOOKUP($D832,Cadastro!$C$4:$G$7,5,FALSE)),"")</f>
        <v/>
      </c>
      <c r="J832" s="156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54" t="str">
        <f>IFERROR(IF($D833="","",VLOOKUP($D833,Cadastro!$C$4:$E$7,3,FALSE)),"")</f>
        <v/>
      </c>
      <c r="G833" s="106"/>
      <c r="H833" s="154" t="str">
        <f>IFERROR(IF($G833="","",$G833*$S$837/$G$837/Cadastro!$E$33),"")</f>
        <v/>
      </c>
      <c r="I833" s="155" t="str">
        <f>IFERROR(IF($D833="","",VLOOKUP($D833,Cadastro!$C$4:$G$7,5,FALSE)),"")</f>
        <v/>
      </c>
      <c r="J833" s="156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54" t="str">
        <f>IFERROR(IF($D834="","",VLOOKUP($D834,Cadastro!$C$4:$E$7,3,FALSE)),"")</f>
        <v/>
      </c>
      <c r="G834" s="106"/>
      <c r="H834" s="154" t="str">
        <f>IFERROR(IF($G834="","",$G834*$S$837/$G$837/Cadastro!$E$33),"")</f>
        <v/>
      </c>
      <c r="I834" s="155" t="str">
        <f>IFERROR(IF($D834="","",VLOOKUP($D834,Cadastro!$C$4:$G$7,5,FALSE)),"")</f>
        <v/>
      </c>
      <c r="J834" s="156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54" t="str">
        <f>IFERROR(IF($D835="","",VLOOKUP($D835,Cadastro!$C$4:$E$7,3,FALSE)),"")</f>
        <v/>
      </c>
      <c r="G835" s="106"/>
      <c r="H835" s="154" t="str">
        <f>IFERROR(IF($G835="","",$G835*$S$837/$G$837/Cadastro!$E$33),"")</f>
        <v/>
      </c>
      <c r="I835" s="155" t="str">
        <f>IFERROR(IF($D835="","",VLOOKUP($D835,Cadastro!$C$4:$G$7,5,FALSE)),"")</f>
        <v/>
      </c>
      <c r="J835" s="156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57" t="str">
        <f>IFERROR(IF($D836="","",VLOOKUP($D836,Cadastro!$C$4:$E$7,3,FALSE)),"")</f>
        <v/>
      </c>
      <c r="G836" s="106"/>
      <c r="H836" s="157" t="str">
        <f>IFERROR(IF($G836="","",$G836*$S$837/$G$837/Cadastro!$E$33),"")</f>
        <v/>
      </c>
      <c r="I836" s="158" t="str">
        <f>IFERROR(IF($D836="","",VLOOKUP($D836,Cadastro!$C$4:$G$7,5,FALSE)),"")</f>
        <v/>
      </c>
      <c r="J836" s="159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32" t="s">
        <v>244</v>
      </c>
      <c r="B837" s="133"/>
      <c r="C837" s="133"/>
      <c r="D837" s="133"/>
      <c r="E837" s="13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34" t="s">
        <v>245</v>
      </c>
      <c r="B838" s="135"/>
      <c r="C838" s="135"/>
      <c r="D838" s="135"/>
      <c r="E838" s="135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53" t="s">
        <v>17</v>
      </c>
      <c r="G1" s="23" t="s">
        <v>232</v>
      </c>
      <c r="H1" s="153" t="s">
        <v>264</v>
      </c>
      <c r="I1" s="153" t="s">
        <v>18</v>
      </c>
      <c r="J1" s="15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54"/>
      <c r="G2" s="106">
        <v>0</v>
      </c>
      <c r="H2" s="154"/>
      <c r="I2" s="155"/>
      <c r="J2" s="15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54"/>
      <c r="G3" s="106">
        <v>4</v>
      </c>
      <c r="H3" s="154"/>
      <c r="I3" s="155"/>
      <c r="J3" s="15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54"/>
      <c r="G4" s="106">
        <v>18</v>
      </c>
      <c r="H4" s="154"/>
      <c r="I4" s="155"/>
      <c r="J4" s="15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54"/>
      <c r="G5" s="106">
        <v>16</v>
      </c>
      <c r="H5" s="154"/>
      <c r="I5" s="155"/>
      <c r="J5" s="15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54"/>
      <c r="G6" s="106">
        <v>16</v>
      </c>
      <c r="H6" s="154"/>
      <c r="I6" s="155"/>
      <c r="J6" s="15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54"/>
      <c r="G7" s="106">
        <v>7</v>
      </c>
      <c r="H7" s="154"/>
      <c r="I7" s="155"/>
      <c r="J7" s="15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54"/>
      <c r="G8" s="106">
        <v>10</v>
      </c>
      <c r="H8" s="154"/>
      <c r="I8" s="155"/>
      <c r="J8" s="15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54"/>
      <c r="G9" s="106">
        <v>15</v>
      </c>
      <c r="H9" s="154"/>
      <c r="I9" s="155"/>
      <c r="J9" s="15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54"/>
      <c r="G10" s="106">
        <v>12</v>
      </c>
      <c r="H10" s="154"/>
      <c r="I10" s="155"/>
      <c r="J10" s="15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54"/>
      <c r="G11" s="106">
        <v>10</v>
      </c>
      <c r="H11" s="154"/>
      <c r="I11" s="155"/>
      <c r="J11" s="15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54"/>
      <c r="G12" s="106">
        <v>16</v>
      </c>
      <c r="H12" s="154"/>
      <c r="I12" s="155"/>
      <c r="J12" s="15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57"/>
      <c r="G13" s="106">
        <v>6</v>
      </c>
      <c r="H13" s="157"/>
      <c r="I13" s="158"/>
      <c r="J13" s="15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32" t="s">
        <v>241</v>
      </c>
      <c r="B14" s="133"/>
      <c r="C14" s="133"/>
      <c r="D14" s="133"/>
      <c r="E14" s="13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60"/>
      <c r="G15" s="106">
        <v>10</v>
      </c>
      <c r="H15" s="160"/>
      <c r="I15" s="161"/>
      <c r="J15" s="16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54"/>
      <c r="G16" s="106">
        <v>13</v>
      </c>
      <c r="H16" s="154"/>
      <c r="I16" s="155"/>
      <c r="J16" s="15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54"/>
      <c r="G17" s="106">
        <v>10</v>
      </c>
      <c r="H17" s="154"/>
      <c r="I17" s="155"/>
      <c r="J17" s="15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54"/>
      <c r="G18" s="106">
        <v>16</v>
      </c>
      <c r="H18" s="154"/>
      <c r="I18" s="155"/>
      <c r="J18" s="15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54"/>
      <c r="G19" s="106">
        <v>15</v>
      </c>
      <c r="H19" s="154"/>
      <c r="I19" s="155"/>
      <c r="J19" s="15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54"/>
      <c r="G20" s="106">
        <v>12</v>
      </c>
      <c r="H20" s="154"/>
      <c r="I20" s="155"/>
      <c r="J20" s="15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54"/>
      <c r="G21" s="106">
        <v>17</v>
      </c>
      <c r="H21" s="154"/>
      <c r="I21" s="155"/>
      <c r="J21" s="15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54"/>
      <c r="G22" s="106">
        <v>15</v>
      </c>
      <c r="H22" s="154"/>
      <c r="I22" s="155"/>
      <c r="J22" s="15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54"/>
      <c r="G23" s="106">
        <v>10</v>
      </c>
      <c r="H23" s="154"/>
      <c r="I23" s="155"/>
      <c r="J23" s="15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54"/>
      <c r="G24" s="106">
        <v>0</v>
      </c>
      <c r="H24" s="154"/>
      <c r="I24" s="155"/>
      <c r="J24" s="15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54"/>
      <c r="G25" s="106">
        <v>10</v>
      </c>
      <c r="H25" s="154"/>
      <c r="I25" s="155"/>
      <c r="J25" s="15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57"/>
      <c r="G26" s="106">
        <v>10</v>
      </c>
      <c r="H26" s="157"/>
      <c r="I26" s="158"/>
      <c r="J26" s="15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32" t="s">
        <v>244</v>
      </c>
      <c r="B27" s="133"/>
      <c r="C27" s="133"/>
      <c r="D27" s="133"/>
      <c r="E27" s="13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34" t="s">
        <v>245</v>
      </c>
      <c r="B28" s="135"/>
      <c r="C28" s="135"/>
      <c r="D28" s="135"/>
      <c r="E28" s="135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60"/>
      <c r="G29" s="106">
        <v>3</v>
      </c>
      <c r="H29" s="160"/>
      <c r="I29" s="161"/>
      <c r="J29" s="16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54"/>
      <c r="G30" s="106">
        <v>13</v>
      </c>
      <c r="H30" s="154"/>
      <c r="I30" s="155"/>
      <c r="J30" s="15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54"/>
      <c r="G31" s="106">
        <v>15</v>
      </c>
      <c r="H31" s="154"/>
      <c r="I31" s="155"/>
      <c r="J31" s="15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54"/>
      <c r="G32" s="106">
        <v>9</v>
      </c>
      <c r="H32" s="154"/>
      <c r="I32" s="155"/>
      <c r="J32" s="15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54"/>
      <c r="G33" s="106">
        <v>12</v>
      </c>
      <c r="H33" s="154"/>
      <c r="I33" s="155"/>
      <c r="J33" s="15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54"/>
      <c r="G34" s="106">
        <v>22</v>
      </c>
      <c r="H34" s="154"/>
      <c r="I34" s="155"/>
      <c r="J34" s="15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54"/>
      <c r="G35" s="106">
        <v>17</v>
      </c>
      <c r="H35" s="154"/>
      <c r="I35" s="155"/>
      <c r="J35" s="15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54"/>
      <c r="G36" s="106">
        <v>20</v>
      </c>
      <c r="H36" s="154"/>
      <c r="I36" s="155"/>
      <c r="J36" s="15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54"/>
      <c r="G37" s="106">
        <v>5</v>
      </c>
      <c r="H37" s="154"/>
      <c r="I37" s="155"/>
      <c r="J37" s="15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54"/>
      <c r="G38" s="106">
        <v>17</v>
      </c>
      <c r="H38" s="154"/>
      <c r="I38" s="155"/>
      <c r="J38" s="15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54"/>
      <c r="G39" s="57">
        <v>8</v>
      </c>
      <c r="H39" s="154"/>
      <c r="I39" s="155"/>
      <c r="J39" s="15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57"/>
      <c r="G40" s="106">
        <v>0</v>
      </c>
      <c r="H40" s="157"/>
      <c r="I40" s="158"/>
      <c r="J40" s="15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32" t="s">
        <v>241</v>
      </c>
      <c r="B41" s="133"/>
      <c r="C41" s="133"/>
      <c r="D41" s="133"/>
      <c r="E41" s="13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60"/>
      <c r="G42" s="106">
        <v>23</v>
      </c>
      <c r="H42" s="160"/>
      <c r="I42" s="161"/>
      <c r="J42" s="16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54"/>
      <c r="G43" s="106">
        <v>8</v>
      </c>
      <c r="H43" s="154"/>
      <c r="I43" s="155"/>
      <c r="J43" s="15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54"/>
      <c r="G44" s="106">
        <v>8</v>
      </c>
      <c r="H44" s="154"/>
      <c r="I44" s="155"/>
      <c r="J44" s="15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54"/>
      <c r="G45" s="106">
        <v>3</v>
      </c>
      <c r="H45" s="154"/>
      <c r="I45" s="155"/>
      <c r="J45" s="15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54"/>
      <c r="G46" s="106">
        <v>8</v>
      </c>
      <c r="H46" s="154"/>
      <c r="I46" s="155"/>
      <c r="J46" s="15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54"/>
      <c r="G47" s="106">
        <v>11</v>
      </c>
      <c r="H47" s="154"/>
      <c r="I47" s="155"/>
      <c r="J47" s="15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54"/>
      <c r="G48" s="106">
        <v>17</v>
      </c>
      <c r="H48" s="154"/>
      <c r="I48" s="155"/>
      <c r="J48" s="15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54"/>
      <c r="G49" s="106">
        <v>20</v>
      </c>
      <c r="H49" s="154"/>
      <c r="I49" s="155"/>
      <c r="J49" s="15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54"/>
      <c r="G50" s="106">
        <v>12</v>
      </c>
      <c r="H50" s="154"/>
      <c r="I50" s="155"/>
      <c r="J50" s="15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54"/>
      <c r="G51" s="106">
        <v>0</v>
      </c>
      <c r="H51" s="154"/>
      <c r="I51" s="155"/>
      <c r="J51" s="15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54"/>
      <c r="G52" s="106">
        <v>11</v>
      </c>
      <c r="H52" s="154"/>
      <c r="I52" s="155"/>
      <c r="J52" s="15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57"/>
      <c r="G53" s="106"/>
      <c r="H53" s="157"/>
      <c r="I53" s="158"/>
      <c r="J53" s="15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32" t="s">
        <v>244</v>
      </c>
      <c r="B54" s="133"/>
      <c r="C54" s="133"/>
      <c r="D54" s="133"/>
      <c r="E54" s="13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34" t="s">
        <v>245</v>
      </c>
      <c r="B55" s="135"/>
      <c r="C55" s="135"/>
      <c r="D55" s="135"/>
      <c r="E55" s="135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60"/>
      <c r="G56" s="106">
        <v>18</v>
      </c>
      <c r="H56" s="160"/>
      <c r="I56" s="161"/>
      <c r="J56" s="16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54"/>
      <c r="G57" s="106">
        <v>12</v>
      </c>
      <c r="H57" s="154"/>
      <c r="I57" s="155"/>
      <c r="J57" s="15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54"/>
      <c r="G58" s="106">
        <v>15</v>
      </c>
      <c r="H58" s="154"/>
      <c r="I58" s="155"/>
      <c r="J58" s="15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54"/>
      <c r="G59" s="106">
        <v>15</v>
      </c>
      <c r="H59" s="154"/>
      <c r="I59" s="155"/>
      <c r="J59" s="15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54"/>
      <c r="G60" s="106">
        <v>16</v>
      </c>
      <c r="H60" s="154"/>
      <c r="I60" s="155"/>
      <c r="J60" s="15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54"/>
      <c r="G61" s="106">
        <v>7</v>
      </c>
      <c r="H61" s="154"/>
      <c r="I61" s="155"/>
      <c r="J61" s="15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54"/>
      <c r="G62" s="106">
        <v>15</v>
      </c>
      <c r="H62" s="154"/>
      <c r="I62" s="155"/>
      <c r="J62" s="15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54"/>
      <c r="G63" s="106">
        <v>5</v>
      </c>
      <c r="H63" s="154"/>
      <c r="I63" s="155"/>
      <c r="J63" s="15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54"/>
      <c r="G64" s="106">
        <v>0</v>
      </c>
      <c r="H64" s="154"/>
      <c r="I64" s="155"/>
      <c r="J64" s="15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54"/>
      <c r="G65" s="106">
        <v>6</v>
      </c>
      <c r="H65" s="154"/>
      <c r="I65" s="155"/>
      <c r="J65" s="15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54"/>
      <c r="G66" s="106">
        <v>0</v>
      </c>
      <c r="H66" s="154"/>
      <c r="I66" s="155"/>
      <c r="J66" s="15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57"/>
      <c r="G67" s="106">
        <v>6</v>
      </c>
      <c r="H67" s="157"/>
      <c r="I67" s="158"/>
      <c r="J67" s="15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32" t="s">
        <v>241</v>
      </c>
      <c r="B68" s="133"/>
      <c r="C68" s="133"/>
      <c r="D68" s="133"/>
      <c r="E68" s="13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60"/>
      <c r="G69" s="106">
        <v>7</v>
      </c>
      <c r="H69" s="160"/>
      <c r="I69" s="161"/>
      <c r="J69" s="16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54"/>
      <c r="G70" s="106">
        <v>9</v>
      </c>
      <c r="H70" s="154"/>
      <c r="I70" s="155"/>
      <c r="J70" s="15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54"/>
      <c r="G71" s="106">
        <v>9</v>
      </c>
      <c r="H71" s="154"/>
      <c r="I71" s="155"/>
      <c r="J71" s="15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54"/>
      <c r="G72" s="106">
        <v>11</v>
      </c>
      <c r="H72" s="154"/>
      <c r="I72" s="155"/>
      <c r="J72" s="15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54"/>
      <c r="G73" s="106">
        <v>13</v>
      </c>
      <c r="H73" s="154"/>
      <c r="I73" s="155"/>
      <c r="J73" s="15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54"/>
      <c r="G74" s="106">
        <v>14</v>
      </c>
      <c r="H74" s="154"/>
      <c r="I74" s="155"/>
      <c r="J74" s="15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54"/>
      <c r="G75" s="106">
        <v>18</v>
      </c>
      <c r="H75" s="154"/>
      <c r="I75" s="155"/>
      <c r="J75" s="15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54"/>
      <c r="G76" s="106">
        <v>12</v>
      </c>
      <c r="H76" s="154"/>
      <c r="I76" s="155"/>
      <c r="J76" s="15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54"/>
      <c r="G77" s="106">
        <v>12</v>
      </c>
      <c r="H77" s="154"/>
      <c r="I77" s="155"/>
      <c r="J77" s="15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54"/>
      <c r="G78" s="106">
        <v>14</v>
      </c>
      <c r="H78" s="154"/>
      <c r="I78" s="155"/>
      <c r="J78" s="15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54"/>
      <c r="G79" s="106">
        <v>14</v>
      </c>
      <c r="H79" s="154"/>
      <c r="I79" s="155"/>
      <c r="J79" s="15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57"/>
      <c r="G80" s="106">
        <v>10</v>
      </c>
      <c r="H80" s="157"/>
      <c r="I80" s="158"/>
      <c r="J80" s="15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32" t="s">
        <v>244</v>
      </c>
      <c r="B81" s="133"/>
      <c r="C81" s="133"/>
      <c r="D81" s="133"/>
      <c r="E81" s="13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34" t="s">
        <v>245</v>
      </c>
      <c r="B82" s="135"/>
      <c r="C82" s="135"/>
      <c r="D82" s="135"/>
      <c r="E82" s="135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60"/>
      <c r="G83" s="106">
        <v>15</v>
      </c>
      <c r="H83" s="160"/>
      <c r="I83" s="161"/>
      <c r="J83" s="16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54"/>
      <c r="G84" s="106">
        <v>20</v>
      </c>
      <c r="H84" s="154"/>
      <c r="I84" s="155"/>
      <c r="J84" s="15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54"/>
      <c r="G85" s="106">
        <v>10</v>
      </c>
      <c r="H85" s="154"/>
      <c r="I85" s="155"/>
      <c r="J85" s="15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54"/>
      <c r="G86" s="106">
        <v>17</v>
      </c>
      <c r="H86" s="154"/>
      <c r="I86" s="155"/>
      <c r="J86" s="15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54"/>
      <c r="G87" s="106">
        <v>17</v>
      </c>
      <c r="H87" s="154"/>
      <c r="I87" s="155"/>
      <c r="J87" s="15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54"/>
      <c r="G88" s="106">
        <v>15</v>
      </c>
      <c r="H88" s="154"/>
      <c r="I88" s="155"/>
      <c r="J88" s="15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54"/>
      <c r="G89" s="106">
        <v>16</v>
      </c>
      <c r="H89" s="154"/>
      <c r="I89" s="155"/>
      <c r="J89" s="15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54"/>
      <c r="G90" s="106">
        <v>20</v>
      </c>
      <c r="H90" s="154"/>
      <c r="I90" s="155"/>
      <c r="J90" s="15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54"/>
      <c r="G91" s="106">
        <v>16</v>
      </c>
      <c r="H91" s="154"/>
      <c r="I91" s="155"/>
      <c r="J91" s="15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54"/>
      <c r="G92" s="106">
        <v>19</v>
      </c>
      <c r="H92" s="154"/>
      <c r="I92" s="155"/>
      <c r="J92" s="15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54"/>
      <c r="G93" s="106">
        <v>3</v>
      </c>
      <c r="H93" s="154"/>
      <c r="I93" s="155"/>
      <c r="J93" s="15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57"/>
      <c r="G94" s="106">
        <v>15</v>
      </c>
      <c r="H94" s="157"/>
      <c r="I94" s="158"/>
      <c r="J94" s="15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32" t="s">
        <v>241</v>
      </c>
      <c r="B95" s="133"/>
      <c r="C95" s="133"/>
      <c r="D95" s="133"/>
      <c r="E95" s="13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60"/>
      <c r="G96" s="106">
        <v>20</v>
      </c>
      <c r="H96" s="160"/>
      <c r="I96" s="161"/>
      <c r="J96" s="16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54"/>
      <c r="G97" s="106">
        <v>20</v>
      </c>
      <c r="H97" s="154"/>
      <c r="I97" s="155"/>
      <c r="J97" s="15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54"/>
      <c r="G98" s="106">
        <v>15</v>
      </c>
      <c r="H98" s="154"/>
      <c r="I98" s="155"/>
      <c r="J98" s="15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54"/>
      <c r="G99" s="106">
        <v>22</v>
      </c>
      <c r="H99" s="154"/>
      <c r="I99" s="155"/>
      <c r="J99" s="15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54"/>
      <c r="G100" s="106">
        <v>14</v>
      </c>
      <c r="H100" s="154"/>
      <c r="I100" s="155"/>
      <c r="J100" s="15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54"/>
      <c r="G101" s="106">
        <v>10</v>
      </c>
      <c r="H101" s="154"/>
      <c r="I101" s="155"/>
      <c r="J101" s="15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54"/>
      <c r="G102" s="106">
        <v>14</v>
      </c>
      <c r="H102" s="154"/>
      <c r="I102" s="155"/>
      <c r="J102" s="15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54"/>
      <c r="G103" s="106">
        <v>28</v>
      </c>
      <c r="H103" s="154"/>
      <c r="I103" s="155"/>
      <c r="J103" s="15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54"/>
      <c r="G104" s="106">
        <v>17</v>
      </c>
      <c r="H104" s="154"/>
      <c r="I104" s="155"/>
      <c r="J104" s="15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54"/>
      <c r="G105" s="106">
        <v>12</v>
      </c>
      <c r="H105" s="154"/>
      <c r="I105" s="155"/>
      <c r="J105" s="15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54"/>
      <c r="G106" s="106">
        <v>15</v>
      </c>
      <c r="H106" s="154"/>
      <c r="I106" s="155"/>
      <c r="J106" s="15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57"/>
      <c r="G107" s="106">
        <v>10</v>
      </c>
      <c r="H107" s="157"/>
      <c r="I107" s="158"/>
      <c r="J107" s="15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32" t="s">
        <v>244</v>
      </c>
      <c r="B108" s="133"/>
      <c r="C108" s="133"/>
      <c r="D108" s="133"/>
      <c r="E108" s="13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34" t="s">
        <v>245</v>
      </c>
      <c r="B109" s="135"/>
      <c r="C109" s="135"/>
      <c r="D109" s="135"/>
      <c r="E109" s="135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60"/>
      <c r="G110" s="106">
        <v>25</v>
      </c>
      <c r="H110" s="160"/>
      <c r="I110" s="161"/>
      <c r="J110" s="16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54"/>
      <c r="G111" s="106">
        <v>10</v>
      </c>
      <c r="H111" s="154"/>
      <c r="I111" s="155"/>
      <c r="J111" s="15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54"/>
      <c r="G112" s="106">
        <v>16</v>
      </c>
      <c r="H112" s="154"/>
      <c r="I112" s="155"/>
      <c r="J112" s="15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54"/>
      <c r="G113" s="106">
        <v>18</v>
      </c>
      <c r="H113" s="154"/>
      <c r="I113" s="155"/>
      <c r="J113" s="15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54"/>
      <c r="G114" s="106">
        <v>14</v>
      </c>
      <c r="H114" s="154"/>
      <c r="I114" s="155"/>
      <c r="J114" s="15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54"/>
      <c r="G115" s="106">
        <v>20</v>
      </c>
      <c r="H115" s="154"/>
      <c r="I115" s="155"/>
      <c r="J115" s="15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54"/>
      <c r="G116" s="106">
        <v>13</v>
      </c>
      <c r="H116" s="154"/>
      <c r="I116" s="155"/>
      <c r="J116" s="15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54"/>
      <c r="G117" s="106">
        <v>7</v>
      </c>
      <c r="H117" s="154"/>
      <c r="I117" s="155"/>
      <c r="J117" s="15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54"/>
      <c r="G118" s="106">
        <v>21</v>
      </c>
      <c r="H118" s="154"/>
      <c r="I118" s="155"/>
      <c r="J118" s="15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54"/>
      <c r="G119" s="106">
        <v>16</v>
      </c>
      <c r="H119" s="154"/>
      <c r="I119" s="155"/>
      <c r="J119" s="15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54"/>
      <c r="G120" s="106">
        <v>5</v>
      </c>
      <c r="H120" s="154"/>
      <c r="I120" s="155"/>
      <c r="J120" s="15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57"/>
      <c r="G121" s="106">
        <v>5</v>
      </c>
      <c r="H121" s="157"/>
      <c r="I121" s="158"/>
      <c r="J121" s="15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32" t="s">
        <v>241</v>
      </c>
      <c r="B122" s="133"/>
      <c r="C122" s="133"/>
      <c r="D122" s="133"/>
      <c r="E122" s="13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60"/>
      <c r="G123" s="106">
        <v>24</v>
      </c>
      <c r="H123" s="160"/>
      <c r="I123" s="161"/>
      <c r="J123" s="16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54"/>
      <c r="G124" s="106">
        <v>14</v>
      </c>
      <c r="H124" s="154"/>
      <c r="I124" s="155"/>
      <c r="J124" s="15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54"/>
      <c r="G125" s="106">
        <v>15</v>
      </c>
      <c r="H125" s="154"/>
      <c r="I125" s="155"/>
      <c r="J125" s="15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54"/>
      <c r="G126" s="106">
        <v>24</v>
      </c>
      <c r="H126" s="154"/>
      <c r="I126" s="155"/>
      <c r="J126" s="15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54"/>
      <c r="G127" s="106">
        <v>10</v>
      </c>
      <c r="H127" s="154"/>
      <c r="I127" s="155"/>
      <c r="J127" s="15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54"/>
      <c r="G128" s="106">
        <v>16</v>
      </c>
      <c r="H128" s="154"/>
      <c r="I128" s="155"/>
      <c r="J128" s="15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54"/>
      <c r="G129" s="106">
        <v>25</v>
      </c>
      <c r="H129" s="154"/>
      <c r="I129" s="155"/>
      <c r="J129" s="15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54"/>
      <c r="G130" s="106">
        <v>13</v>
      </c>
      <c r="H130" s="154"/>
      <c r="I130" s="155"/>
      <c r="J130" s="15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54"/>
      <c r="G131" s="106">
        <v>20</v>
      </c>
      <c r="H131" s="154"/>
      <c r="I131" s="155"/>
      <c r="J131" s="15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54"/>
      <c r="G132" s="106">
        <v>21</v>
      </c>
      <c r="H132" s="154"/>
      <c r="I132" s="155"/>
      <c r="J132" s="15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54"/>
      <c r="G133" s="106">
        <v>10</v>
      </c>
      <c r="H133" s="154"/>
      <c r="I133" s="155"/>
      <c r="J133" s="15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57"/>
      <c r="G134" s="106">
        <v>5</v>
      </c>
      <c r="H134" s="157"/>
      <c r="I134" s="158"/>
      <c r="J134" s="15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32" t="s">
        <v>244</v>
      </c>
      <c r="B135" s="133"/>
      <c r="C135" s="133"/>
      <c r="D135" s="133"/>
      <c r="E135" s="13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34" t="s">
        <v>245</v>
      </c>
      <c r="B136" s="135"/>
      <c r="C136" s="135"/>
      <c r="D136" s="135"/>
      <c r="E136" s="135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60"/>
      <c r="G137" s="106">
        <v>20</v>
      </c>
      <c r="H137" s="160"/>
      <c r="I137" s="161"/>
      <c r="J137" s="16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54"/>
      <c r="G138" s="106">
        <v>24</v>
      </c>
      <c r="H138" s="154"/>
      <c r="I138" s="155"/>
      <c r="J138" s="15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54"/>
      <c r="G139" s="106">
        <v>15</v>
      </c>
      <c r="H139" s="154"/>
      <c r="I139" s="155"/>
      <c r="J139" s="15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54"/>
      <c r="G140" s="106">
        <v>18</v>
      </c>
      <c r="H140" s="154"/>
      <c r="I140" s="155"/>
      <c r="J140" s="15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54"/>
      <c r="G141" s="106">
        <v>18</v>
      </c>
      <c r="H141" s="154"/>
      <c r="I141" s="155"/>
      <c r="J141" s="15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54"/>
      <c r="G142" s="106">
        <v>14</v>
      </c>
      <c r="H142" s="154"/>
      <c r="I142" s="155"/>
      <c r="J142" s="15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54"/>
      <c r="G143" s="106">
        <v>17</v>
      </c>
      <c r="H143" s="154"/>
      <c r="I143" s="155"/>
      <c r="J143" s="15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54"/>
      <c r="G144" s="106">
        <v>12</v>
      </c>
      <c r="H144" s="154"/>
      <c r="I144" s="155"/>
      <c r="J144" s="15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54"/>
      <c r="G145" s="106">
        <v>16</v>
      </c>
      <c r="H145" s="154"/>
      <c r="I145" s="155"/>
      <c r="J145" s="15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54"/>
      <c r="G146" s="106">
        <v>12</v>
      </c>
      <c r="H146" s="154"/>
      <c r="I146" s="155"/>
      <c r="J146" s="15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54"/>
      <c r="G147" s="106">
        <v>10</v>
      </c>
      <c r="H147" s="154"/>
      <c r="I147" s="155"/>
      <c r="J147" s="15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57"/>
      <c r="G148" s="106">
        <v>6</v>
      </c>
      <c r="H148" s="157"/>
      <c r="I148" s="158"/>
      <c r="J148" s="15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60"/>
      <c r="G150" s="106">
        <v>10</v>
      </c>
      <c r="H150" s="160"/>
      <c r="I150" s="161"/>
      <c r="J150" s="16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54"/>
      <c r="G151" s="106">
        <v>11</v>
      </c>
      <c r="H151" s="154"/>
      <c r="I151" s="155"/>
      <c r="J151" s="15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54"/>
      <c r="G152" s="106">
        <v>10</v>
      </c>
      <c r="H152" s="154"/>
      <c r="I152" s="155"/>
      <c r="J152" s="15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54"/>
      <c r="G153" s="106">
        <v>7</v>
      </c>
      <c r="H153" s="154"/>
      <c r="I153" s="155"/>
      <c r="J153" s="15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54"/>
      <c r="G154" s="106">
        <v>10</v>
      </c>
      <c r="H154" s="154"/>
      <c r="I154" s="155"/>
      <c r="J154" s="15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54"/>
      <c r="G155" s="106">
        <v>10</v>
      </c>
      <c r="H155" s="154"/>
      <c r="I155" s="155"/>
      <c r="J155" s="15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54"/>
      <c r="G156" s="106">
        <v>19</v>
      </c>
      <c r="H156" s="154"/>
      <c r="I156" s="155"/>
      <c r="J156" s="15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54"/>
      <c r="G157" s="106">
        <v>16</v>
      </c>
      <c r="H157" s="154"/>
      <c r="I157" s="155"/>
      <c r="J157" s="15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54"/>
      <c r="G158" s="106">
        <v>19</v>
      </c>
      <c r="H158" s="154"/>
      <c r="I158" s="155"/>
      <c r="J158" s="15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54"/>
      <c r="G159" s="106">
        <v>14</v>
      </c>
      <c r="H159" s="154"/>
      <c r="I159" s="155"/>
      <c r="J159" s="15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54"/>
      <c r="G160" s="106">
        <v>0</v>
      </c>
      <c r="H160" s="154"/>
      <c r="I160" s="155"/>
      <c r="J160" s="15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57"/>
      <c r="G161" s="106">
        <v>0</v>
      </c>
      <c r="H161" s="157"/>
      <c r="I161" s="158"/>
      <c r="J161" s="15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32" t="s">
        <v>244</v>
      </c>
      <c r="B162" s="133"/>
      <c r="C162" s="133"/>
      <c r="D162" s="133"/>
      <c r="E162" s="13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34" t="s">
        <v>245</v>
      </c>
      <c r="B163" s="135"/>
      <c r="C163" s="135"/>
      <c r="D163" s="135"/>
      <c r="E163" s="135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60"/>
      <c r="G164" s="106">
        <v>5</v>
      </c>
      <c r="H164" s="160"/>
      <c r="I164" s="161"/>
      <c r="J164" s="16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54"/>
      <c r="G165" s="106">
        <v>17</v>
      </c>
      <c r="H165" s="154"/>
      <c r="I165" s="155"/>
      <c r="J165" s="15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54"/>
      <c r="G166" s="106">
        <v>23</v>
      </c>
      <c r="H166" s="154"/>
      <c r="I166" s="155"/>
      <c r="J166" s="15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54"/>
      <c r="G167" s="106">
        <v>14</v>
      </c>
      <c r="H167" s="154"/>
      <c r="I167" s="155"/>
      <c r="J167" s="15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54"/>
      <c r="G168" s="106">
        <v>10</v>
      </c>
      <c r="H168" s="154"/>
      <c r="I168" s="155"/>
      <c r="J168" s="15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54"/>
      <c r="G169" s="106">
        <v>14</v>
      </c>
      <c r="H169" s="154"/>
      <c r="I169" s="155"/>
      <c r="J169" s="15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54"/>
      <c r="G170" s="106">
        <v>18</v>
      </c>
      <c r="H170" s="154"/>
      <c r="I170" s="155"/>
      <c r="J170" s="15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54"/>
      <c r="G171" s="106">
        <v>17</v>
      </c>
      <c r="H171" s="154"/>
      <c r="I171" s="155"/>
      <c r="J171" s="15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54"/>
      <c r="G172" s="106">
        <v>10</v>
      </c>
      <c r="H172" s="154"/>
      <c r="I172" s="155"/>
      <c r="J172" s="15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54"/>
      <c r="G173" s="106">
        <v>14</v>
      </c>
      <c r="H173" s="154"/>
      <c r="I173" s="155"/>
      <c r="J173" s="15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54"/>
      <c r="G174" s="106">
        <v>15</v>
      </c>
      <c r="H174" s="154"/>
      <c r="I174" s="155"/>
      <c r="J174" s="15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57"/>
      <c r="G175" s="106">
        <v>5</v>
      </c>
      <c r="H175" s="157"/>
      <c r="I175" s="158"/>
      <c r="J175" s="15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32" t="s">
        <v>241</v>
      </c>
      <c r="B176" s="133"/>
      <c r="C176" s="133"/>
      <c r="D176" s="133"/>
      <c r="E176" s="13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60"/>
      <c r="G177" s="106">
        <v>12</v>
      </c>
      <c r="H177" s="160"/>
      <c r="I177" s="161"/>
      <c r="J177" s="16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54"/>
      <c r="G178" s="106">
        <v>8</v>
      </c>
      <c r="H178" s="154"/>
      <c r="I178" s="155"/>
      <c r="J178" s="15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54"/>
      <c r="G179" s="106">
        <v>6</v>
      </c>
      <c r="H179" s="154"/>
      <c r="I179" s="155"/>
      <c r="J179" s="15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54"/>
      <c r="G180" s="106">
        <v>23</v>
      </c>
      <c r="H180" s="154"/>
      <c r="I180" s="155"/>
      <c r="J180" s="15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54"/>
      <c r="G181" s="106">
        <v>10</v>
      </c>
      <c r="H181" s="154"/>
      <c r="I181" s="155"/>
      <c r="J181" s="15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54"/>
      <c r="G182" s="106">
        <v>13</v>
      </c>
      <c r="H182" s="154"/>
      <c r="I182" s="155"/>
      <c r="J182" s="15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54"/>
      <c r="G183" s="106">
        <v>16</v>
      </c>
      <c r="H183" s="154"/>
      <c r="I183" s="155"/>
      <c r="J183" s="15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54"/>
      <c r="G184" s="106">
        <v>9</v>
      </c>
      <c r="H184" s="154"/>
      <c r="I184" s="155"/>
      <c r="J184" s="15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54"/>
      <c r="G185" s="106">
        <v>19</v>
      </c>
      <c r="H185" s="154"/>
      <c r="I185" s="155"/>
      <c r="J185" s="15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54"/>
      <c r="G186" s="106">
        <v>20</v>
      </c>
      <c r="H186" s="154"/>
      <c r="I186" s="155"/>
      <c r="J186" s="15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54"/>
      <c r="G187" s="106">
        <v>18</v>
      </c>
      <c r="H187" s="154"/>
      <c r="I187" s="155"/>
      <c r="J187" s="15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57"/>
      <c r="G188" s="106">
        <v>8</v>
      </c>
      <c r="H188" s="157"/>
      <c r="I188" s="158"/>
      <c r="J188" s="15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32" t="s">
        <v>244</v>
      </c>
      <c r="B189" s="133"/>
      <c r="C189" s="133"/>
      <c r="D189" s="133"/>
      <c r="E189" s="13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34" t="s">
        <v>245</v>
      </c>
      <c r="B190" s="135"/>
      <c r="C190" s="135"/>
      <c r="D190" s="135"/>
      <c r="E190" s="135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60"/>
      <c r="G191" s="106">
        <v>15</v>
      </c>
      <c r="H191" s="160"/>
      <c r="I191" s="161"/>
      <c r="J191" s="16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54"/>
      <c r="G192" s="106">
        <v>15</v>
      </c>
      <c r="H192" s="154"/>
      <c r="I192" s="155"/>
      <c r="J192" s="15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54"/>
      <c r="G193" s="106">
        <v>14</v>
      </c>
      <c r="H193" s="154"/>
      <c r="I193" s="155"/>
      <c r="J193" s="15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54"/>
      <c r="G194" s="106">
        <v>18</v>
      </c>
      <c r="H194" s="154"/>
      <c r="I194" s="155"/>
      <c r="J194" s="15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54"/>
      <c r="G195" s="106">
        <v>10</v>
      </c>
      <c r="H195" s="154"/>
      <c r="I195" s="155"/>
      <c r="J195" s="15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54"/>
      <c r="G196" s="106">
        <v>17</v>
      </c>
      <c r="H196" s="154"/>
      <c r="I196" s="155"/>
      <c r="J196" s="15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54"/>
      <c r="G197" s="106">
        <v>0</v>
      </c>
      <c r="H197" s="154"/>
      <c r="I197" s="155"/>
      <c r="J197" s="15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54"/>
      <c r="G198" s="106">
        <v>16</v>
      </c>
      <c r="H198" s="154"/>
      <c r="I198" s="155"/>
      <c r="J198" s="15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54"/>
      <c r="G199" s="106">
        <v>17</v>
      </c>
      <c r="H199" s="154"/>
      <c r="I199" s="155"/>
      <c r="J199" s="15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54"/>
      <c r="G200" s="106">
        <v>20</v>
      </c>
      <c r="H200" s="154"/>
      <c r="I200" s="155"/>
      <c r="J200" s="15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54"/>
      <c r="G201" s="106">
        <v>10</v>
      </c>
      <c r="H201" s="154"/>
      <c r="I201" s="155"/>
      <c r="J201" s="15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57"/>
      <c r="G202" s="106">
        <v>9</v>
      </c>
      <c r="H202" s="157"/>
      <c r="I202" s="158"/>
      <c r="J202" s="15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32" t="s">
        <v>241</v>
      </c>
      <c r="B203" s="133"/>
      <c r="C203" s="133"/>
      <c r="D203" s="133"/>
      <c r="E203" s="13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60"/>
      <c r="G204" s="106">
        <v>14</v>
      </c>
      <c r="H204" s="160"/>
      <c r="I204" s="161"/>
      <c r="J204" s="16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54"/>
      <c r="G205" s="106">
        <v>6</v>
      </c>
      <c r="H205" s="154"/>
      <c r="I205" s="155"/>
      <c r="J205" s="156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54"/>
      <c r="G206" s="106">
        <v>0</v>
      </c>
      <c r="H206" s="154"/>
      <c r="I206" s="155"/>
      <c r="J206" s="15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54"/>
      <c r="G207" s="106">
        <v>0</v>
      </c>
      <c r="H207" s="154"/>
      <c r="I207" s="155"/>
      <c r="J207" s="15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54"/>
      <c r="G208" s="106">
        <v>0</v>
      </c>
      <c r="H208" s="154"/>
      <c r="I208" s="155"/>
      <c r="J208" s="15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54"/>
      <c r="G209" s="106">
        <v>20</v>
      </c>
      <c r="H209" s="154"/>
      <c r="I209" s="155"/>
      <c r="J209" s="15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54"/>
      <c r="G210" s="106">
        <v>19</v>
      </c>
      <c r="H210" s="154"/>
      <c r="I210" s="155"/>
      <c r="J210" s="15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54"/>
      <c r="G211" s="106">
        <v>19</v>
      </c>
      <c r="H211" s="154"/>
      <c r="I211" s="155"/>
      <c r="J211" s="15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54"/>
      <c r="G212" s="106">
        <v>16</v>
      </c>
      <c r="H212" s="154"/>
      <c r="I212" s="155"/>
      <c r="J212" s="15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54"/>
      <c r="G213" s="106">
        <v>13</v>
      </c>
      <c r="H213" s="154"/>
      <c r="I213" s="155"/>
      <c r="J213" s="15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54"/>
      <c r="G214" s="106">
        <v>17</v>
      </c>
      <c r="H214" s="154"/>
      <c r="I214" s="155"/>
      <c r="J214" s="15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57"/>
      <c r="G215" s="106">
        <v>12</v>
      </c>
      <c r="H215" s="157"/>
      <c r="I215" s="158"/>
      <c r="J215" s="15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32" t="s">
        <v>244</v>
      </c>
      <c r="B216" s="133"/>
      <c r="C216" s="133"/>
      <c r="D216" s="133"/>
      <c r="E216" s="13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34" t="s">
        <v>245</v>
      </c>
      <c r="B217" s="135"/>
      <c r="C217" s="135"/>
      <c r="D217" s="135"/>
      <c r="E217" s="135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60"/>
      <c r="G218" s="106">
        <v>15</v>
      </c>
      <c r="H218" s="160"/>
      <c r="I218" s="161"/>
      <c r="J218" s="16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54"/>
      <c r="G219" s="106">
        <v>22</v>
      </c>
      <c r="H219" s="154"/>
      <c r="I219" s="155"/>
      <c r="J219" s="15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54"/>
      <c r="G220" s="106">
        <v>14</v>
      </c>
      <c r="H220" s="154"/>
      <c r="I220" s="155"/>
      <c r="J220" s="15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54"/>
      <c r="G221" s="106">
        <v>7</v>
      </c>
      <c r="H221" s="154"/>
      <c r="I221" s="155"/>
      <c r="J221" s="15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54"/>
      <c r="G222" s="106">
        <v>20</v>
      </c>
      <c r="H222" s="154"/>
      <c r="I222" s="155"/>
      <c r="J222" s="15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54"/>
      <c r="G223" s="106">
        <v>20</v>
      </c>
      <c r="H223" s="154"/>
      <c r="I223" s="155"/>
      <c r="J223" s="15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54"/>
      <c r="G224" s="106">
        <v>10</v>
      </c>
      <c r="H224" s="154"/>
      <c r="I224" s="155"/>
      <c r="J224" s="15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54"/>
      <c r="G225" s="106">
        <v>3</v>
      </c>
      <c r="H225" s="154"/>
      <c r="I225" s="155"/>
      <c r="J225" s="15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54"/>
      <c r="G226" s="106">
        <v>16</v>
      </c>
      <c r="H226" s="154"/>
      <c r="I226" s="155"/>
      <c r="J226" s="15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54"/>
      <c r="G227" s="106">
        <v>15</v>
      </c>
      <c r="H227" s="154"/>
      <c r="I227" s="155"/>
      <c r="J227" s="15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54"/>
      <c r="G228" s="106">
        <v>17</v>
      </c>
      <c r="H228" s="154"/>
      <c r="I228" s="155"/>
      <c r="J228" s="15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57"/>
      <c r="G229" s="106">
        <v>10</v>
      </c>
      <c r="H229" s="157"/>
      <c r="I229" s="158"/>
      <c r="J229" s="15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32" t="s">
        <v>241</v>
      </c>
      <c r="B230" s="133"/>
      <c r="C230" s="133"/>
      <c r="D230" s="133"/>
      <c r="E230" s="13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60"/>
      <c r="G231" s="106">
        <v>18</v>
      </c>
      <c r="H231" s="160"/>
      <c r="I231" s="161"/>
      <c r="J231" s="16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54"/>
      <c r="G232" s="106">
        <v>5</v>
      </c>
      <c r="H232" s="154"/>
      <c r="I232" s="155"/>
      <c r="J232" s="15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54"/>
      <c r="G233" s="106">
        <v>7</v>
      </c>
      <c r="H233" s="154"/>
      <c r="I233" s="155"/>
      <c r="J233" s="15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54"/>
      <c r="G234" s="106">
        <v>11</v>
      </c>
      <c r="H234" s="154"/>
      <c r="I234" s="155"/>
      <c r="J234" s="15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54"/>
      <c r="G235" s="106">
        <v>15</v>
      </c>
      <c r="H235" s="154"/>
      <c r="I235" s="155"/>
      <c r="J235" s="15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54"/>
      <c r="G236" s="106">
        <v>12</v>
      </c>
      <c r="H236" s="154"/>
      <c r="I236" s="155"/>
      <c r="J236" s="15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54"/>
      <c r="G237" s="106">
        <v>12</v>
      </c>
      <c r="H237" s="154"/>
      <c r="I237" s="155"/>
      <c r="J237" s="15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54"/>
      <c r="G238" s="106">
        <v>17</v>
      </c>
      <c r="H238" s="154"/>
      <c r="I238" s="155"/>
      <c r="J238" s="15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54"/>
      <c r="G239" s="106">
        <v>11</v>
      </c>
      <c r="H239" s="154"/>
      <c r="I239" s="155"/>
      <c r="J239" s="15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54"/>
      <c r="G240" s="106">
        <v>14</v>
      </c>
      <c r="H240" s="154"/>
      <c r="I240" s="155"/>
      <c r="J240" s="15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54"/>
      <c r="G241" s="106">
        <v>15</v>
      </c>
      <c r="H241" s="154"/>
      <c r="I241" s="155"/>
      <c r="J241" s="15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57"/>
      <c r="G242" s="106">
        <v>0</v>
      </c>
      <c r="H242" s="157"/>
      <c r="I242" s="158"/>
      <c r="J242" s="15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32" t="s">
        <v>244</v>
      </c>
      <c r="B243" s="133"/>
      <c r="C243" s="133"/>
      <c r="D243" s="133"/>
      <c r="E243" s="13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34" t="s">
        <v>245</v>
      </c>
      <c r="B244" s="135"/>
      <c r="C244" s="135"/>
      <c r="D244" s="135"/>
      <c r="E244" s="135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60"/>
      <c r="G245" s="27">
        <v>15</v>
      </c>
      <c r="H245" s="160"/>
      <c r="I245" s="161"/>
      <c r="J245" s="16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54"/>
      <c r="G246" s="27" t="s">
        <v>330</v>
      </c>
      <c r="H246" s="154"/>
      <c r="I246" s="155"/>
      <c r="J246" s="15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54"/>
      <c r="G247" s="27">
        <v>19</v>
      </c>
      <c r="H247" s="154"/>
      <c r="I247" s="155"/>
      <c r="J247" s="15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54"/>
      <c r="G248" s="27">
        <v>24</v>
      </c>
      <c r="H248" s="154"/>
      <c r="I248" s="155"/>
      <c r="J248" s="15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54"/>
      <c r="G249" s="27">
        <v>10</v>
      </c>
      <c r="H249" s="154"/>
      <c r="I249" s="155"/>
      <c r="J249" s="15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54"/>
      <c r="G250" s="27">
        <v>16</v>
      </c>
      <c r="H250" s="154"/>
      <c r="I250" s="155"/>
      <c r="J250" s="15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54"/>
      <c r="G251" s="27">
        <v>0</v>
      </c>
      <c r="H251" s="154"/>
      <c r="I251" s="155"/>
      <c r="J251" s="15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54"/>
      <c r="G252" s="27">
        <v>18</v>
      </c>
      <c r="H252" s="154"/>
      <c r="I252" s="155"/>
      <c r="J252" s="15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54"/>
      <c r="G253" s="27">
        <v>15</v>
      </c>
      <c r="H253" s="154"/>
      <c r="I253" s="155"/>
      <c r="J253" s="15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54"/>
      <c r="G254" s="27">
        <v>18</v>
      </c>
      <c r="H254" s="154"/>
      <c r="I254" s="155"/>
      <c r="J254" s="15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54"/>
      <c r="G255" s="27">
        <v>11</v>
      </c>
      <c r="H255" s="154"/>
      <c r="I255" s="155"/>
      <c r="J255" s="15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57"/>
      <c r="G256" s="27">
        <v>21</v>
      </c>
      <c r="H256" s="157"/>
      <c r="I256" s="158"/>
      <c r="J256" s="15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32" t="s">
        <v>241</v>
      </c>
      <c r="B257" s="133"/>
      <c r="C257" s="133"/>
      <c r="D257" s="133"/>
      <c r="E257" s="13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60"/>
      <c r="G258" s="27">
        <v>1</v>
      </c>
      <c r="H258" s="160"/>
      <c r="I258" s="161"/>
      <c r="J258" s="16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54"/>
      <c r="G259" s="27">
        <v>20</v>
      </c>
      <c r="H259" s="154"/>
      <c r="I259" s="155"/>
      <c r="J259" s="15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54"/>
      <c r="G260" s="27">
        <v>15</v>
      </c>
      <c r="H260" s="154"/>
      <c r="I260" s="155"/>
      <c r="J260" s="15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54"/>
      <c r="G261" s="27">
        <v>27</v>
      </c>
      <c r="H261" s="154"/>
      <c r="I261" s="155"/>
      <c r="J261" s="15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54"/>
      <c r="G262" s="27">
        <v>19</v>
      </c>
      <c r="H262" s="154"/>
      <c r="I262" s="155"/>
      <c r="J262" s="15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54"/>
      <c r="G263" s="27">
        <v>16</v>
      </c>
      <c r="H263" s="154"/>
      <c r="I263" s="155"/>
      <c r="J263" s="15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54"/>
      <c r="G264" s="27">
        <v>2</v>
      </c>
      <c r="H264" s="154"/>
      <c r="I264" s="155"/>
      <c r="J264" s="15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54"/>
      <c r="G265" s="27">
        <v>16</v>
      </c>
      <c r="H265" s="154"/>
      <c r="I265" s="155"/>
      <c r="J265" s="15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54"/>
      <c r="G266" s="27">
        <v>14</v>
      </c>
      <c r="H266" s="154"/>
      <c r="I266" s="155"/>
      <c r="J266" s="15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54"/>
      <c r="G267" s="27">
        <v>21</v>
      </c>
      <c r="H267" s="154"/>
      <c r="I267" s="155"/>
      <c r="J267" s="15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54"/>
      <c r="G268" s="27">
        <v>20</v>
      </c>
      <c r="H268" s="154"/>
      <c r="I268" s="155"/>
      <c r="J268" s="15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57"/>
      <c r="G269" s="27">
        <v>9</v>
      </c>
      <c r="H269" s="157"/>
      <c r="I269" s="158"/>
      <c r="J269" s="15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32" t="s">
        <v>244</v>
      </c>
      <c r="B270" s="133"/>
      <c r="C270" s="133"/>
      <c r="D270" s="133"/>
      <c r="E270" s="13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34" t="s">
        <v>245</v>
      </c>
      <c r="B271" s="135"/>
      <c r="C271" s="135"/>
      <c r="D271" s="135"/>
      <c r="E271" s="135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60"/>
      <c r="G272" s="27">
        <v>20</v>
      </c>
      <c r="H272" s="160"/>
      <c r="I272" s="161"/>
      <c r="J272" s="16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54"/>
      <c r="G273" s="27">
        <v>15</v>
      </c>
      <c r="H273" s="154"/>
      <c r="I273" s="155"/>
      <c r="J273" s="15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54"/>
      <c r="G274" s="27">
        <v>5</v>
      </c>
      <c r="H274" s="154"/>
      <c r="I274" s="155"/>
      <c r="J274" s="15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54"/>
      <c r="G275" s="27">
        <v>14</v>
      </c>
      <c r="H275" s="154"/>
      <c r="I275" s="155"/>
      <c r="J275" s="15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54"/>
      <c r="G276" s="27">
        <v>10</v>
      </c>
      <c r="H276" s="154"/>
      <c r="I276" s="155"/>
      <c r="J276" s="15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54"/>
      <c r="G277" s="27">
        <v>9</v>
      </c>
      <c r="H277" s="154"/>
      <c r="I277" s="155"/>
      <c r="J277" s="15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54"/>
      <c r="G278" s="27">
        <v>21</v>
      </c>
      <c r="H278" s="154"/>
      <c r="I278" s="155"/>
      <c r="J278" s="15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54"/>
      <c r="G279" s="27">
        <v>14</v>
      </c>
      <c r="H279" s="154"/>
      <c r="I279" s="155"/>
      <c r="J279" s="15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54"/>
      <c r="G280" s="27">
        <v>10</v>
      </c>
      <c r="H280" s="154"/>
      <c r="I280" s="155"/>
      <c r="J280" s="15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54"/>
      <c r="G281" s="27">
        <v>20</v>
      </c>
      <c r="H281" s="154"/>
      <c r="I281" s="155"/>
      <c r="J281" s="15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54"/>
      <c r="G282" s="27">
        <v>19</v>
      </c>
      <c r="H282" s="154"/>
      <c r="I282" s="155"/>
      <c r="J282" s="15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57"/>
      <c r="G283" s="27">
        <v>15</v>
      </c>
      <c r="H283" s="157"/>
      <c r="I283" s="158"/>
      <c r="J283" s="15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32" t="s">
        <v>241</v>
      </c>
      <c r="B284" s="133"/>
      <c r="C284" s="133"/>
      <c r="D284" s="133"/>
      <c r="E284" s="13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60"/>
      <c r="G285" s="27">
        <v>10</v>
      </c>
      <c r="H285" s="160"/>
      <c r="I285" s="161"/>
      <c r="J285" s="16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54"/>
      <c r="G286" s="27">
        <v>10</v>
      </c>
      <c r="H286" s="154"/>
      <c r="I286" s="155"/>
      <c r="J286" s="15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54"/>
      <c r="G287" s="27">
        <v>27</v>
      </c>
      <c r="H287" s="154"/>
      <c r="I287" s="155"/>
      <c r="J287" s="15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54"/>
      <c r="G288" s="27">
        <v>26</v>
      </c>
      <c r="H288" s="154"/>
      <c r="I288" s="155"/>
      <c r="J288" s="15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54"/>
      <c r="G289" s="27">
        <v>14</v>
      </c>
      <c r="H289" s="154"/>
      <c r="I289" s="155"/>
      <c r="J289" s="15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54"/>
      <c r="G290" s="27">
        <v>6</v>
      </c>
      <c r="H290" s="154"/>
      <c r="I290" s="155"/>
      <c r="J290" s="15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54"/>
      <c r="G291" s="27">
        <v>9</v>
      </c>
      <c r="H291" s="154"/>
      <c r="I291" s="155"/>
      <c r="J291" s="15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54"/>
      <c r="G292" s="27">
        <v>1</v>
      </c>
      <c r="H292" s="154"/>
      <c r="I292" s="155"/>
      <c r="J292" s="15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54"/>
      <c r="G293" s="27">
        <v>15</v>
      </c>
      <c r="H293" s="154"/>
      <c r="I293" s="155"/>
      <c r="J293" s="15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54"/>
      <c r="G294" s="27">
        <v>9</v>
      </c>
      <c r="H294" s="154"/>
      <c r="I294" s="155"/>
      <c r="J294" s="15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54"/>
      <c r="G295" s="27">
        <v>13</v>
      </c>
      <c r="H295" s="154"/>
      <c r="I295" s="155"/>
      <c r="J295" s="15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57"/>
      <c r="G296" s="27">
        <v>12</v>
      </c>
      <c r="H296" s="157"/>
      <c r="I296" s="158"/>
      <c r="J296" s="15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32" t="s">
        <v>244</v>
      </c>
      <c r="B297" s="133"/>
      <c r="C297" s="133"/>
      <c r="D297" s="133"/>
      <c r="E297" s="13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34" t="s">
        <v>245</v>
      </c>
      <c r="B298" s="135"/>
      <c r="C298" s="135"/>
      <c r="D298" s="135"/>
      <c r="E298" s="135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60">
        <f>IFERROR(IF($D299="","",VLOOKUP($D299,Cadastro!$C$4:$E$7,3,FALSE)),"")</f>
        <v>0.23</v>
      </c>
      <c r="G299" s="27">
        <v>15</v>
      </c>
      <c r="H299" s="160">
        <f>IFERROR(IF($G299="","",$G299*$S$311/$G$311/Cadastro!$E$33),"")</f>
        <v>0</v>
      </c>
      <c r="I299" s="161">
        <f>IFERROR(IF($D299="","",VLOOKUP($D299,Cadastro!$C$4:$G$7,5,FALSE)),"")</f>
        <v>0.6</v>
      </c>
      <c r="J299" s="156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54">
        <f>IFERROR(IF($D300="","",VLOOKUP($D300,Cadastro!$C$4:$E$7,3,FALSE)),"")</f>
        <v>0.23</v>
      </c>
      <c r="G300" s="27">
        <v>17</v>
      </c>
      <c r="H300" s="154">
        <f>IFERROR(IF($G300="","",$G300*$S$311/$G$311/Cadastro!$E$33),"")</f>
        <v>0</v>
      </c>
      <c r="I300" s="155">
        <f>IFERROR(IF($D300="","",VLOOKUP($D300,Cadastro!$C$4:$G$7,5,FALSE)),"")</f>
        <v>0.6</v>
      </c>
      <c r="J300" s="156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54">
        <f>IFERROR(IF($D301="","",VLOOKUP($D301,Cadastro!$C$4:$E$7,3,FALSE)),"")</f>
        <v>0.23</v>
      </c>
      <c r="G301" s="27">
        <v>22</v>
      </c>
      <c r="H301" s="154">
        <f>IFERROR(IF($G301="","",$G301*$S$311/$G$311/Cadastro!$E$33),"")</f>
        <v>0</v>
      </c>
      <c r="I301" s="155">
        <f>IFERROR(IF($D301="","",VLOOKUP($D301,Cadastro!$C$4:$G$7,5,FALSE)),"")</f>
        <v>0.6</v>
      </c>
      <c r="J301" s="156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54">
        <f>IFERROR(IF($D302="","",VLOOKUP($D302,Cadastro!$C$4:$E$7,3,FALSE)),"")</f>
        <v>0.23</v>
      </c>
      <c r="G302" s="27">
        <v>10</v>
      </c>
      <c r="H302" s="154">
        <f>IFERROR(IF($G302="","",$G302*$S$311/$G$311/Cadastro!$E$33),"")</f>
        <v>0</v>
      </c>
      <c r="I302" s="155">
        <f>IFERROR(IF($D302="","",VLOOKUP($D302,Cadastro!$C$4:$G$7,5,FALSE)),"")</f>
        <v>0.6</v>
      </c>
      <c r="J302" s="156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54">
        <f>IFERROR(IF($D303="","",VLOOKUP($D303,Cadastro!$C$4:$E$7,3,FALSE)),"")</f>
        <v>0.23</v>
      </c>
      <c r="G303" s="27">
        <v>29</v>
      </c>
      <c r="H303" s="154">
        <f>IFERROR(IF($G303="","",$G303*$S$311/$G$311/Cadastro!$E$33),"")</f>
        <v>0</v>
      </c>
      <c r="I303" s="155">
        <f>IFERROR(IF($D303="","",VLOOKUP($D303,Cadastro!$C$4:$G$7,5,FALSE)),"")</f>
        <v>0.6</v>
      </c>
      <c r="J303" s="156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54">
        <f>IFERROR(IF($D304="","",VLOOKUP($D304,Cadastro!$C$4:$E$7,3,FALSE)),"")</f>
        <v>0.23</v>
      </c>
      <c r="G304" s="27">
        <v>30</v>
      </c>
      <c r="H304" s="154">
        <f>IFERROR(IF($G304="","",$G304*$S$311/$G$311/Cadastro!$E$33),"")</f>
        <v>0</v>
      </c>
      <c r="I304" s="155">
        <f>IFERROR(IF($D304="","",VLOOKUP($D304,Cadastro!$C$4:$G$7,5,FALSE)),"")</f>
        <v>0.6</v>
      </c>
      <c r="J304" s="156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54">
        <f>IFERROR(IF($D305="","",VLOOKUP($D305,Cadastro!$C$4:$E$7,3,FALSE)),"")</f>
        <v>0.23</v>
      </c>
      <c r="G305" s="27">
        <v>20</v>
      </c>
      <c r="H305" s="154">
        <f>IFERROR(IF($G305="","",$G305*$S$311/$G$311/Cadastro!$E$33),"")</f>
        <v>0</v>
      </c>
      <c r="I305" s="155">
        <f>IFERROR(IF($D305="","",VLOOKUP($D305,Cadastro!$C$4:$G$7,5,FALSE)),"")</f>
        <v>0.6</v>
      </c>
      <c r="J305" s="156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54">
        <f>IFERROR(IF($D306="","",VLOOKUP($D306,Cadastro!$C$4:$E$7,3,FALSE)),"")</f>
        <v>0.23</v>
      </c>
      <c r="G306" s="106"/>
      <c r="H306" s="154" t="str">
        <f>IFERROR(IF($G306="","",$G306*$S$311/$G$311/Cadastro!$E$33),"")</f>
        <v/>
      </c>
      <c r="I306" s="155">
        <f>IFERROR(IF($D306="","",VLOOKUP($D306,Cadastro!$C$4:$G$7,5,FALSE)),"")</f>
        <v>0.6</v>
      </c>
      <c r="J306" s="156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54">
        <f>IFERROR(IF($D307="","",VLOOKUP($D307,Cadastro!$C$4:$E$7,3,FALSE)),"")</f>
        <v>0.23</v>
      </c>
      <c r="G307" s="106"/>
      <c r="H307" s="154" t="str">
        <f>IFERROR(IF($G307="","",$G307*$S$311/$G$311/Cadastro!$E$33),"")</f>
        <v/>
      </c>
      <c r="I307" s="155">
        <f>IFERROR(IF($D307="","",VLOOKUP($D307,Cadastro!$C$4:$G$7,5,FALSE)),"")</f>
        <v>0.6</v>
      </c>
      <c r="J307" s="156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54">
        <f>IFERROR(IF($D308="","",VLOOKUP($D308,Cadastro!$C$4:$E$7,3,FALSE)),"")</f>
        <v>0.23</v>
      </c>
      <c r="G308" s="106"/>
      <c r="H308" s="154" t="str">
        <f>IFERROR(IF($G308="","",$G308*$S$311/$G$311/Cadastro!$E$33),"")</f>
        <v/>
      </c>
      <c r="I308" s="155">
        <f>IFERROR(IF($D308="","",VLOOKUP($D308,Cadastro!$C$4:$G$7,5,FALSE)),"")</f>
        <v>0.6</v>
      </c>
      <c r="J308" s="156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54">
        <f>IFERROR(IF($D309="","",VLOOKUP($D309,Cadastro!$C$4:$E$7,3,FALSE)),"")</f>
        <v>0.23</v>
      </c>
      <c r="G309" s="106"/>
      <c r="H309" s="154" t="str">
        <f>IFERROR(IF($G309="","",$G309*$S$311/$G$311/Cadastro!$E$33),"")</f>
        <v/>
      </c>
      <c r="I309" s="155">
        <f>IFERROR(IF($D309="","",VLOOKUP($D309,Cadastro!$C$4:$G$7,5,FALSE)),"")</f>
        <v>0.6</v>
      </c>
      <c r="J309" s="156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57">
        <f>IFERROR(IF($D310="","",VLOOKUP($D310,Cadastro!$C$4:$E$7,3,FALSE)),"")</f>
        <v>0.23</v>
      </c>
      <c r="G310" s="106"/>
      <c r="H310" s="157" t="str">
        <f>IFERROR(IF($G310="","",$G310*$S$311/$G$311/Cadastro!$E$33),"")</f>
        <v/>
      </c>
      <c r="I310" s="158">
        <f>IFERROR(IF($D310="","",VLOOKUP($D310,Cadastro!$C$4:$G$7,5,FALSE)),"")</f>
        <v>0.6</v>
      </c>
      <c r="J310" s="159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32" t="s">
        <v>241</v>
      </c>
      <c r="B311" s="133"/>
      <c r="C311" s="133"/>
      <c r="D311" s="133"/>
      <c r="E311" s="13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60" t="str">
        <f>IFERROR(IF($D312="","",VLOOKUP($D312,Cadastro!$C$4:$E$7,3,FALSE)),"")</f>
        <v/>
      </c>
      <c r="G312" s="106"/>
      <c r="H312" s="160" t="str">
        <f>IFERROR(IF($G312="","",$G312*$S$324/$G$324/Cadastro!$E$33),"")</f>
        <v/>
      </c>
      <c r="I312" s="161" t="str">
        <f>IFERROR(IF($D312="","",VLOOKUP($D312,Cadastro!$C$4:$G$7,5,FALSE)),"")</f>
        <v/>
      </c>
      <c r="J312" s="162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54" t="str">
        <f>IFERROR(IF($D313="","",VLOOKUP($D313,Cadastro!$C$4:$E$7,3,FALSE)),"")</f>
        <v/>
      </c>
      <c r="G313" s="106"/>
      <c r="H313" s="154" t="str">
        <f>IFERROR(IF($G313="","",$G313*$S$324/$G$324/Cadastro!$E$33),"")</f>
        <v/>
      </c>
      <c r="I313" s="155" t="str">
        <f>IFERROR(IF($D313="","",VLOOKUP($D313,Cadastro!$C$4:$G$7,5,FALSE)),"")</f>
        <v/>
      </c>
      <c r="J313" s="156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54" t="str">
        <f>IFERROR(IF($D314="","",VLOOKUP($D314,Cadastro!$C$4:$E$7,3,FALSE)),"")</f>
        <v/>
      </c>
      <c r="G314" s="106"/>
      <c r="H314" s="154" t="str">
        <f>IFERROR(IF($G314="","",$G314*$S$324/$G$324/Cadastro!$E$33),"")</f>
        <v/>
      </c>
      <c r="I314" s="155" t="str">
        <f>IFERROR(IF($D314="","",VLOOKUP($D314,Cadastro!$C$4:$G$7,5,FALSE)),"")</f>
        <v/>
      </c>
      <c r="J314" s="156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54" t="str">
        <f>IFERROR(IF($D315="","",VLOOKUP($D315,Cadastro!$C$4:$E$7,3,FALSE)),"")</f>
        <v/>
      </c>
      <c r="G315" s="106"/>
      <c r="H315" s="154" t="str">
        <f>IFERROR(IF($G315="","",$G315*$S$324/$G$324/Cadastro!$E$33),"")</f>
        <v/>
      </c>
      <c r="I315" s="155" t="str">
        <f>IFERROR(IF($D315="","",VLOOKUP($D315,Cadastro!$C$4:$G$7,5,FALSE)),"")</f>
        <v/>
      </c>
      <c r="J315" s="156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54" t="str">
        <f>IFERROR(IF($D316="","",VLOOKUP($D316,Cadastro!$C$4:$E$7,3,FALSE)),"")</f>
        <v/>
      </c>
      <c r="G316" s="106"/>
      <c r="H316" s="154" t="str">
        <f>IFERROR(IF($G316="","",$G316*$S$324/$G$324/Cadastro!$E$33),"")</f>
        <v/>
      </c>
      <c r="I316" s="155" t="str">
        <f>IFERROR(IF($D316="","",VLOOKUP($D316,Cadastro!$C$4:$G$7,5,FALSE)),"")</f>
        <v/>
      </c>
      <c r="J316" s="156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54" t="str">
        <f>IFERROR(IF($D317="","",VLOOKUP($D317,Cadastro!$C$4:$E$7,3,FALSE)),"")</f>
        <v/>
      </c>
      <c r="G317" s="106"/>
      <c r="H317" s="154" t="str">
        <f>IFERROR(IF($G317="","",$G317*$S$324/$G$324/Cadastro!$E$33),"")</f>
        <v/>
      </c>
      <c r="I317" s="155" t="str">
        <f>IFERROR(IF($D317="","",VLOOKUP($D317,Cadastro!$C$4:$G$7,5,FALSE)),"")</f>
        <v/>
      </c>
      <c r="J317" s="156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54" t="str">
        <f>IFERROR(IF($D318="","",VLOOKUP($D318,Cadastro!$C$4:$E$7,3,FALSE)),"")</f>
        <v/>
      </c>
      <c r="G318" s="106"/>
      <c r="H318" s="154" t="str">
        <f>IFERROR(IF($G318="","",$G318*$S$324/$G$324/Cadastro!$E$33),"")</f>
        <v/>
      </c>
      <c r="I318" s="155" t="str">
        <f>IFERROR(IF($D318="","",VLOOKUP($D318,Cadastro!$C$4:$G$7,5,FALSE)),"")</f>
        <v/>
      </c>
      <c r="J318" s="156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54" t="str">
        <f>IFERROR(IF($D319="","",VLOOKUP($D319,Cadastro!$C$4:$E$7,3,FALSE)),"")</f>
        <v/>
      </c>
      <c r="G319" s="106"/>
      <c r="H319" s="154" t="str">
        <f>IFERROR(IF($G319="","",$G319*$S$324/$G$324/Cadastro!$E$33),"")</f>
        <v/>
      </c>
      <c r="I319" s="155" t="str">
        <f>IFERROR(IF($D319="","",VLOOKUP($D319,Cadastro!$C$4:$G$7,5,FALSE)),"")</f>
        <v/>
      </c>
      <c r="J319" s="156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54" t="str">
        <f>IFERROR(IF($D320="","",VLOOKUP($D320,Cadastro!$C$4:$E$7,3,FALSE)),"")</f>
        <v/>
      </c>
      <c r="G320" s="106"/>
      <c r="H320" s="154" t="str">
        <f>IFERROR(IF($G320="","",$G320*$S$324/$G$324/Cadastro!$E$33),"")</f>
        <v/>
      </c>
      <c r="I320" s="155" t="str">
        <f>IFERROR(IF($D320="","",VLOOKUP($D320,Cadastro!$C$4:$G$7,5,FALSE)),"")</f>
        <v/>
      </c>
      <c r="J320" s="156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54" t="str">
        <f>IFERROR(IF($D321="","",VLOOKUP($D321,Cadastro!$C$4:$E$7,3,FALSE)),"")</f>
        <v/>
      </c>
      <c r="G321" s="106"/>
      <c r="H321" s="154" t="str">
        <f>IFERROR(IF($G321="","",$G321*$S$324/$G$324/Cadastro!$E$33),"")</f>
        <v/>
      </c>
      <c r="I321" s="155" t="str">
        <f>IFERROR(IF($D321="","",VLOOKUP($D321,Cadastro!$C$4:$G$7,5,FALSE)),"")</f>
        <v/>
      </c>
      <c r="J321" s="156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54" t="str">
        <f>IFERROR(IF($D322="","",VLOOKUP($D322,Cadastro!$C$4:$E$7,3,FALSE)),"")</f>
        <v/>
      </c>
      <c r="G322" s="106"/>
      <c r="H322" s="154" t="str">
        <f>IFERROR(IF($G322="","",$G322*$S$324/$G$324/Cadastro!$E$33),"")</f>
        <v/>
      </c>
      <c r="I322" s="155" t="str">
        <f>IFERROR(IF($D322="","",VLOOKUP($D322,Cadastro!$C$4:$G$7,5,FALSE)),"")</f>
        <v/>
      </c>
      <c r="J322" s="156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57" t="str">
        <f>IFERROR(IF($D323="","",VLOOKUP($D323,Cadastro!$C$4:$E$7,3,FALSE)),"")</f>
        <v/>
      </c>
      <c r="G323" s="106"/>
      <c r="H323" s="157" t="str">
        <f>IFERROR(IF($G323="","",$G323*$S$324/$G$324/Cadastro!$E$33),"")</f>
        <v/>
      </c>
      <c r="I323" s="158" t="str">
        <f>IFERROR(IF($D323="","",VLOOKUP($D323,Cadastro!$C$4:$G$7,5,FALSE)),"")</f>
        <v/>
      </c>
      <c r="J323" s="159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32" t="s">
        <v>244</v>
      </c>
      <c r="B324" s="133"/>
      <c r="C324" s="133"/>
      <c r="D324" s="133"/>
      <c r="E324" s="13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34" t="s">
        <v>245</v>
      </c>
      <c r="B325" s="135"/>
      <c r="C325" s="135"/>
      <c r="D325" s="135"/>
      <c r="E325" s="135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60" t="str">
        <f>IFERROR(IF($D326="","",VLOOKUP($D326,Cadastro!$C$4:$E$7,3,FALSE)),"")</f>
        <v/>
      </c>
      <c r="G326" s="106"/>
      <c r="H326" s="160" t="str">
        <f>IFERROR(IF($G326="","",$G326*$S$338/$G$338/Cadastro!$E$33),"")</f>
        <v/>
      </c>
      <c r="I326" s="161" t="str">
        <f>IFERROR(IF($D326="","",VLOOKUP($D326,Cadastro!$C$4:$G$7,5,FALSE)),"")</f>
        <v/>
      </c>
      <c r="J326" s="162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54" t="str">
        <f>IFERROR(IF($D327="","",VLOOKUP($D327,Cadastro!$C$4:$E$7,3,FALSE)),"")</f>
        <v/>
      </c>
      <c r="G327" s="106"/>
      <c r="H327" s="154" t="str">
        <f>IFERROR(IF($G327="","",$G327*$S$338/$G$338/Cadastro!$E$33),"")</f>
        <v/>
      </c>
      <c r="I327" s="155" t="str">
        <f>IFERROR(IF($D327="","",VLOOKUP($D327,Cadastro!$C$4:$G$7,5,FALSE)),"")</f>
        <v/>
      </c>
      <c r="J327" s="15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54" t="str">
        <f>IFERROR(IF($D328="","",VLOOKUP($D328,Cadastro!$C$4:$E$7,3,FALSE)),"")</f>
        <v/>
      </c>
      <c r="G328" s="106"/>
      <c r="H328" s="154" t="str">
        <f>IFERROR(IF($G328="","",$G328*$S$338/$G$338/Cadastro!$E$33),"")</f>
        <v/>
      </c>
      <c r="I328" s="155" t="str">
        <f>IFERROR(IF($D328="","",VLOOKUP($D328,Cadastro!$C$4:$G$7,5,FALSE)),"")</f>
        <v/>
      </c>
      <c r="J328" s="15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54" t="str">
        <f>IFERROR(IF($D329="","",VLOOKUP($D329,Cadastro!$C$4:$E$7,3,FALSE)),"")</f>
        <v/>
      </c>
      <c r="G329" s="106"/>
      <c r="H329" s="154" t="str">
        <f>IFERROR(IF($G329="","",$G329*$S$338/$G$338/Cadastro!$E$33),"")</f>
        <v/>
      </c>
      <c r="I329" s="155" t="str">
        <f>IFERROR(IF($D329="","",VLOOKUP($D329,Cadastro!$C$4:$G$7,5,FALSE)),"")</f>
        <v/>
      </c>
      <c r="J329" s="15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54" t="str">
        <f>IFERROR(IF($D330="","",VLOOKUP($D330,Cadastro!$C$4:$E$7,3,FALSE)),"")</f>
        <v/>
      </c>
      <c r="G330" s="106"/>
      <c r="H330" s="154" t="str">
        <f>IFERROR(IF($G330="","",$G330*$S$338/$G$338/Cadastro!$E$33),"")</f>
        <v/>
      </c>
      <c r="I330" s="155" t="str">
        <f>IFERROR(IF($D330="","",VLOOKUP($D330,Cadastro!$C$4:$G$7,5,FALSE)),"")</f>
        <v/>
      </c>
      <c r="J330" s="15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54" t="str">
        <f>IFERROR(IF($D331="","",VLOOKUP($D331,Cadastro!$C$4:$E$7,3,FALSE)),"")</f>
        <v/>
      </c>
      <c r="G331" s="106"/>
      <c r="H331" s="154" t="str">
        <f>IFERROR(IF($G331="","",$G331*$S$338/$G$338/Cadastro!$E$33),"")</f>
        <v/>
      </c>
      <c r="I331" s="155" t="str">
        <f>IFERROR(IF($D331="","",VLOOKUP($D331,Cadastro!$C$4:$G$7,5,FALSE)),"")</f>
        <v/>
      </c>
      <c r="J331" s="15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54" t="str">
        <f>IFERROR(IF($D332="","",VLOOKUP($D332,Cadastro!$C$4:$E$7,3,FALSE)),"")</f>
        <v/>
      </c>
      <c r="G332" s="106"/>
      <c r="H332" s="154" t="str">
        <f>IFERROR(IF($G332="","",$G332*$S$338/$G$338/Cadastro!$E$33),"")</f>
        <v/>
      </c>
      <c r="I332" s="155" t="str">
        <f>IFERROR(IF($D332="","",VLOOKUP($D332,Cadastro!$C$4:$G$7,5,FALSE)),"")</f>
        <v/>
      </c>
      <c r="J332" s="15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54" t="str">
        <f>IFERROR(IF($D333="","",VLOOKUP($D333,Cadastro!$C$4:$E$7,3,FALSE)),"")</f>
        <v/>
      </c>
      <c r="G333" s="106"/>
      <c r="H333" s="154" t="str">
        <f>IFERROR(IF($G333="","",$G333*$S$338/$G$338/Cadastro!$E$33),"")</f>
        <v/>
      </c>
      <c r="I333" s="155" t="str">
        <f>IFERROR(IF($D333="","",VLOOKUP($D333,Cadastro!$C$4:$G$7,5,FALSE)),"")</f>
        <v/>
      </c>
      <c r="J333" s="15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54" t="str">
        <f>IFERROR(IF($D334="","",VLOOKUP($D334,Cadastro!$C$4:$E$7,3,FALSE)),"")</f>
        <v/>
      </c>
      <c r="G334" s="106"/>
      <c r="H334" s="154" t="str">
        <f>IFERROR(IF($G334="","",$G334*$S$338/$G$338/Cadastro!$E$33),"")</f>
        <v/>
      </c>
      <c r="I334" s="155" t="str">
        <f>IFERROR(IF($D334="","",VLOOKUP($D334,Cadastro!$C$4:$G$7,5,FALSE)),"")</f>
        <v/>
      </c>
      <c r="J334" s="15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54" t="str">
        <f>IFERROR(IF($D335="","",VLOOKUP($D335,Cadastro!$C$4:$E$7,3,FALSE)),"")</f>
        <v/>
      </c>
      <c r="G335" s="106"/>
      <c r="H335" s="154" t="str">
        <f>IFERROR(IF($G335="","",$G335*$S$338/$G$338/Cadastro!$E$33),"")</f>
        <v/>
      </c>
      <c r="I335" s="155" t="str">
        <f>IFERROR(IF($D335="","",VLOOKUP($D335,Cadastro!$C$4:$G$7,5,FALSE)),"")</f>
        <v/>
      </c>
      <c r="J335" s="15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54" t="str">
        <f>IFERROR(IF($D336="","",VLOOKUP($D336,Cadastro!$C$4:$E$7,3,FALSE)),"")</f>
        <v/>
      </c>
      <c r="G336" s="106"/>
      <c r="H336" s="154" t="str">
        <f>IFERROR(IF($G336="","",$G336*$S$338/$G$338/Cadastro!$E$33),"")</f>
        <v/>
      </c>
      <c r="I336" s="155" t="str">
        <f>IFERROR(IF($D336="","",VLOOKUP($D336,Cadastro!$C$4:$G$7,5,FALSE)),"")</f>
        <v/>
      </c>
      <c r="J336" s="15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57" t="str">
        <f>IFERROR(IF($D337="","",VLOOKUP($D337,Cadastro!$C$4:$E$7,3,FALSE)),"")</f>
        <v/>
      </c>
      <c r="G337" s="106"/>
      <c r="H337" s="157" t="str">
        <f>IFERROR(IF($G337="","",$G337*$S$338/$G$338/Cadastro!$E$33),"")</f>
        <v/>
      </c>
      <c r="I337" s="158" t="str">
        <f>IFERROR(IF($D337="","",VLOOKUP($D337,Cadastro!$C$4:$G$7,5,FALSE)),"")</f>
        <v/>
      </c>
      <c r="J337" s="15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32" t="s">
        <v>241</v>
      </c>
      <c r="B338" s="133"/>
      <c r="C338" s="133"/>
      <c r="D338" s="133"/>
      <c r="E338" s="13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60" t="str">
        <f>IFERROR(IF($D339="","",VLOOKUP($D339,Cadastro!$C$4:$E$7,3,FALSE)),"")</f>
        <v/>
      </c>
      <c r="G339" s="106"/>
      <c r="H339" s="160" t="str">
        <f>IFERROR(IF($G339="","",$G339*$S$351/$G$351/Cadastro!$E$33),"")</f>
        <v/>
      </c>
      <c r="I339" s="161" t="str">
        <f>IFERROR(IF($D339="","",VLOOKUP($D339,Cadastro!$C$4:$G$7,5,FALSE)),"")</f>
        <v/>
      </c>
      <c r="J339" s="16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54" t="str">
        <f>IFERROR(IF($D340="","",VLOOKUP($D340,Cadastro!$C$4:$E$7,3,FALSE)),"")</f>
        <v/>
      </c>
      <c r="G340" s="106"/>
      <c r="H340" s="154" t="str">
        <f>IFERROR(IF($G340="","",$G340*$S$351/$G$351/Cadastro!$E$33),"")</f>
        <v/>
      </c>
      <c r="I340" s="155" t="str">
        <f>IFERROR(IF($D340="","",VLOOKUP($D340,Cadastro!$C$4:$G$7,5,FALSE)),"")</f>
        <v/>
      </c>
      <c r="J340" s="15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54" t="str">
        <f>IFERROR(IF($D341="","",VLOOKUP($D341,Cadastro!$C$4:$E$7,3,FALSE)),"")</f>
        <v/>
      </c>
      <c r="G341" s="106"/>
      <c r="H341" s="154" t="str">
        <f>IFERROR(IF($G341="","",$G341*$S$351/$G$351/Cadastro!$E$33),"")</f>
        <v/>
      </c>
      <c r="I341" s="155" t="str">
        <f>IFERROR(IF($D341="","",VLOOKUP($D341,Cadastro!$C$4:$G$7,5,FALSE)),"")</f>
        <v/>
      </c>
      <c r="J341" s="15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54" t="str">
        <f>IFERROR(IF($D342="","",VLOOKUP($D342,Cadastro!$C$4:$E$7,3,FALSE)),"")</f>
        <v/>
      </c>
      <c r="G342" s="106"/>
      <c r="H342" s="154" t="str">
        <f>IFERROR(IF($G342="","",$G342*$S$351/$G$351/Cadastro!$E$33),"")</f>
        <v/>
      </c>
      <c r="I342" s="155" t="str">
        <f>IFERROR(IF($D342="","",VLOOKUP($D342,Cadastro!$C$4:$G$7,5,FALSE)),"")</f>
        <v/>
      </c>
      <c r="J342" s="15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54" t="str">
        <f>IFERROR(IF($D343="","",VLOOKUP($D343,Cadastro!$C$4:$E$7,3,FALSE)),"")</f>
        <v/>
      </c>
      <c r="G343" s="106"/>
      <c r="H343" s="154" t="str">
        <f>IFERROR(IF($G343="","",$G343*$S$351/$G$351/Cadastro!$E$33),"")</f>
        <v/>
      </c>
      <c r="I343" s="155" t="str">
        <f>IFERROR(IF($D343="","",VLOOKUP($D343,Cadastro!$C$4:$G$7,5,FALSE)),"")</f>
        <v/>
      </c>
      <c r="J343" s="15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54" t="str">
        <f>IFERROR(IF($D344="","",VLOOKUP($D344,Cadastro!$C$4:$E$7,3,FALSE)),"")</f>
        <v/>
      </c>
      <c r="G344" s="106"/>
      <c r="H344" s="154" t="str">
        <f>IFERROR(IF($G344="","",$G344*$S$351/$G$351/Cadastro!$E$33),"")</f>
        <v/>
      </c>
      <c r="I344" s="155" t="str">
        <f>IFERROR(IF($D344="","",VLOOKUP($D344,Cadastro!$C$4:$G$7,5,FALSE)),"")</f>
        <v/>
      </c>
      <c r="J344" s="15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54" t="str">
        <f>IFERROR(IF($D345="","",VLOOKUP($D345,Cadastro!$C$4:$E$7,3,FALSE)),"")</f>
        <v/>
      </c>
      <c r="G345" s="106"/>
      <c r="H345" s="154" t="str">
        <f>IFERROR(IF($G345="","",$G345*$S$351/$G$351/Cadastro!$E$33),"")</f>
        <v/>
      </c>
      <c r="I345" s="155" t="str">
        <f>IFERROR(IF($D345="","",VLOOKUP($D345,Cadastro!$C$4:$G$7,5,FALSE)),"")</f>
        <v/>
      </c>
      <c r="J345" s="15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54" t="str">
        <f>IFERROR(IF($D346="","",VLOOKUP($D346,Cadastro!$C$4:$E$7,3,FALSE)),"")</f>
        <v/>
      </c>
      <c r="G346" s="106"/>
      <c r="H346" s="154" t="str">
        <f>IFERROR(IF($G346="","",$G346*$S$351/$G$351/Cadastro!$E$33),"")</f>
        <v/>
      </c>
      <c r="I346" s="155" t="str">
        <f>IFERROR(IF($D346="","",VLOOKUP($D346,Cadastro!$C$4:$G$7,5,FALSE)),"")</f>
        <v/>
      </c>
      <c r="J346" s="15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54" t="str">
        <f>IFERROR(IF($D347="","",VLOOKUP($D347,Cadastro!$C$4:$E$7,3,FALSE)),"")</f>
        <v/>
      </c>
      <c r="G347" s="106"/>
      <c r="H347" s="154" t="str">
        <f>IFERROR(IF($G347="","",$G347*$S$351/$G$351/Cadastro!$E$33),"")</f>
        <v/>
      </c>
      <c r="I347" s="155" t="str">
        <f>IFERROR(IF($D347="","",VLOOKUP($D347,Cadastro!$C$4:$G$7,5,FALSE)),"")</f>
        <v/>
      </c>
      <c r="J347" s="15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54" t="str">
        <f>IFERROR(IF($D348="","",VLOOKUP($D348,Cadastro!$C$4:$E$7,3,FALSE)),"")</f>
        <v/>
      </c>
      <c r="G348" s="106"/>
      <c r="H348" s="154" t="str">
        <f>IFERROR(IF($G348="","",$G348*$S$351/$G$351/Cadastro!$E$33),"")</f>
        <v/>
      </c>
      <c r="I348" s="155" t="str">
        <f>IFERROR(IF($D348="","",VLOOKUP($D348,Cadastro!$C$4:$G$7,5,FALSE)),"")</f>
        <v/>
      </c>
      <c r="J348" s="15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54" t="str">
        <f>IFERROR(IF($D349="","",VLOOKUP($D349,Cadastro!$C$4:$E$7,3,FALSE)),"")</f>
        <v/>
      </c>
      <c r="G349" s="106"/>
      <c r="H349" s="154" t="str">
        <f>IFERROR(IF($G349="","",$G349*$S$351/$G$351/Cadastro!$E$33),"")</f>
        <v/>
      </c>
      <c r="I349" s="155" t="str">
        <f>IFERROR(IF($D349="","",VLOOKUP($D349,Cadastro!$C$4:$G$7,5,FALSE)),"")</f>
        <v/>
      </c>
      <c r="J349" s="15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57" t="str">
        <f>IFERROR(IF($D350="","",VLOOKUP($D350,Cadastro!$C$4:$E$7,3,FALSE)),"")</f>
        <v/>
      </c>
      <c r="G350" s="106"/>
      <c r="H350" s="157" t="str">
        <f>IFERROR(IF($G350="","",$G350*$S$351/$G$351/Cadastro!$E$33),"")</f>
        <v/>
      </c>
      <c r="I350" s="158" t="str">
        <f>IFERROR(IF($D350="","",VLOOKUP($D350,Cadastro!$C$4:$G$7,5,FALSE)),"")</f>
        <v/>
      </c>
      <c r="J350" s="15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32" t="s">
        <v>244</v>
      </c>
      <c r="B351" s="133"/>
      <c r="C351" s="133"/>
      <c r="D351" s="133"/>
      <c r="E351" s="13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34" t="s">
        <v>245</v>
      </c>
      <c r="B352" s="135"/>
      <c r="C352" s="135"/>
      <c r="D352" s="135"/>
      <c r="E352" s="135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60" t="str">
        <f>IFERROR(IF($D353="","",VLOOKUP($D353,Cadastro!$C$4:$E$7,3,FALSE)),"")</f>
        <v/>
      </c>
      <c r="G353" s="106"/>
      <c r="H353" s="160" t="str">
        <f>IFERROR(IF($G353="","",$G353*$S$365/$G$365/Cadastro!$E$33),"")</f>
        <v/>
      </c>
      <c r="I353" s="161" t="str">
        <f>IFERROR(IF($D353="","",VLOOKUP($D353,Cadastro!$C$4:$G$7,5,FALSE)),"")</f>
        <v/>
      </c>
      <c r="J353" s="16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54" t="str">
        <f>IFERROR(IF($D354="","",VLOOKUP($D354,Cadastro!$C$4:$E$7,3,FALSE)),"")</f>
        <v/>
      </c>
      <c r="G354" s="106"/>
      <c r="H354" s="154" t="str">
        <f>IFERROR(IF($G354="","",$G354*$S$365/$G$365/Cadastro!$E$33),"")</f>
        <v/>
      </c>
      <c r="I354" s="155" t="str">
        <f>IFERROR(IF($D354="","",VLOOKUP($D354,Cadastro!$C$4:$G$7,5,FALSE)),"")</f>
        <v/>
      </c>
      <c r="J354" s="15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54" t="str">
        <f>IFERROR(IF($D355="","",VLOOKUP($D355,Cadastro!$C$4:$E$7,3,FALSE)),"")</f>
        <v/>
      </c>
      <c r="G355" s="106"/>
      <c r="H355" s="154" t="str">
        <f>IFERROR(IF($G355="","",$G355*$S$365/$G$365/Cadastro!$E$33),"")</f>
        <v/>
      </c>
      <c r="I355" s="155" t="str">
        <f>IFERROR(IF($D355="","",VLOOKUP($D355,Cadastro!$C$4:$G$7,5,FALSE)),"")</f>
        <v/>
      </c>
      <c r="J355" s="15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54" t="str">
        <f>IFERROR(IF($D356="","",VLOOKUP($D356,Cadastro!$C$4:$E$7,3,FALSE)),"")</f>
        <v/>
      </c>
      <c r="G356" s="106"/>
      <c r="H356" s="154" t="str">
        <f>IFERROR(IF($G356="","",$G356*$S$365/$G$365/Cadastro!$E$33),"")</f>
        <v/>
      </c>
      <c r="I356" s="155" t="str">
        <f>IFERROR(IF($D356="","",VLOOKUP($D356,Cadastro!$C$4:$G$7,5,FALSE)),"")</f>
        <v/>
      </c>
      <c r="J356" s="15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54" t="str">
        <f>IFERROR(IF($D357="","",VLOOKUP($D357,Cadastro!$C$4:$E$7,3,FALSE)),"")</f>
        <v/>
      </c>
      <c r="G357" s="106"/>
      <c r="H357" s="154" t="str">
        <f>IFERROR(IF($G357="","",$G357*$S$365/$G$365/Cadastro!$E$33),"")</f>
        <v/>
      </c>
      <c r="I357" s="155" t="str">
        <f>IFERROR(IF($D357="","",VLOOKUP($D357,Cadastro!$C$4:$G$7,5,FALSE)),"")</f>
        <v/>
      </c>
      <c r="J357" s="15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54" t="str">
        <f>IFERROR(IF($D358="","",VLOOKUP($D358,Cadastro!$C$4:$E$7,3,FALSE)),"")</f>
        <v/>
      </c>
      <c r="G358" s="106"/>
      <c r="H358" s="154" t="str">
        <f>IFERROR(IF($G358="","",$G358*$S$365/$G$365/Cadastro!$E$33),"")</f>
        <v/>
      </c>
      <c r="I358" s="155" t="str">
        <f>IFERROR(IF($D358="","",VLOOKUP($D358,Cadastro!$C$4:$G$7,5,FALSE)),"")</f>
        <v/>
      </c>
      <c r="J358" s="15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54" t="str">
        <f>IFERROR(IF($D359="","",VLOOKUP($D359,Cadastro!$C$4:$E$7,3,FALSE)),"")</f>
        <v/>
      </c>
      <c r="G359" s="106"/>
      <c r="H359" s="154" t="str">
        <f>IFERROR(IF($G359="","",$G359*$S$365/$G$365/Cadastro!$E$33),"")</f>
        <v/>
      </c>
      <c r="I359" s="155" t="str">
        <f>IFERROR(IF($D359="","",VLOOKUP($D359,Cadastro!$C$4:$G$7,5,FALSE)),"")</f>
        <v/>
      </c>
      <c r="J359" s="15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54" t="str">
        <f>IFERROR(IF($D360="","",VLOOKUP($D360,Cadastro!$C$4:$E$7,3,FALSE)),"")</f>
        <v/>
      </c>
      <c r="G360" s="106"/>
      <c r="H360" s="154" t="str">
        <f>IFERROR(IF($G360="","",$G360*$S$365/$G$365/Cadastro!$E$33),"")</f>
        <v/>
      </c>
      <c r="I360" s="155" t="str">
        <f>IFERROR(IF($D360="","",VLOOKUP($D360,Cadastro!$C$4:$G$7,5,FALSE)),"")</f>
        <v/>
      </c>
      <c r="J360" s="15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54" t="str">
        <f>IFERROR(IF($D361="","",VLOOKUP($D361,Cadastro!$C$4:$E$7,3,FALSE)),"")</f>
        <v/>
      </c>
      <c r="G361" s="106"/>
      <c r="H361" s="154" t="str">
        <f>IFERROR(IF($G361="","",$G361*$S$365/$G$365/Cadastro!$E$33),"")</f>
        <v/>
      </c>
      <c r="I361" s="155" t="str">
        <f>IFERROR(IF($D361="","",VLOOKUP($D361,Cadastro!$C$4:$G$7,5,FALSE)),"")</f>
        <v/>
      </c>
      <c r="J361" s="15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54" t="str">
        <f>IFERROR(IF($D362="","",VLOOKUP($D362,Cadastro!$C$4:$E$7,3,FALSE)),"")</f>
        <v/>
      </c>
      <c r="G362" s="106"/>
      <c r="H362" s="154" t="str">
        <f>IFERROR(IF($G362="","",$G362*$S$365/$G$365/Cadastro!$E$33),"")</f>
        <v/>
      </c>
      <c r="I362" s="155" t="str">
        <f>IFERROR(IF($D362="","",VLOOKUP($D362,Cadastro!$C$4:$G$7,5,FALSE)),"")</f>
        <v/>
      </c>
      <c r="J362" s="15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54" t="str">
        <f>IFERROR(IF($D363="","",VLOOKUP($D363,Cadastro!$C$4:$E$7,3,FALSE)),"")</f>
        <v/>
      </c>
      <c r="G363" s="106"/>
      <c r="H363" s="154" t="str">
        <f>IFERROR(IF($G363="","",$G363*$S$365/$G$365/Cadastro!$E$33),"")</f>
        <v/>
      </c>
      <c r="I363" s="155" t="str">
        <f>IFERROR(IF($D363="","",VLOOKUP($D363,Cadastro!$C$4:$G$7,5,FALSE)),"")</f>
        <v/>
      </c>
      <c r="J363" s="15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57" t="str">
        <f>IFERROR(IF($D364="","",VLOOKUP($D364,Cadastro!$C$4:$E$7,3,FALSE)),"")</f>
        <v/>
      </c>
      <c r="G364" s="106"/>
      <c r="H364" s="157" t="str">
        <f>IFERROR(IF($G364="","",$G364*$S$365/$G$365/Cadastro!$E$33),"")</f>
        <v/>
      </c>
      <c r="I364" s="158" t="str">
        <f>IFERROR(IF($D364="","",VLOOKUP($D364,Cadastro!$C$4:$G$7,5,FALSE)),"")</f>
        <v/>
      </c>
      <c r="J364" s="15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60" t="str">
        <f>IFERROR(IF($D366="","",VLOOKUP($D366,Cadastro!$C$4:$E$7,3,FALSE)),"")</f>
        <v/>
      </c>
      <c r="G366" s="106"/>
      <c r="H366" s="160" t="str">
        <f>IFERROR(IF($G366="","",$G366*$S$378/$G$378/Cadastro!$E$33),"")</f>
        <v/>
      </c>
      <c r="I366" s="161" t="str">
        <f>IFERROR(IF($D366="","",VLOOKUP($D366,Cadastro!$C$4:$G$7,5,FALSE)),"")</f>
        <v/>
      </c>
      <c r="J366" s="16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54" t="str">
        <f>IFERROR(IF($D367="","",VLOOKUP($D367,Cadastro!$C$4:$E$7,3,FALSE)),"")</f>
        <v/>
      </c>
      <c r="G367" s="106"/>
      <c r="H367" s="154" t="str">
        <f>IFERROR(IF($G367="","",$G367*$S$378/$G$378/Cadastro!$E$33),"")</f>
        <v/>
      </c>
      <c r="I367" s="155" t="str">
        <f>IFERROR(IF($D367="","",VLOOKUP($D367,Cadastro!$C$4:$G$7,5,FALSE)),"")</f>
        <v/>
      </c>
      <c r="J367" s="15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54" t="str">
        <f>IFERROR(IF($D368="","",VLOOKUP($D368,Cadastro!$C$4:$E$7,3,FALSE)),"")</f>
        <v/>
      </c>
      <c r="G368" s="106"/>
      <c r="H368" s="154" t="str">
        <f>IFERROR(IF($G368="","",$G368*$S$378/$G$378/Cadastro!$E$33),"")</f>
        <v/>
      </c>
      <c r="I368" s="155" t="str">
        <f>IFERROR(IF($D368="","",VLOOKUP($D368,Cadastro!$C$4:$G$7,5,FALSE)),"")</f>
        <v/>
      </c>
      <c r="J368" s="15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54" t="str">
        <f>IFERROR(IF($D369="","",VLOOKUP($D369,Cadastro!$C$4:$E$7,3,FALSE)),"")</f>
        <v/>
      </c>
      <c r="G369" s="106"/>
      <c r="H369" s="154" t="str">
        <f>IFERROR(IF($G369="","",$G369*$S$378/$G$378/Cadastro!$E$33),"")</f>
        <v/>
      </c>
      <c r="I369" s="155" t="str">
        <f>IFERROR(IF($D369="","",VLOOKUP($D369,Cadastro!$C$4:$G$7,5,FALSE)),"")</f>
        <v/>
      </c>
      <c r="J369" s="15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54" t="str">
        <f>IFERROR(IF($D370="","",VLOOKUP($D370,Cadastro!$C$4:$E$7,3,FALSE)),"")</f>
        <v/>
      </c>
      <c r="G370" s="106"/>
      <c r="H370" s="154" t="str">
        <f>IFERROR(IF($G370="","",$G370*$S$378/$G$378/Cadastro!$E$33),"")</f>
        <v/>
      </c>
      <c r="I370" s="155" t="str">
        <f>IFERROR(IF($D370="","",VLOOKUP($D370,Cadastro!$C$4:$G$7,5,FALSE)),"")</f>
        <v/>
      </c>
      <c r="J370" s="15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54" t="str">
        <f>IFERROR(IF($D371="","",VLOOKUP($D371,Cadastro!$C$4:$E$7,3,FALSE)),"")</f>
        <v/>
      </c>
      <c r="G371" s="106"/>
      <c r="H371" s="154" t="str">
        <f>IFERROR(IF($G371="","",$G371*$S$378/$G$378/Cadastro!$E$33),"")</f>
        <v/>
      </c>
      <c r="I371" s="155" t="str">
        <f>IFERROR(IF($D371="","",VLOOKUP($D371,Cadastro!$C$4:$G$7,5,FALSE)),"")</f>
        <v/>
      </c>
      <c r="J371" s="15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54" t="str">
        <f>IFERROR(IF($D372="","",VLOOKUP($D372,Cadastro!$C$4:$E$7,3,FALSE)),"")</f>
        <v/>
      </c>
      <c r="G372" s="106"/>
      <c r="H372" s="154" t="str">
        <f>IFERROR(IF($G372="","",$G372*$S$378/$G$378/Cadastro!$E$33),"")</f>
        <v/>
      </c>
      <c r="I372" s="155" t="str">
        <f>IFERROR(IF($D372="","",VLOOKUP($D372,Cadastro!$C$4:$G$7,5,FALSE)),"")</f>
        <v/>
      </c>
      <c r="J372" s="15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54" t="str">
        <f>IFERROR(IF($D373="","",VLOOKUP($D373,Cadastro!$C$4:$E$7,3,FALSE)),"")</f>
        <v/>
      </c>
      <c r="G373" s="106"/>
      <c r="H373" s="154" t="str">
        <f>IFERROR(IF($G373="","",$G373*$S$378/$G$378/Cadastro!$E$33),"")</f>
        <v/>
      </c>
      <c r="I373" s="155" t="str">
        <f>IFERROR(IF($D373="","",VLOOKUP($D373,Cadastro!$C$4:$G$7,5,FALSE)),"")</f>
        <v/>
      </c>
      <c r="J373" s="15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54" t="str">
        <f>IFERROR(IF($D374="","",VLOOKUP($D374,Cadastro!$C$4:$E$7,3,FALSE)),"")</f>
        <v/>
      </c>
      <c r="G374" s="106"/>
      <c r="H374" s="154" t="str">
        <f>IFERROR(IF($G374="","",$G374*$S$378/$G$378/Cadastro!$E$33),"")</f>
        <v/>
      </c>
      <c r="I374" s="155" t="str">
        <f>IFERROR(IF($D374="","",VLOOKUP($D374,Cadastro!$C$4:$G$7,5,FALSE)),"")</f>
        <v/>
      </c>
      <c r="J374" s="15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54" t="str">
        <f>IFERROR(IF($D375="","",VLOOKUP($D375,Cadastro!$C$4:$E$7,3,FALSE)),"")</f>
        <v/>
      </c>
      <c r="G375" s="106"/>
      <c r="H375" s="154" t="str">
        <f>IFERROR(IF($G375="","",$G375*$S$378/$G$378/Cadastro!$E$33),"")</f>
        <v/>
      </c>
      <c r="I375" s="155" t="str">
        <f>IFERROR(IF($D375="","",VLOOKUP($D375,Cadastro!$C$4:$G$7,5,FALSE)),"")</f>
        <v/>
      </c>
      <c r="J375" s="15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54" t="str">
        <f>IFERROR(IF($D376="","",VLOOKUP($D376,Cadastro!$C$4:$E$7,3,FALSE)),"")</f>
        <v/>
      </c>
      <c r="G376" s="106"/>
      <c r="H376" s="154" t="str">
        <f>IFERROR(IF($G376="","",$G376*$S$378/$G$378/Cadastro!$E$33),"")</f>
        <v/>
      </c>
      <c r="I376" s="155" t="str">
        <f>IFERROR(IF($D376="","",VLOOKUP($D376,Cadastro!$C$4:$G$7,5,FALSE)),"")</f>
        <v/>
      </c>
      <c r="J376" s="15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57" t="str">
        <f>IFERROR(IF($D377="","",VLOOKUP($D377,Cadastro!$C$4:$E$7,3,FALSE)),"")</f>
        <v/>
      </c>
      <c r="G377" s="106"/>
      <c r="H377" s="157" t="str">
        <f>IFERROR(IF($G377="","",$G377*$S$378/$G$378/Cadastro!$E$33),"")</f>
        <v/>
      </c>
      <c r="I377" s="158" t="str">
        <f>IFERROR(IF($D377="","",VLOOKUP($D377,Cadastro!$C$4:$G$7,5,FALSE)),"")</f>
        <v/>
      </c>
      <c r="J377" s="15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32" t="s">
        <v>244</v>
      </c>
      <c r="B378" s="133"/>
      <c r="C378" s="133"/>
      <c r="D378" s="133"/>
      <c r="E378" s="13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34" t="s">
        <v>245</v>
      </c>
      <c r="B379" s="135"/>
      <c r="C379" s="135"/>
      <c r="D379" s="135"/>
      <c r="E379" s="135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60" t="str">
        <f>IFERROR(IF($D380="","",VLOOKUP($D380,Cadastro!$C$4:$E$7,3,FALSE)),"")</f>
        <v/>
      </c>
      <c r="G380" s="106"/>
      <c r="H380" s="160" t="str">
        <f>IFERROR(IF($G380="","",$G380*$S$392/$G$392/Cadastro!$E$33),"")</f>
        <v/>
      </c>
      <c r="I380" s="161" t="str">
        <f>IFERROR(IF($D380="","",VLOOKUP($D380,Cadastro!$C$4:$G$7,5,FALSE)),"")</f>
        <v/>
      </c>
      <c r="J380" s="16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54" t="str">
        <f>IFERROR(IF($D381="","",VLOOKUP($D381,Cadastro!$C$4:$E$7,3,FALSE)),"")</f>
        <v/>
      </c>
      <c r="G381" s="106"/>
      <c r="H381" s="154" t="str">
        <f>IFERROR(IF($G381="","",$G381*$S$392/$G$392/Cadastro!$E$33),"")</f>
        <v/>
      </c>
      <c r="I381" s="155" t="str">
        <f>IFERROR(IF($D381="","",VLOOKUP($D381,Cadastro!$C$4:$G$7,5,FALSE)),"")</f>
        <v/>
      </c>
      <c r="J381" s="15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54" t="str">
        <f>IFERROR(IF($D382="","",VLOOKUP($D382,Cadastro!$C$4:$E$7,3,FALSE)),"")</f>
        <v/>
      </c>
      <c r="G382" s="106"/>
      <c r="H382" s="154" t="str">
        <f>IFERROR(IF($G382="","",$G382*$S$392/$G$392/Cadastro!$E$33),"")</f>
        <v/>
      </c>
      <c r="I382" s="155" t="str">
        <f>IFERROR(IF($D382="","",VLOOKUP($D382,Cadastro!$C$4:$G$7,5,FALSE)),"")</f>
        <v/>
      </c>
      <c r="J382" s="15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54" t="str">
        <f>IFERROR(IF($D383="","",VLOOKUP($D383,Cadastro!$C$4:$E$7,3,FALSE)),"")</f>
        <v/>
      </c>
      <c r="G383" s="106"/>
      <c r="H383" s="154" t="str">
        <f>IFERROR(IF($G383="","",$G383*$S$392/$G$392/Cadastro!$E$33),"")</f>
        <v/>
      </c>
      <c r="I383" s="155" t="str">
        <f>IFERROR(IF($D383="","",VLOOKUP($D383,Cadastro!$C$4:$G$7,5,FALSE)),"")</f>
        <v/>
      </c>
      <c r="J383" s="15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54" t="str">
        <f>IFERROR(IF($D384="","",VLOOKUP($D384,Cadastro!$C$4:$E$7,3,FALSE)),"")</f>
        <v/>
      </c>
      <c r="G384" s="106"/>
      <c r="H384" s="154" t="str">
        <f>IFERROR(IF($G384="","",$G384*$S$392/$G$392/Cadastro!$E$33),"")</f>
        <v/>
      </c>
      <c r="I384" s="155" t="str">
        <f>IFERROR(IF($D384="","",VLOOKUP($D384,Cadastro!$C$4:$G$7,5,FALSE)),"")</f>
        <v/>
      </c>
      <c r="J384" s="15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54" t="str">
        <f>IFERROR(IF($D385="","",VLOOKUP($D385,Cadastro!$C$4:$E$7,3,FALSE)),"")</f>
        <v/>
      </c>
      <c r="G385" s="106"/>
      <c r="H385" s="154" t="str">
        <f>IFERROR(IF($G385="","",$G385*$S$392/$G$392/Cadastro!$E$33),"")</f>
        <v/>
      </c>
      <c r="I385" s="155" t="str">
        <f>IFERROR(IF($D385="","",VLOOKUP($D385,Cadastro!$C$4:$G$7,5,FALSE)),"")</f>
        <v/>
      </c>
      <c r="J385" s="15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54" t="str">
        <f>IFERROR(IF($D386="","",VLOOKUP($D386,Cadastro!$C$4:$E$7,3,FALSE)),"")</f>
        <v/>
      </c>
      <c r="G386" s="106"/>
      <c r="H386" s="154" t="str">
        <f>IFERROR(IF($G386="","",$G386*$S$392/$G$392/Cadastro!$E$33),"")</f>
        <v/>
      </c>
      <c r="I386" s="155" t="str">
        <f>IFERROR(IF($D386="","",VLOOKUP($D386,Cadastro!$C$4:$G$7,5,FALSE)),"")</f>
        <v/>
      </c>
      <c r="J386" s="15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54" t="str">
        <f>IFERROR(IF($D387="","",VLOOKUP($D387,Cadastro!$C$4:$E$7,3,FALSE)),"")</f>
        <v/>
      </c>
      <c r="G387" s="106"/>
      <c r="H387" s="154" t="str">
        <f>IFERROR(IF($G387="","",$G387*$S$392/$G$392/Cadastro!$E$33),"")</f>
        <v/>
      </c>
      <c r="I387" s="155" t="str">
        <f>IFERROR(IF($D387="","",VLOOKUP($D387,Cadastro!$C$4:$G$7,5,FALSE)),"")</f>
        <v/>
      </c>
      <c r="J387" s="15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54" t="str">
        <f>IFERROR(IF($D388="","",VLOOKUP($D388,Cadastro!$C$4:$E$7,3,FALSE)),"")</f>
        <v/>
      </c>
      <c r="G388" s="106"/>
      <c r="H388" s="154" t="str">
        <f>IFERROR(IF($G388="","",$G388*$S$392/$G$392/Cadastro!$E$33),"")</f>
        <v/>
      </c>
      <c r="I388" s="155" t="str">
        <f>IFERROR(IF($D388="","",VLOOKUP($D388,Cadastro!$C$4:$G$7,5,FALSE)),"")</f>
        <v/>
      </c>
      <c r="J388" s="15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54" t="str">
        <f>IFERROR(IF($D389="","",VLOOKUP($D389,Cadastro!$C$4:$E$7,3,FALSE)),"")</f>
        <v/>
      </c>
      <c r="G389" s="106"/>
      <c r="H389" s="154" t="str">
        <f>IFERROR(IF($G389="","",$G389*$S$392/$G$392/Cadastro!$E$33),"")</f>
        <v/>
      </c>
      <c r="I389" s="155" t="str">
        <f>IFERROR(IF($D389="","",VLOOKUP($D389,Cadastro!$C$4:$G$7,5,FALSE)),"")</f>
        <v/>
      </c>
      <c r="J389" s="15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54" t="str">
        <f>IFERROR(IF($D390="","",VLOOKUP($D390,Cadastro!$C$4:$E$7,3,FALSE)),"")</f>
        <v/>
      </c>
      <c r="G390" s="106"/>
      <c r="H390" s="154" t="str">
        <f>IFERROR(IF($G390="","",$G390*$S$392/$G$392/Cadastro!$E$33),"")</f>
        <v/>
      </c>
      <c r="I390" s="155" t="str">
        <f>IFERROR(IF($D390="","",VLOOKUP($D390,Cadastro!$C$4:$G$7,5,FALSE)),"")</f>
        <v/>
      </c>
      <c r="J390" s="15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57" t="str">
        <f>IFERROR(IF($D391="","",VLOOKUP($D391,Cadastro!$C$4:$E$7,3,FALSE)),"")</f>
        <v/>
      </c>
      <c r="G391" s="106"/>
      <c r="H391" s="157" t="str">
        <f>IFERROR(IF($G391="","",$G391*$S$392/$G$392/Cadastro!$E$33),"")</f>
        <v/>
      </c>
      <c r="I391" s="158" t="str">
        <f>IFERROR(IF($D391="","",VLOOKUP($D391,Cadastro!$C$4:$G$7,5,FALSE)),"")</f>
        <v/>
      </c>
      <c r="J391" s="15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32" t="s">
        <v>241</v>
      </c>
      <c r="B392" s="133"/>
      <c r="C392" s="133"/>
      <c r="D392" s="133"/>
      <c r="E392" s="13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60" t="str">
        <f>IFERROR(IF($D393="","",VLOOKUP($D393,Cadastro!$C$4:$E$7,3,FALSE)),"")</f>
        <v/>
      </c>
      <c r="G393" s="106"/>
      <c r="H393" s="160" t="str">
        <f>IFERROR(IF($G393="","",$G393*$S$405/$G$405/Cadastro!$E$33),"")</f>
        <v/>
      </c>
      <c r="I393" s="161" t="str">
        <f>IFERROR(IF($D393="","",VLOOKUP($D393,Cadastro!$C$4:$G$7,5,FALSE)),"")</f>
        <v/>
      </c>
      <c r="J393" s="16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54" t="str">
        <f>IFERROR(IF($D394="","",VLOOKUP($D394,Cadastro!$C$4:$E$7,3,FALSE)),"")</f>
        <v/>
      </c>
      <c r="G394" s="106"/>
      <c r="H394" s="154" t="str">
        <f>IFERROR(IF($G394="","",$G394*$S$405/$G$405/Cadastro!$E$33),"")</f>
        <v/>
      </c>
      <c r="I394" s="155" t="str">
        <f>IFERROR(IF($D394="","",VLOOKUP($D394,Cadastro!$C$4:$G$7,5,FALSE)),"")</f>
        <v/>
      </c>
      <c r="J394" s="15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54" t="str">
        <f>IFERROR(IF($D395="","",VLOOKUP($D395,Cadastro!$C$4:$E$7,3,FALSE)),"")</f>
        <v/>
      </c>
      <c r="G395" s="106"/>
      <c r="H395" s="154" t="str">
        <f>IFERROR(IF($G395="","",$G395*$S$405/$G$405/Cadastro!$E$33),"")</f>
        <v/>
      </c>
      <c r="I395" s="155" t="str">
        <f>IFERROR(IF($D395="","",VLOOKUP($D395,Cadastro!$C$4:$G$7,5,FALSE)),"")</f>
        <v/>
      </c>
      <c r="J395" s="15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54" t="str">
        <f>IFERROR(IF($D396="","",VLOOKUP($D396,Cadastro!$C$4:$E$7,3,FALSE)),"")</f>
        <v/>
      </c>
      <c r="G396" s="106"/>
      <c r="H396" s="154" t="str">
        <f>IFERROR(IF($G396="","",$G396*$S$405/$G$405/Cadastro!$E$33),"")</f>
        <v/>
      </c>
      <c r="I396" s="155" t="str">
        <f>IFERROR(IF($D396="","",VLOOKUP($D396,Cadastro!$C$4:$G$7,5,FALSE)),"")</f>
        <v/>
      </c>
      <c r="J396" s="15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54" t="str">
        <f>IFERROR(IF($D397="","",VLOOKUP($D397,Cadastro!$C$4:$E$7,3,FALSE)),"")</f>
        <v/>
      </c>
      <c r="G397" s="106"/>
      <c r="H397" s="154" t="str">
        <f>IFERROR(IF($G397="","",$G397*$S$405/$G$405/Cadastro!$E$33),"")</f>
        <v/>
      </c>
      <c r="I397" s="155" t="str">
        <f>IFERROR(IF($D397="","",VLOOKUP($D397,Cadastro!$C$4:$G$7,5,FALSE)),"")</f>
        <v/>
      </c>
      <c r="J397" s="15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54" t="str">
        <f>IFERROR(IF($D398="","",VLOOKUP($D398,Cadastro!$C$4:$E$7,3,FALSE)),"")</f>
        <v/>
      </c>
      <c r="G398" s="106"/>
      <c r="H398" s="154" t="str">
        <f>IFERROR(IF($G398="","",$G398*$S$405/$G$405/Cadastro!$E$33),"")</f>
        <v/>
      </c>
      <c r="I398" s="155" t="str">
        <f>IFERROR(IF($D398="","",VLOOKUP($D398,Cadastro!$C$4:$G$7,5,FALSE)),"")</f>
        <v/>
      </c>
      <c r="J398" s="15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54" t="str">
        <f>IFERROR(IF($D399="","",VLOOKUP($D399,Cadastro!$C$4:$E$7,3,FALSE)),"")</f>
        <v/>
      </c>
      <c r="G399" s="106"/>
      <c r="H399" s="154" t="str">
        <f>IFERROR(IF($G399="","",$G399*$S$405/$G$405/Cadastro!$E$33),"")</f>
        <v/>
      </c>
      <c r="I399" s="155" t="str">
        <f>IFERROR(IF($D399="","",VLOOKUP($D399,Cadastro!$C$4:$G$7,5,FALSE)),"")</f>
        <v/>
      </c>
      <c r="J399" s="15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54" t="str">
        <f>IFERROR(IF($D400="","",VLOOKUP($D400,Cadastro!$C$4:$E$7,3,FALSE)),"")</f>
        <v/>
      </c>
      <c r="G400" s="106"/>
      <c r="H400" s="154" t="str">
        <f>IFERROR(IF($G400="","",$G400*$S$405/$G$405/Cadastro!$E$33),"")</f>
        <v/>
      </c>
      <c r="I400" s="155" t="str">
        <f>IFERROR(IF($D400="","",VLOOKUP($D400,Cadastro!$C$4:$G$7,5,FALSE)),"")</f>
        <v/>
      </c>
      <c r="J400" s="15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54" t="str">
        <f>IFERROR(IF($D401="","",VLOOKUP($D401,Cadastro!$C$4:$E$7,3,FALSE)),"")</f>
        <v/>
      </c>
      <c r="G401" s="106"/>
      <c r="H401" s="154" t="str">
        <f>IFERROR(IF($G401="","",$G401*$S$405/$G$405/Cadastro!$E$33),"")</f>
        <v/>
      </c>
      <c r="I401" s="155" t="str">
        <f>IFERROR(IF($D401="","",VLOOKUP($D401,Cadastro!$C$4:$G$7,5,FALSE)),"")</f>
        <v/>
      </c>
      <c r="J401" s="15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54" t="str">
        <f>IFERROR(IF($D402="","",VLOOKUP($D402,Cadastro!$C$4:$E$7,3,FALSE)),"")</f>
        <v/>
      </c>
      <c r="G402" s="106"/>
      <c r="H402" s="154" t="str">
        <f>IFERROR(IF($G402="","",$G402*$S$405/$G$405/Cadastro!$E$33),"")</f>
        <v/>
      </c>
      <c r="I402" s="155" t="str">
        <f>IFERROR(IF($D402="","",VLOOKUP($D402,Cadastro!$C$4:$G$7,5,FALSE)),"")</f>
        <v/>
      </c>
      <c r="J402" s="15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54" t="str">
        <f>IFERROR(IF($D403="","",VLOOKUP($D403,Cadastro!$C$4:$E$7,3,FALSE)),"")</f>
        <v/>
      </c>
      <c r="G403" s="106"/>
      <c r="H403" s="154" t="str">
        <f>IFERROR(IF($G403="","",$G403*$S$405/$G$405/Cadastro!$E$33),"")</f>
        <v/>
      </c>
      <c r="I403" s="155" t="str">
        <f>IFERROR(IF($D403="","",VLOOKUP($D403,Cadastro!$C$4:$G$7,5,FALSE)),"")</f>
        <v/>
      </c>
      <c r="J403" s="15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57" t="str">
        <f>IFERROR(IF($D404="","",VLOOKUP($D404,Cadastro!$C$4:$E$7,3,FALSE)),"")</f>
        <v/>
      </c>
      <c r="G404" s="106"/>
      <c r="H404" s="157" t="str">
        <f>IFERROR(IF($G404="","",$G404*$S$405/$G$405/Cadastro!$E$33),"")</f>
        <v/>
      </c>
      <c r="I404" s="158" t="str">
        <f>IFERROR(IF($D404="","",VLOOKUP($D404,Cadastro!$C$4:$G$7,5,FALSE)),"")</f>
        <v/>
      </c>
      <c r="J404" s="15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32" t="s">
        <v>244</v>
      </c>
      <c r="B405" s="133"/>
      <c r="C405" s="133"/>
      <c r="D405" s="133"/>
      <c r="E405" s="13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34" t="s">
        <v>245</v>
      </c>
      <c r="B406" s="135"/>
      <c r="C406" s="135"/>
      <c r="D406" s="135"/>
      <c r="E406" s="135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60" t="str">
        <f>IFERROR(IF($D407="","",VLOOKUP($D407,Cadastro!$C$4:$E$7,3,FALSE)),"")</f>
        <v/>
      </c>
      <c r="G407" s="106"/>
      <c r="H407" s="160" t="str">
        <f>IFERROR(IF($G407="","",$G407*$S$419/$G$419/Cadastro!$E$33),"")</f>
        <v/>
      </c>
      <c r="I407" s="161" t="str">
        <f>IFERROR(IF($D407="","",VLOOKUP($D407,Cadastro!$C$4:$G$7,5,FALSE)),"")</f>
        <v/>
      </c>
      <c r="J407" s="16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54" t="str">
        <f>IFERROR(IF($D408="","",VLOOKUP($D408,Cadastro!$C$4:$E$7,3,FALSE)),"")</f>
        <v/>
      </c>
      <c r="G408" s="106"/>
      <c r="H408" s="154" t="str">
        <f>IFERROR(IF($G408="","",$G408*$S$419/$G$419/Cadastro!$E$33),"")</f>
        <v/>
      </c>
      <c r="I408" s="155" t="str">
        <f>IFERROR(IF($D408="","",VLOOKUP($D408,Cadastro!$C$4:$G$7,5,FALSE)),"")</f>
        <v/>
      </c>
      <c r="J408" s="15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54" t="str">
        <f>IFERROR(IF($D409="","",VLOOKUP($D409,Cadastro!$C$4:$E$7,3,FALSE)),"")</f>
        <v/>
      </c>
      <c r="G409" s="106"/>
      <c r="H409" s="154" t="str">
        <f>IFERROR(IF($G409="","",$G409*$S$419/$G$419/Cadastro!$E$33),"")</f>
        <v/>
      </c>
      <c r="I409" s="155" t="str">
        <f>IFERROR(IF($D409="","",VLOOKUP($D409,Cadastro!$C$4:$G$7,5,FALSE)),"")</f>
        <v/>
      </c>
      <c r="J409" s="15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54" t="str">
        <f>IFERROR(IF($D410="","",VLOOKUP($D410,Cadastro!$C$4:$E$7,3,FALSE)),"")</f>
        <v/>
      </c>
      <c r="G410" s="106"/>
      <c r="H410" s="154" t="str">
        <f>IFERROR(IF($G410="","",$G410*$S$419/$G$419/Cadastro!$E$33),"")</f>
        <v/>
      </c>
      <c r="I410" s="155" t="str">
        <f>IFERROR(IF($D410="","",VLOOKUP($D410,Cadastro!$C$4:$G$7,5,FALSE)),"")</f>
        <v/>
      </c>
      <c r="J410" s="15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54" t="str">
        <f>IFERROR(IF($D411="","",VLOOKUP($D411,Cadastro!$C$4:$E$7,3,FALSE)),"")</f>
        <v/>
      </c>
      <c r="G411" s="106"/>
      <c r="H411" s="154" t="str">
        <f>IFERROR(IF($G411="","",$G411*$S$419/$G$419/Cadastro!$E$33),"")</f>
        <v/>
      </c>
      <c r="I411" s="155" t="str">
        <f>IFERROR(IF($D411="","",VLOOKUP($D411,Cadastro!$C$4:$G$7,5,FALSE)),"")</f>
        <v/>
      </c>
      <c r="J411" s="15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54" t="str">
        <f>IFERROR(IF($D412="","",VLOOKUP($D412,Cadastro!$C$4:$E$7,3,FALSE)),"")</f>
        <v/>
      </c>
      <c r="G412" s="106"/>
      <c r="H412" s="154" t="str">
        <f>IFERROR(IF($G412="","",$G412*$S$419/$G$419/Cadastro!$E$33),"")</f>
        <v/>
      </c>
      <c r="I412" s="155" t="str">
        <f>IFERROR(IF($D412="","",VLOOKUP($D412,Cadastro!$C$4:$G$7,5,FALSE)),"")</f>
        <v/>
      </c>
      <c r="J412" s="15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54" t="str">
        <f>IFERROR(IF($D413="","",VLOOKUP($D413,Cadastro!$C$4:$E$7,3,FALSE)),"")</f>
        <v/>
      </c>
      <c r="G413" s="106"/>
      <c r="H413" s="154" t="str">
        <f>IFERROR(IF($G413="","",$G413*$S$419/$G$419/Cadastro!$E$33),"")</f>
        <v/>
      </c>
      <c r="I413" s="155" t="str">
        <f>IFERROR(IF($D413="","",VLOOKUP($D413,Cadastro!$C$4:$G$7,5,FALSE)),"")</f>
        <v/>
      </c>
      <c r="J413" s="15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54" t="str">
        <f>IFERROR(IF($D414="","",VLOOKUP($D414,Cadastro!$C$4:$E$7,3,FALSE)),"")</f>
        <v/>
      </c>
      <c r="G414" s="106"/>
      <c r="H414" s="154" t="str">
        <f>IFERROR(IF($G414="","",$G414*$S$419/$G$419/Cadastro!$E$33),"")</f>
        <v/>
      </c>
      <c r="I414" s="155" t="str">
        <f>IFERROR(IF($D414="","",VLOOKUP($D414,Cadastro!$C$4:$G$7,5,FALSE)),"")</f>
        <v/>
      </c>
      <c r="J414" s="15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54" t="str">
        <f>IFERROR(IF($D415="","",VLOOKUP($D415,Cadastro!$C$4:$E$7,3,FALSE)),"")</f>
        <v/>
      </c>
      <c r="G415" s="106"/>
      <c r="H415" s="154" t="str">
        <f>IFERROR(IF($G415="","",$G415*$S$419/$G$419/Cadastro!$E$33),"")</f>
        <v/>
      </c>
      <c r="I415" s="155" t="str">
        <f>IFERROR(IF($D415="","",VLOOKUP($D415,Cadastro!$C$4:$G$7,5,FALSE)),"")</f>
        <v/>
      </c>
      <c r="J415" s="15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54" t="str">
        <f>IFERROR(IF($D416="","",VLOOKUP($D416,Cadastro!$C$4:$E$7,3,FALSE)),"")</f>
        <v/>
      </c>
      <c r="G416" s="106"/>
      <c r="H416" s="154" t="str">
        <f>IFERROR(IF($G416="","",$G416*$S$419/$G$419/Cadastro!$E$33),"")</f>
        <v/>
      </c>
      <c r="I416" s="155" t="str">
        <f>IFERROR(IF($D416="","",VLOOKUP($D416,Cadastro!$C$4:$G$7,5,FALSE)),"")</f>
        <v/>
      </c>
      <c r="J416" s="15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54" t="str">
        <f>IFERROR(IF($D417="","",VLOOKUP($D417,Cadastro!$C$4:$E$7,3,FALSE)),"")</f>
        <v/>
      </c>
      <c r="G417" s="106"/>
      <c r="H417" s="154" t="str">
        <f>IFERROR(IF($G417="","",$G417*$S$419/$G$419/Cadastro!$E$33),"")</f>
        <v/>
      </c>
      <c r="I417" s="155" t="str">
        <f>IFERROR(IF($D417="","",VLOOKUP($D417,Cadastro!$C$4:$G$7,5,FALSE)),"")</f>
        <v/>
      </c>
      <c r="J417" s="15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57" t="str">
        <f>IFERROR(IF($D418="","",VLOOKUP($D418,Cadastro!$C$4:$E$7,3,FALSE)),"")</f>
        <v/>
      </c>
      <c r="G418" s="106"/>
      <c r="H418" s="157" t="str">
        <f>IFERROR(IF($G418="","",$G418*$S$419/$G$419/Cadastro!$E$33),"")</f>
        <v/>
      </c>
      <c r="I418" s="158" t="str">
        <f>IFERROR(IF($D418="","",VLOOKUP($D418,Cadastro!$C$4:$G$7,5,FALSE)),"")</f>
        <v/>
      </c>
      <c r="J418" s="15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32" t="s">
        <v>241</v>
      </c>
      <c r="B419" s="133"/>
      <c r="C419" s="133"/>
      <c r="D419" s="133"/>
      <c r="E419" s="13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60" t="str">
        <f>IFERROR(IF($D420="","",VLOOKUP($D420,Cadastro!$C$4:$E$7,3,FALSE)),"")</f>
        <v/>
      </c>
      <c r="G420" s="106"/>
      <c r="H420" s="160" t="str">
        <f>IFERROR(IF($G420="","",$G420*$S$432/$G$432/Cadastro!$E$33),"")</f>
        <v/>
      </c>
      <c r="I420" s="161" t="str">
        <f>IFERROR(IF($D420="","",VLOOKUP($D420,Cadastro!$C$4:$G$7,5,FALSE)),"")</f>
        <v/>
      </c>
      <c r="J420" s="16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54" t="str">
        <f>IFERROR(IF($D421="","",VLOOKUP($D421,Cadastro!$C$4:$E$7,3,FALSE)),"")</f>
        <v/>
      </c>
      <c r="G421" s="106"/>
      <c r="H421" s="154" t="str">
        <f>IFERROR(IF($G421="","",$G421*$S$432/$G$432/Cadastro!$E$33),"")</f>
        <v/>
      </c>
      <c r="I421" s="155" t="str">
        <f>IFERROR(IF($D421="","",VLOOKUP($D421,Cadastro!$C$4:$G$7,5,FALSE)),"")</f>
        <v/>
      </c>
      <c r="J421" s="15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54" t="str">
        <f>IFERROR(IF($D422="","",VLOOKUP($D422,Cadastro!$C$4:$E$7,3,FALSE)),"")</f>
        <v/>
      </c>
      <c r="G422" s="106"/>
      <c r="H422" s="154" t="str">
        <f>IFERROR(IF($G422="","",$G422*$S$432/$G$432/Cadastro!$E$33),"")</f>
        <v/>
      </c>
      <c r="I422" s="155" t="str">
        <f>IFERROR(IF($D422="","",VLOOKUP($D422,Cadastro!$C$4:$G$7,5,FALSE)),"")</f>
        <v/>
      </c>
      <c r="J422" s="15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54" t="str">
        <f>IFERROR(IF($D423="","",VLOOKUP($D423,Cadastro!$C$4:$E$7,3,FALSE)),"")</f>
        <v/>
      </c>
      <c r="G423" s="106"/>
      <c r="H423" s="154" t="str">
        <f>IFERROR(IF($G423="","",$G423*$S$432/$G$432/Cadastro!$E$33),"")</f>
        <v/>
      </c>
      <c r="I423" s="155" t="str">
        <f>IFERROR(IF($D423="","",VLOOKUP($D423,Cadastro!$C$4:$G$7,5,FALSE)),"")</f>
        <v/>
      </c>
      <c r="J423" s="15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54" t="str">
        <f>IFERROR(IF($D424="","",VLOOKUP($D424,Cadastro!$C$4:$E$7,3,FALSE)),"")</f>
        <v/>
      </c>
      <c r="G424" s="106"/>
      <c r="H424" s="154" t="str">
        <f>IFERROR(IF($G424="","",$G424*$S$432/$G$432/Cadastro!$E$33),"")</f>
        <v/>
      </c>
      <c r="I424" s="155" t="str">
        <f>IFERROR(IF($D424="","",VLOOKUP($D424,Cadastro!$C$4:$G$7,5,FALSE)),"")</f>
        <v/>
      </c>
      <c r="J424" s="15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54" t="str">
        <f>IFERROR(IF($D425="","",VLOOKUP($D425,Cadastro!$C$4:$E$7,3,FALSE)),"")</f>
        <v/>
      </c>
      <c r="G425" s="106"/>
      <c r="H425" s="154" t="str">
        <f>IFERROR(IF($G425="","",$G425*$S$432/$G$432/Cadastro!$E$33),"")</f>
        <v/>
      </c>
      <c r="I425" s="155" t="str">
        <f>IFERROR(IF($D425="","",VLOOKUP($D425,Cadastro!$C$4:$G$7,5,FALSE)),"")</f>
        <v/>
      </c>
      <c r="J425" s="15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54" t="str">
        <f>IFERROR(IF($D426="","",VLOOKUP($D426,Cadastro!$C$4:$E$7,3,FALSE)),"")</f>
        <v/>
      </c>
      <c r="G426" s="106"/>
      <c r="H426" s="154" t="str">
        <f>IFERROR(IF($G426="","",$G426*$S$432/$G$432/Cadastro!$E$33),"")</f>
        <v/>
      </c>
      <c r="I426" s="155" t="str">
        <f>IFERROR(IF($D426="","",VLOOKUP($D426,Cadastro!$C$4:$G$7,5,FALSE)),"")</f>
        <v/>
      </c>
      <c r="J426" s="15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54" t="str">
        <f>IFERROR(IF($D427="","",VLOOKUP($D427,Cadastro!$C$4:$E$7,3,FALSE)),"")</f>
        <v/>
      </c>
      <c r="G427" s="106"/>
      <c r="H427" s="154" t="str">
        <f>IFERROR(IF($G427="","",$G427*$S$432/$G$432/Cadastro!$E$33),"")</f>
        <v/>
      </c>
      <c r="I427" s="155" t="str">
        <f>IFERROR(IF($D427="","",VLOOKUP($D427,Cadastro!$C$4:$G$7,5,FALSE)),"")</f>
        <v/>
      </c>
      <c r="J427" s="15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54" t="str">
        <f>IFERROR(IF($D428="","",VLOOKUP($D428,Cadastro!$C$4:$E$7,3,FALSE)),"")</f>
        <v/>
      </c>
      <c r="G428" s="106"/>
      <c r="H428" s="154" t="str">
        <f>IFERROR(IF($G428="","",$G428*$S$432/$G$432/Cadastro!$E$33),"")</f>
        <v/>
      </c>
      <c r="I428" s="155" t="str">
        <f>IFERROR(IF($D428="","",VLOOKUP($D428,Cadastro!$C$4:$G$7,5,FALSE)),"")</f>
        <v/>
      </c>
      <c r="J428" s="15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54" t="str">
        <f>IFERROR(IF($D429="","",VLOOKUP($D429,Cadastro!$C$4:$E$7,3,FALSE)),"")</f>
        <v/>
      </c>
      <c r="G429" s="106"/>
      <c r="H429" s="154" t="str">
        <f>IFERROR(IF($G429="","",$G429*$S$432/$G$432/Cadastro!$E$33),"")</f>
        <v/>
      </c>
      <c r="I429" s="155" t="str">
        <f>IFERROR(IF($D429="","",VLOOKUP($D429,Cadastro!$C$4:$G$7,5,FALSE)),"")</f>
        <v/>
      </c>
      <c r="J429" s="15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54" t="str">
        <f>IFERROR(IF($D430="","",VLOOKUP($D430,Cadastro!$C$4:$E$7,3,FALSE)),"")</f>
        <v/>
      </c>
      <c r="G430" s="106"/>
      <c r="H430" s="154" t="str">
        <f>IFERROR(IF($G430="","",$G430*$S$432/$G$432/Cadastro!$E$33),"")</f>
        <v/>
      </c>
      <c r="I430" s="155" t="str">
        <f>IFERROR(IF($D430="","",VLOOKUP($D430,Cadastro!$C$4:$G$7,5,FALSE)),"")</f>
        <v/>
      </c>
      <c r="J430" s="15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57" t="str">
        <f>IFERROR(IF($D431="","",VLOOKUP($D431,Cadastro!$C$4:$E$7,3,FALSE)),"")</f>
        <v/>
      </c>
      <c r="G431" s="106"/>
      <c r="H431" s="157" t="str">
        <f>IFERROR(IF($G431="","",$G431*$S$432/$G$432/Cadastro!$E$33),"")</f>
        <v/>
      </c>
      <c r="I431" s="158" t="str">
        <f>IFERROR(IF($D431="","",VLOOKUP($D431,Cadastro!$C$4:$G$7,5,FALSE)),"")</f>
        <v/>
      </c>
      <c r="J431" s="15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32" t="s">
        <v>244</v>
      </c>
      <c r="B432" s="133"/>
      <c r="C432" s="133"/>
      <c r="D432" s="133"/>
      <c r="E432" s="13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34" t="s">
        <v>245</v>
      </c>
      <c r="B433" s="135"/>
      <c r="C433" s="135"/>
      <c r="D433" s="135"/>
      <c r="E433" s="135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60" t="str">
        <f>IFERROR(IF($D434="","",VLOOKUP($D434,Cadastro!$C$4:$E$7,3,FALSE)),"")</f>
        <v/>
      </c>
      <c r="G434" s="106"/>
      <c r="H434" s="160" t="str">
        <f>IFERROR(IF($G434="","",$G434*$S$446/$G$446/Cadastro!$E$33),"")</f>
        <v/>
      </c>
      <c r="I434" s="161" t="str">
        <f>IFERROR(IF($D434="","",VLOOKUP($D434,Cadastro!$C$4:$G$7,5,FALSE)),"")</f>
        <v/>
      </c>
      <c r="J434" s="16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54" t="str">
        <f>IFERROR(IF($D435="","",VLOOKUP($D435,Cadastro!$C$4:$E$7,3,FALSE)),"")</f>
        <v/>
      </c>
      <c r="G435" s="106"/>
      <c r="H435" s="154" t="str">
        <f>IFERROR(IF($G435="","",$G435*$S$446/$G$446/Cadastro!$E$33),"")</f>
        <v/>
      </c>
      <c r="I435" s="155" t="str">
        <f>IFERROR(IF($D435="","",VLOOKUP($D435,Cadastro!$C$4:$G$7,5,FALSE)),"")</f>
        <v/>
      </c>
      <c r="J435" s="15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54" t="str">
        <f>IFERROR(IF($D436="","",VLOOKUP($D436,Cadastro!$C$4:$E$7,3,FALSE)),"")</f>
        <v/>
      </c>
      <c r="G436" s="106"/>
      <c r="H436" s="154" t="str">
        <f>IFERROR(IF($G436="","",$G436*$S$446/$G$446/Cadastro!$E$33),"")</f>
        <v/>
      </c>
      <c r="I436" s="155" t="str">
        <f>IFERROR(IF($D436="","",VLOOKUP($D436,Cadastro!$C$4:$G$7,5,FALSE)),"")</f>
        <v/>
      </c>
      <c r="J436" s="15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54" t="str">
        <f>IFERROR(IF($D437="","",VLOOKUP($D437,Cadastro!$C$4:$E$7,3,FALSE)),"")</f>
        <v/>
      </c>
      <c r="G437" s="106"/>
      <c r="H437" s="154" t="str">
        <f>IFERROR(IF($G437="","",$G437*$S$446/$G$446/Cadastro!$E$33),"")</f>
        <v/>
      </c>
      <c r="I437" s="155" t="str">
        <f>IFERROR(IF($D437="","",VLOOKUP($D437,Cadastro!$C$4:$G$7,5,FALSE)),"")</f>
        <v/>
      </c>
      <c r="J437" s="15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54" t="str">
        <f>IFERROR(IF($D438="","",VLOOKUP($D438,Cadastro!$C$4:$E$7,3,FALSE)),"")</f>
        <v/>
      </c>
      <c r="G438" s="106"/>
      <c r="H438" s="154" t="str">
        <f>IFERROR(IF($G438="","",$G438*$S$446/$G$446/Cadastro!$E$33),"")</f>
        <v/>
      </c>
      <c r="I438" s="155" t="str">
        <f>IFERROR(IF($D438="","",VLOOKUP($D438,Cadastro!$C$4:$G$7,5,FALSE)),"")</f>
        <v/>
      </c>
      <c r="J438" s="15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54" t="str">
        <f>IFERROR(IF($D439="","",VLOOKUP($D439,Cadastro!$C$4:$E$7,3,FALSE)),"")</f>
        <v/>
      </c>
      <c r="G439" s="106"/>
      <c r="H439" s="154" t="str">
        <f>IFERROR(IF($G439="","",$G439*$S$446/$G$446/Cadastro!$E$33),"")</f>
        <v/>
      </c>
      <c r="I439" s="155" t="str">
        <f>IFERROR(IF($D439="","",VLOOKUP($D439,Cadastro!$C$4:$G$7,5,FALSE)),"")</f>
        <v/>
      </c>
      <c r="J439" s="15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54" t="str">
        <f>IFERROR(IF($D440="","",VLOOKUP($D440,Cadastro!$C$4:$E$7,3,FALSE)),"")</f>
        <v/>
      </c>
      <c r="G440" s="106"/>
      <c r="H440" s="154" t="str">
        <f>IFERROR(IF($G440="","",$G440*$S$446/$G$446/Cadastro!$E$33),"")</f>
        <v/>
      </c>
      <c r="I440" s="155" t="str">
        <f>IFERROR(IF($D440="","",VLOOKUP($D440,Cadastro!$C$4:$G$7,5,FALSE)),"")</f>
        <v/>
      </c>
      <c r="J440" s="15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54" t="str">
        <f>IFERROR(IF($D441="","",VLOOKUP($D441,Cadastro!$C$4:$E$7,3,FALSE)),"")</f>
        <v/>
      </c>
      <c r="G441" s="106"/>
      <c r="H441" s="154" t="str">
        <f>IFERROR(IF($G441="","",$G441*$S$446/$G$446/Cadastro!$E$33),"")</f>
        <v/>
      </c>
      <c r="I441" s="155" t="str">
        <f>IFERROR(IF($D441="","",VLOOKUP($D441,Cadastro!$C$4:$G$7,5,FALSE)),"")</f>
        <v/>
      </c>
      <c r="J441" s="15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54" t="str">
        <f>IFERROR(IF($D442="","",VLOOKUP($D442,Cadastro!$C$4:$E$7,3,FALSE)),"")</f>
        <v/>
      </c>
      <c r="G442" s="106"/>
      <c r="H442" s="154" t="str">
        <f>IFERROR(IF($G442="","",$G442*$S$446/$G$446/Cadastro!$E$33),"")</f>
        <v/>
      </c>
      <c r="I442" s="155" t="str">
        <f>IFERROR(IF($D442="","",VLOOKUP($D442,Cadastro!$C$4:$G$7,5,FALSE)),"")</f>
        <v/>
      </c>
      <c r="J442" s="15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54" t="str">
        <f>IFERROR(IF($D443="","",VLOOKUP($D443,Cadastro!$C$4:$E$7,3,FALSE)),"")</f>
        <v/>
      </c>
      <c r="G443" s="106"/>
      <c r="H443" s="154" t="str">
        <f>IFERROR(IF($G443="","",$G443*$S$446/$G$446/Cadastro!$E$33),"")</f>
        <v/>
      </c>
      <c r="I443" s="155" t="str">
        <f>IFERROR(IF($D443="","",VLOOKUP($D443,Cadastro!$C$4:$G$7,5,FALSE)),"")</f>
        <v/>
      </c>
      <c r="J443" s="15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54" t="str">
        <f>IFERROR(IF($D444="","",VLOOKUP($D444,Cadastro!$C$4:$E$7,3,FALSE)),"")</f>
        <v/>
      </c>
      <c r="G444" s="106"/>
      <c r="H444" s="154" t="str">
        <f>IFERROR(IF($G444="","",$G444*$S$446/$G$446/Cadastro!$E$33),"")</f>
        <v/>
      </c>
      <c r="I444" s="155" t="str">
        <f>IFERROR(IF($D444="","",VLOOKUP($D444,Cadastro!$C$4:$G$7,5,FALSE)),"")</f>
        <v/>
      </c>
      <c r="J444" s="15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57" t="str">
        <f>IFERROR(IF($D445="","",VLOOKUP($D445,Cadastro!$C$4:$E$7,3,FALSE)),"")</f>
        <v/>
      </c>
      <c r="G445" s="106"/>
      <c r="H445" s="157" t="str">
        <f>IFERROR(IF($G445="","",$G445*$S$446/$G$446/Cadastro!$E$33),"")</f>
        <v/>
      </c>
      <c r="I445" s="158" t="str">
        <f>IFERROR(IF($D445="","",VLOOKUP($D445,Cadastro!$C$4:$G$7,5,FALSE)),"")</f>
        <v/>
      </c>
      <c r="J445" s="15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32" t="s">
        <v>241</v>
      </c>
      <c r="B446" s="133"/>
      <c r="C446" s="133"/>
      <c r="D446" s="133"/>
      <c r="E446" s="13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60" t="str">
        <f>IFERROR(IF($D447="","",VLOOKUP($D447,Cadastro!$C$4:$E$7,3,FALSE)),"")</f>
        <v/>
      </c>
      <c r="G447" s="106"/>
      <c r="H447" s="160" t="str">
        <f>IFERROR(IF($G447="","",$G447*$S$459/$G$459/Cadastro!$E$33),"")</f>
        <v/>
      </c>
      <c r="I447" s="161" t="str">
        <f>IFERROR(IF($D447="","",VLOOKUP($D447,Cadastro!$C$4:$G$7,5,FALSE)),"")</f>
        <v/>
      </c>
      <c r="J447" s="16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54" t="str">
        <f>IFERROR(IF($D448="","",VLOOKUP($D448,Cadastro!$C$4:$E$7,3,FALSE)),"")</f>
        <v/>
      </c>
      <c r="G448" s="106"/>
      <c r="H448" s="154" t="str">
        <f>IFERROR(IF($G448="","",$G448*$S$459/$G$459/Cadastro!$E$33),"")</f>
        <v/>
      </c>
      <c r="I448" s="155" t="str">
        <f>IFERROR(IF($D448="","",VLOOKUP($D448,Cadastro!$C$4:$G$7,5,FALSE)),"")</f>
        <v/>
      </c>
      <c r="J448" s="15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54" t="str">
        <f>IFERROR(IF($D449="","",VLOOKUP($D449,Cadastro!$C$4:$E$7,3,FALSE)),"")</f>
        <v/>
      </c>
      <c r="G449" s="106"/>
      <c r="H449" s="154" t="str">
        <f>IFERROR(IF($G449="","",$G449*$S$459/$G$459/Cadastro!$E$33),"")</f>
        <v/>
      </c>
      <c r="I449" s="155" t="str">
        <f>IFERROR(IF($D449="","",VLOOKUP($D449,Cadastro!$C$4:$G$7,5,FALSE)),"")</f>
        <v/>
      </c>
      <c r="J449" s="15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54" t="str">
        <f>IFERROR(IF($D450="","",VLOOKUP($D450,Cadastro!$C$4:$E$7,3,FALSE)),"")</f>
        <v/>
      </c>
      <c r="G450" s="106"/>
      <c r="H450" s="154" t="str">
        <f>IFERROR(IF($G450="","",$G450*$S$459/$G$459/Cadastro!$E$33),"")</f>
        <v/>
      </c>
      <c r="I450" s="155" t="str">
        <f>IFERROR(IF($D450="","",VLOOKUP($D450,Cadastro!$C$4:$G$7,5,FALSE)),"")</f>
        <v/>
      </c>
      <c r="J450" s="15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54" t="str">
        <f>IFERROR(IF($D451="","",VLOOKUP($D451,Cadastro!$C$4:$E$7,3,FALSE)),"")</f>
        <v/>
      </c>
      <c r="G451" s="106"/>
      <c r="H451" s="154" t="str">
        <f>IFERROR(IF($G451="","",$G451*$S$459/$G$459/Cadastro!$E$33),"")</f>
        <v/>
      </c>
      <c r="I451" s="155" t="str">
        <f>IFERROR(IF($D451="","",VLOOKUP($D451,Cadastro!$C$4:$G$7,5,FALSE)),"")</f>
        <v/>
      </c>
      <c r="J451" s="15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54" t="str">
        <f>IFERROR(IF($D452="","",VLOOKUP($D452,Cadastro!$C$4:$E$7,3,FALSE)),"")</f>
        <v/>
      </c>
      <c r="G452" s="106"/>
      <c r="H452" s="154" t="str">
        <f>IFERROR(IF($G452="","",$G452*$S$459/$G$459/Cadastro!$E$33),"")</f>
        <v/>
      </c>
      <c r="I452" s="155" t="str">
        <f>IFERROR(IF($D452="","",VLOOKUP($D452,Cadastro!$C$4:$G$7,5,FALSE)),"")</f>
        <v/>
      </c>
      <c r="J452" s="15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54" t="str">
        <f>IFERROR(IF($D453="","",VLOOKUP($D453,Cadastro!$C$4:$E$7,3,FALSE)),"")</f>
        <v/>
      </c>
      <c r="G453" s="106"/>
      <c r="H453" s="154" t="str">
        <f>IFERROR(IF($G453="","",$G453*$S$459/$G$459/Cadastro!$E$33),"")</f>
        <v/>
      </c>
      <c r="I453" s="155" t="str">
        <f>IFERROR(IF($D453="","",VLOOKUP($D453,Cadastro!$C$4:$G$7,5,FALSE)),"")</f>
        <v/>
      </c>
      <c r="J453" s="15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54" t="str">
        <f>IFERROR(IF($D454="","",VLOOKUP($D454,Cadastro!$C$4:$E$7,3,FALSE)),"")</f>
        <v/>
      </c>
      <c r="G454" s="106"/>
      <c r="H454" s="154" t="str">
        <f>IFERROR(IF($G454="","",$G454*$S$459/$G$459/Cadastro!$E$33),"")</f>
        <v/>
      </c>
      <c r="I454" s="155" t="str">
        <f>IFERROR(IF($D454="","",VLOOKUP($D454,Cadastro!$C$4:$G$7,5,FALSE)),"")</f>
        <v/>
      </c>
      <c r="J454" s="15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54" t="str">
        <f>IFERROR(IF($D455="","",VLOOKUP($D455,Cadastro!$C$4:$E$7,3,FALSE)),"")</f>
        <v/>
      </c>
      <c r="G455" s="106"/>
      <c r="H455" s="154" t="str">
        <f>IFERROR(IF($G455="","",$G455*$S$459/$G$459/Cadastro!$E$33),"")</f>
        <v/>
      </c>
      <c r="I455" s="155" t="str">
        <f>IFERROR(IF($D455="","",VLOOKUP($D455,Cadastro!$C$4:$G$7,5,FALSE)),"")</f>
        <v/>
      </c>
      <c r="J455" s="15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54" t="str">
        <f>IFERROR(IF($D456="","",VLOOKUP($D456,Cadastro!$C$4:$E$7,3,FALSE)),"")</f>
        <v/>
      </c>
      <c r="G456" s="106"/>
      <c r="H456" s="154" t="str">
        <f>IFERROR(IF($G456="","",$G456*$S$459/$G$459/Cadastro!$E$33),"")</f>
        <v/>
      </c>
      <c r="I456" s="155" t="str">
        <f>IFERROR(IF($D456="","",VLOOKUP($D456,Cadastro!$C$4:$G$7,5,FALSE)),"")</f>
        <v/>
      </c>
      <c r="J456" s="15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54" t="str">
        <f>IFERROR(IF($D457="","",VLOOKUP($D457,Cadastro!$C$4:$E$7,3,FALSE)),"")</f>
        <v/>
      </c>
      <c r="G457" s="106"/>
      <c r="H457" s="154" t="str">
        <f>IFERROR(IF($G457="","",$G457*$S$459/$G$459/Cadastro!$E$33),"")</f>
        <v/>
      </c>
      <c r="I457" s="155" t="str">
        <f>IFERROR(IF($D457="","",VLOOKUP($D457,Cadastro!$C$4:$G$7,5,FALSE)),"")</f>
        <v/>
      </c>
      <c r="J457" s="15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57" t="str">
        <f>IFERROR(IF($D458="","",VLOOKUP($D458,Cadastro!$C$4:$E$7,3,FALSE)),"")</f>
        <v/>
      </c>
      <c r="G458" s="106"/>
      <c r="H458" s="157" t="str">
        <f>IFERROR(IF($G458="","",$G458*$S$459/$G$459/Cadastro!$E$33),"")</f>
        <v/>
      </c>
      <c r="I458" s="158" t="str">
        <f>IFERROR(IF($D458="","",VLOOKUP($D458,Cadastro!$C$4:$G$7,5,FALSE)),"")</f>
        <v/>
      </c>
      <c r="J458" s="15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32" t="s">
        <v>244</v>
      </c>
      <c r="B459" s="133"/>
      <c r="C459" s="133"/>
      <c r="D459" s="133"/>
      <c r="E459" s="13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34" t="s">
        <v>245</v>
      </c>
      <c r="B460" s="135"/>
      <c r="C460" s="135"/>
      <c r="D460" s="135"/>
      <c r="E460" s="135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60" t="str">
        <f>IFERROR(IF($D461="","",VLOOKUP($D461,Cadastro!$C$4:$E$7,3,FALSE)),"")</f>
        <v/>
      </c>
      <c r="G461" s="106"/>
      <c r="H461" s="160" t="str">
        <f>IFERROR(IF($G461="","",$G461*$S$473/$G$473/Cadastro!$E$33),"")</f>
        <v/>
      </c>
      <c r="I461" s="161" t="str">
        <f>IFERROR(IF($D461="","",VLOOKUP($D461,Cadastro!$C$4:$G$7,5,FALSE)),"")</f>
        <v/>
      </c>
      <c r="J461" s="16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54" t="str">
        <f>IFERROR(IF($D462="","",VLOOKUP($D462,Cadastro!$C$4:$E$7,3,FALSE)),"")</f>
        <v/>
      </c>
      <c r="G462" s="106"/>
      <c r="H462" s="154" t="str">
        <f>IFERROR(IF($G462="","",$G462*$S$473/$G$473/Cadastro!$E$33),"")</f>
        <v/>
      </c>
      <c r="I462" s="155" t="str">
        <f>IFERROR(IF($D462="","",VLOOKUP($D462,Cadastro!$C$4:$G$7,5,FALSE)),"")</f>
        <v/>
      </c>
      <c r="J462" s="15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54" t="str">
        <f>IFERROR(IF($D463="","",VLOOKUP($D463,Cadastro!$C$4:$E$7,3,FALSE)),"")</f>
        <v/>
      </c>
      <c r="G463" s="106"/>
      <c r="H463" s="154" t="str">
        <f>IFERROR(IF($G463="","",$G463*$S$473/$G$473/Cadastro!$E$33),"")</f>
        <v/>
      </c>
      <c r="I463" s="155" t="str">
        <f>IFERROR(IF($D463="","",VLOOKUP($D463,Cadastro!$C$4:$G$7,5,FALSE)),"")</f>
        <v/>
      </c>
      <c r="J463" s="15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54" t="str">
        <f>IFERROR(IF($D464="","",VLOOKUP($D464,Cadastro!$C$4:$E$7,3,FALSE)),"")</f>
        <v/>
      </c>
      <c r="G464" s="106"/>
      <c r="H464" s="154" t="str">
        <f>IFERROR(IF($G464="","",$G464*$S$473/$G$473/Cadastro!$E$33),"")</f>
        <v/>
      </c>
      <c r="I464" s="155" t="str">
        <f>IFERROR(IF($D464="","",VLOOKUP($D464,Cadastro!$C$4:$G$7,5,FALSE)),"")</f>
        <v/>
      </c>
      <c r="J464" s="15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54" t="str">
        <f>IFERROR(IF($D465="","",VLOOKUP($D465,Cadastro!$C$4:$E$7,3,FALSE)),"")</f>
        <v/>
      </c>
      <c r="G465" s="106"/>
      <c r="H465" s="154" t="str">
        <f>IFERROR(IF($G465="","",$G465*$S$473/$G$473/Cadastro!$E$33),"")</f>
        <v/>
      </c>
      <c r="I465" s="155" t="str">
        <f>IFERROR(IF($D465="","",VLOOKUP($D465,Cadastro!$C$4:$G$7,5,FALSE)),"")</f>
        <v/>
      </c>
      <c r="J465" s="15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54" t="str">
        <f>IFERROR(IF($D466="","",VLOOKUP($D466,Cadastro!$C$4:$E$7,3,FALSE)),"")</f>
        <v/>
      </c>
      <c r="G466" s="106"/>
      <c r="H466" s="154" t="str">
        <f>IFERROR(IF($G466="","",$G466*$S$473/$G$473/Cadastro!$E$33),"")</f>
        <v/>
      </c>
      <c r="I466" s="155" t="str">
        <f>IFERROR(IF($D466="","",VLOOKUP($D466,Cadastro!$C$4:$G$7,5,FALSE)),"")</f>
        <v/>
      </c>
      <c r="J466" s="15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54" t="str">
        <f>IFERROR(IF($D467="","",VLOOKUP($D467,Cadastro!$C$4:$E$7,3,FALSE)),"")</f>
        <v/>
      </c>
      <c r="G467" s="106"/>
      <c r="H467" s="154" t="str">
        <f>IFERROR(IF($G467="","",$G467*$S$473/$G$473/Cadastro!$E$33),"")</f>
        <v/>
      </c>
      <c r="I467" s="155" t="str">
        <f>IFERROR(IF($D467="","",VLOOKUP($D467,Cadastro!$C$4:$G$7,5,FALSE)),"")</f>
        <v/>
      </c>
      <c r="J467" s="15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54" t="str">
        <f>IFERROR(IF($D468="","",VLOOKUP($D468,Cadastro!$C$4:$E$7,3,FALSE)),"")</f>
        <v/>
      </c>
      <c r="G468" s="106"/>
      <c r="H468" s="154" t="str">
        <f>IFERROR(IF($G468="","",$G468*$S$473/$G$473/Cadastro!$E$33),"")</f>
        <v/>
      </c>
      <c r="I468" s="155" t="str">
        <f>IFERROR(IF($D468="","",VLOOKUP($D468,Cadastro!$C$4:$G$7,5,FALSE)),"")</f>
        <v/>
      </c>
      <c r="J468" s="15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54" t="str">
        <f>IFERROR(IF($D469="","",VLOOKUP($D469,Cadastro!$C$4:$E$7,3,FALSE)),"")</f>
        <v/>
      </c>
      <c r="G469" s="106"/>
      <c r="H469" s="154" t="str">
        <f>IFERROR(IF($G469="","",$G469*$S$473/$G$473/Cadastro!$E$33),"")</f>
        <v/>
      </c>
      <c r="I469" s="155" t="str">
        <f>IFERROR(IF($D469="","",VLOOKUP($D469,Cadastro!$C$4:$G$7,5,FALSE)),"")</f>
        <v/>
      </c>
      <c r="J469" s="15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54" t="str">
        <f>IFERROR(IF($D470="","",VLOOKUP($D470,Cadastro!$C$4:$E$7,3,FALSE)),"")</f>
        <v/>
      </c>
      <c r="G470" s="106"/>
      <c r="H470" s="154" t="str">
        <f>IFERROR(IF($G470="","",$G470*$S$473/$G$473/Cadastro!$E$33),"")</f>
        <v/>
      </c>
      <c r="I470" s="155" t="str">
        <f>IFERROR(IF($D470="","",VLOOKUP($D470,Cadastro!$C$4:$G$7,5,FALSE)),"")</f>
        <v/>
      </c>
      <c r="J470" s="15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54" t="str">
        <f>IFERROR(IF($D471="","",VLOOKUP($D471,Cadastro!$C$4:$E$7,3,FALSE)),"")</f>
        <v/>
      </c>
      <c r="G471" s="106"/>
      <c r="H471" s="154" t="str">
        <f>IFERROR(IF($G471="","",$G471*$S$473/$G$473/Cadastro!$E$33),"")</f>
        <v/>
      </c>
      <c r="I471" s="155" t="str">
        <f>IFERROR(IF($D471="","",VLOOKUP($D471,Cadastro!$C$4:$G$7,5,FALSE)),"")</f>
        <v/>
      </c>
      <c r="J471" s="15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57" t="str">
        <f>IFERROR(IF($D472="","",VLOOKUP($D472,Cadastro!$C$4:$E$7,3,FALSE)),"")</f>
        <v/>
      </c>
      <c r="G472" s="106"/>
      <c r="H472" s="157" t="str">
        <f>IFERROR(IF($G472="","",$G472*$S$473/$G$473/Cadastro!$E$33),"")</f>
        <v/>
      </c>
      <c r="I472" s="158" t="str">
        <f>IFERROR(IF($D472="","",VLOOKUP($D472,Cadastro!$C$4:$G$7,5,FALSE)),"")</f>
        <v/>
      </c>
      <c r="J472" s="15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32" t="s">
        <v>241</v>
      </c>
      <c r="B473" s="133"/>
      <c r="C473" s="133"/>
      <c r="D473" s="133"/>
      <c r="E473" s="13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60" t="str">
        <f>IFERROR(IF($D474="","",VLOOKUP($D474,Cadastro!$C$4:$E$7,3,FALSE)),"")</f>
        <v/>
      </c>
      <c r="G474" s="106"/>
      <c r="H474" s="160" t="str">
        <f>IFERROR(IF($G474="","",$G474*$S$486/$G$486/Cadastro!$E$33),"")</f>
        <v/>
      </c>
      <c r="I474" s="161" t="str">
        <f>IFERROR(IF($D474="","",VLOOKUP($D474,Cadastro!$C$4:$G$7,5,FALSE)),"")</f>
        <v/>
      </c>
      <c r="J474" s="16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54" t="str">
        <f>IFERROR(IF($D475="","",VLOOKUP($D475,Cadastro!$C$4:$E$7,3,FALSE)),"")</f>
        <v/>
      </c>
      <c r="G475" s="106"/>
      <c r="H475" s="154" t="str">
        <f>IFERROR(IF($G475="","",$G475*$S$486/$G$486/Cadastro!$E$33),"")</f>
        <v/>
      </c>
      <c r="I475" s="155" t="str">
        <f>IFERROR(IF($D475="","",VLOOKUP($D475,Cadastro!$C$4:$G$7,5,FALSE)),"")</f>
        <v/>
      </c>
      <c r="J475" s="15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54" t="str">
        <f>IFERROR(IF($D476="","",VLOOKUP($D476,Cadastro!$C$4:$E$7,3,FALSE)),"")</f>
        <v/>
      </c>
      <c r="G476" s="106"/>
      <c r="H476" s="154" t="str">
        <f>IFERROR(IF($G476="","",$G476*$S$486/$G$486/Cadastro!$E$33),"")</f>
        <v/>
      </c>
      <c r="I476" s="155" t="str">
        <f>IFERROR(IF($D476="","",VLOOKUP($D476,Cadastro!$C$4:$G$7,5,FALSE)),"")</f>
        <v/>
      </c>
      <c r="J476" s="15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54" t="str">
        <f>IFERROR(IF($D477="","",VLOOKUP($D477,Cadastro!$C$4:$E$7,3,FALSE)),"")</f>
        <v/>
      </c>
      <c r="G477" s="106"/>
      <c r="H477" s="154" t="str">
        <f>IFERROR(IF($G477="","",$G477*$S$486/$G$486/Cadastro!$E$33),"")</f>
        <v/>
      </c>
      <c r="I477" s="155" t="str">
        <f>IFERROR(IF($D477="","",VLOOKUP($D477,Cadastro!$C$4:$G$7,5,FALSE)),"")</f>
        <v/>
      </c>
      <c r="J477" s="15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54" t="str">
        <f>IFERROR(IF($D478="","",VLOOKUP($D478,Cadastro!$C$4:$E$7,3,FALSE)),"")</f>
        <v/>
      </c>
      <c r="G478" s="106"/>
      <c r="H478" s="154" t="str">
        <f>IFERROR(IF($G478="","",$G478*$S$486/$G$486/Cadastro!$E$33),"")</f>
        <v/>
      </c>
      <c r="I478" s="155" t="str">
        <f>IFERROR(IF($D478="","",VLOOKUP($D478,Cadastro!$C$4:$G$7,5,FALSE)),"")</f>
        <v/>
      </c>
      <c r="J478" s="15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54" t="str">
        <f>IFERROR(IF($D479="","",VLOOKUP($D479,Cadastro!$C$4:$E$7,3,FALSE)),"")</f>
        <v/>
      </c>
      <c r="G479" s="106"/>
      <c r="H479" s="154" t="str">
        <f>IFERROR(IF($G479="","",$G479*$S$486/$G$486/Cadastro!$E$33),"")</f>
        <v/>
      </c>
      <c r="I479" s="155" t="str">
        <f>IFERROR(IF($D479="","",VLOOKUP($D479,Cadastro!$C$4:$G$7,5,FALSE)),"")</f>
        <v/>
      </c>
      <c r="J479" s="15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54" t="str">
        <f>IFERROR(IF($D480="","",VLOOKUP($D480,Cadastro!$C$4:$E$7,3,FALSE)),"")</f>
        <v/>
      </c>
      <c r="G480" s="106"/>
      <c r="H480" s="154" t="str">
        <f>IFERROR(IF($G480="","",$G480*$S$486/$G$486/Cadastro!$E$33),"")</f>
        <v/>
      </c>
      <c r="I480" s="155" t="str">
        <f>IFERROR(IF($D480="","",VLOOKUP($D480,Cadastro!$C$4:$G$7,5,FALSE)),"")</f>
        <v/>
      </c>
      <c r="J480" s="15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54" t="str">
        <f>IFERROR(IF($D481="","",VLOOKUP($D481,Cadastro!$C$4:$E$7,3,FALSE)),"")</f>
        <v/>
      </c>
      <c r="G481" s="106"/>
      <c r="H481" s="154" t="str">
        <f>IFERROR(IF($G481="","",$G481*$S$486/$G$486/Cadastro!$E$33),"")</f>
        <v/>
      </c>
      <c r="I481" s="155" t="str">
        <f>IFERROR(IF($D481="","",VLOOKUP($D481,Cadastro!$C$4:$G$7,5,FALSE)),"")</f>
        <v/>
      </c>
      <c r="J481" s="15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54" t="str">
        <f>IFERROR(IF($D482="","",VLOOKUP($D482,Cadastro!$C$4:$E$7,3,FALSE)),"")</f>
        <v/>
      </c>
      <c r="G482" s="106"/>
      <c r="H482" s="154" t="str">
        <f>IFERROR(IF($G482="","",$G482*$S$486/$G$486/Cadastro!$E$33),"")</f>
        <v/>
      </c>
      <c r="I482" s="155" t="str">
        <f>IFERROR(IF($D482="","",VLOOKUP($D482,Cadastro!$C$4:$G$7,5,FALSE)),"")</f>
        <v/>
      </c>
      <c r="J482" s="15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54" t="str">
        <f>IFERROR(IF($D483="","",VLOOKUP($D483,Cadastro!$C$4:$E$7,3,FALSE)),"")</f>
        <v/>
      </c>
      <c r="G483" s="106"/>
      <c r="H483" s="154" t="str">
        <f>IFERROR(IF($G483="","",$G483*$S$486/$G$486/Cadastro!$E$33),"")</f>
        <v/>
      </c>
      <c r="I483" s="155" t="str">
        <f>IFERROR(IF($D483="","",VLOOKUP($D483,Cadastro!$C$4:$G$7,5,FALSE)),"")</f>
        <v/>
      </c>
      <c r="J483" s="15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54" t="str">
        <f>IFERROR(IF($D484="","",VLOOKUP($D484,Cadastro!$C$4:$E$7,3,FALSE)),"")</f>
        <v/>
      </c>
      <c r="G484" s="106"/>
      <c r="H484" s="154" t="str">
        <f>IFERROR(IF($G484="","",$G484*$S$486/$G$486/Cadastro!$E$33),"")</f>
        <v/>
      </c>
      <c r="I484" s="155" t="str">
        <f>IFERROR(IF($D484="","",VLOOKUP($D484,Cadastro!$C$4:$G$7,5,FALSE)),"")</f>
        <v/>
      </c>
      <c r="J484" s="15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57" t="str">
        <f>IFERROR(IF($D485="","",VLOOKUP($D485,Cadastro!$C$4:$E$7,3,FALSE)),"")</f>
        <v/>
      </c>
      <c r="G485" s="106"/>
      <c r="H485" s="157" t="str">
        <f>IFERROR(IF($G485="","",$G485*$S$486/$G$486/Cadastro!$E$33),"")</f>
        <v/>
      </c>
      <c r="I485" s="158" t="str">
        <f>IFERROR(IF($D485="","",VLOOKUP($D485,Cadastro!$C$4:$G$7,5,FALSE)),"")</f>
        <v/>
      </c>
      <c r="J485" s="15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32" t="s">
        <v>244</v>
      </c>
      <c r="B486" s="133"/>
      <c r="C486" s="133"/>
      <c r="D486" s="133"/>
      <c r="E486" s="13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34" t="s">
        <v>245</v>
      </c>
      <c r="B487" s="135"/>
      <c r="C487" s="135"/>
      <c r="D487" s="135"/>
      <c r="E487" s="135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60" t="str">
        <f>IFERROR(IF($D488="","",VLOOKUP($D488,Cadastro!$C$4:$E$7,3,FALSE)),"")</f>
        <v/>
      </c>
      <c r="G488" s="106"/>
      <c r="H488" s="160" t="str">
        <f>IFERROR(IF($G488="","",$G488*$S$500/$G$500/Cadastro!$E$33),"")</f>
        <v/>
      </c>
      <c r="I488" s="161" t="str">
        <f>IFERROR(IF($D488="","",VLOOKUP($D488,Cadastro!$C$4:$G$7,5,FALSE)),"")</f>
        <v/>
      </c>
      <c r="J488" s="16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54" t="str">
        <f>IFERROR(IF($D489="","",VLOOKUP($D489,Cadastro!$C$4:$E$7,3,FALSE)),"")</f>
        <v/>
      </c>
      <c r="G489" s="106"/>
      <c r="H489" s="154" t="str">
        <f>IFERROR(IF($G489="","",$G489*$S$500/$G$500/Cadastro!$E$33),"")</f>
        <v/>
      </c>
      <c r="I489" s="155" t="str">
        <f>IFERROR(IF($D489="","",VLOOKUP($D489,Cadastro!$C$4:$G$7,5,FALSE)),"")</f>
        <v/>
      </c>
      <c r="J489" s="15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54" t="str">
        <f>IFERROR(IF($D490="","",VLOOKUP($D490,Cadastro!$C$4:$E$7,3,FALSE)),"")</f>
        <v/>
      </c>
      <c r="G490" s="106"/>
      <c r="H490" s="154" t="str">
        <f>IFERROR(IF($G490="","",$G490*$S$500/$G$500/Cadastro!$E$33),"")</f>
        <v/>
      </c>
      <c r="I490" s="155" t="str">
        <f>IFERROR(IF($D490="","",VLOOKUP($D490,Cadastro!$C$4:$G$7,5,FALSE)),"")</f>
        <v/>
      </c>
      <c r="J490" s="15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54" t="str">
        <f>IFERROR(IF($D491="","",VLOOKUP($D491,Cadastro!$C$4:$E$7,3,FALSE)),"")</f>
        <v/>
      </c>
      <c r="G491" s="106"/>
      <c r="H491" s="154" t="str">
        <f>IFERROR(IF($G491="","",$G491*$S$500/$G$500/Cadastro!$E$33),"")</f>
        <v/>
      </c>
      <c r="I491" s="155" t="str">
        <f>IFERROR(IF($D491="","",VLOOKUP($D491,Cadastro!$C$4:$G$7,5,FALSE)),"")</f>
        <v/>
      </c>
      <c r="J491" s="15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54" t="str">
        <f>IFERROR(IF($D492="","",VLOOKUP($D492,Cadastro!$C$4:$E$7,3,FALSE)),"")</f>
        <v/>
      </c>
      <c r="G492" s="106"/>
      <c r="H492" s="154" t="str">
        <f>IFERROR(IF($G492="","",$G492*$S$500/$G$500/Cadastro!$E$33),"")</f>
        <v/>
      </c>
      <c r="I492" s="155" t="str">
        <f>IFERROR(IF($D492="","",VLOOKUP($D492,Cadastro!$C$4:$G$7,5,FALSE)),"")</f>
        <v/>
      </c>
      <c r="J492" s="15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54" t="str">
        <f>IFERROR(IF($D493="","",VLOOKUP($D493,Cadastro!$C$4:$E$7,3,FALSE)),"")</f>
        <v/>
      </c>
      <c r="G493" s="106"/>
      <c r="H493" s="154" t="str">
        <f>IFERROR(IF($G493="","",$G493*$S$500/$G$500/Cadastro!$E$33),"")</f>
        <v/>
      </c>
      <c r="I493" s="155" t="str">
        <f>IFERROR(IF($D493="","",VLOOKUP($D493,Cadastro!$C$4:$G$7,5,FALSE)),"")</f>
        <v/>
      </c>
      <c r="J493" s="15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54" t="str">
        <f>IFERROR(IF($D494="","",VLOOKUP($D494,Cadastro!$C$4:$E$7,3,FALSE)),"")</f>
        <v/>
      </c>
      <c r="G494" s="106"/>
      <c r="H494" s="154" t="str">
        <f>IFERROR(IF($G494="","",$G494*$S$500/$G$500/Cadastro!$E$33),"")</f>
        <v/>
      </c>
      <c r="I494" s="155" t="str">
        <f>IFERROR(IF($D494="","",VLOOKUP($D494,Cadastro!$C$4:$G$7,5,FALSE)),"")</f>
        <v/>
      </c>
      <c r="J494" s="15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54" t="str">
        <f>IFERROR(IF($D495="","",VLOOKUP($D495,Cadastro!$C$4:$E$7,3,FALSE)),"")</f>
        <v/>
      </c>
      <c r="G495" s="106"/>
      <c r="H495" s="154" t="str">
        <f>IFERROR(IF($G495="","",$G495*$S$500/$G$500/Cadastro!$E$33),"")</f>
        <v/>
      </c>
      <c r="I495" s="155" t="str">
        <f>IFERROR(IF($D495="","",VLOOKUP($D495,Cadastro!$C$4:$G$7,5,FALSE)),"")</f>
        <v/>
      </c>
      <c r="J495" s="15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54" t="str">
        <f>IFERROR(IF($D496="","",VLOOKUP($D496,Cadastro!$C$4:$E$7,3,FALSE)),"")</f>
        <v/>
      </c>
      <c r="G496" s="106"/>
      <c r="H496" s="154" t="str">
        <f>IFERROR(IF($G496="","",$G496*$S$500/$G$500/Cadastro!$E$33),"")</f>
        <v/>
      </c>
      <c r="I496" s="155" t="str">
        <f>IFERROR(IF($D496="","",VLOOKUP($D496,Cadastro!$C$4:$G$7,5,FALSE)),"")</f>
        <v/>
      </c>
      <c r="J496" s="15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54" t="str">
        <f>IFERROR(IF($D497="","",VLOOKUP($D497,Cadastro!$C$4:$E$7,3,FALSE)),"")</f>
        <v/>
      </c>
      <c r="G497" s="106"/>
      <c r="H497" s="154" t="str">
        <f>IFERROR(IF($G497="","",$G497*$S$500/$G$500/Cadastro!$E$33),"")</f>
        <v/>
      </c>
      <c r="I497" s="155" t="str">
        <f>IFERROR(IF($D497="","",VLOOKUP($D497,Cadastro!$C$4:$G$7,5,FALSE)),"")</f>
        <v/>
      </c>
      <c r="J497" s="15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54" t="str">
        <f>IFERROR(IF($D498="","",VLOOKUP($D498,Cadastro!$C$4:$E$7,3,FALSE)),"")</f>
        <v/>
      </c>
      <c r="G498" s="106"/>
      <c r="H498" s="154" t="str">
        <f>IFERROR(IF($G498="","",$G498*$S$500/$G$500/Cadastro!$E$33),"")</f>
        <v/>
      </c>
      <c r="I498" s="155" t="str">
        <f>IFERROR(IF($D498="","",VLOOKUP($D498,Cadastro!$C$4:$G$7,5,FALSE)),"")</f>
        <v/>
      </c>
      <c r="J498" s="15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57" t="str">
        <f>IFERROR(IF($D499="","",VLOOKUP($D499,Cadastro!$C$4:$E$7,3,FALSE)),"")</f>
        <v/>
      </c>
      <c r="G499" s="106"/>
      <c r="H499" s="157" t="str">
        <f>IFERROR(IF($G499="","",$G499*$S$500/$G$500/Cadastro!$E$33),"")</f>
        <v/>
      </c>
      <c r="I499" s="158" t="str">
        <f>IFERROR(IF($D499="","",VLOOKUP($D499,Cadastro!$C$4:$G$7,5,FALSE)),"")</f>
        <v/>
      </c>
      <c r="J499" s="15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32" t="s">
        <v>241</v>
      </c>
      <c r="B500" s="133"/>
      <c r="C500" s="133"/>
      <c r="D500" s="133"/>
      <c r="E500" s="13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60" t="str">
        <f>IFERROR(IF($D501="","",VLOOKUP($D501,Cadastro!$C$4:$E$7,3,FALSE)),"")</f>
        <v/>
      </c>
      <c r="G501" s="106"/>
      <c r="H501" s="160" t="str">
        <f>IFERROR(IF($G501="","",$G501*$S$513/$G$513/Cadastro!$E$33),"")</f>
        <v/>
      </c>
      <c r="I501" s="161" t="str">
        <f>IFERROR(IF($D501="","",VLOOKUP($D501,Cadastro!$C$4:$G$7,5,FALSE)),"")</f>
        <v/>
      </c>
      <c r="J501" s="16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54" t="str">
        <f>IFERROR(IF($D502="","",VLOOKUP($D502,Cadastro!$C$4:$E$7,3,FALSE)),"")</f>
        <v/>
      </c>
      <c r="G502" s="106"/>
      <c r="H502" s="154" t="str">
        <f>IFERROR(IF($G502="","",$G502*$S$513/$G$513/Cadastro!$E$33),"")</f>
        <v/>
      </c>
      <c r="I502" s="155" t="str">
        <f>IFERROR(IF($D502="","",VLOOKUP($D502,Cadastro!$C$4:$G$7,5,FALSE)),"")</f>
        <v/>
      </c>
      <c r="J502" s="15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54" t="str">
        <f>IFERROR(IF($D503="","",VLOOKUP($D503,Cadastro!$C$4:$E$7,3,FALSE)),"")</f>
        <v/>
      </c>
      <c r="G503" s="106"/>
      <c r="H503" s="154" t="str">
        <f>IFERROR(IF($G503="","",$G503*$S$513/$G$513/Cadastro!$E$33),"")</f>
        <v/>
      </c>
      <c r="I503" s="155" t="str">
        <f>IFERROR(IF($D503="","",VLOOKUP($D503,Cadastro!$C$4:$G$7,5,FALSE)),"")</f>
        <v/>
      </c>
      <c r="J503" s="15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54" t="str">
        <f>IFERROR(IF($D504="","",VLOOKUP($D504,Cadastro!$C$4:$E$7,3,FALSE)),"")</f>
        <v/>
      </c>
      <c r="G504" s="106"/>
      <c r="H504" s="154" t="str">
        <f>IFERROR(IF($G504="","",$G504*$S$513/$G$513/Cadastro!$E$33),"")</f>
        <v/>
      </c>
      <c r="I504" s="155" t="str">
        <f>IFERROR(IF($D504="","",VLOOKUP($D504,Cadastro!$C$4:$G$7,5,FALSE)),"")</f>
        <v/>
      </c>
      <c r="J504" s="15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54" t="str">
        <f>IFERROR(IF($D505="","",VLOOKUP($D505,Cadastro!$C$4:$E$7,3,FALSE)),"")</f>
        <v/>
      </c>
      <c r="G505" s="106"/>
      <c r="H505" s="154" t="str">
        <f>IFERROR(IF($G505="","",$G505*$S$513/$G$513/Cadastro!$E$33),"")</f>
        <v/>
      </c>
      <c r="I505" s="155" t="str">
        <f>IFERROR(IF($D505="","",VLOOKUP($D505,Cadastro!$C$4:$G$7,5,FALSE)),"")</f>
        <v/>
      </c>
      <c r="J505" s="15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54" t="str">
        <f>IFERROR(IF($D506="","",VLOOKUP($D506,Cadastro!$C$4:$E$7,3,FALSE)),"")</f>
        <v/>
      </c>
      <c r="G506" s="106"/>
      <c r="H506" s="154" t="str">
        <f>IFERROR(IF($G506="","",$G506*$S$513/$G$513/Cadastro!$E$33),"")</f>
        <v/>
      </c>
      <c r="I506" s="155" t="str">
        <f>IFERROR(IF($D506="","",VLOOKUP($D506,Cadastro!$C$4:$G$7,5,FALSE)),"")</f>
        <v/>
      </c>
      <c r="J506" s="15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54" t="str">
        <f>IFERROR(IF($D507="","",VLOOKUP($D507,Cadastro!$C$4:$E$7,3,FALSE)),"")</f>
        <v/>
      </c>
      <c r="G507" s="106"/>
      <c r="H507" s="154" t="str">
        <f>IFERROR(IF($G507="","",$G507*$S$513/$G$513/Cadastro!$E$33),"")</f>
        <v/>
      </c>
      <c r="I507" s="155" t="str">
        <f>IFERROR(IF($D507="","",VLOOKUP($D507,Cadastro!$C$4:$G$7,5,FALSE)),"")</f>
        <v/>
      </c>
      <c r="J507" s="15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54" t="str">
        <f>IFERROR(IF($D508="","",VLOOKUP($D508,Cadastro!$C$4:$E$7,3,FALSE)),"")</f>
        <v/>
      </c>
      <c r="G508" s="106"/>
      <c r="H508" s="154" t="str">
        <f>IFERROR(IF($G508="","",$G508*$S$513/$G$513/Cadastro!$E$33),"")</f>
        <v/>
      </c>
      <c r="I508" s="155" t="str">
        <f>IFERROR(IF($D508="","",VLOOKUP($D508,Cadastro!$C$4:$G$7,5,FALSE)),"")</f>
        <v/>
      </c>
      <c r="J508" s="15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54" t="str">
        <f>IFERROR(IF($D509="","",VLOOKUP($D509,Cadastro!$C$4:$E$7,3,FALSE)),"")</f>
        <v/>
      </c>
      <c r="G509" s="106"/>
      <c r="H509" s="154" t="str">
        <f>IFERROR(IF($G509="","",$G509*$S$513/$G$513/Cadastro!$E$33),"")</f>
        <v/>
      </c>
      <c r="I509" s="155" t="str">
        <f>IFERROR(IF($D509="","",VLOOKUP($D509,Cadastro!$C$4:$G$7,5,FALSE)),"")</f>
        <v/>
      </c>
      <c r="J509" s="15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54" t="str">
        <f>IFERROR(IF($D510="","",VLOOKUP($D510,Cadastro!$C$4:$E$7,3,FALSE)),"")</f>
        <v/>
      </c>
      <c r="G510" s="106"/>
      <c r="H510" s="154" t="str">
        <f>IFERROR(IF($G510="","",$G510*$S$513/$G$513/Cadastro!$E$33),"")</f>
        <v/>
      </c>
      <c r="I510" s="155" t="str">
        <f>IFERROR(IF($D510="","",VLOOKUP($D510,Cadastro!$C$4:$G$7,5,FALSE)),"")</f>
        <v/>
      </c>
      <c r="J510" s="15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54" t="str">
        <f>IFERROR(IF($D511="","",VLOOKUP($D511,Cadastro!$C$4:$E$7,3,FALSE)),"")</f>
        <v/>
      </c>
      <c r="G511" s="106"/>
      <c r="H511" s="154" t="str">
        <f>IFERROR(IF($G511="","",$G511*$S$513/$G$513/Cadastro!$E$33),"")</f>
        <v/>
      </c>
      <c r="I511" s="155" t="str">
        <f>IFERROR(IF($D511="","",VLOOKUP($D511,Cadastro!$C$4:$G$7,5,FALSE)),"")</f>
        <v/>
      </c>
      <c r="J511" s="15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57" t="str">
        <f>IFERROR(IF($D512="","",VLOOKUP($D512,Cadastro!$C$4:$E$7,3,FALSE)),"")</f>
        <v/>
      </c>
      <c r="G512" s="106"/>
      <c r="H512" s="157" t="str">
        <f>IFERROR(IF($G512="","",$G512*$S$513/$G$513/Cadastro!$E$33),"")</f>
        <v/>
      </c>
      <c r="I512" s="158" t="str">
        <f>IFERROR(IF($D512="","",VLOOKUP($D512,Cadastro!$C$4:$G$7,5,FALSE)),"")</f>
        <v/>
      </c>
      <c r="J512" s="15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32" t="s">
        <v>244</v>
      </c>
      <c r="B513" s="133"/>
      <c r="C513" s="133"/>
      <c r="D513" s="133"/>
      <c r="E513" s="13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34" t="s">
        <v>245</v>
      </c>
      <c r="B514" s="135"/>
      <c r="C514" s="135"/>
      <c r="D514" s="135"/>
      <c r="E514" s="135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60" t="str">
        <f>IFERROR(IF($D515="","",VLOOKUP($D515,Cadastro!$C$4:$E$7,3,FALSE)),"")</f>
        <v/>
      </c>
      <c r="G515" s="106"/>
      <c r="H515" s="160" t="str">
        <f>IFERROR(IF($G515="","",$G515*$S$527/$G$527/Cadastro!$E$33),"")</f>
        <v/>
      </c>
      <c r="I515" s="161" t="str">
        <f>IFERROR(IF($D515="","",VLOOKUP($D515,Cadastro!$C$4:$G$7,5,FALSE)),"")</f>
        <v/>
      </c>
      <c r="J515" s="16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54" t="str">
        <f>IFERROR(IF($D516="","",VLOOKUP($D516,Cadastro!$C$4:$E$7,3,FALSE)),"")</f>
        <v/>
      </c>
      <c r="G516" s="106"/>
      <c r="H516" s="154" t="str">
        <f>IFERROR(IF($G516="","",$G516*$S$527/$G$527/Cadastro!$E$33),"")</f>
        <v/>
      </c>
      <c r="I516" s="155" t="str">
        <f>IFERROR(IF($D516="","",VLOOKUP($D516,Cadastro!$C$4:$G$7,5,FALSE)),"")</f>
        <v/>
      </c>
      <c r="J516" s="15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54" t="str">
        <f>IFERROR(IF($D517="","",VLOOKUP($D517,Cadastro!$C$4:$E$7,3,FALSE)),"")</f>
        <v/>
      </c>
      <c r="G517" s="106"/>
      <c r="H517" s="154" t="str">
        <f>IFERROR(IF($G517="","",$G517*$S$527/$G$527/Cadastro!$E$33),"")</f>
        <v/>
      </c>
      <c r="I517" s="155" t="str">
        <f>IFERROR(IF($D517="","",VLOOKUP($D517,Cadastro!$C$4:$G$7,5,FALSE)),"")</f>
        <v/>
      </c>
      <c r="J517" s="15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54" t="str">
        <f>IFERROR(IF($D518="","",VLOOKUP($D518,Cadastro!$C$4:$E$7,3,FALSE)),"")</f>
        <v/>
      </c>
      <c r="G518" s="106"/>
      <c r="H518" s="154" t="str">
        <f>IFERROR(IF($G518="","",$G518*$S$527/$G$527/Cadastro!$E$33),"")</f>
        <v/>
      </c>
      <c r="I518" s="155" t="str">
        <f>IFERROR(IF($D518="","",VLOOKUP($D518,Cadastro!$C$4:$G$7,5,FALSE)),"")</f>
        <v/>
      </c>
      <c r="J518" s="15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54" t="str">
        <f>IFERROR(IF($D519="","",VLOOKUP($D519,Cadastro!$C$4:$E$7,3,FALSE)),"")</f>
        <v/>
      </c>
      <c r="G519" s="106"/>
      <c r="H519" s="154" t="str">
        <f>IFERROR(IF($G519="","",$G519*$S$527/$G$527/Cadastro!$E$33),"")</f>
        <v/>
      </c>
      <c r="I519" s="155" t="str">
        <f>IFERROR(IF($D519="","",VLOOKUP($D519,Cadastro!$C$4:$G$7,5,FALSE)),"")</f>
        <v/>
      </c>
      <c r="J519" s="15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54" t="str">
        <f>IFERROR(IF($D520="","",VLOOKUP($D520,Cadastro!$C$4:$E$7,3,FALSE)),"")</f>
        <v/>
      </c>
      <c r="G520" s="106"/>
      <c r="H520" s="154" t="str">
        <f>IFERROR(IF($G520="","",$G520*$S$527/$G$527/Cadastro!$E$33),"")</f>
        <v/>
      </c>
      <c r="I520" s="155" t="str">
        <f>IFERROR(IF($D520="","",VLOOKUP($D520,Cadastro!$C$4:$G$7,5,FALSE)),"")</f>
        <v/>
      </c>
      <c r="J520" s="15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54" t="str">
        <f>IFERROR(IF($D521="","",VLOOKUP($D521,Cadastro!$C$4:$E$7,3,FALSE)),"")</f>
        <v/>
      </c>
      <c r="G521" s="106"/>
      <c r="H521" s="154" t="str">
        <f>IFERROR(IF($G521="","",$G521*$S$527/$G$527/Cadastro!$E$33),"")</f>
        <v/>
      </c>
      <c r="I521" s="155" t="str">
        <f>IFERROR(IF($D521="","",VLOOKUP($D521,Cadastro!$C$4:$G$7,5,FALSE)),"")</f>
        <v/>
      </c>
      <c r="J521" s="15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54" t="str">
        <f>IFERROR(IF($D522="","",VLOOKUP($D522,Cadastro!$C$4:$E$7,3,FALSE)),"")</f>
        <v/>
      </c>
      <c r="G522" s="106"/>
      <c r="H522" s="154" t="str">
        <f>IFERROR(IF($G522="","",$G522*$S$527/$G$527/Cadastro!$E$33),"")</f>
        <v/>
      </c>
      <c r="I522" s="155" t="str">
        <f>IFERROR(IF($D522="","",VLOOKUP($D522,Cadastro!$C$4:$G$7,5,FALSE)),"")</f>
        <v/>
      </c>
      <c r="J522" s="15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54" t="str">
        <f>IFERROR(IF($D523="","",VLOOKUP($D523,Cadastro!$C$4:$E$7,3,FALSE)),"")</f>
        <v/>
      </c>
      <c r="G523" s="106"/>
      <c r="H523" s="154" t="str">
        <f>IFERROR(IF($G523="","",$G523*$S$527/$G$527/Cadastro!$E$33),"")</f>
        <v/>
      </c>
      <c r="I523" s="155" t="str">
        <f>IFERROR(IF($D523="","",VLOOKUP($D523,Cadastro!$C$4:$G$7,5,FALSE)),"")</f>
        <v/>
      </c>
      <c r="J523" s="15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54" t="str">
        <f>IFERROR(IF($D524="","",VLOOKUP($D524,Cadastro!$C$4:$E$7,3,FALSE)),"")</f>
        <v/>
      </c>
      <c r="G524" s="106"/>
      <c r="H524" s="154" t="str">
        <f>IFERROR(IF($G524="","",$G524*$S$527/$G$527/Cadastro!$E$33),"")</f>
        <v/>
      </c>
      <c r="I524" s="155" t="str">
        <f>IFERROR(IF($D524="","",VLOOKUP($D524,Cadastro!$C$4:$G$7,5,FALSE)),"")</f>
        <v/>
      </c>
      <c r="J524" s="15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54" t="str">
        <f>IFERROR(IF($D525="","",VLOOKUP($D525,Cadastro!$C$4:$E$7,3,FALSE)),"")</f>
        <v/>
      </c>
      <c r="G525" s="106"/>
      <c r="H525" s="154" t="str">
        <f>IFERROR(IF($G525="","",$G525*$S$527/$G$527/Cadastro!$E$33),"")</f>
        <v/>
      </c>
      <c r="I525" s="155" t="str">
        <f>IFERROR(IF($D525="","",VLOOKUP($D525,Cadastro!$C$4:$G$7,5,FALSE)),"")</f>
        <v/>
      </c>
      <c r="J525" s="15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57" t="str">
        <f>IFERROR(IF($D526="","",VLOOKUP($D526,Cadastro!$C$4:$E$7,3,FALSE)),"")</f>
        <v/>
      </c>
      <c r="G526" s="106"/>
      <c r="H526" s="157" t="str">
        <f>IFERROR(IF($G526="","",$G526*$S$527/$G$527/Cadastro!$E$33),"")</f>
        <v/>
      </c>
      <c r="I526" s="158" t="str">
        <f>IFERROR(IF($D526="","",VLOOKUP($D526,Cadastro!$C$4:$G$7,5,FALSE)),"")</f>
        <v/>
      </c>
      <c r="J526" s="15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32" t="s">
        <v>241</v>
      </c>
      <c r="B527" s="133"/>
      <c r="C527" s="133"/>
      <c r="D527" s="133"/>
      <c r="E527" s="13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60" t="str">
        <f>IFERROR(IF($D528="","",VLOOKUP($D528,Cadastro!$C$4:$E$7,3,FALSE)),"")</f>
        <v/>
      </c>
      <c r="G528" s="106"/>
      <c r="H528" s="160" t="str">
        <f>IFERROR(IF($G528="","",$G528*$S$540/$G$540/Cadastro!$E$33),"")</f>
        <v/>
      </c>
      <c r="I528" s="161" t="str">
        <f>IFERROR(IF($D528="","",VLOOKUP($D528,Cadastro!$C$4:$G$7,5,FALSE)),"")</f>
        <v/>
      </c>
      <c r="J528" s="16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54" t="str">
        <f>IFERROR(IF($D529="","",VLOOKUP($D529,Cadastro!$C$4:$E$7,3,FALSE)),"")</f>
        <v/>
      </c>
      <c r="G529" s="106"/>
      <c r="H529" s="154" t="str">
        <f>IFERROR(IF($G529="","",$G529*$S$540/$G$540/Cadastro!$E$33),"")</f>
        <v/>
      </c>
      <c r="I529" s="155" t="str">
        <f>IFERROR(IF($D529="","",VLOOKUP($D529,Cadastro!$C$4:$G$7,5,FALSE)),"")</f>
        <v/>
      </c>
      <c r="J529" s="15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54" t="str">
        <f>IFERROR(IF($D530="","",VLOOKUP($D530,Cadastro!$C$4:$E$7,3,FALSE)),"")</f>
        <v/>
      </c>
      <c r="G530" s="106"/>
      <c r="H530" s="154" t="str">
        <f>IFERROR(IF($G530="","",$G530*$S$540/$G$540/Cadastro!$E$33),"")</f>
        <v/>
      </c>
      <c r="I530" s="155" t="str">
        <f>IFERROR(IF($D530="","",VLOOKUP($D530,Cadastro!$C$4:$G$7,5,FALSE)),"")</f>
        <v/>
      </c>
      <c r="J530" s="15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54" t="str">
        <f>IFERROR(IF($D531="","",VLOOKUP($D531,Cadastro!$C$4:$E$7,3,FALSE)),"")</f>
        <v/>
      </c>
      <c r="G531" s="106"/>
      <c r="H531" s="154" t="str">
        <f>IFERROR(IF($G531="","",$G531*$S$540/$G$540/Cadastro!$E$33),"")</f>
        <v/>
      </c>
      <c r="I531" s="155" t="str">
        <f>IFERROR(IF($D531="","",VLOOKUP($D531,Cadastro!$C$4:$G$7,5,FALSE)),"")</f>
        <v/>
      </c>
      <c r="J531" s="15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54" t="str">
        <f>IFERROR(IF($D532="","",VLOOKUP($D532,Cadastro!$C$4:$E$7,3,FALSE)),"")</f>
        <v/>
      </c>
      <c r="G532" s="106"/>
      <c r="H532" s="154" t="str">
        <f>IFERROR(IF($G532="","",$G532*$S$540/$G$540/Cadastro!$E$33),"")</f>
        <v/>
      </c>
      <c r="I532" s="155" t="str">
        <f>IFERROR(IF($D532="","",VLOOKUP($D532,Cadastro!$C$4:$G$7,5,FALSE)),"")</f>
        <v/>
      </c>
      <c r="J532" s="15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54" t="str">
        <f>IFERROR(IF($D533="","",VLOOKUP($D533,Cadastro!$C$4:$E$7,3,FALSE)),"")</f>
        <v/>
      </c>
      <c r="G533" s="106"/>
      <c r="H533" s="154" t="str">
        <f>IFERROR(IF($G533="","",$G533*$S$540/$G$540/Cadastro!$E$33),"")</f>
        <v/>
      </c>
      <c r="I533" s="155" t="str">
        <f>IFERROR(IF($D533="","",VLOOKUP($D533,Cadastro!$C$4:$G$7,5,FALSE)),"")</f>
        <v/>
      </c>
      <c r="J533" s="15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54" t="str">
        <f>IFERROR(IF($D534="","",VLOOKUP($D534,Cadastro!$C$4:$E$7,3,FALSE)),"")</f>
        <v/>
      </c>
      <c r="G534" s="106"/>
      <c r="H534" s="154" t="str">
        <f>IFERROR(IF($G534="","",$G534*$S$540/$G$540/Cadastro!$E$33),"")</f>
        <v/>
      </c>
      <c r="I534" s="155" t="str">
        <f>IFERROR(IF($D534="","",VLOOKUP($D534,Cadastro!$C$4:$G$7,5,FALSE)),"")</f>
        <v/>
      </c>
      <c r="J534" s="15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54" t="str">
        <f>IFERROR(IF($D535="","",VLOOKUP($D535,Cadastro!$C$4:$E$7,3,FALSE)),"")</f>
        <v/>
      </c>
      <c r="G535" s="106"/>
      <c r="H535" s="154" t="str">
        <f>IFERROR(IF($G535="","",$G535*$S$540/$G$540/Cadastro!$E$33),"")</f>
        <v/>
      </c>
      <c r="I535" s="155" t="str">
        <f>IFERROR(IF($D535="","",VLOOKUP($D535,Cadastro!$C$4:$G$7,5,FALSE)),"")</f>
        <v/>
      </c>
      <c r="J535" s="15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54" t="str">
        <f>IFERROR(IF($D536="","",VLOOKUP($D536,Cadastro!$C$4:$E$7,3,FALSE)),"")</f>
        <v/>
      </c>
      <c r="G536" s="106"/>
      <c r="H536" s="154" t="str">
        <f>IFERROR(IF($G536="","",$G536*$S$540/$G$540/Cadastro!$E$33),"")</f>
        <v/>
      </c>
      <c r="I536" s="155" t="str">
        <f>IFERROR(IF($D536="","",VLOOKUP($D536,Cadastro!$C$4:$G$7,5,FALSE)),"")</f>
        <v/>
      </c>
      <c r="J536" s="15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54" t="str">
        <f>IFERROR(IF($D537="","",VLOOKUP($D537,Cadastro!$C$4:$E$7,3,FALSE)),"")</f>
        <v/>
      </c>
      <c r="G537" s="106"/>
      <c r="H537" s="154" t="str">
        <f>IFERROR(IF($G537="","",$G537*$S$540/$G$540/Cadastro!$E$33),"")</f>
        <v/>
      </c>
      <c r="I537" s="155" t="str">
        <f>IFERROR(IF($D537="","",VLOOKUP($D537,Cadastro!$C$4:$G$7,5,FALSE)),"")</f>
        <v/>
      </c>
      <c r="J537" s="15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54" t="str">
        <f>IFERROR(IF($D538="","",VLOOKUP($D538,Cadastro!$C$4:$E$7,3,FALSE)),"")</f>
        <v/>
      </c>
      <c r="G538" s="106"/>
      <c r="H538" s="154" t="str">
        <f>IFERROR(IF($G538="","",$G538*$S$540/$G$540/Cadastro!$E$33),"")</f>
        <v/>
      </c>
      <c r="I538" s="155" t="str">
        <f>IFERROR(IF($D538="","",VLOOKUP($D538,Cadastro!$C$4:$G$7,5,FALSE)),"")</f>
        <v/>
      </c>
      <c r="J538" s="15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57" t="str">
        <f>IFERROR(IF($D539="","",VLOOKUP($D539,Cadastro!$C$4:$E$7,3,FALSE)),"")</f>
        <v/>
      </c>
      <c r="G539" s="106"/>
      <c r="H539" s="157" t="str">
        <f>IFERROR(IF($G539="","",$G539*$S$540/$G$540/Cadastro!$E$33),"")</f>
        <v/>
      </c>
      <c r="I539" s="158" t="str">
        <f>IFERROR(IF($D539="","",VLOOKUP($D539,Cadastro!$C$4:$G$7,5,FALSE)),"")</f>
        <v/>
      </c>
      <c r="J539" s="15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32" t="s">
        <v>244</v>
      </c>
      <c r="B540" s="133"/>
      <c r="C540" s="133"/>
      <c r="D540" s="133"/>
      <c r="E540" s="13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34" t="s">
        <v>245</v>
      </c>
      <c r="B541" s="135"/>
      <c r="C541" s="135"/>
      <c r="D541" s="135"/>
      <c r="E541" s="135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60" t="str">
        <f>IFERROR(IF($D542="","",VLOOKUP($D542,Cadastro!$C$4:$E$7,3,FALSE)),"")</f>
        <v/>
      </c>
      <c r="G542" s="106"/>
      <c r="H542" s="160" t="str">
        <f>IFERROR(IF($G542="","",$G542*$S$554/$G$554/Cadastro!$E$33),"")</f>
        <v/>
      </c>
      <c r="I542" s="161" t="str">
        <f>IFERROR(IF($D542="","",VLOOKUP($D542,Cadastro!$C$4:$G$7,5,FALSE)),"")</f>
        <v/>
      </c>
      <c r="J542" s="16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54" t="str">
        <f>IFERROR(IF($D543="","",VLOOKUP($D543,Cadastro!$C$4:$E$7,3,FALSE)),"")</f>
        <v/>
      </c>
      <c r="G543" s="106"/>
      <c r="H543" s="154" t="str">
        <f>IFERROR(IF($G543="","",$G543*$S$554/$G$554/Cadastro!$E$33),"")</f>
        <v/>
      </c>
      <c r="I543" s="155" t="str">
        <f>IFERROR(IF($D543="","",VLOOKUP($D543,Cadastro!$C$4:$G$7,5,FALSE)),"")</f>
        <v/>
      </c>
      <c r="J543" s="15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54" t="str">
        <f>IFERROR(IF($D544="","",VLOOKUP($D544,Cadastro!$C$4:$E$7,3,FALSE)),"")</f>
        <v/>
      </c>
      <c r="G544" s="106"/>
      <c r="H544" s="154" t="str">
        <f>IFERROR(IF($G544="","",$G544*$S$554/$G$554/Cadastro!$E$33),"")</f>
        <v/>
      </c>
      <c r="I544" s="155" t="str">
        <f>IFERROR(IF($D544="","",VLOOKUP($D544,Cadastro!$C$4:$G$7,5,FALSE)),"")</f>
        <v/>
      </c>
      <c r="J544" s="15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54" t="str">
        <f>IFERROR(IF($D545="","",VLOOKUP($D545,Cadastro!$C$4:$E$7,3,FALSE)),"")</f>
        <v/>
      </c>
      <c r="G545" s="106"/>
      <c r="H545" s="154" t="str">
        <f>IFERROR(IF($G545="","",$G545*$S$554/$G$554/Cadastro!$E$33),"")</f>
        <v/>
      </c>
      <c r="I545" s="155" t="str">
        <f>IFERROR(IF($D545="","",VLOOKUP($D545,Cadastro!$C$4:$G$7,5,FALSE)),"")</f>
        <v/>
      </c>
      <c r="J545" s="15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54" t="str">
        <f>IFERROR(IF($D546="","",VLOOKUP($D546,Cadastro!$C$4:$E$7,3,FALSE)),"")</f>
        <v/>
      </c>
      <c r="G546" s="106"/>
      <c r="H546" s="154" t="str">
        <f>IFERROR(IF($G546="","",$G546*$S$554/$G$554/Cadastro!$E$33),"")</f>
        <v/>
      </c>
      <c r="I546" s="155" t="str">
        <f>IFERROR(IF($D546="","",VLOOKUP($D546,Cadastro!$C$4:$G$7,5,FALSE)),"")</f>
        <v/>
      </c>
      <c r="J546" s="15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54" t="str">
        <f>IFERROR(IF($D547="","",VLOOKUP($D547,Cadastro!$C$4:$E$7,3,FALSE)),"")</f>
        <v/>
      </c>
      <c r="G547" s="106"/>
      <c r="H547" s="154" t="str">
        <f>IFERROR(IF($G547="","",$G547*$S$554/$G$554/Cadastro!$E$33),"")</f>
        <v/>
      </c>
      <c r="I547" s="155" t="str">
        <f>IFERROR(IF($D547="","",VLOOKUP($D547,Cadastro!$C$4:$G$7,5,FALSE)),"")</f>
        <v/>
      </c>
      <c r="J547" s="15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54" t="str">
        <f>IFERROR(IF($D548="","",VLOOKUP($D548,Cadastro!$C$4:$E$7,3,FALSE)),"")</f>
        <v/>
      </c>
      <c r="G548" s="106"/>
      <c r="H548" s="154" t="str">
        <f>IFERROR(IF($G548="","",$G548*$S$554/$G$554/Cadastro!$E$33),"")</f>
        <v/>
      </c>
      <c r="I548" s="155" t="str">
        <f>IFERROR(IF($D548="","",VLOOKUP($D548,Cadastro!$C$4:$G$7,5,FALSE)),"")</f>
        <v/>
      </c>
      <c r="J548" s="15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54" t="str">
        <f>IFERROR(IF($D549="","",VLOOKUP($D549,Cadastro!$C$4:$E$7,3,FALSE)),"")</f>
        <v/>
      </c>
      <c r="G549" s="106"/>
      <c r="H549" s="154" t="str">
        <f>IFERROR(IF($G549="","",$G549*$S$554/$G$554/Cadastro!$E$33),"")</f>
        <v/>
      </c>
      <c r="I549" s="155" t="str">
        <f>IFERROR(IF($D549="","",VLOOKUP($D549,Cadastro!$C$4:$G$7,5,FALSE)),"")</f>
        <v/>
      </c>
      <c r="J549" s="15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54" t="str">
        <f>IFERROR(IF($D550="","",VLOOKUP($D550,Cadastro!$C$4:$E$7,3,FALSE)),"")</f>
        <v/>
      </c>
      <c r="G550" s="106"/>
      <c r="H550" s="154" t="str">
        <f>IFERROR(IF($G550="","",$G550*$S$554/$G$554/Cadastro!$E$33),"")</f>
        <v/>
      </c>
      <c r="I550" s="155" t="str">
        <f>IFERROR(IF($D550="","",VLOOKUP($D550,Cadastro!$C$4:$G$7,5,FALSE)),"")</f>
        <v/>
      </c>
      <c r="J550" s="15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54" t="str">
        <f>IFERROR(IF($D551="","",VLOOKUP($D551,Cadastro!$C$4:$E$7,3,FALSE)),"")</f>
        <v/>
      </c>
      <c r="G551" s="106"/>
      <c r="H551" s="154" t="str">
        <f>IFERROR(IF($G551="","",$G551*$S$554/$G$554/Cadastro!$E$33),"")</f>
        <v/>
      </c>
      <c r="I551" s="155" t="str">
        <f>IFERROR(IF($D551="","",VLOOKUP($D551,Cadastro!$C$4:$G$7,5,FALSE)),"")</f>
        <v/>
      </c>
      <c r="J551" s="15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54" t="str">
        <f>IFERROR(IF($D552="","",VLOOKUP($D552,Cadastro!$C$4:$E$7,3,FALSE)),"")</f>
        <v/>
      </c>
      <c r="G552" s="106"/>
      <c r="H552" s="154" t="str">
        <f>IFERROR(IF($G552="","",$G552*$S$554/$G$554/Cadastro!$E$33),"")</f>
        <v/>
      </c>
      <c r="I552" s="155" t="str">
        <f>IFERROR(IF($D552="","",VLOOKUP($D552,Cadastro!$C$4:$G$7,5,FALSE)),"")</f>
        <v/>
      </c>
      <c r="J552" s="15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57" t="str">
        <f>IFERROR(IF($D553="","",VLOOKUP($D553,Cadastro!$C$4:$E$7,3,FALSE)),"")</f>
        <v/>
      </c>
      <c r="G553" s="106"/>
      <c r="H553" s="157" t="str">
        <f>IFERROR(IF($G553="","",$G553*$S$554/$G$554/Cadastro!$E$33),"")</f>
        <v/>
      </c>
      <c r="I553" s="158" t="str">
        <f>IFERROR(IF($D553="","",VLOOKUP($D553,Cadastro!$C$4:$G$7,5,FALSE)),"")</f>
        <v/>
      </c>
      <c r="J553" s="15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32" t="s">
        <v>241</v>
      </c>
      <c r="B554" s="133"/>
      <c r="C554" s="133"/>
      <c r="D554" s="133"/>
      <c r="E554" s="13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60" t="str">
        <f>IFERROR(IF($D555="","",VLOOKUP($D555,Cadastro!$C$4:$E$7,3,FALSE)),"")</f>
        <v/>
      </c>
      <c r="G555" s="106"/>
      <c r="H555" s="160" t="str">
        <f>IFERROR(IF($G555="","",$G555*$S$567/$G$567/Cadastro!$E$33),"")</f>
        <v/>
      </c>
      <c r="I555" s="161" t="str">
        <f>IFERROR(IF($D555="","",VLOOKUP($D555,Cadastro!$C$4:$G$7,5,FALSE)),"")</f>
        <v/>
      </c>
      <c r="J555" s="16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54" t="str">
        <f>IFERROR(IF($D556="","",VLOOKUP($D556,Cadastro!$C$4:$E$7,3,FALSE)),"")</f>
        <v/>
      </c>
      <c r="G556" s="106"/>
      <c r="H556" s="154" t="str">
        <f>IFERROR(IF($G556="","",$G556*$S$567/$G$567/Cadastro!$E$33),"")</f>
        <v/>
      </c>
      <c r="I556" s="155" t="str">
        <f>IFERROR(IF($D556="","",VLOOKUP($D556,Cadastro!$C$4:$G$7,5,FALSE)),"")</f>
        <v/>
      </c>
      <c r="J556" s="15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54" t="str">
        <f>IFERROR(IF($D557="","",VLOOKUP($D557,Cadastro!$C$4:$E$7,3,FALSE)),"")</f>
        <v/>
      </c>
      <c r="G557" s="106"/>
      <c r="H557" s="154" t="str">
        <f>IFERROR(IF($G557="","",$G557*$S$567/$G$567/Cadastro!$E$33),"")</f>
        <v/>
      </c>
      <c r="I557" s="155" t="str">
        <f>IFERROR(IF($D557="","",VLOOKUP($D557,Cadastro!$C$4:$G$7,5,FALSE)),"")</f>
        <v/>
      </c>
      <c r="J557" s="15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54" t="str">
        <f>IFERROR(IF($D558="","",VLOOKUP($D558,Cadastro!$C$4:$E$7,3,FALSE)),"")</f>
        <v/>
      </c>
      <c r="G558" s="106"/>
      <c r="H558" s="154" t="str">
        <f>IFERROR(IF($G558="","",$G558*$S$567/$G$567/Cadastro!$E$33),"")</f>
        <v/>
      </c>
      <c r="I558" s="155" t="str">
        <f>IFERROR(IF($D558="","",VLOOKUP($D558,Cadastro!$C$4:$G$7,5,FALSE)),"")</f>
        <v/>
      </c>
      <c r="J558" s="15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54" t="str">
        <f>IFERROR(IF($D559="","",VLOOKUP($D559,Cadastro!$C$4:$E$7,3,FALSE)),"")</f>
        <v/>
      </c>
      <c r="G559" s="106"/>
      <c r="H559" s="154" t="str">
        <f>IFERROR(IF($G559="","",$G559*$S$567/$G$567/Cadastro!$E$33),"")</f>
        <v/>
      </c>
      <c r="I559" s="155" t="str">
        <f>IFERROR(IF($D559="","",VLOOKUP($D559,Cadastro!$C$4:$G$7,5,FALSE)),"")</f>
        <v/>
      </c>
      <c r="J559" s="15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54" t="str">
        <f>IFERROR(IF($D560="","",VLOOKUP($D560,Cadastro!$C$4:$E$7,3,FALSE)),"")</f>
        <v/>
      </c>
      <c r="G560" s="106"/>
      <c r="H560" s="154" t="str">
        <f>IFERROR(IF($G560="","",$G560*$S$567/$G$567/Cadastro!$E$33),"")</f>
        <v/>
      </c>
      <c r="I560" s="155" t="str">
        <f>IFERROR(IF($D560="","",VLOOKUP($D560,Cadastro!$C$4:$G$7,5,FALSE)),"")</f>
        <v/>
      </c>
      <c r="J560" s="15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54" t="str">
        <f>IFERROR(IF($D561="","",VLOOKUP($D561,Cadastro!$C$4:$E$7,3,FALSE)),"")</f>
        <v/>
      </c>
      <c r="G561" s="106"/>
      <c r="H561" s="154" t="str">
        <f>IFERROR(IF($G561="","",$G561*$S$567/$G$567/Cadastro!$E$33),"")</f>
        <v/>
      </c>
      <c r="I561" s="155" t="str">
        <f>IFERROR(IF($D561="","",VLOOKUP($D561,Cadastro!$C$4:$G$7,5,FALSE)),"")</f>
        <v/>
      </c>
      <c r="J561" s="15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54" t="str">
        <f>IFERROR(IF($D562="","",VLOOKUP($D562,Cadastro!$C$4:$E$7,3,FALSE)),"")</f>
        <v/>
      </c>
      <c r="G562" s="106"/>
      <c r="H562" s="154" t="str">
        <f>IFERROR(IF($G562="","",$G562*$S$567/$G$567/Cadastro!$E$33),"")</f>
        <v/>
      </c>
      <c r="I562" s="155" t="str">
        <f>IFERROR(IF($D562="","",VLOOKUP($D562,Cadastro!$C$4:$G$7,5,FALSE)),"")</f>
        <v/>
      </c>
      <c r="J562" s="15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54" t="str">
        <f>IFERROR(IF($D563="","",VLOOKUP($D563,Cadastro!$C$4:$E$7,3,FALSE)),"")</f>
        <v/>
      </c>
      <c r="G563" s="106"/>
      <c r="H563" s="154" t="str">
        <f>IFERROR(IF($G563="","",$G563*$S$567/$G$567/Cadastro!$E$33),"")</f>
        <v/>
      </c>
      <c r="I563" s="155" t="str">
        <f>IFERROR(IF($D563="","",VLOOKUP($D563,Cadastro!$C$4:$G$7,5,FALSE)),"")</f>
        <v/>
      </c>
      <c r="J563" s="15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54" t="str">
        <f>IFERROR(IF($D564="","",VLOOKUP($D564,Cadastro!$C$4:$E$7,3,FALSE)),"")</f>
        <v/>
      </c>
      <c r="G564" s="106"/>
      <c r="H564" s="154" t="str">
        <f>IFERROR(IF($G564="","",$G564*$S$567/$G$567/Cadastro!$E$33),"")</f>
        <v/>
      </c>
      <c r="I564" s="155" t="str">
        <f>IFERROR(IF($D564="","",VLOOKUP($D564,Cadastro!$C$4:$G$7,5,FALSE)),"")</f>
        <v/>
      </c>
      <c r="J564" s="15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54" t="str">
        <f>IFERROR(IF($D565="","",VLOOKUP($D565,Cadastro!$C$4:$E$7,3,FALSE)),"")</f>
        <v/>
      </c>
      <c r="G565" s="106"/>
      <c r="H565" s="154" t="str">
        <f>IFERROR(IF($G565="","",$G565*$S$567/$G$567/Cadastro!$E$33),"")</f>
        <v/>
      </c>
      <c r="I565" s="155" t="str">
        <f>IFERROR(IF($D565="","",VLOOKUP($D565,Cadastro!$C$4:$G$7,5,FALSE)),"")</f>
        <v/>
      </c>
      <c r="J565" s="15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57" t="str">
        <f>IFERROR(IF($D566="","",VLOOKUP($D566,Cadastro!$C$4:$E$7,3,FALSE)),"")</f>
        <v/>
      </c>
      <c r="G566" s="106"/>
      <c r="H566" s="157" t="str">
        <f>IFERROR(IF($G566="","",$G566*$S$567/$G$567/Cadastro!$E$33),"")</f>
        <v/>
      </c>
      <c r="I566" s="158" t="str">
        <f>IFERROR(IF($D566="","",VLOOKUP($D566,Cadastro!$C$4:$G$7,5,FALSE)),"")</f>
        <v/>
      </c>
      <c r="J566" s="15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32" t="s">
        <v>244</v>
      </c>
      <c r="B567" s="133"/>
      <c r="C567" s="133"/>
      <c r="D567" s="133"/>
      <c r="E567" s="13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34" t="s">
        <v>245</v>
      </c>
      <c r="B568" s="135"/>
      <c r="C568" s="135"/>
      <c r="D568" s="135"/>
      <c r="E568" s="135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60" t="str">
        <f>IFERROR(IF($D569="","",VLOOKUP($D569,Cadastro!$C$4:$E$7,3,FALSE)),"")</f>
        <v/>
      </c>
      <c r="G569" s="106"/>
      <c r="H569" s="160" t="str">
        <f>IFERROR(IF($G569="","",$G569*$S$581/$G$581/Cadastro!$E$33),"")</f>
        <v/>
      </c>
      <c r="I569" s="161" t="str">
        <f>IFERROR(IF($D569="","",VLOOKUP($D569,Cadastro!$C$4:$G$7,5,FALSE)),"")</f>
        <v/>
      </c>
      <c r="J569" s="16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54" t="str">
        <f>IFERROR(IF($D570="","",VLOOKUP($D570,Cadastro!$C$4:$E$7,3,FALSE)),"")</f>
        <v/>
      </c>
      <c r="G570" s="106"/>
      <c r="H570" s="154" t="str">
        <f>IFERROR(IF($G570="","",$G570*$S$581/$G$581/Cadastro!$E$33),"")</f>
        <v/>
      </c>
      <c r="I570" s="155" t="str">
        <f>IFERROR(IF($D570="","",VLOOKUP($D570,Cadastro!$C$4:$G$7,5,FALSE)),"")</f>
        <v/>
      </c>
      <c r="J570" s="15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54" t="str">
        <f>IFERROR(IF($D571="","",VLOOKUP($D571,Cadastro!$C$4:$E$7,3,FALSE)),"")</f>
        <v/>
      </c>
      <c r="G571" s="106"/>
      <c r="H571" s="154" t="str">
        <f>IFERROR(IF($G571="","",$G571*$S$581/$G$581/Cadastro!$E$33),"")</f>
        <v/>
      </c>
      <c r="I571" s="155" t="str">
        <f>IFERROR(IF($D571="","",VLOOKUP($D571,Cadastro!$C$4:$G$7,5,FALSE)),"")</f>
        <v/>
      </c>
      <c r="J571" s="15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54" t="str">
        <f>IFERROR(IF($D572="","",VLOOKUP($D572,Cadastro!$C$4:$E$7,3,FALSE)),"")</f>
        <v/>
      </c>
      <c r="G572" s="106"/>
      <c r="H572" s="154" t="str">
        <f>IFERROR(IF($G572="","",$G572*$S$581/$G$581/Cadastro!$E$33),"")</f>
        <v/>
      </c>
      <c r="I572" s="155" t="str">
        <f>IFERROR(IF($D572="","",VLOOKUP($D572,Cadastro!$C$4:$G$7,5,FALSE)),"")</f>
        <v/>
      </c>
      <c r="J572" s="15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54" t="str">
        <f>IFERROR(IF($D573="","",VLOOKUP($D573,Cadastro!$C$4:$E$7,3,FALSE)),"")</f>
        <v/>
      </c>
      <c r="G573" s="106"/>
      <c r="H573" s="154" t="str">
        <f>IFERROR(IF($G573="","",$G573*$S$581/$G$581/Cadastro!$E$33),"")</f>
        <v/>
      </c>
      <c r="I573" s="155" t="str">
        <f>IFERROR(IF($D573="","",VLOOKUP($D573,Cadastro!$C$4:$G$7,5,FALSE)),"")</f>
        <v/>
      </c>
      <c r="J573" s="15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54" t="str">
        <f>IFERROR(IF($D574="","",VLOOKUP($D574,Cadastro!$C$4:$E$7,3,FALSE)),"")</f>
        <v/>
      </c>
      <c r="G574" s="106"/>
      <c r="H574" s="154" t="str">
        <f>IFERROR(IF($G574="","",$G574*$S$581/$G$581/Cadastro!$E$33),"")</f>
        <v/>
      </c>
      <c r="I574" s="155" t="str">
        <f>IFERROR(IF($D574="","",VLOOKUP($D574,Cadastro!$C$4:$G$7,5,FALSE)),"")</f>
        <v/>
      </c>
      <c r="J574" s="15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54" t="str">
        <f>IFERROR(IF($D575="","",VLOOKUP($D575,Cadastro!$C$4:$E$7,3,FALSE)),"")</f>
        <v/>
      </c>
      <c r="G575" s="106"/>
      <c r="H575" s="154" t="str">
        <f>IFERROR(IF($G575="","",$G575*$S$581/$G$581/Cadastro!$E$33),"")</f>
        <v/>
      </c>
      <c r="I575" s="155" t="str">
        <f>IFERROR(IF($D575="","",VLOOKUP($D575,Cadastro!$C$4:$G$7,5,FALSE)),"")</f>
        <v/>
      </c>
      <c r="J575" s="15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54" t="str">
        <f>IFERROR(IF($D576="","",VLOOKUP($D576,Cadastro!$C$4:$E$7,3,FALSE)),"")</f>
        <v/>
      </c>
      <c r="G576" s="108"/>
      <c r="H576" s="154" t="str">
        <f>IFERROR(IF($G576="","",$G576*$S$581/$G$581/Cadastro!$E$33),"")</f>
        <v/>
      </c>
      <c r="I576" s="155" t="str">
        <f>IFERROR(IF($D576="","",VLOOKUP($D576,Cadastro!$C$4:$G$7,5,FALSE)),"")</f>
        <v/>
      </c>
      <c r="J576" s="15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54" t="str">
        <f>IFERROR(IF($D577="","",VLOOKUP($D577,Cadastro!$C$4:$E$7,3,FALSE)),"")</f>
        <v/>
      </c>
      <c r="G577" s="106"/>
      <c r="H577" s="154" t="str">
        <f>IFERROR(IF($G577="","",$G577*$S$581/$G$581/Cadastro!$E$33),"")</f>
        <v/>
      </c>
      <c r="I577" s="155" t="str">
        <f>IFERROR(IF($D577="","",VLOOKUP($D577,Cadastro!$C$4:$G$7,5,FALSE)),"")</f>
        <v/>
      </c>
      <c r="J577" s="15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54" t="str">
        <f>IFERROR(IF($D578="","",VLOOKUP($D578,Cadastro!$C$4:$E$7,3,FALSE)),"")</f>
        <v/>
      </c>
      <c r="G578" s="106"/>
      <c r="H578" s="154" t="str">
        <f>IFERROR(IF($G578="","",$G578*$S$581/$G$581/Cadastro!$E$33),"")</f>
        <v/>
      </c>
      <c r="I578" s="155" t="str">
        <f>IFERROR(IF($D578="","",VLOOKUP($D578,Cadastro!$C$4:$G$7,5,FALSE)),"")</f>
        <v/>
      </c>
      <c r="J578" s="15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54" t="str">
        <f>IFERROR(IF($D579="","",VLOOKUP($D579,Cadastro!$C$4:$E$7,3,FALSE)),"")</f>
        <v/>
      </c>
      <c r="G579" s="106"/>
      <c r="H579" s="154" t="str">
        <f>IFERROR(IF($G579="","",$G579*$S$581/$G$581/Cadastro!$E$33),"")</f>
        <v/>
      </c>
      <c r="I579" s="155" t="str">
        <f>IFERROR(IF($D579="","",VLOOKUP($D579,Cadastro!$C$4:$G$7,5,FALSE)),"")</f>
        <v/>
      </c>
      <c r="J579" s="15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57" t="str">
        <f>IFERROR(IF($D580="","",VLOOKUP($D580,Cadastro!$C$4:$E$7,3,FALSE)),"")</f>
        <v/>
      </c>
      <c r="G580" s="106"/>
      <c r="H580" s="157" t="str">
        <f>IFERROR(IF($G580="","",$G580*$S$581/$G$581/Cadastro!$E$33),"")</f>
        <v/>
      </c>
      <c r="I580" s="158" t="str">
        <f>IFERROR(IF($D580="","",VLOOKUP($D580,Cadastro!$C$4:$G$7,5,FALSE)),"")</f>
        <v/>
      </c>
      <c r="J580" s="15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32" t="s">
        <v>241</v>
      </c>
      <c r="B581" s="133"/>
      <c r="C581" s="133"/>
      <c r="D581" s="133"/>
      <c r="E581" s="13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60" t="str">
        <f>IFERROR(IF($D582="","",VLOOKUP($D582,Cadastro!$C$4:$E$7,3,FALSE)),"")</f>
        <v/>
      </c>
      <c r="G582" s="106"/>
      <c r="H582" s="160" t="str">
        <f>IFERROR(IF($G582="","",$G582*$S$594/$G$594/Cadastro!$E$33),"")</f>
        <v/>
      </c>
      <c r="I582" s="161" t="str">
        <f>IFERROR(IF($D582="","",VLOOKUP($D582,Cadastro!$C$4:$G$7,5,FALSE)),"")</f>
        <v/>
      </c>
      <c r="J582" s="16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54" t="str">
        <f>IFERROR(IF($D583="","",VLOOKUP($D583,Cadastro!$C$4:$E$7,3,FALSE)),"")</f>
        <v/>
      </c>
      <c r="G583" s="106"/>
      <c r="H583" s="154" t="str">
        <f>IFERROR(IF($G583="","",$G583*$S$594/$G$594/Cadastro!$E$33),"")</f>
        <v/>
      </c>
      <c r="I583" s="155" t="str">
        <f>IFERROR(IF($D583="","",VLOOKUP($D583,Cadastro!$C$4:$G$7,5,FALSE)),"")</f>
        <v/>
      </c>
      <c r="J583" s="15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54" t="str">
        <f>IFERROR(IF($D584="","",VLOOKUP($D584,Cadastro!$C$4:$E$7,3,FALSE)),"")</f>
        <v/>
      </c>
      <c r="G584" s="106"/>
      <c r="H584" s="154" t="str">
        <f>IFERROR(IF($G584="","",$G584*$S$594/$G$594/Cadastro!$E$33),"")</f>
        <v/>
      </c>
      <c r="I584" s="155" t="str">
        <f>IFERROR(IF($D584="","",VLOOKUP($D584,Cadastro!$C$4:$G$7,5,FALSE)),"")</f>
        <v/>
      </c>
      <c r="J584" s="15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54" t="str">
        <f>IFERROR(IF($D585="","",VLOOKUP($D585,Cadastro!$C$4:$E$7,3,FALSE)),"")</f>
        <v/>
      </c>
      <c r="G585" s="106"/>
      <c r="H585" s="154" t="str">
        <f>IFERROR(IF($G585="","",$G585*$S$594/$G$594/Cadastro!$E$33),"")</f>
        <v/>
      </c>
      <c r="I585" s="155" t="str">
        <f>IFERROR(IF($D585="","",VLOOKUP($D585,Cadastro!$C$4:$G$7,5,FALSE)),"")</f>
        <v/>
      </c>
      <c r="J585" s="15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54" t="str">
        <f>IFERROR(IF($D586="","",VLOOKUP($D586,Cadastro!$C$4:$E$7,3,FALSE)),"")</f>
        <v/>
      </c>
      <c r="G586" s="106"/>
      <c r="H586" s="154" t="str">
        <f>IFERROR(IF($G586="","",$G586*$S$594/$G$594/Cadastro!$E$33),"")</f>
        <v/>
      </c>
      <c r="I586" s="155" t="str">
        <f>IFERROR(IF($D586="","",VLOOKUP($D586,Cadastro!$C$4:$G$7,5,FALSE)),"")</f>
        <v/>
      </c>
      <c r="J586" s="15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54" t="str">
        <f>IFERROR(IF($D587="","",VLOOKUP($D587,Cadastro!$C$4:$E$7,3,FALSE)),"")</f>
        <v/>
      </c>
      <c r="G587" s="106"/>
      <c r="H587" s="154" t="str">
        <f>IFERROR(IF($G587="","",$G587*$S$594/$G$594/Cadastro!$E$33),"")</f>
        <v/>
      </c>
      <c r="I587" s="155" t="str">
        <f>IFERROR(IF($D587="","",VLOOKUP($D587,Cadastro!$C$4:$G$7,5,FALSE)),"")</f>
        <v/>
      </c>
      <c r="J587" s="15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54" t="str">
        <f>IFERROR(IF($D588="","",VLOOKUP($D588,Cadastro!$C$4:$E$7,3,FALSE)),"")</f>
        <v/>
      </c>
      <c r="G588" s="106"/>
      <c r="H588" s="154" t="str">
        <f>IFERROR(IF($G588="","",$G588*$S$594/$G$594/Cadastro!$E$33),"")</f>
        <v/>
      </c>
      <c r="I588" s="155" t="str">
        <f>IFERROR(IF($D588="","",VLOOKUP($D588,Cadastro!$C$4:$G$7,5,FALSE)),"")</f>
        <v/>
      </c>
      <c r="J588" s="15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54" t="str">
        <f>IFERROR(IF($D589="","",VLOOKUP($D589,Cadastro!$C$4:$E$7,3,FALSE)),"")</f>
        <v/>
      </c>
      <c r="G589" s="106"/>
      <c r="H589" s="154" t="str">
        <f>IFERROR(IF($G589="","",$G589*$S$594/$G$594/Cadastro!$E$33),"")</f>
        <v/>
      </c>
      <c r="I589" s="155" t="str">
        <f>IFERROR(IF($D589="","",VLOOKUP($D589,Cadastro!$C$4:$G$7,5,FALSE)),"")</f>
        <v/>
      </c>
      <c r="J589" s="15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54" t="str">
        <f>IFERROR(IF($D590="","",VLOOKUP($D590,Cadastro!$C$4:$E$7,3,FALSE)),"")</f>
        <v/>
      </c>
      <c r="G590" s="106"/>
      <c r="H590" s="154" t="str">
        <f>IFERROR(IF($G590="","",$G590*$S$594/$G$594/Cadastro!$E$33),"")</f>
        <v/>
      </c>
      <c r="I590" s="155" t="str">
        <f>IFERROR(IF($D590="","",VLOOKUP($D590,Cadastro!$C$4:$G$7,5,FALSE)),"")</f>
        <v/>
      </c>
      <c r="J590" s="15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54" t="str">
        <f>IFERROR(IF($D591="","",VLOOKUP($D591,Cadastro!$C$4:$E$7,3,FALSE)),"")</f>
        <v/>
      </c>
      <c r="G591" s="106"/>
      <c r="H591" s="154" t="str">
        <f>IFERROR(IF($G591="","",$G591*$S$594/$G$594/Cadastro!$E$33),"")</f>
        <v/>
      </c>
      <c r="I591" s="155" t="str">
        <f>IFERROR(IF($D591="","",VLOOKUP($D591,Cadastro!$C$4:$G$7,5,FALSE)),"")</f>
        <v/>
      </c>
      <c r="J591" s="15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54" t="str">
        <f>IFERROR(IF($D592="","",VLOOKUP($D592,Cadastro!$C$4:$E$7,3,FALSE)),"")</f>
        <v/>
      </c>
      <c r="G592" s="106"/>
      <c r="H592" s="154" t="str">
        <f>IFERROR(IF($G592="","",$G592*$S$594/$G$594/Cadastro!$E$33),"")</f>
        <v/>
      </c>
      <c r="I592" s="155" t="str">
        <f>IFERROR(IF($D592="","",VLOOKUP($D592,Cadastro!$C$4:$G$7,5,FALSE)),"")</f>
        <v/>
      </c>
      <c r="J592" s="15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57" t="str">
        <f>IFERROR(IF($D593="","",VLOOKUP($D593,Cadastro!$C$4:$E$7,3,FALSE)),"")</f>
        <v/>
      </c>
      <c r="G593" s="106"/>
      <c r="H593" s="157" t="str">
        <f>IFERROR(IF($G593="","",$G593*$S$594/$G$594/Cadastro!$E$33),"")</f>
        <v/>
      </c>
      <c r="I593" s="158" t="str">
        <f>IFERROR(IF($D593="","",VLOOKUP($D593,Cadastro!$C$4:$G$7,5,FALSE)),"")</f>
        <v/>
      </c>
      <c r="J593" s="15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32" t="s">
        <v>244</v>
      </c>
      <c r="B594" s="133"/>
      <c r="C594" s="133"/>
      <c r="D594" s="133"/>
      <c r="E594" s="13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34" t="s">
        <v>245</v>
      </c>
      <c r="B595" s="135"/>
      <c r="C595" s="135"/>
      <c r="D595" s="135"/>
      <c r="E595" s="135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60" t="str">
        <f>IFERROR(IF($D596="","",VLOOKUP($D596,Cadastro!$C$4:$E$7,3,FALSE)),"")</f>
        <v/>
      </c>
      <c r="G596" s="106"/>
      <c r="H596" s="160" t="str">
        <f>IFERROR(IF($G596="","",$G596*$S$608/$G$608/Cadastro!$E$33),"")</f>
        <v/>
      </c>
      <c r="I596" s="161" t="str">
        <f>IFERROR(IF($D596="","",VLOOKUP($D596,Cadastro!$C$4:$G$7,5,FALSE)),"")</f>
        <v/>
      </c>
      <c r="J596" s="16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54" t="str">
        <f>IFERROR(IF($D597="","",VLOOKUP($D597,Cadastro!$C$4:$E$7,3,FALSE)),"")</f>
        <v/>
      </c>
      <c r="G597" s="106"/>
      <c r="H597" s="154" t="str">
        <f>IFERROR(IF($G597="","",$G597*$S$608/$G$608/Cadastro!$E$33),"")</f>
        <v/>
      </c>
      <c r="I597" s="155" t="str">
        <f>IFERROR(IF($D597="","",VLOOKUP($D597,Cadastro!$C$4:$G$7,5,FALSE)),"")</f>
        <v/>
      </c>
      <c r="J597" s="15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54" t="str">
        <f>IFERROR(IF($D598="","",VLOOKUP($D598,Cadastro!$C$4:$E$7,3,FALSE)),"")</f>
        <v/>
      </c>
      <c r="G598" s="106"/>
      <c r="H598" s="154" t="str">
        <f>IFERROR(IF($G598="","",$G598*$S$608/$G$608/Cadastro!$E$33),"")</f>
        <v/>
      </c>
      <c r="I598" s="155" t="str">
        <f>IFERROR(IF($D598="","",VLOOKUP($D598,Cadastro!$C$4:$G$7,5,FALSE)),"")</f>
        <v/>
      </c>
      <c r="J598" s="15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54" t="str">
        <f>IFERROR(IF($D599="","",VLOOKUP($D599,Cadastro!$C$4:$E$7,3,FALSE)),"")</f>
        <v/>
      </c>
      <c r="G599" s="106"/>
      <c r="H599" s="154" t="str">
        <f>IFERROR(IF($G599="","",$G599*$S$608/$G$608/Cadastro!$E$33),"")</f>
        <v/>
      </c>
      <c r="I599" s="155" t="str">
        <f>IFERROR(IF($D599="","",VLOOKUP($D599,Cadastro!$C$4:$G$7,5,FALSE)),"")</f>
        <v/>
      </c>
      <c r="J599" s="15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54" t="str">
        <f>IFERROR(IF($D600="","",VLOOKUP($D600,Cadastro!$C$4:$E$7,3,FALSE)),"")</f>
        <v/>
      </c>
      <c r="G600" s="106"/>
      <c r="H600" s="154" t="str">
        <f>IFERROR(IF($G600="","",$G600*$S$608/$G$608/Cadastro!$E$33),"")</f>
        <v/>
      </c>
      <c r="I600" s="155" t="str">
        <f>IFERROR(IF($D600="","",VLOOKUP($D600,Cadastro!$C$4:$G$7,5,FALSE)),"")</f>
        <v/>
      </c>
      <c r="J600" s="15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54" t="str">
        <f>IFERROR(IF($D601="","",VLOOKUP($D601,Cadastro!$C$4:$E$7,3,FALSE)),"")</f>
        <v/>
      </c>
      <c r="G601" s="106"/>
      <c r="H601" s="154" t="str">
        <f>IFERROR(IF($G601="","",$G601*$S$608/$G$608/Cadastro!$E$33),"")</f>
        <v/>
      </c>
      <c r="I601" s="155" t="str">
        <f>IFERROR(IF($D601="","",VLOOKUP($D601,Cadastro!$C$4:$G$7,5,FALSE)),"")</f>
        <v/>
      </c>
      <c r="J601" s="15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54" t="str">
        <f>IFERROR(IF($D602="","",VLOOKUP($D602,Cadastro!$C$4:$E$7,3,FALSE)),"")</f>
        <v/>
      </c>
      <c r="G602" s="106"/>
      <c r="H602" s="154" t="str">
        <f>IFERROR(IF($G602="","",$G602*$S$608/$G$608/Cadastro!$E$33),"")</f>
        <v/>
      </c>
      <c r="I602" s="155" t="str">
        <f>IFERROR(IF($D602="","",VLOOKUP($D602,Cadastro!$C$4:$G$7,5,FALSE)),"")</f>
        <v/>
      </c>
      <c r="J602" s="15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54" t="str">
        <f>IFERROR(IF($D603="","",VLOOKUP($D603,Cadastro!$C$4:$E$7,3,FALSE)),"")</f>
        <v/>
      </c>
      <c r="G603" s="106"/>
      <c r="H603" s="154" t="str">
        <f>IFERROR(IF($G603="","",$G603*$S$608/$G$608/Cadastro!$E$33),"")</f>
        <v/>
      </c>
      <c r="I603" s="155" t="str">
        <f>IFERROR(IF($D603="","",VLOOKUP($D603,Cadastro!$C$4:$G$7,5,FALSE)),"")</f>
        <v/>
      </c>
      <c r="J603" s="15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54" t="str">
        <f>IFERROR(IF($D604="","",VLOOKUP($D604,Cadastro!$C$4:$E$7,3,FALSE)),"")</f>
        <v/>
      </c>
      <c r="G604" s="106"/>
      <c r="H604" s="154" t="str">
        <f>IFERROR(IF($G604="","",$G604*$S$608/$G$608/Cadastro!$E$33),"")</f>
        <v/>
      </c>
      <c r="I604" s="155" t="str">
        <f>IFERROR(IF($D604="","",VLOOKUP($D604,Cadastro!$C$4:$G$7,5,FALSE)),"")</f>
        <v/>
      </c>
      <c r="J604" s="15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54" t="str">
        <f>IFERROR(IF($D605="","",VLOOKUP($D605,Cadastro!$C$4:$E$7,3,FALSE)),"")</f>
        <v/>
      </c>
      <c r="G605" s="106"/>
      <c r="H605" s="154" t="str">
        <f>IFERROR(IF($G605="","",$G605*$S$608/$G$608/Cadastro!$E$33),"")</f>
        <v/>
      </c>
      <c r="I605" s="155" t="str">
        <f>IFERROR(IF($D605="","",VLOOKUP($D605,Cadastro!$C$4:$G$7,5,FALSE)),"")</f>
        <v/>
      </c>
      <c r="J605" s="15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54" t="str">
        <f>IFERROR(IF($D606="","",VLOOKUP($D606,Cadastro!$C$4:$E$7,3,FALSE)),"")</f>
        <v/>
      </c>
      <c r="G606" s="106"/>
      <c r="H606" s="154" t="str">
        <f>IFERROR(IF($G606="","",$G606*$S$608/$G$608/Cadastro!$E$33),"")</f>
        <v/>
      </c>
      <c r="I606" s="155" t="str">
        <f>IFERROR(IF($D606="","",VLOOKUP($D606,Cadastro!$C$4:$G$7,5,FALSE)),"")</f>
        <v/>
      </c>
      <c r="J606" s="15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57" t="str">
        <f>IFERROR(IF($D607="","",VLOOKUP($D607,Cadastro!$C$4:$E$7,3,FALSE)),"")</f>
        <v/>
      </c>
      <c r="G607" s="106"/>
      <c r="H607" s="157" t="str">
        <f>IFERROR(IF($G607="","",$G607*$S$608/$G$608/Cadastro!$E$33),"")</f>
        <v/>
      </c>
      <c r="I607" s="158" t="str">
        <f>IFERROR(IF($D607="","",VLOOKUP($D607,Cadastro!$C$4:$G$7,5,FALSE)),"")</f>
        <v/>
      </c>
      <c r="J607" s="15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32" t="s">
        <v>241</v>
      </c>
      <c r="B608" s="133"/>
      <c r="C608" s="133"/>
      <c r="D608" s="133"/>
      <c r="E608" s="13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60" t="str">
        <f>IFERROR(IF($D609="","",VLOOKUP($D609,Cadastro!$C$4:$E$7,3,FALSE)),"")</f>
        <v/>
      </c>
      <c r="G609" s="106"/>
      <c r="H609" s="160" t="str">
        <f>IFERROR(IF($G609="","",$G609*$S$621/$G$621/Cadastro!$E$33),"")</f>
        <v/>
      </c>
      <c r="I609" s="161" t="str">
        <f>IFERROR(IF($D609="","",VLOOKUP($D609,Cadastro!$C$4:$G$7,5,FALSE)),"")</f>
        <v/>
      </c>
      <c r="J609" s="16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54" t="str">
        <f>IFERROR(IF($D610="","",VLOOKUP($D610,Cadastro!$C$4:$E$7,3,FALSE)),"")</f>
        <v/>
      </c>
      <c r="G610" s="106"/>
      <c r="H610" s="154" t="str">
        <f>IFERROR(IF($G610="","",$G610*$S$621/$G$621/Cadastro!$E$33),"")</f>
        <v/>
      </c>
      <c r="I610" s="155" t="str">
        <f>IFERROR(IF($D610="","",VLOOKUP($D610,Cadastro!$C$4:$G$7,5,FALSE)),"")</f>
        <v/>
      </c>
      <c r="J610" s="15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54" t="str">
        <f>IFERROR(IF($D611="","",VLOOKUP($D611,Cadastro!$C$4:$E$7,3,FALSE)),"")</f>
        <v/>
      </c>
      <c r="G611" s="106"/>
      <c r="H611" s="154" t="str">
        <f>IFERROR(IF($G611="","",$G611*$S$621/$G$621/Cadastro!$E$33),"")</f>
        <v/>
      </c>
      <c r="I611" s="155" t="str">
        <f>IFERROR(IF($D611="","",VLOOKUP($D611,Cadastro!$C$4:$G$7,5,FALSE)),"")</f>
        <v/>
      </c>
      <c r="J611" s="15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54" t="str">
        <f>IFERROR(IF($D612="","",VLOOKUP($D612,Cadastro!$C$4:$E$7,3,FALSE)),"")</f>
        <v/>
      </c>
      <c r="G612" s="106"/>
      <c r="H612" s="154" t="str">
        <f>IFERROR(IF($G612="","",$G612*$S$621/$G$621/Cadastro!$E$33),"")</f>
        <v/>
      </c>
      <c r="I612" s="155" t="str">
        <f>IFERROR(IF($D612="","",VLOOKUP($D612,Cadastro!$C$4:$G$7,5,FALSE)),"")</f>
        <v/>
      </c>
      <c r="J612" s="15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54" t="str">
        <f>IFERROR(IF($D613="","",VLOOKUP($D613,Cadastro!$C$4:$E$7,3,FALSE)),"")</f>
        <v/>
      </c>
      <c r="G613" s="106"/>
      <c r="H613" s="154" t="str">
        <f>IFERROR(IF($G613="","",$G613*$S$621/$G$621/Cadastro!$E$33),"")</f>
        <v/>
      </c>
      <c r="I613" s="155" t="str">
        <f>IFERROR(IF($D613="","",VLOOKUP($D613,Cadastro!$C$4:$G$7,5,FALSE)),"")</f>
        <v/>
      </c>
      <c r="J613" s="15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54" t="str">
        <f>IFERROR(IF($D614="","",VLOOKUP($D614,Cadastro!$C$4:$E$7,3,FALSE)),"")</f>
        <v/>
      </c>
      <c r="G614" s="106"/>
      <c r="H614" s="154" t="str">
        <f>IFERROR(IF($G614="","",$G614*$S$621/$G$621/Cadastro!$E$33),"")</f>
        <v/>
      </c>
      <c r="I614" s="155" t="str">
        <f>IFERROR(IF($D614="","",VLOOKUP($D614,Cadastro!$C$4:$G$7,5,FALSE)),"")</f>
        <v/>
      </c>
      <c r="J614" s="15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54" t="str">
        <f>IFERROR(IF($D615="","",VLOOKUP($D615,Cadastro!$C$4:$E$7,3,FALSE)),"")</f>
        <v/>
      </c>
      <c r="G615" s="106"/>
      <c r="H615" s="154" t="str">
        <f>IFERROR(IF($G615="","",$G615*$S$621/$G$621/Cadastro!$E$33),"")</f>
        <v/>
      </c>
      <c r="I615" s="155" t="str">
        <f>IFERROR(IF($D615="","",VLOOKUP($D615,Cadastro!$C$4:$G$7,5,FALSE)),"")</f>
        <v/>
      </c>
      <c r="J615" s="15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54" t="str">
        <f>IFERROR(IF($D616="","",VLOOKUP($D616,Cadastro!$C$4:$E$7,3,FALSE)),"")</f>
        <v/>
      </c>
      <c r="G616" s="106"/>
      <c r="H616" s="154" t="str">
        <f>IFERROR(IF($G616="","",$G616*$S$621/$G$621/Cadastro!$E$33),"")</f>
        <v/>
      </c>
      <c r="I616" s="155" t="str">
        <f>IFERROR(IF($D616="","",VLOOKUP($D616,Cadastro!$C$4:$G$7,5,FALSE)),"")</f>
        <v/>
      </c>
      <c r="J616" s="15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54" t="str">
        <f>IFERROR(IF($D617="","",VLOOKUP($D617,Cadastro!$C$4:$E$7,3,FALSE)),"")</f>
        <v/>
      </c>
      <c r="G617" s="106"/>
      <c r="H617" s="154" t="str">
        <f>IFERROR(IF($G617="","",$G617*$S$621/$G$621/Cadastro!$E$33),"")</f>
        <v/>
      </c>
      <c r="I617" s="155" t="str">
        <f>IFERROR(IF($D617="","",VLOOKUP($D617,Cadastro!$C$4:$G$7,5,FALSE)),"")</f>
        <v/>
      </c>
      <c r="J617" s="15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54" t="str">
        <f>IFERROR(IF($D618="","",VLOOKUP($D618,Cadastro!$C$4:$E$7,3,FALSE)),"")</f>
        <v/>
      </c>
      <c r="G618" s="106"/>
      <c r="H618" s="154" t="str">
        <f>IFERROR(IF($G618="","",$G618*$S$621/$G$621/Cadastro!$E$33),"")</f>
        <v/>
      </c>
      <c r="I618" s="155" t="str">
        <f>IFERROR(IF($D618="","",VLOOKUP($D618,Cadastro!$C$4:$G$7,5,FALSE)),"")</f>
        <v/>
      </c>
      <c r="J618" s="15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54" t="str">
        <f>IFERROR(IF($D619="","",VLOOKUP($D619,Cadastro!$C$4:$E$7,3,FALSE)),"")</f>
        <v/>
      </c>
      <c r="G619" s="106"/>
      <c r="H619" s="154" t="str">
        <f>IFERROR(IF($G619="","",$G619*$S$621/$G$621/Cadastro!$E$33),"")</f>
        <v/>
      </c>
      <c r="I619" s="155" t="str">
        <f>IFERROR(IF($D619="","",VLOOKUP($D619,Cadastro!$C$4:$G$7,5,FALSE)),"")</f>
        <v/>
      </c>
      <c r="J619" s="15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57" t="str">
        <f>IFERROR(IF($D620="","",VLOOKUP($D620,Cadastro!$C$4:$E$7,3,FALSE)),"")</f>
        <v/>
      </c>
      <c r="G620" s="106"/>
      <c r="H620" s="157" t="str">
        <f>IFERROR(IF($G620="","",$G620*$S$621/$G$621/Cadastro!$E$33),"")</f>
        <v/>
      </c>
      <c r="I620" s="158" t="str">
        <f>IFERROR(IF($D620="","",VLOOKUP($D620,Cadastro!$C$4:$G$7,5,FALSE)),"")</f>
        <v/>
      </c>
      <c r="J620" s="15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32" t="s">
        <v>244</v>
      </c>
      <c r="B621" s="133"/>
      <c r="C621" s="133"/>
      <c r="D621" s="133"/>
      <c r="E621" s="13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34" t="s">
        <v>245</v>
      </c>
      <c r="B622" s="135"/>
      <c r="C622" s="135"/>
      <c r="D622" s="135"/>
      <c r="E622" s="135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60" t="str">
        <f>IFERROR(IF($D623="","",VLOOKUP($D623,Cadastro!$C$4:$E$7,3,FALSE)),"")</f>
        <v/>
      </c>
      <c r="G623" s="106"/>
      <c r="H623" s="160" t="str">
        <f>IFERROR(IF($G623="","",$G623*$S$635/$G$635/Cadastro!$E$33),"")</f>
        <v/>
      </c>
      <c r="I623" s="161" t="str">
        <f>IFERROR(IF($D623="","",VLOOKUP($D623,Cadastro!$C$4:$G$7,5,FALSE)),"")</f>
        <v/>
      </c>
      <c r="J623" s="16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54" t="str">
        <f>IFERROR(IF($D624="","",VLOOKUP($D624,Cadastro!$C$4:$E$7,3,FALSE)),"")</f>
        <v/>
      </c>
      <c r="G624" s="106"/>
      <c r="H624" s="154" t="str">
        <f>IFERROR(IF($G624="","",$G624*$S$635/$G$635/Cadastro!$E$33),"")</f>
        <v/>
      </c>
      <c r="I624" s="155" t="str">
        <f>IFERROR(IF($D624="","",VLOOKUP($D624,Cadastro!$C$4:$G$7,5,FALSE)),"")</f>
        <v/>
      </c>
      <c r="J624" s="15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54" t="str">
        <f>IFERROR(IF($D625="","",VLOOKUP($D625,Cadastro!$C$4:$E$7,3,FALSE)),"")</f>
        <v/>
      </c>
      <c r="G625" s="106"/>
      <c r="H625" s="154" t="str">
        <f>IFERROR(IF($G625="","",$G625*$S$635/$G$635/Cadastro!$E$33),"")</f>
        <v/>
      </c>
      <c r="I625" s="155" t="str">
        <f>IFERROR(IF($D625="","",VLOOKUP($D625,Cadastro!$C$4:$G$7,5,FALSE)),"")</f>
        <v/>
      </c>
      <c r="J625" s="15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54" t="str">
        <f>IFERROR(IF($D626="","",VLOOKUP($D626,Cadastro!$C$4:$E$7,3,FALSE)),"")</f>
        <v/>
      </c>
      <c r="G626" s="106"/>
      <c r="H626" s="154" t="str">
        <f>IFERROR(IF($G626="","",$G626*$S$635/$G$635/Cadastro!$E$33),"")</f>
        <v/>
      </c>
      <c r="I626" s="155" t="str">
        <f>IFERROR(IF($D626="","",VLOOKUP($D626,Cadastro!$C$4:$G$7,5,FALSE)),"")</f>
        <v/>
      </c>
      <c r="J626" s="15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54" t="str">
        <f>IFERROR(IF($D627="","",VLOOKUP($D627,Cadastro!$C$4:$E$7,3,FALSE)),"")</f>
        <v/>
      </c>
      <c r="G627" s="106"/>
      <c r="H627" s="154" t="str">
        <f>IFERROR(IF($G627="","",$G627*$S$635/$G$635/Cadastro!$E$33),"")</f>
        <v/>
      </c>
      <c r="I627" s="155" t="str">
        <f>IFERROR(IF($D627="","",VLOOKUP($D627,Cadastro!$C$4:$G$7,5,FALSE)),"")</f>
        <v/>
      </c>
      <c r="J627" s="15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54" t="str">
        <f>IFERROR(IF($D628="","",VLOOKUP($D628,Cadastro!$C$4:$E$7,3,FALSE)),"")</f>
        <v/>
      </c>
      <c r="G628" s="106"/>
      <c r="H628" s="154" t="str">
        <f>IFERROR(IF($G628="","",$G628*$S$635/$G$635/Cadastro!$E$33),"")</f>
        <v/>
      </c>
      <c r="I628" s="155" t="str">
        <f>IFERROR(IF($D628="","",VLOOKUP($D628,Cadastro!$C$4:$G$7,5,FALSE)),"")</f>
        <v/>
      </c>
      <c r="J628" s="15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54" t="str">
        <f>IFERROR(IF($D629="","",VLOOKUP($D629,Cadastro!$C$4:$E$7,3,FALSE)),"")</f>
        <v/>
      </c>
      <c r="G629" s="106"/>
      <c r="H629" s="154" t="str">
        <f>IFERROR(IF($G629="","",$G629*$S$635/$G$635/Cadastro!$E$33),"")</f>
        <v/>
      </c>
      <c r="I629" s="155" t="str">
        <f>IFERROR(IF($D629="","",VLOOKUP($D629,Cadastro!$C$4:$G$7,5,FALSE)),"")</f>
        <v/>
      </c>
      <c r="J629" s="15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54" t="str">
        <f>IFERROR(IF($D630="","",VLOOKUP($D630,Cadastro!$C$4:$E$7,3,FALSE)),"")</f>
        <v/>
      </c>
      <c r="G630" s="106"/>
      <c r="H630" s="154" t="str">
        <f>IFERROR(IF($G630="","",$G630*$S$635/$G$635/Cadastro!$E$33),"")</f>
        <v/>
      </c>
      <c r="I630" s="155" t="str">
        <f>IFERROR(IF($D630="","",VLOOKUP($D630,Cadastro!$C$4:$G$7,5,FALSE)),"")</f>
        <v/>
      </c>
      <c r="J630" s="15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54" t="str">
        <f>IFERROR(IF($D631="","",VLOOKUP($D631,Cadastro!$C$4:$E$7,3,FALSE)),"")</f>
        <v/>
      </c>
      <c r="G631" s="106"/>
      <c r="H631" s="154" t="str">
        <f>IFERROR(IF($G631="","",$G631*$S$635/$G$635/Cadastro!$E$33),"")</f>
        <v/>
      </c>
      <c r="I631" s="155" t="str">
        <f>IFERROR(IF($D631="","",VLOOKUP($D631,Cadastro!$C$4:$G$7,5,FALSE)),"")</f>
        <v/>
      </c>
      <c r="J631" s="15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54" t="str">
        <f>IFERROR(IF($D632="","",VLOOKUP($D632,Cadastro!$C$4:$E$7,3,FALSE)),"")</f>
        <v/>
      </c>
      <c r="G632" s="106"/>
      <c r="H632" s="154" t="str">
        <f>IFERROR(IF($G632="","",$G632*$S$635/$G$635/Cadastro!$E$33),"")</f>
        <v/>
      </c>
      <c r="I632" s="155" t="str">
        <f>IFERROR(IF($D632="","",VLOOKUP($D632,Cadastro!$C$4:$G$7,5,FALSE)),"")</f>
        <v/>
      </c>
      <c r="J632" s="15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54" t="str">
        <f>IFERROR(IF($D633="","",VLOOKUP($D633,Cadastro!$C$4:$E$7,3,FALSE)),"")</f>
        <v/>
      </c>
      <c r="G633" s="106"/>
      <c r="H633" s="154" t="str">
        <f>IFERROR(IF($G633="","",$G633*$S$635/$G$635/Cadastro!$E$33),"")</f>
        <v/>
      </c>
      <c r="I633" s="155" t="str">
        <f>IFERROR(IF($D633="","",VLOOKUP($D633,Cadastro!$C$4:$G$7,5,FALSE)),"")</f>
        <v/>
      </c>
      <c r="J633" s="15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57" t="str">
        <f>IFERROR(IF($D634="","",VLOOKUP($D634,Cadastro!$C$4:$E$7,3,FALSE)),"")</f>
        <v/>
      </c>
      <c r="G634" s="106"/>
      <c r="H634" s="157" t="str">
        <f>IFERROR(IF($G634="","",$G634*$S$635/$G$635/Cadastro!$E$33),"")</f>
        <v/>
      </c>
      <c r="I634" s="158" t="str">
        <f>IFERROR(IF($D634="","",VLOOKUP($D634,Cadastro!$C$4:$G$7,5,FALSE)),"")</f>
        <v/>
      </c>
      <c r="J634" s="15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32" t="s">
        <v>241</v>
      </c>
      <c r="B635" s="133"/>
      <c r="C635" s="133"/>
      <c r="D635" s="133"/>
      <c r="E635" s="13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60" t="str">
        <f>IFERROR(IF($D636="","",VLOOKUP($D636,Cadastro!$C$4:$E$7,3,FALSE)),"")</f>
        <v/>
      </c>
      <c r="G636" s="106"/>
      <c r="H636" s="160" t="str">
        <f>IFERROR(IF($G636="","",$G636*$S$648/$G$648/Cadastro!$E$33),"")</f>
        <v/>
      </c>
      <c r="I636" s="161" t="str">
        <f>IFERROR(IF($D636="","",VLOOKUP($D636,Cadastro!$C$4:$G$7,5,FALSE)),"")</f>
        <v/>
      </c>
      <c r="J636" s="16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54" t="str">
        <f>IFERROR(IF($D637="","",VLOOKUP($D637,Cadastro!$C$4:$E$7,3,FALSE)),"")</f>
        <v/>
      </c>
      <c r="G637" s="106"/>
      <c r="H637" s="154" t="str">
        <f>IFERROR(IF($G637="","",$G637*$S$648/$G$648/Cadastro!$E$33),"")</f>
        <v/>
      </c>
      <c r="I637" s="155" t="str">
        <f>IFERROR(IF($D637="","",VLOOKUP($D637,Cadastro!$C$4:$G$7,5,FALSE)),"")</f>
        <v/>
      </c>
      <c r="J637" s="15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54" t="str">
        <f>IFERROR(IF($D638="","",VLOOKUP($D638,Cadastro!$C$4:$E$7,3,FALSE)),"")</f>
        <v/>
      </c>
      <c r="G638" s="106"/>
      <c r="H638" s="154" t="str">
        <f>IFERROR(IF($G638="","",$G638*$S$648/$G$648/Cadastro!$E$33),"")</f>
        <v/>
      </c>
      <c r="I638" s="155" t="str">
        <f>IFERROR(IF($D638="","",VLOOKUP($D638,Cadastro!$C$4:$G$7,5,FALSE)),"")</f>
        <v/>
      </c>
      <c r="J638" s="15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54" t="str">
        <f>IFERROR(IF($D639="","",VLOOKUP($D639,Cadastro!$C$4:$E$7,3,FALSE)),"")</f>
        <v/>
      </c>
      <c r="G639" s="106"/>
      <c r="H639" s="154" t="str">
        <f>IFERROR(IF($G639="","",$G639*$S$648/$G$648/Cadastro!$E$33),"")</f>
        <v/>
      </c>
      <c r="I639" s="155" t="str">
        <f>IFERROR(IF($D639="","",VLOOKUP($D639,Cadastro!$C$4:$G$7,5,FALSE)),"")</f>
        <v/>
      </c>
      <c r="J639" s="15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54" t="str">
        <f>IFERROR(IF($D640="","",VLOOKUP($D640,Cadastro!$C$4:$E$7,3,FALSE)),"")</f>
        <v/>
      </c>
      <c r="G640" s="106"/>
      <c r="H640" s="154" t="str">
        <f>IFERROR(IF($G640="","",$G640*$S$648/$G$648/Cadastro!$E$33),"")</f>
        <v/>
      </c>
      <c r="I640" s="155" t="str">
        <f>IFERROR(IF($D640="","",VLOOKUP($D640,Cadastro!$C$4:$G$7,5,FALSE)),"")</f>
        <v/>
      </c>
      <c r="J640" s="15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54" t="str">
        <f>IFERROR(IF($D641="","",VLOOKUP($D641,Cadastro!$C$4:$E$7,3,FALSE)),"")</f>
        <v/>
      </c>
      <c r="G641" s="106"/>
      <c r="H641" s="154" t="str">
        <f>IFERROR(IF($G641="","",$G641*$S$648/$G$648/Cadastro!$E$33),"")</f>
        <v/>
      </c>
      <c r="I641" s="155" t="str">
        <f>IFERROR(IF($D641="","",VLOOKUP($D641,Cadastro!$C$4:$G$7,5,FALSE)),"")</f>
        <v/>
      </c>
      <c r="J641" s="15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54" t="str">
        <f>IFERROR(IF($D642="","",VLOOKUP($D642,Cadastro!$C$4:$E$7,3,FALSE)),"")</f>
        <v/>
      </c>
      <c r="G642" s="106"/>
      <c r="H642" s="154" t="str">
        <f>IFERROR(IF($G642="","",$G642*$S$648/$G$648/Cadastro!$E$33),"")</f>
        <v/>
      </c>
      <c r="I642" s="155" t="str">
        <f>IFERROR(IF($D642="","",VLOOKUP($D642,Cadastro!$C$4:$G$7,5,FALSE)),"")</f>
        <v/>
      </c>
      <c r="J642" s="15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54" t="str">
        <f>IFERROR(IF($D643="","",VLOOKUP($D643,Cadastro!$C$4:$E$7,3,FALSE)),"")</f>
        <v/>
      </c>
      <c r="G643" s="106"/>
      <c r="H643" s="154" t="str">
        <f>IFERROR(IF($G643="","",$G643*$S$648/$G$648/Cadastro!$E$33),"")</f>
        <v/>
      </c>
      <c r="I643" s="155" t="str">
        <f>IFERROR(IF($D643="","",VLOOKUP($D643,Cadastro!$C$4:$G$7,5,FALSE)),"")</f>
        <v/>
      </c>
      <c r="J643" s="15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54" t="str">
        <f>IFERROR(IF($D644="","",VLOOKUP($D644,Cadastro!$C$4:$E$7,3,FALSE)),"")</f>
        <v/>
      </c>
      <c r="G644" s="106"/>
      <c r="H644" s="154" t="str">
        <f>IFERROR(IF($G644="","",$G644*$S$648/$G$648/Cadastro!$E$33),"")</f>
        <v/>
      </c>
      <c r="I644" s="155" t="str">
        <f>IFERROR(IF($D644="","",VLOOKUP($D644,Cadastro!$C$4:$G$7,5,FALSE)),"")</f>
        <v/>
      </c>
      <c r="J644" s="15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54" t="str">
        <f>IFERROR(IF($D645="","",VLOOKUP($D645,Cadastro!$C$4:$E$7,3,FALSE)),"")</f>
        <v/>
      </c>
      <c r="G645" s="106"/>
      <c r="H645" s="154" t="str">
        <f>IFERROR(IF($G645="","",$G645*$S$648/$G$648/Cadastro!$E$33),"")</f>
        <v/>
      </c>
      <c r="I645" s="155" t="str">
        <f>IFERROR(IF($D645="","",VLOOKUP($D645,Cadastro!$C$4:$G$7,5,FALSE)),"")</f>
        <v/>
      </c>
      <c r="J645" s="15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54" t="str">
        <f>IFERROR(IF($D646="","",VLOOKUP($D646,Cadastro!$C$4:$E$7,3,FALSE)),"")</f>
        <v/>
      </c>
      <c r="G646" s="106"/>
      <c r="H646" s="154" t="str">
        <f>IFERROR(IF($G646="","",$G646*$S$648/$G$648/Cadastro!$E$33),"")</f>
        <v/>
      </c>
      <c r="I646" s="155" t="str">
        <f>IFERROR(IF($D646="","",VLOOKUP($D646,Cadastro!$C$4:$G$7,5,FALSE)),"")</f>
        <v/>
      </c>
      <c r="J646" s="15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57" t="str">
        <f>IFERROR(IF($D647="","",VLOOKUP($D647,Cadastro!$C$4:$E$7,3,FALSE)),"")</f>
        <v/>
      </c>
      <c r="G647" s="106"/>
      <c r="H647" s="157" t="str">
        <f>IFERROR(IF($G647="","",$G647*$S$648/$G$648/Cadastro!$E$33),"")</f>
        <v/>
      </c>
      <c r="I647" s="158" t="str">
        <f>IFERROR(IF($D647="","",VLOOKUP($D647,Cadastro!$C$4:$G$7,5,FALSE)),"")</f>
        <v/>
      </c>
      <c r="J647" s="15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32" t="s">
        <v>244</v>
      </c>
      <c r="B648" s="133"/>
      <c r="C648" s="133"/>
      <c r="D648" s="133"/>
      <c r="E648" s="13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34" t="s">
        <v>245</v>
      </c>
      <c r="B649" s="135"/>
      <c r="C649" s="135"/>
      <c r="D649" s="135"/>
      <c r="E649" s="135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60" t="str">
        <f>IFERROR(IF($D650="","",VLOOKUP($D650,Cadastro!$C$4:$E$7,3,FALSE)),"")</f>
        <v/>
      </c>
      <c r="G650" s="106"/>
      <c r="H650" s="160" t="str">
        <f>IFERROR(IF($G650="","",$G650*$S$662/$G$662/Cadastro!$E$33),"")</f>
        <v/>
      </c>
      <c r="I650" s="161" t="str">
        <f>IFERROR(IF($D650="","",VLOOKUP($D650,Cadastro!$C$4:$G$7,5,FALSE)),"")</f>
        <v/>
      </c>
      <c r="J650" s="16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54" t="str">
        <f>IFERROR(IF($D651="","",VLOOKUP($D651,Cadastro!$C$4:$E$7,3,FALSE)),"")</f>
        <v/>
      </c>
      <c r="G651" s="106"/>
      <c r="H651" s="154" t="str">
        <f>IFERROR(IF($G651="","",$G651*$S$662/$G$662/Cadastro!$E$33),"")</f>
        <v/>
      </c>
      <c r="I651" s="155" t="str">
        <f>IFERROR(IF($D651="","",VLOOKUP($D651,Cadastro!$C$4:$G$7,5,FALSE)),"")</f>
        <v/>
      </c>
      <c r="J651" s="15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54" t="str">
        <f>IFERROR(IF($D652="","",VLOOKUP($D652,Cadastro!$C$4:$E$7,3,FALSE)),"")</f>
        <v/>
      </c>
      <c r="G652" s="106"/>
      <c r="H652" s="154" t="str">
        <f>IFERROR(IF($G652="","",$G652*$S$662/$G$662/Cadastro!$E$33),"")</f>
        <v/>
      </c>
      <c r="I652" s="155" t="str">
        <f>IFERROR(IF($D652="","",VLOOKUP($D652,Cadastro!$C$4:$G$7,5,FALSE)),"")</f>
        <v/>
      </c>
      <c r="J652" s="15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54" t="str">
        <f>IFERROR(IF($D653="","",VLOOKUP($D653,Cadastro!$C$4:$E$7,3,FALSE)),"")</f>
        <v/>
      </c>
      <c r="G653" s="106"/>
      <c r="H653" s="154" t="str">
        <f>IFERROR(IF($G653="","",$G653*$S$662/$G$662/Cadastro!$E$33),"")</f>
        <v/>
      </c>
      <c r="I653" s="155" t="str">
        <f>IFERROR(IF($D653="","",VLOOKUP($D653,Cadastro!$C$4:$G$7,5,FALSE)),"")</f>
        <v/>
      </c>
      <c r="J653" s="15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54" t="str">
        <f>IFERROR(IF($D654="","",VLOOKUP($D654,Cadastro!$C$4:$E$7,3,FALSE)),"")</f>
        <v/>
      </c>
      <c r="G654" s="106"/>
      <c r="H654" s="154" t="str">
        <f>IFERROR(IF($G654="","",$G654*$S$662/$G$662/Cadastro!$E$33),"")</f>
        <v/>
      </c>
      <c r="I654" s="155" t="str">
        <f>IFERROR(IF($D654="","",VLOOKUP($D654,Cadastro!$C$4:$G$7,5,FALSE)),"")</f>
        <v/>
      </c>
      <c r="J654" s="15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54" t="str">
        <f>IFERROR(IF($D655="","",VLOOKUP($D655,Cadastro!$C$4:$E$7,3,FALSE)),"")</f>
        <v/>
      </c>
      <c r="G655" s="106"/>
      <c r="H655" s="154" t="str">
        <f>IFERROR(IF($G655="","",$G655*$S$662/$G$662/Cadastro!$E$33),"")</f>
        <v/>
      </c>
      <c r="I655" s="155" t="str">
        <f>IFERROR(IF($D655="","",VLOOKUP($D655,Cadastro!$C$4:$G$7,5,FALSE)),"")</f>
        <v/>
      </c>
      <c r="J655" s="15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54" t="str">
        <f>IFERROR(IF($D656="","",VLOOKUP($D656,Cadastro!$C$4:$E$7,3,FALSE)),"")</f>
        <v/>
      </c>
      <c r="G656" s="106"/>
      <c r="H656" s="154" t="str">
        <f>IFERROR(IF($G656="","",$G656*$S$662/$G$662/Cadastro!$E$33),"")</f>
        <v/>
      </c>
      <c r="I656" s="155" t="str">
        <f>IFERROR(IF($D656="","",VLOOKUP($D656,Cadastro!$C$4:$G$7,5,FALSE)),"")</f>
        <v/>
      </c>
      <c r="J656" s="15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54" t="str">
        <f>IFERROR(IF($D657="","",VLOOKUP($D657,Cadastro!$C$4:$E$7,3,FALSE)),"")</f>
        <v/>
      </c>
      <c r="G657" s="106"/>
      <c r="H657" s="154" t="str">
        <f>IFERROR(IF($G657="","",$G657*$S$662/$G$662/Cadastro!$E$33),"")</f>
        <v/>
      </c>
      <c r="I657" s="155" t="str">
        <f>IFERROR(IF($D657="","",VLOOKUP($D657,Cadastro!$C$4:$G$7,5,FALSE)),"")</f>
        <v/>
      </c>
      <c r="J657" s="15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54" t="str">
        <f>IFERROR(IF($D658="","",VLOOKUP($D658,Cadastro!$C$4:$E$7,3,FALSE)),"")</f>
        <v/>
      </c>
      <c r="G658" s="106"/>
      <c r="H658" s="154" t="str">
        <f>IFERROR(IF($G658="","",$G658*$S$662/$G$662/Cadastro!$E$33),"")</f>
        <v/>
      </c>
      <c r="I658" s="155" t="str">
        <f>IFERROR(IF($D658="","",VLOOKUP($D658,Cadastro!$C$4:$G$7,5,FALSE)),"")</f>
        <v/>
      </c>
      <c r="J658" s="15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54" t="str">
        <f>IFERROR(IF($D659="","",VLOOKUP($D659,Cadastro!$C$4:$E$7,3,FALSE)),"")</f>
        <v/>
      </c>
      <c r="G659" s="106"/>
      <c r="H659" s="154" t="str">
        <f>IFERROR(IF($G659="","",$G659*$S$662/$G$662/Cadastro!$E$33),"")</f>
        <v/>
      </c>
      <c r="I659" s="155" t="str">
        <f>IFERROR(IF($D659="","",VLOOKUP($D659,Cadastro!$C$4:$G$7,5,FALSE)),"")</f>
        <v/>
      </c>
      <c r="J659" s="15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54" t="str">
        <f>IFERROR(IF($D660="","",VLOOKUP($D660,Cadastro!$C$4:$E$7,3,FALSE)),"")</f>
        <v/>
      </c>
      <c r="G660" s="106"/>
      <c r="H660" s="154" t="str">
        <f>IFERROR(IF($G660="","",$G660*$S$662/$G$662/Cadastro!$E$33),"")</f>
        <v/>
      </c>
      <c r="I660" s="155" t="str">
        <f>IFERROR(IF($D660="","",VLOOKUP($D660,Cadastro!$C$4:$G$7,5,FALSE)),"")</f>
        <v/>
      </c>
      <c r="J660" s="15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57" t="str">
        <f>IFERROR(IF($D661="","",VLOOKUP($D661,Cadastro!$C$4:$E$7,3,FALSE)),"")</f>
        <v/>
      </c>
      <c r="G661" s="106"/>
      <c r="H661" s="157" t="str">
        <f>IFERROR(IF($G661="","",$G661*$S$662/$G$662/Cadastro!$E$33),"")</f>
        <v/>
      </c>
      <c r="I661" s="158" t="str">
        <f>IFERROR(IF($D661="","",VLOOKUP($D661,Cadastro!$C$4:$G$7,5,FALSE)),"")</f>
        <v/>
      </c>
      <c r="J661" s="15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32" t="s">
        <v>241</v>
      </c>
      <c r="B662" s="133"/>
      <c r="C662" s="133"/>
      <c r="D662" s="133"/>
      <c r="E662" s="13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60" t="str">
        <f>IFERROR(IF($D663="","",VLOOKUP($D663,Cadastro!$C$4:$E$7,3,FALSE)),"")</f>
        <v/>
      </c>
      <c r="G663" s="106"/>
      <c r="H663" s="160" t="str">
        <f>IFERROR(IF($G663="","",$G663*$S$675/$G$675/Cadastro!$E$33),"")</f>
        <v/>
      </c>
      <c r="I663" s="161" t="str">
        <f>IFERROR(IF($D663="","",VLOOKUP($D663,Cadastro!$C$4:$G$7,5,FALSE)),"")</f>
        <v/>
      </c>
      <c r="J663" s="16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54" t="str">
        <f>IFERROR(IF($D664="","",VLOOKUP($D664,Cadastro!$C$4:$E$7,3,FALSE)),"")</f>
        <v/>
      </c>
      <c r="G664" s="106"/>
      <c r="H664" s="154" t="str">
        <f>IFERROR(IF($G664="","",$G664*$S$675/$G$675/Cadastro!$E$33),"")</f>
        <v/>
      </c>
      <c r="I664" s="155" t="str">
        <f>IFERROR(IF($D664="","",VLOOKUP($D664,Cadastro!$C$4:$G$7,5,FALSE)),"")</f>
        <v/>
      </c>
      <c r="J664" s="15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54" t="str">
        <f>IFERROR(IF($D665="","",VLOOKUP($D665,Cadastro!$C$4:$E$7,3,FALSE)),"")</f>
        <v/>
      </c>
      <c r="G665" s="106"/>
      <c r="H665" s="154" t="str">
        <f>IFERROR(IF($G665="","",$G665*$S$675/$G$675/Cadastro!$E$33),"")</f>
        <v/>
      </c>
      <c r="I665" s="155" t="str">
        <f>IFERROR(IF($D665="","",VLOOKUP($D665,Cadastro!$C$4:$G$7,5,FALSE)),"")</f>
        <v/>
      </c>
      <c r="J665" s="15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54" t="str">
        <f>IFERROR(IF($D666="","",VLOOKUP($D666,Cadastro!$C$4:$E$7,3,FALSE)),"")</f>
        <v/>
      </c>
      <c r="G666" s="106"/>
      <c r="H666" s="154" t="str">
        <f>IFERROR(IF($G666="","",$G666*$S$675/$G$675/Cadastro!$E$33),"")</f>
        <v/>
      </c>
      <c r="I666" s="155" t="str">
        <f>IFERROR(IF($D666="","",VLOOKUP($D666,Cadastro!$C$4:$G$7,5,FALSE)),"")</f>
        <v/>
      </c>
      <c r="J666" s="15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54" t="str">
        <f>IFERROR(IF($D667="","",VLOOKUP($D667,Cadastro!$C$4:$E$7,3,FALSE)),"")</f>
        <v/>
      </c>
      <c r="G667" s="106"/>
      <c r="H667" s="154" t="str">
        <f>IFERROR(IF($G667="","",$G667*$S$675/$G$675/Cadastro!$E$33),"")</f>
        <v/>
      </c>
      <c r="I667" s="155" t="str">
        <f>IFERROR(IF($D667="","",VLOOKUP($D667,Cadastro!$C$4:$G$7,5,FALSE)),"")</f>
        <v/>
      </c>
      <c r="J667" s="15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54" t="str">
        <f>IFERROR(IF($D668="","",VLOOKUP($D668,Cadastro!$C$4:$E$7,3,FALSE)),"")</f>
        <v/>
      </c>
      <c r="G668" s="106"/>
      <c r="H668" s="154" t="str">
        <f>IFERROR(IF($G668="","",$G668*$S$675/$G$675/Cadastro!$E$33),"")</f>
        <v/>
      </c>
      <c r="I668" s="155" t="str">
        <f>IFERROR(IF($D668="","",VLOOKUP($D668,Cadastro!$C$4:$G$7,5,FALSE)),"")</f>
        <v/>
      </c>
      <c r="J668" s="15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54" t="str">
        <f>IFERROR(IF($D669="","",VLOOKUP($D669,Cadastro!$C$4:$E$7,3,FALSE)),"")</f>
        <v/>
      </c>
      <c r="G669" s="106"/>
      <c r="H669" s="154" t="str">
        <f>IFERROR(IF($G669="","",$G669*$S$675/$G$675/Cadastro!$E$33),"")</f>
        <v/>
      </c>
      <c r="I669" s="155" t="str">
        <f>IFERROR(IF($D669="","",VLOOKUP($D669,Cadastro!$C$4:$G$7,5,FALSE)),"")</f>
        <v/>
      </c>
      <c r="J669" s="15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54" t="str">
        <f>IFERROR(IF($D670="","",VLOOKUP($D670,Cadastro!$C$4:$E$7,3,FALSE)),"")</f>
        <v/>
      </c>
      <c r="G670" s="106"/>
      <c r="H670" s="154" t="str">
        <f>IFERROR(IF($G670="","",$G670*$S$675/$G$675/Cadastro!$E$33),"")</f>
        <v/>
      </c>
      <c r="I670" s="155" t="str">
        <f>IFERROR(IF($D670="","",VLOOKUP($D670,Cadastro!$C$4:$G$7,5,FALSE)),"")</f>
        <v/>
      </c>
      <c r="J670" s="15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54" t="str">
        <f>IFERROR(IF($D671="","",VLOOKUP($D671,Cadastro!$C$4:$E$7,3,FALSE)),"")</f>
        <v/>
      </c>
      <c r="G671" s="106"/>
      <c r="H671" s="154" t="str">
        <f>IFERROR(IF($G671="","",$G671*$S$675/$G$675/Cadastro!$E$33),"")</f>
        <v/>
      </c>
      <c r="I671" s="155" t="str">
        <f>IFERROR(IF($D671="","",VLOOKUP($D671,Cadastro!$C$4:$G$7,5,FALSE)),"")</f>
        <v/>
      </c>
      <c r="J671" s="15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54" t="str">
        <f>IFERROR(IF($D672="","",VLOOKUP($D672,Cadastro!$C$4:$E$7,3,FALSE)),"")</f>
        <v/>
      </c>
      <c r="G672" s="106"/>
      <c r="H672" s="154" t="str">
        <f>IFERROR(IF($G672="","",$G672*$S$675/$G$675/Cadastro!$E$33),"")</f>
        <v/>
      </c>
      <c r="I672" s="155" t="str">
        <f>IFERROR(IF($D672="","",VLOOKUP($D672,Cadastro!$C$4:$G$7,5,FALSE)),"")</f>
        <v/>
      </c>
      <c r="J672" s="15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54" t="str">
        <f>IFERROR(IF($D673="","",VLOOKUP($D673,Cadastro!$C$4:$E$7,3,FALSE)),"")</f>
        <v/>
      </c>
      <c r="G673" s="106"/>
      <c r="H673" s="154" t="str">
        <f>IFERROR(IF($G673="","",$G673*$S$675/$G$675/Cadastro!$E$33),"")</f>
        <v/>
      </c>
      <c r="I673" s="155" t="str">
        <f>IFERROR(IF($D673="","",VLOOKUP($D673,Cadastro!$C$4:$G$7,5,FALSE)),"")</f>
        <v/>
      </c>
      <c r="J673" s="15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57" t="str">
        <f>IFERROR(IF($D674="","",VLOOKUP($D674,Cadastro!$C$4:$E$7,3,FALSE)),"")</f>
        <v/>
      </c>
      <c r="G674" s="106"/>
      <c r="H674" s="157" t="str">
        <f>IFERROR(IF($G674="","",$G674*$S$675/$G$675/Cadastro!$E$33),"")</f>
        <v/>
      </c>
      <c r="I674" s="158" t="str">
        <f>IFERROR(IF($D674="","",VLOOKUP($D674,Cadastro!$C$4:$G$7,5,FALSE)),"")</f>
        <v/>
      </c>
      <c r="J674" s="15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32" t="s">
        <v>244</v>
      </c>
      <c r="B675" s="133"/>
      <c r="C675" s="133"/>
      <c r="D675" s="133"/>
      <c r="E675" s="13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34" t="s">
        <v>245</v>
      </c>
      <c r="B676" s="135"/>
      <c r="C676" s="135"/>
      <c r="D676" s="135"/>
      <c r="E676" s="135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60" t="str">
        <f>IFERROR(IF($D677="","",VLOOKUP($D677,Cadastro!$C$4:$E$7,3,FALSE)),"")</f>
        <v/>
      </c>
      <c r="G677" s="106"/>
      <c r="H677" s="160" t="str">
        <f>IFERROR(IF($G677="","",$G677*$S$689/$G$689/Cadastro!$E$33),"")</f>
        <v/>
      </c>
      <c r="I677" s="161" t="str">
        <f>IFERROR(IF($D677="","",VLOOKUP($D677,Cadastro!$C$4:$G$7,5,FALSE)),"")</f>
        <v/>
      </c>
      <c r="J677" s="16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54" t="str">
        <f>IFERROR(IF($D678="","",VLOOKUP($D678,Cadastro!$C$4:$E$7,3,FALSE)),"")</f>
        <v/>
      </c>
      <c r="G678" s="106"/>
      <c r="H678" s="154" t="str">
        <f>IFERROR(IF($G678="","",$G678*$S$689/$G$689/Cadastro!$E$33),"")</f>
        <v/>
      </c>
      <c r="I678" s="155" t="str">
        <f>IFERROR(IF($D678="","",VLOOKUP($D678,Cadastro!$C$4:$G$7,5,FALSE)),"")</f>
        <v/>
      </c>
      <c r="J678" s="15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54" t="str">
        <f>IFERROR(IF($D679="","",VLOOKUP($D679,Cadastro!$C$4:$E$7,3,FALSE)),"")</f>
        <v/>
      </c>
      <c r="G679" s="106"/>
      <c r="H679" s="154" t="str">
        <f>IFERROR(IF($G679="","",$G679*$S$689/$G$689/Cadastro!$E$33),"")</f>
        <v/>
      </c>
      <c r="I679" s="155" t="str">
        <f>IFERROR(IF($D679="","",VLOOKUP($D679,Cadastro!$C$4:$G$7,5,FALSE)),"")</f>
        <v/>
      </c>
      <c r="J679" s="15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54" t="str">
        <f>IFERROR(IF($D680="","",VLOOKUP($D680,Cadastro!$C$4:$E$7,3,FALSE)),"")</f>
        <v/>
      </c>
      <c r="G680" s="106"/>
      <c r="H680" s="154" t="str">
        <f>IFERROR(IF($G680="","",$G680*$S$689/$G$689/Cadastro!$E$33),"")</f>
        <v/>
      </c>
      <c r="I680" s="155" t="str">
        <f>IFERROR(IF($D680="","",VLOOKUP($D680,Cadastro!$C$4:$G$7,5,FALSE)),"")</f>
        <v/>
      </c>
      <c r="J680" s="15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54" t="str">
        <f>IFERROR(IF($D681="","",VLOOKUP($D681,Cadastro!$C$4:$E$7,3,FALSE)),"")</f>
        <v/>
      </c>
      <c r="G681" s="106"/>
      <c r="H681" s="154" t="str">
        <f>IFERROR(IF($G681="","",$G681*$S$689/$G$689/Cadastro!$E$33),"")</f>
        <v/>
      </c>
      <c r="I681" s="155" t="str">
        <f>IFERROR(IF($D681="","",VLOOKUP($D681,Cadastro!$C$4:$G$7,5,FALSE)),"")</f>
        <v/>
      </c>
      <c r="J681" s="15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54" t="str">
        <f>IFERROR(IF($D682="","",VLOOKUP($D682,Cadastro!$C$4:$E$7,3,FALSE)),"")</f>
        <v/>
      </c>
      <c r="G682" s="106"/>
      <c r="H682" s="154" t="str">
        <f>IFERROR(IF($G682="","",$G682*$S$689/$G$689/Cadastro!$E$33),"")</f>
        <v/>
      </c>
      <c r="I682" s="155" t="str">
        <f>IFERROR(IF($D682="","",VLOOKUP($D682,Cadastro!$C$4:$G$7,5,FALSE)),"")</f>
        <v/>
      </c>
      <c r="J682" s="15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54" t="str">
        <f>IFERROR(IF($D683="","",VLOOKUP($D683,Cadastro!$C$4:$E$7,3,FALSE)),"")</f>
        <v/>
      </c>
      <c r="G683" s="106"/>
      <c r="H683" s="154" t="str">
        <f>IFERROR(IF($G683="","",$G683*$S$689/$G$689/Cadastro!$E$33),"")</f>
        <v/>
      </c>
      <c r="I683" s="155" t="str">
        <f>IFERROR(IF($D683="","",VLOOKUP($D683,Cadastro!$C$4:$G$7,5,FALSE)),"")</f>
        <v/>
      </c>
      <c r="J683" s="15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54" t="str">
        <f>IFERROR(IF($D684="","",VLOOKUP($D684,Cadastro!$C$4:$E$7,3,FALSE)),"")</f>
        <v/>
      </c>
      <c r="G684" s="106"/>
      <c r="H684" s="154" t="str">
        <f>IFERROR(IF($G684="","",$G684*$S$689/$G$689/Cadastro!$E$33),"")</f>
        <v/>
      </c>
      <c r="I684" s="155" t="str">
        <f>IFERROR(IF($D684="","",VLOOKUP($D684,Cadastro!$C$4:$G$7,5,FALSE)),"")</f>
        <v/>
      </c>
      <c r="J684" s="15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54" t="str">
        <f>IFERROR(IF($D685="","",VLOOKUP($D685,Cadastro!$C$4:$E$7,3,FALSE)),"")</f>
        <v/>
      </c>
      <c r="G685" s="106"/>
      <c r="H685" s="154" t="str">
        <f>IFERROR(IF($G685="","",$G685*$S$689/$G$689/Cadastro!$E$33),"")</f>
        <v/>
      </c>
      <c r="I685" s="155" t="str">
        <f>IFERROR(IF($D685="","",VLOOKUP($D685,Cadastro!$C$4:$G$7,5,FALSE)),"")</f>
        <v/>
      </c>
      <c r="J685" s="15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54" t="str">
        <f>IFERROR(IF($D686="","",VLOOKUP($D686,Cadastro!$C$4:$E$7,3,FALSE)),"")</f>
        <v/>
      </c>
      <c r="G686" s="106"/>
      <c r="H686" s="154" t="str">
        <f>IFERROR(IF($G686="","",$G686*$S$689/$G$689/Cadastro!$E$33),"")</f>
        <v/>
      </c>
      <c r="I686" s="155" t="str">
        <f>IFERROR(IF($D686="","",VLOOKUP($D686,Cadastro!$C$4:$G$7,5,FALSE)),"")</f>
        <v/>
      </c>
      <c r="J686" s="15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54" t="str">
        <f>IFERROR(IF($D687="","",VLOOKUP($D687,Cadastro!$C$4:$E$7,3,FALSE)),"")</f>
        <v/>
      </c>
      <c r="G687" s="106"/>
      <c r="H687" s="154" t="str">
        <f>IFERROR(IF($G687="","",$G687*$S$689/$G$689/Cadastro!$E$33),"")</f>
        <v/>
      </c>
      <c r="I687" s="155" t="str">
        <f>IFERROR(IF($D687="","",VLOOKUP($D687,Cadastro!$C$4:$G$7,5,FALSE)),"")</f>
        <v/>
      </c>
      <c r="J687" s="15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57" t="str">
        <f>IFERROR(IF($D688="","",VLOOKUP($D688,Cadastro!$C$4:$E$7,3,FALSE)),"")</f>
        <v/>
      </c>
      <c r="G688" s="106"/>
      <c r="H688" s="157" t="str">
        <f>IFERROR(IF($G688="","",$G688*$S$689/$G$689/Cadastro!$E$33),"")</f>
        <v/>
      </c>
      <c r="I688" s="158" t="str">
        <f>IFERROR(IF($D688="","",VLOOKUP($D688,Cadastro!$C$4:$G$7,5,FALSE)),"")</f>
        <v/>
      </c>
      <c r="J688" s="15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32" t="s">
        <v>241</v>
      </c>
      <c r="B689" s="133"/>
      <c r="C689" s="133"/>
      <c r="D689" s="133"/>
      <c r="E689" s="13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60" t="str">
        <f>IFERROR(IF($D690="","",VLOOKUP($D690,Cadastro!$C$4:$E$7,3,FALSE)),"")</f>
        <v/>
      </c>
      <c r="G690" s="106"/>
      <c r="H690" s="160" t="str">
        <f>IFERROR(IF($G690="","",$G690*$S$702/$G$702/Cadastro!$E$33),"")</f>
        <v/>
      </c>
      <c r="I690" s="161" t="str">
        <f>IFERROR(IF($D690="","",VLOOKUP($D690,Cadastro!$C$4:$G$7,5,FALSE)),"")</f>
        <v/>
      </c>
      <c r="J690" s="16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54" t="str">
        <f>IFERROR(IF($D691="","",VLOOKUP($D691,Cadastro!$C$4:$E$7,3,FALSE)),"")</f>
        <v/>
      </c>
      <c r="G691" s="106"/>
      <c r="H691" s="154" t="str">
        <f>IFERROR(IF($G691="","",$G691*$S$702/$G$702/Cadastro!$E$33),"")</f>
        <v/>
      </c>
      <c r="I691" s="155" t="str">
        <f>IFERROR(IF($D691="","",VLOOKUP($D691,Cadastro!$C$4:$G$7,5,FALSE)),"")</f>
        <v/>
      </c>
      <c r="J691" s="15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54" t="str">
        <f>IFERROR(IF($D692="","",VLOOKUP($D692,Cadastro!$C$4:$E$7,3,FALSE)),"")</f>
        <v/>
      </c>
      <c r="G692" s="106"/>
      <c r="H692" s="154" t="str">
        <f>IFERROR(IF($G692="","",$G692*$S$702/$G$702/Cadastro!$E$33),"")</f>
        <v/>
      </c>
      <c r="I692" s="155" t="str">
        <f>IFERROR(IF($D692="","",VLOOKUP($D692,Cadastro!$C$4:$G$7,5,FALSE)),"")</f>
        <v/>
      </c>
      <c r="J692" s="15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54" t="str">
        <f>IFERROR(IF($D693="","",VLOOKUP($D693,Cadastro!$C$4:$E$7,3,FALSE)),"")</f>
        <v/>
      </c>
      <c r="G693" s="106"/>
      <c r="H693" s="154" t="str">
        <f>IFERROR(IF($G693="","",$G693*$S$702/$G$702/Cadastro!$E$33),"")</f>
        <v/>
      </c>
      <c r="I693" s="155" t="str">
        <f>IFERROR(IF($D693="","",VLOOKUP($D693,Cadastro!$C$4:$G$7,5,FALSE)),"")</f>
        <v/>
      </c>
      <c r="J693" s="15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54" t="str">
        <f>IFERROR(IF($D694="","",VLOOKUP($D694,Cadastro!$C$4:$E$7,3,FALSE)),"")</f>
        <v/>
      </c>
      <c r="G694" s="106"/>
      <c r="H694" s="154" t="str">
        <f>IFERROR(IF($G694="","",$G694*$S$702/$G$702/Cadastro!$E$33),"")</f>
        <v/>
      </c>
      <c r="I694" s="155" t="str">
        <f>IFERROR(IF($D694="","",VLOOKUP($D694,Cadastro!$C$4:$G$7,5,FALSE)),"")</f>
        <v/>
      </c>
      <c r="J694" s="15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54" t="str">
        <f>IFERROR(IF($D695="","",VLOOKUP($D695,Cadastro!$C$4:$E$7,3,FALSE)),"")</f>
        <v/>
      </c>
      <c r="G695" s="106"/>
      <c r="H695" s="154" t="str">
        <f>IFERROR(IF($G695="","",$G695*$S$702/$G$702/Cadastro!$E$33),"")</f>
        <v/>
      </c>
      <c r="I695" s="155" t="str">
        <f>IFERROR(IF($D695="","",VLOOKUP($D695,Cadastro!$C$4:$G$7,5,FALSE)),"")</f>
        <v/>
      </c>
      <c r="J695" s="15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54" t="str">
        <f>IFERROR(IF($D696="","",VLOOKUP($D696,Cadastro!$C$4:$E$7,3,FALSE)),"")</f>
        <v/>
      </c>
      <c r="G696" s="106"/>
      <c r="H696" s="154" t="str">
        <f>IFERROR(IF($G696="","",$G696*$S$702/$G$702/Cadastro!$E$33),"")</f>
        <v/>
      </c>
      <c r="I696" s="155" t="str">
        <f>IFERROR(IF($D696="","",VLOOKUP($D696,Cadastro!$C$4:$G$7,5,FALSE)),"")</f>
        <v/>
      </c>
      <c r="J696" s="15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54" t="str">
        <f>IFERROR(IF($D697="","",VLOOKUP($D697,Cadastro!$C$4:$E$7,3,FALSE)),"")</f>
        <v/>
      </c>
      <c r="G697" s="106"/>
      <c r="H697" s="154" t="str">
        <f>IFERROR(IF($G697="","",$G697*$S$702/$G$702/Cadastro!$E$33),"")</f>
        <v/>
      </c>
      <c r="I697" s="155" t="str">
        <f>IFERROR(IF($D697="","",VLOOKUP($D697,Cadastro!$C$4:$G$7,5,FALSE)),"")</f>
        <v/>
      </c>
      <c r="J697" s="15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54" t="str">
        <f>IFERROR(IF($D698="","",VLOOKUP($D698,Cadastro!$C$4:$E$7,3,FALSE)),"")</f>
        <v/>
      </c>
      <c r="G698" s="106"/>
      <c r="H698" s="154" t="str">
        <f>IFERROR(IF($G698="","",$G698*$S$702/$G$702/Cadastro!$E$33),"")</f>
        <v/>
      </c>
      <c r="I698" s="155" t="str">
        <f>IFERROR(IF($D698="","",VLOOKUP($D698,Cadastro!$C$4:$G$7,5,FALSE)),"")</f>
        <v/>
      </c>
      <c r="J698" s="15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54" t="str">
        <f>IFERROR(IF($D699="","",VLOOKUP($D699,Cadastro!$C$4:$E$7,3,FALSE)),"")</f>
        <v/>
      </c>
      <c r="G699" s="106"/>
      <c r="H699" s="154" t="str">
        <f>IFERROR(IF($G699="","",$G699*$S$702/$G$702/Cadastro!$E$33),"")</f>
        <v/>
      </c>
      <c r="I699" s="155" t="str">
        <f>IFERROR(IF($D699="","",VLOOKUP($D699,Cadastro!$C$4:$G$7,5,FALSE)),"")</f>
        <v/>
      </c>
      <c r="J699" s="15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54" t="str">
        <f>IFERROR(IF($D700="","",VLOOKUP($D700,Cadastro!$C$4:$E$7,3,FALSE)),"")</f>
        <v/>
      </c>
      <c r="G700" s="106"/>
      <c r="H700" s="154" t="str">
        <f>IFERROR(IF($G700="","",$G700*$S$702/$G$702/Cadastro!$E$33),"")</f>
        <v/>
      </c>
      <c r="I700" s="155" t="str">
        <f>IFERROR(IF($D700="","",VLOOKUP($D700,Cadastro!$C$4:$G$7,5,FALSE)),"")</f>
        <v/>
      </c>
      <c r="J700" s="15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57" t="str">
        <f>IFERROR(IF($D701="","",VLOOKUP($D701,Cadastro!$C$4:$E$7,3,FALSE)),"")</f>
        <v/>
      </c>
      <c r="G701" s="106"/>
      <c r="H701" s="157" t="str">
        <f>IFERROR(IF($G701="","",$G701*$S$702/$G$702/Cadastro!$E$33),"")</f>
        <v/>
      </c>
      <c r="I701" s="158" t="str">
        <f>IFERROR(IF($D701="","",VLOOKUP($D701,Cadastro!$C$4:$G$7,5,FALSE)),"")</f>
        <v/>
      </c>
      <c r="J701" s="15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32" t="s">
        <v>244</v>
      </c>
      <c r="B702" s="133"/>
      <c r="C702" s="133"/>
      <c r="D702" s="133"/>
      <c r="E702" s="13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34" t="s">
        <v>245</v>
      </c>
      <c r="B703" s="135"/>
      <c r="C703" s="135"/>
      <c r="D703" s="135"/>
      <c r="E703" s="135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60" t="str">
        <f>IFERROR(IF($D704="","",VLOOKUP($D704,Cadastro!$C$4:$E$7,3,FALSE)),"")</f>
        <v/>
      </c>
      <c r="G704" s="106"/>
      <c r="H704" s="160" t="str">
        <f>IFERROR(IF($G704="","",$G704*$S$716/$G$716/Cadastro!$E$33),"")</f>
        <v/>
      </c>
      <c r="I704" s="161" t="str">
        <f>IFERROR(IF($D704="","",VLOOKUP($D704,Cadastro!$C$4:$G$7,5,FALSE)),"")</f>
        <v/>
      </c>
      <c r="J704" s="16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54" t="str">
        <f>IFERROR(IF($D705="","",VLOOKUP($D705,Cadastro!$C$4:$E$7,3,FALSE)),"")</f>
        <v/>
      </c>
      <c r="G705" s="106"/>
      <c r="H705" s="154" t="str">
        <f>IFERROR(IF($G705="","",$G705*$S$716/$G$716/Cadastro!$E$33),"")</f>
        <v/>
      </c>
      <c r="I705" s="155" t="str">
        <f>IFERROR(IF($D705="","",VLOOKUP($D705,Cadastro!$C$4:$G$7,5,FALSE)),"")</f>
        <v/>
      </c>
      <c r="J705" s="15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54" t="str">
        <f>IFERROR(IF($D706="","",VLOOKUP($D706,Cadastro!$C$4:$E$7,3,FALSE)),"")</f>
        <v/>
      </c>
      <c r="G706" s="106"/>
      <c r="H706" s="154" t="str">
        <f>IFERROR(IF($G706="","",$G706*$S$716/$G$716/Cadastro!$E$33),"")</f>
        <v/>
      </c>
      <c r="I706" s="155" t="str">
        <f>IFERROR(IF($D706="","",VLOOKUP($D706,Cadastro!$C$4:$G$7,5,FALSE)),"")</f>
        <v/>
      </c>
      <c r="J706" s="15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54" t="str">
        <f>IFERROR(IF($D707="","",VLOOKUP($D707,Cadastro!$C$4:$E$7,3,FALSE)),"")</f>
        <v/>
      </c>
      <c r="G707" s="106"/>
      <c r="H707" s="154" t="str">
        <f>IFERROR(IF($G707="","",$G707*$S$716/$G$716/Cadastro!$E$33),"")</f>
        <v/>
      </c>
      <c r="I707" s="155" t="str">
        <f>IFERROR(IF($D707="","",VLOOKUP($D707,Cadastro!$C$4:$G$7,5,FALSE)),"")</f>
        <v/>
      </c>
      <c r="J707" s="15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54" t="str">
        <f>IFERROR(IF($D708="","",VLOOKUP($D708,Cadastro!$C$4:$E$7,3,FALSE)),"")</f>
        <v/>
      </c>
      <c r="G708" s="106"/>
      <c r="H708" s="154" t="str">
        <f>IFERROR(IF($G708="","",$G708*$S$716/$G$716/Cadastro!$E$33),"")</f>
        <v/>
      </c>
      <c r="I708" s="155" t="str">
        <f>IFERROR(IF($D708="","",VLOOKUP($D708,Cadastro!$C$4:$G$7,5,FALSE)),"")</f>
        <v/>
      </c>
      <c r="J708" s="15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54" t="str">
        <f>IFERROR(IF($D709="","",VLOOKUP($D709,Cadastro!$C$4:$E$7,3,FALSE)),"")</f>
        <v/>
      </c>
      <c r="G709" s="106"/>
      <c r="H709" s="154" t="str">
        <f>IFERROR(IF($G709="","",$G709*$S$716/$G$716/Cadastro!$E$33),"")</f>
        <v/>
      </c>
      <c r="I709" s="155" t="str">
        <f>IFERROR(IF($D709="","",VLOOKUP($D709,Cadastro!$C$4:$G$7,5,FALSE)),"")</f>
        <v/>
      </c>
      <c r="J709" s="15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54" t="str">
        <f>IFERROR(IF($D710="","",VLOOKUP($D710,Cadastro!$C$4:$E$7,3,FALSE)),"")</f>
        <v/>
      </c>
      <c r="G710" s="106"/>
      <c r="H710" s="154" t="str">
        <f>IFERROR(IF($G710="","",$G710*$S$716/$G$716/Cadastro!$E$33),"")</f>
        <v/>
      </c>
      <c r="I710" s="155" t="str">
        <f>IFERROR(IF($D710="","",VLOOKUP($D710,Cadastro!$C$4:$G$7,5,FALSE)),"")</f>
        <v/>
      </c>
      <c r="J710" s="15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54" t="str">
        <f>IFERROR(IF($D711="","",VLOOKUP($D711,Cadastro!$C$4:$E$7,3,FALSE)),"")</f>
        <v/>
      </c>
      <c r="G711" s="106"/>
      <c r="H711" s="154" t="str">
        <f>IFERROR(IF($G711="","",$G711*$S$716/$G$716/Cadastro!$E$33),"")</f>
        <v/>
      </c>
      <c r="I711" s="155" t="str">
        <f>IFERROR(IF($D711="","",VLOOKUP($D711,Cadastro!$C$4:$G$7,5,FALSE)),"")</f>
        <v/>
      </c>
      <c r="J711" s="15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54" t="str">
        <f>IFERROR(IF($D712="","",VLOOKUP($D712,Cadastro!$C$4:$E$7,3,FALSE)),"")</f>
        <v/>
      </c>
      <c r="G712" s="106"/>
      <c r="H712" s="154" t="str">
        <f>IFERROR(IF($G712="","",$G712*$S$716/$G$716/Cadastro!$E$33),"")</f>
        <v/>
      </c>
      <c r="I712" s="155" t="str">
        <f>IFERROR(IF($D712="","",VLOOKUP($D712,Cadastro!$C$4:$G$7,5,FALSE)),"")</f>
        <v/>
      </c>
      <c r="J712" s="15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54" t="str">
        <f>IFERROR(IF($D713="","",VLOOKUP($D713,Cadastro!$C$4:$E$7,3,FALSE)),"")</f>
        <v/>
      </c>
      <c r="G713" s="106"/>
      <c r="H713" s="154" t="str">
        <f>IFERROR(IF($G713="","",$G713*$S$716/$G$716/Cadastro!$E$33),"")</f>
        <v/>
      </c>
      <c r="I713" s="155" t="str">
        <f>IFERROR(IF($D713="","",VLOOKUP($D713,Cadastro!$C$4:$G$7,5,FALSE)),"")</f>
        <v/>
      </c>
      <c r="J713" s="15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54" t="str">
        <f>IFERROR(IF($D714="","",VLOOKUP($D714,Cadastro!$C$4:$E$7,3,FALSE)),"")</f>
        <v/>
      </c>
      <c r="G714" s="106"/>
      <c r="H714" s="154" t="str">
        <f>IFERROR(IF($G714="","",$G714*$S$716/$G$716/Cadastro!$E$33),"")</f>
        <v/>
      </c>
      <c r="I714" s="155" t="str">
        <f>IFERROR(IF($D714="","",VLOOKUP($D714,Cadastro!$C$4:$G$7,5,FALSE)),"")</f>
        <v/>
      </c>
      <c r="J714" s="15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57" t="str">
        <f>IFERROR(IF($D715="","",VLOOKUP($D715,Cadastro!$C$4:$E$7,3,FALSE)),"")</f>
        <v/>
      </c>
      <c r="G715" s="106"/>
      <c r="H715" s="157" t="str">
        <f>IFERROR(IF($G715="","",$G715*$S$716/$G$716/Cadastro!$E$33),"")</f>
        <v/>
      </c>
      <c r="I715" s="158" t="str">
        <f>IFERROR(IF($D715="","",VLOOKUP($D715,Cadastro!$C$4:$G$7,5,FALSE)),"")</f>
        <v/>
      </c>
      <c r="J715" s="15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32" t="s">
        <v>241</v>
      </c>
      <c r="B716" s="133"/>
      <c r="C716" s="133"/>
      <c r="D716" s="133"/>
      <c r="E716" s="13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60" t="str">
        <f>IFERROR(IF($D717="","",VLOOKUP($D717,Cadastro!$C$4:$E$7,3,FALSE)),"")</f>
        <v/>
      </c>
      <c r="G717" s="106"/>
      <c r="H717" s="160" t="str">
        <f>IFERROR(IF($G717="","",$G717*$S$729/$G$729/Cadastro!$E$33),"")</f>
        <v/>
      </c>
      <c r="I717" s="161" t="str">
        <f>IFERROR(IF($D717="","",VLOOKUP($D717,Cadastro!$C$4:$G$7,5,FALSE)),"")</f>
        <v/>
      </c>
      <c r="J717" s="16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54" t="str">
        <f>IFERROR(IF($D718="","",VLOOKUP($D718,Cadastro!$C$4:$E$7,3,FALSE)),"")</f>
        <v/>
      </c>
      <c r="G718" s="106"/>
      <c r="H718" s="154" t="str">
        <f>IFERROR(IF($G718="","",$G718*$S$729/$G$729/Cadastro!$E$33),"")</f>
        <v/>
      </c>
      <c r="I718" s="155" t="str">
        <f>IFERROR(IF($D718="","",VLOOKUP($D718,Cadastro!$C$4:$G$7,5,FALSE)),"")</f>
        <v/>
      </c>
      <c r="J718" s="15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54" t="str">
        <f>IFERROR(IF($D719="","",VLOOKUP($D719,Cadastro!$C$4:$E$7,3,FALSE)),"")</f>
        <v/>
      </c>
      <c r="G719" s="106"/>
      <c r="H719" s="154" t="str">
        <f>IFERROR(IF($G719="","",$G719*$S$729/$G$729/Cadastro!$E$33),"")</f>
        <v/>
      </c>
      <c r="I719" s="155" t="str">
        <f>IFERROR(IF($D719="","",VLOOKUP($D719,Cadastro!$C$4:$G$7,5,FALSE)),"")</f>
        <v/>
      </c>
      <c r="J719" s="15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54" t="str">
        <f>IFERROR(IF($D720="","",VLOOKUP($D720,Cadastro!$C$4:$E$7,3,FALSE)),"")</f>
        <v/>
      </c>
      <c r="G720" s="106"/>
      <c r="H720" s="154" t="str">
        <f>IFERROR(IF($G720="","",$G720*$S$729/$G$729/Cadastro!$E$33),"")</f>
        <v/>
      </c>
      <c r="I720" s="155" t="str">
        <f>IFERROR(IF($D720="","",VLOOKUP($D720,Cadastro!$C$4:$G$7,5,FALSE)),"")</f>
        <v/>
      </c>
      <c r="J720" s="15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54" t="str">
        <f>IFERROR(IF($D721="","",VLOOKUP($D721,Cadastro!$C$4:$E$7,3,FALSE)),"")</f>
        <v/>
      </c>
      <c r="G721" s="106"/>
      <c r="H721" s="154" t="str">
        <f>IFERROR(IF($G721="","",$G721*$S$729/$G$729/Cadastro!$E$33),"")</f>
        <v/>
      </c>
      <c r="I721" s="155" t="str">
        <f>IFERROR(IF($D721="","",VLOOKUP($D721,Cadastro!$C$4:$G$7,5,FALSE)),"")</f>
        <v/>
      </c>
      <c r="J721" s="15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54" t="str">
        <f>IFERROR(IF($D722="","",VLOOKUP($D722,Cadastro!$C$4:$E$7,3,FALSE)),"")</f>
        <v/>
      </c>
      <c r="G722" s="106"/>
      <c r="H722" s="154" t="str">
        <f>IFERROR(IF($G722="","",$G722*$S$729/$G$729/Cadastro!$E$33),"")</f>
        <v/>
      </c>
      <c r="I722" s="155" t="str">
        <f>IFERROR(IF($D722="","",VLOOKUP($D722,Cadastro!$C$4:$G$7,5,FALSE)),"")</f>
        <v/>
      </c>
      <c r="J722" s="15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54" t="str">
        <f>IFERROR(IF($D723="","",VLOOKUP($D723,Cadastro!$C$4:$E$7,3,FALSE)),"")</f>
        <v/>
      </c>
      <c r="G723" s="106"/>
      <c r="H723" s="154" t="str">
        <f>IFERROR(IF($G723="","",$G723*$S$729/$G$729/Cadastro!$E$33),"")</f>
        <v/>
      </c>
      <c r="I723" s="155" t="str">
        <f>IFERROR(IF($D723="","",VLOOKUP($D723,Cadastro!$C$4:$G$7,5,FALSE)),"")</f>
        <v/>
      </c>
      <c r="J723" s="15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54" t="str">
        <f>IFERROR(IF($D724="","",VLOOKUP($D724,Cadastro!$C$4:$E$7,3,FALSE)),"")</f>
        <v/>
      </c>
      <c r="G724" s="106"/>
      <c r="H724" s="154" t="str">
        <f>IFERROR(IF($G724="","",$G724*$S$729/$G$729/Cadastro!$E$33),"")</f>
        <v/>
      </c>
      <c r="I724" s="155" t="str">
        <f>IFERROR(IF($D724="","",VLOOKUP($D724,Cadastro!$C$4:$G$7,5,FALSE)),"")</f>
        <v/>
      </c>
      <c r="J724" s="15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54" t="str">
        <f>IFERROR(IF($D725="","",VLOOKUP($D725,Cadastro!$C$4:$E$7,3,FALSE)),"")</f>
        <v/>
      </c>
      <c r="G725" s="106"/>
      <c r="H725" s="154" t="str">
        <f>IFERROR(IF($G725="","",$G725*$S$729/$G$729/Cadastro!$E$33),"")</f>
        <v/>
      </c>
      <c r="I725" s="155" t="str">
        <f>IFERROR(IF($D725="","",VLOOKUP($D725,Cadastro!$C$4:$G$7,5,FALSE)),"")</f>
        <v/>
      </c>
      <c r="J725" s="15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54" t="str">
        <f>IFERROR(IF($D726="","",VLOOKUP($D726,Cadastro!$C$4:$E$7,3,FALSE)),"")</f>
        <v/>
      </c>
      <c r="G726" s="106"/>
      <c r="H726" s="154" t="str">
        <f>IFERROR(IF($G726="","",$G726*$S$729/$G$729/Cadastro!$E$33),"")</f>
        <v/>
      </c>
      <c r="I726" s="155" t="str">
        <f>IFERROR(IF($D726="","",VLOOKUP($D726,Cadastro!$C$4:$G$7,5,FALSE)),"")</f>
        <v/>
      </c>
      <c r="J726" s="15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54" t="str">
        <f>IFERROR(IF($D727="","",VLOOKUP($D727,Cadastro!$C$4:$E$7,3,FALSE)),"")</f>
        <v/>
      </c>
      <c r="G727" s="106"/>
      <c r="H727" s="154" t="str">
        <f>IFERROR(IF($G727="","",$G727*$S$729/$G$729/Cadastro!$E$33),"")</f>
        <v/>
      </c>
      <c r="I727" s="155" t="str">
        <f>IFERROR(IF($D727="","",VLOOKUP($D727,Cadastro!$C$4:$G$7,5,FALSE)),"")</f>
        <v/>
      </c>
      <c r="J727" s="15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57" t="str">
        <f>IFERROR(IF($D728="","",VLOOKUP($D728,Cadastro!$C$4:$E$7,3,FALSE)),"")</f>
        <v/>
      </c>
      <c r="G728" s="106"/>
      <c r="H728" s="157" t="str">
        <f>IFERROR(IF($G728="","",$G728*$S$729/$G$729/Cadastro!$E$33),"")</f>
        <v/>
      </c>
      <c r="I728" s="158" t="str">
        <f>IFERROR(IF($D728="","",VLOOKUP($D728,Cadastro!$C$4:$G$7,5,FALSE)),"")</f>
        <v/>
      </c>
      <c r="J728" s="15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32" t="s">
        <v>244</v>
      </c>
      <c r="B729" s="133"/>
      <c r="C729" s="133"/>
      <c r="D729" s="133"/>
      <c r="E729" s="13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34" t="s">
        <v>245</v>
      </c>
      <c r="B730" s="135"/>
      <c r="C730" s="135"/>
      <c r="D730" s="135"/>
      <c r="E730" s="135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60" t="str">
        <f>IFERROR(IF($D731="","",VLOOKUP($D731,Cadastro!$C$4:$E$7,3,FALSE)),"")</f>
        <v/>
      </c>
      <c r="G731" s="106"/>
      <c r="H731" s="160" t="str">
        <f>IFERROR(IF($G731="","",$G731*$S$743/$G$743/Cadastro!$E$33),"")</f>
        <v/>
      </c>
      <c r="I731" s="161" t="str">
        <f>IFERROR(IF($D731="","",VLOOKUP($D731,Cadastro!$C$4:$G$7,5,FALSE)),"")</f>
        <v/>
      </c>
      <c r="J731" s="16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54" t="str">
        <f>IFERROR(IF($D732="","",VLOOKUP($D732,Cadastro!$C$4:$E$7,3,FALSE)),"")</f>
        <v/>
      </c>
      <c r="G732" s="106"/>
      <c r="H732" s="154" t="str">
        <f>IFERROR(IF($G732="","",$G732*$S$743/$G$743/Cadastro!$E$33),"")</f>
        <v/>
      </c>
      <c r="I732" s="155" t="str">
        <f>IFERROR(IF($D732="","",VLOOKUP($D732,Cadastro!$C$4:$G$7,5,FALSE)),"")</f>
        <v/>
      </c>
      <c r="J732" s="15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54" t="str">
        <f>IFERROR(IF($D733="","",VLOOKUP($D733,Cadastro!$C$4:$E$7,3,FALSE)),"")</f>
        <v/>
      </c>
      <c r="G733" s="106"/>
      <c r="H733" s="154" t="str">
        <f>IFERROR(IF($G733="","",$G733*$S$743/$G$743/Cadastro!$E$33),"")</f>
        <v/>
      </c>
      <c r="I733" s="155" t="str">
        <f>IFERROR(IF($D733="","",VLOOKUP($D733,Cadastro!$C$4:$G$7,5,FALSE)),"")</f>
        <v/>
      </c>
      <c r="J733" s="15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54" t="str">
        <f>IFERROR(IF($D734="","",VLOOKUP($D734,Cadastro!$C$4:$E$7,3,FALSE)),"")</f>
        <v/>
      </c>
      <c r="G734" s="106"/>
      <c r="H734" s="154" t="str">
        <f>IFERROR(IF($G734="","",$G734*$S$743/$G$743/Cadastro!$E$33),"")</f>
        <v/>
      </c>
      <c r="I734" s="155" t="str">
        <f>IFERROR(IF($D734="","",VLOOKUP($D734,Cadastro!$C$4:$G$7,5,FALSE)),"")</f>
        <v/>
      </c>
      <c r="J734" s="15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54" t="str">
        <f>IFERROR(IF($D735="","",VLOOKUP($D735,Cadastro!$C$4:$E$7,3,FALSE)),"")</f>
        <v/>
      </c>
      <c r="G735" s="106"/>
      <c r="H735" s="154" t="str">
        <f>IFERROR(IF($G735="","",$G735*$S$743/$G$743/Cadastro!$E$33),"")</f>
        <v/>
      </c>
      <c r="I735" s="155" t="str">
        <f>IFERROR(IF($D735="","",VLOOKUP($D735,Cadastro!$C$4:$G$7,5,FALSE)),"")</f>
        <v/>
      </c>
      <c r="J735" s="15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54" t="str">
        <f>IFERROR(IF($D736="","",VLOOKUP($D736,Cadastro!$C$4:$E$7,3,FALSE)),"")</f>
        <v/>
      </c>
      <c r="G736" s="106"/>
      <c r="H736" s="154" t="str">
        <f>IFERROR(IF($G736="","",$G736*$S$743/$G$743/Cadastro!$E$33),"")</f>
        <v/>
      </c>
      <c r="I736" s="155" t="str">
        <f>IFERROR(IF($D736="","",VLOOKUP($D736,Cadastro!$C$4:$G$7,5,FALSE)),"")</f>
        <v/>
      </c>
      <c r="J736" s="15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54" t="str">
        <f>IFERROR(IF($D737="","",VLOOKUP($D737,Cadastro!$C$4:$E$7,3,FALSE)),"")</f>
        <v/>
      </c>
      <c r="G737" s="106"/>
      <c r="H737" s="154" t="str">
        <f>IFERROR(IF($G737="","",$G737*$S$743/$G$743/Cadastro!$E$33),"")</f>
        <v/>
      </c>
      <c r="I737" s="155" t="str">
        <f>IFERROR(IF($D737="","",VLOOKUP($D737,Cadastro!$C$4:$G$7,5,FALSE)),"")</f>
        <v/>
      </c>
      <c r="J737" s="15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54" t="str">
        <f>IFERROR(IF($D738="","",VLOOKUP($D738,Cadastro!$C$4:$E$7,3,FALSE)),"")</f>
        <v/>
      </c>
      <c r="G738" s="106"/>
      <c r="H738" s="154" t="str">
        <f>IFERROR(IF($G738="","",$G738*$S$743/$G$743/Cadastro!$E$33),"")</f>
        <v/>
      </c>
      <c r="I738" s="155" t="str">
        <f>IFERROR(IF($D738="","",VLOOKUP($D738,Cadastro!$C$4:$G$7,5,FALSE)),"")</f>
        <v/>
      </c>
      <c r="J738" s="15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54" t="str">
        <f>IFERROR(IF($D739="","",VLOOKUP($D739,Cadastro!$C$4:$E$7,3,FALSE)),"")</f>
        <v/>
      </c>
      <c r="G739" s="106"/>
      <c r="H739" s="154" t="str">
        <f>IFERROR(IF($G739="","",$G739*$S$743/$G$743/Cadastro!$E$33),"")</f>
        <v/>
      </c>
      <c r="I739" s="155" t="str">
        <f>IFERROR(IF($D739="","",VLOOKUP($D739,Cadastro!$C$4:$G$7,5,FALSE)),"")</f>
        <v/>
      </c>
      <c r="J739" s="15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54" t="str">
        <f>IFERROR(IF($D740="","",VLOOKUP($D740,Cadastro!$C$4:$E$7,3,FALSE)),"")</f>
        <v/>
      </c>
      <c r="G740" s="106"/>
      <c r="H740" s="154" t="str">
        <f>IFERROR(IF($G740="","",$G740*$S$743/$G$743/Cadastro!$E$33),"")</f>
        <v/>
      </c>
      <c r="I740" s="155" t="str">
        <f>IFERROR(IF($D740="","",VLOOKUP($D740,Cadastro!$C$4:$G$7,5,FALSE)),"")</f>
        <v/>
      </c>
      <c r="J740" s="15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54" t="str">
        <f>IFERROR(IF($D741="","",VLOOKUP($D741,Cadastro!$C$4:$E$7,3,FALSE)),"")</f>
        <v/>
      </c>
      <c r="G741" s="106"/>
      <c r="H741" s="154" t="str">
        <f>IFERROR(IF($G741="","",$G741*$S$743/$G$743/Cadastro!$E$33),"")</f>
        <v/>
      </c>
      <c r="I741" s="155" t="str">
        <f>IFERROR(IF($D741="","",VLOOKUP($D741,Cadastro!$C$4:$G$7,5,FALSE)),"")</f>
        <v/>
      </c>
      <c r="J741" s="15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57" t="str">
        <f>IFERROR(IF($D742="","",VLOOKUP($D742,Cadastro!$C$4:$E$7,3,FALSE)),"")</f>
        <v/>
      </c>
      <c r="G742" s="106"/>
      <c r="H742" s="157" t="str">
        <f>IFERROR(IF($G742="","",$G742*$S$743/$G$743/Cadastro!$E$33),"")</f>
        <v/>
      </c>
      <c r="I742" s="158" t="str">
        <f>IFERROR(IF($D742="","",VLOOKUP($D742,Cadastro!$C$4:$G$7,5,FALSE)),"")</f>
        <v/>
      </c>
      <c r="J742" s="15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32" t="s">
        <v>241</v>
      </c>
      <c r="B743" s="133"/>
      <c r="C743" s="133"/>
      <c r="D743" s="133"/>
      <c r="E743" s="13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60" t="str">
        <f>IFERROR(IF($D744="","",VLOOKUP($D744,Cadastro!$C$4:$E$7,3,FALSE)),"")</f>
        <v/>
      </c>
      <c r="G744" s="106"/>
      <c r="H744" s="160" t="str">
        <f>IFERROR(IF($G744="","",$G744*$S$756/$G$756/Cadastro!$E$33),"")</f>
        <v/>
      </c>
      <c r="I744" s="161" t="str">
        <f>IFERROR(IF($D744="","",VLOOKUP($D744,Cadastro!$C$4:$G$7,5,FALSE)),"")</f>
        <v/>
      </c>
      <c r="J744" s="16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54" t="str">
        <f>IFERROR(IF($D745="","",VLOOKUP($D745,Cadastro!$C$4:$E$7,3,FALSE)),"")</f>
        <v/>
      </c>
      <c r="G745" s="106"/>
      <c r="H745" s="154" t="str">
        <f>IFERROR(IF($G745="","",$G745*$S$756/$G$756/Cadastro!$E$33),"")</f>
        <v/>
      </c>
      <c r="I745" s="155" t="str">
        <f>IFERROR(IF($D745="","",VLOOKUP($D745,Cadastro!$C$4:$G$7,5,FALSE)),"")</f>
        <v/>
      </c>
      <c r="J745" s="15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54" t="str">
        <f>IFERROR(IF($D746="","",VLOOKUP($D746,Cadastro!$C$4:$E$7,3,FALSE)),"")</f>
        <v/>
      </c>
      <c r="G746" s="106"/>
      <c r="H746" s="154" t="str">
        <f>IFERROR(IF($G746="","",$G746*$S$756/$G$756/Cadastro!$E$33),"")</f>
        <v/>
      </c>
      <c r="I746" s="155" t="str">
        <f>IFERROR(IF($D746="","",VLOOKUP($D746,Cadastro!$C$4:$G$7,5,FALSE)),"")</f>
        <v/>
      </c>
      <c r="J746" s="15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54" t="str">
        <f>IFERROR(IF($D747="","",VLOOKUP($D747,Cadastro!$C$4:$E$7,3,FALSE)),"")</f>
        <v/>
      </c>
      <c r="G747" s="106"/>
      <c r="H747" s="154" t="str">
        <f>IFERROR(IF($G747="","",$G747*$S$756/$G$756/Cadastro!$E$33),"")</f>
        <v/>
      </c>
      <c r="I747" s="155" t="str">
        <f>IFERROR(IF($D747="","",VLOOKUP($D747,Cadastro!$C$4:$G$7,5,FALSE)),"")</f>
        <v/>
      </c>
      <c r="J747" s="15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54" t="str">
        <f>IFERROR(IF($D748="","",VLOOKUP($D748,Cadastro!$C$4:$E$7,3,FALSE)),"")</f>
        <v/>
      </c>
      <c r="G748" s="106"/>
      <c r="H748" s="154" t="str">
        <f>IFERROR(IF($G748="","",$G748*$S$756/$G$756/Cadastro!$E$33),"")</f>
        <v/>
      </c>
      <c r="I748" s="155" t="str">
        <f>IFERROR(IF($D748="","",VLOOKUP($D748,Cadastro!$C$4:$G$7,5,FALSE)),"")</f>
        <v/>
      </c>
      <c r="J748" s="15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54" t="str">
        <f>IFERROR(IF($D749="","",VLOOKUP($D749,Cadastro!$C$4:$E$7,3,FALSE)),"")</f>
        <v/>
      </c>
      <c r="G749" s="106"/>
      <c r="H749" s="154" t="str">
        <f>IFERROR(IF($G749="","",$G749*$S$756/$G$756/Cadastro!$E$33),"")</f>
        <v/>
      </c>
      <c r="I749" s="155" t="str">
        <f>IFERROR(IF($D749="","",VLOOKUP($D749,Cadastro!$C$4:$G$7,5,FALSE)),"")</f>
        <v/>
      </c>
      <c r="J749" s="15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54" t="str">
        <f>IFERROR(IF($D750="","",VLOOKUP($D750,Cadastro!$C$4:$E$7,3,FALSE)),"")</f>
        <v/>
      </c>
      <c r="G750" s="106"/>
      <c r="H750" s="154" t="str">
        <f>IFERROR(IF($G750="","",$G750*$S$756/$G$756/Cadastro!$E$33),"")</f>
        <v/>
      </c>
      <c r="I750" s="155" t="str">
        <f>IFERROR(IF($D750="","",VLOOKUP($D750,Cadastro!$C$4:$G$7,5,FALSE)),"")</f>
        <v/>
      </c>
      <c r="J750" s="15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54" t="str">
        <f>IFERROR(IF($D751="","",VLOOKUP($D751,Cadastro!$C$4:$E$7,3,FALSE)),"")</f>
        <v/>
      </c>
      <c r="G751" s="106"/>
      <c r="H751" s="154" t="str">
        <f>IFERROR(IF($G751="","",$G751*$S$756/$G$756/Cadastro!$E$33),"")</f>
        <v/>
      </c>
      <c r="I751" s="155" t="str">
        <f>IFERROR(IF($D751="","",VLOOKUP($D751,Cadastro!$C$4:$G$7,5,FALSE)),"")</f>
        <v/>
      </c>
      <c r="J751" s="15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54" t="str">
        <f>IFERROR(IF($D752="","",VLOOKUP($D752,Cadastro!$C$4:$E$7,3,FALSE)),"")</f>
        <v/>
      </c>
      <c r="G752" s="106"/>
      <c r="H752" s="154" t="str">
        <f>IFERROR(IF($G752="","",$G752*$S$756/$G$756/Cadastro!$E$33),"")</f>
        <v/>
      </c>
      <c r="I752" s="155" t="str">
        <f>IFERROR(IF($D752="","",VLOOKUP($D752,Cadastro!$C$4:$G$7,5,FALSE)),"")</f>
        <v/>
      </c>
      <c r="J752" s="15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54" t="str">
        <f>IFERROR(IF($D753="","",VLOOKUP($D753,Cadastro!$C$4:$E$7,3,FALSE)),"")</f>
        <v/>
      </c>
      <c r="G753" s="106"/>
      <c r="H753" s="154" t="str">
        <f>IFERROR(IF($G753="","",$G753*$S$756/$G$756/Cadastro!$E$33),"")</f>
        <v/>
      </c>
      <c r="I753" s="155" t="str">
        <f>IFERROR(IF($D753="","",VLOOKUP($D753,Cadastro!$C$4:$G$7,5,FALSE)),"")</f>
        <v/>
      </c>
      <c r="J753" s="15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54" t="str">
        <f>IFERROR(IF($D754="","",VLOOKUP($D754,Cadastro!$C$4:$E$7,3,FALSE)),"")</f>
        <v/>
      </c>
      <c r="G754" s="106"/>
      <c r="H754" s="154" t="str">
        <f>IFERROR(IF($G754="","",$G754*$S$756/$G$756/Cadastro!$E$33),"")</f>
        <v/>
      </c>
      <c r="I754" s="155" t="str">
        <f>IFERROR(IF($D754="","",VLOOKUP($D754,Cadastro!$C$4:$G$7,5,FALSE)),"")</f>
        <v/>
      </c>
      <c r="J754" s="15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57" t="str">
        <f>IFERROR(IF($D755="","",VLOOKUP($D755,Cadastro!$C$4:$E$7,3,FALSE)),"")</f>
        <v/>
      </c>
      <c r="G755" s="106"/>
      <c r="H755" s="157" t="str">
        <f>IFERROR(IF($G755="","",$G755*$S$756/$G$756/Cadastro!$E$33),"")</f>
        <v/>
      </c>
      <c r="I755" s="158" t="str">
        <f>IFERROR(IF($D755="","",VLOOKUP($D755,Cadastro!$C$4:$G$7,5,FALSE)),"")</f>
        <v/>
      </c>
      <c r="J755" s="15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32" t="s">
        <v>244</v>
      </c>
      <c r="B756" s="133"/>
      <c r="C756" s="133"/>
      <c r="D756" s="133"/>
      <c r="E756" s="13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34" t="s">
        <v>245</v>
      </c>
      <c r="B757" s="135"/>
      <c r="C757" s="135"/>
      <c r="D757" s="135"/>
      <c r="E757" s="135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60" t="str">
        <f>IFERROR(IF($D758="","",VLOOKUP($D758,Cadastro!$C$4:$E$7,3,FALSE)),"")</f>
        <v/>
      </c>
      <c r="G758" s="106"/>
      <c r="H758" s="160" t="str">
        <f>IFERROR(IF($G758="","",$G758*$S$770/$G$770/Cadastro!$E$33),"")</f>
        <v/>
      </c>
      <c r="I758" s="161" t="str">
        <f>IFERROR(IF($D758="","",VLOOKUP($D758,Cadastro!$C$4:$G$7,5,FALSE)),"")</f>
        <v/>
      </c>
      <c r="J758" s="16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54" t="str">
        <f>IFERROR(IF($D759="","",VLOOKUP($D759,Cadastro!$C$4:$E$7,3,FALSE)),"")</f>
        <v/>
      </c>
      <c r="G759" s="106"/>
      <c r="H759" s="154" t="str">
        <f>IFERROR(IF($G759="","",$G759*$S$770/$G$770/Cadastro!$E$33),"")</f>
        <v/>
      </c>
      <c r="I759" s="155" t="str">
        <f>IFERROR(IF($D759="","",VLOOKUP($D759,Cadastro!$C$4:$G$7,5,FALSE)),"")</f>
        <v/>
      </c>
      <c r="J759" s="15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54" t="str">
        <f>IFERROR(IF($D760="","",VLOOKUP($D760,Cadastro!$C$4:$E$7,3,FALSE)),"")</f>
        <v/>
      </c>
      <c r="G760" s="106"/>
      <c r="H760" s="154" t="str">
        <f>IFERROR(IF($G760="","",$G760*$S$770/$G$770/Cadastro!$E$33),"")</f>
        <v/>
      </c>
      <c r="I760" s="155" t="str">
        <f>IFERROR(IF($D760="","",VLOOKUP($D760,Cadastro!$C$4:$G$7,5,FALSE)),"")</f>
        <v/>
      </c>
      <c r="J760" s="15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54" t="str">
        <f>IFERROR(IF($D761="","",VLOOKUP($D761,Cadastro!$C$4:$E$7,3,FALSE)),"")</f>
        <v/>
      </c>
      <c r="G761" s="106"/>
      <c r="H761" s="154" t="str">
        <f>IFERROR(IF($G761="","",$G761*$S$770/$G$770/Cadastro!$E$33),"")</f>
        <v/>
      </c>
      <c r="I761" s="155" t="str">
        <f>IFERROR(IF($D761="","",VLOOKUP($D761,Cadastro!$C$4:$G$7,5,FALSE)),"")</f>
        <v/>
      </c>
      <c r="J761" s="15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54" t="str">
        <f>IFERROR(IF($D762="","",VLOOKUP($D762,Cadastro!$C$4:$E$7,3,FALSE)),"")</f>
        <v/>
      </c>
      <c r="G762" s="106"/>
      <c r="H762" s="154" t="str">
        <f>IFERROR(IF($G762="","",$G762*$S$770/$G$770/Cadastro!$E$33),"")</f>
        <v/>
      </c>
      <c r="I762" s="155" t="str">
        <f>IFERROR(IF($D762="","",VLOOKUP($D762,Cadastro!$C$4:$G$7,5,FALSE)),"")</f>
        <v/>
      </c>
      <c r="J762" s="15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54" t="str">
        <f>IFERROR(IF($D763="","",VLOOKUP($D763,Cadastro!$C$4:$E$7,3,FALSE)),"")</f>
        <v/>
      </c>
      <c r="G763" s="106"/>
      <c r="H763" s="154" t="str">
        <f>IFERROR(IF($G763="","",$G763*$S$770/$G$770/Cadastro!$E$33),"")</f>
        <v/>
      </c>
      <c r="I763" s="155" t="str">
        <f>IFERROR(IF($D763="","",VLOOKUP($D763,Cadastro!$C$4:$G$7,5,FALSE)),"")</f>
        <v/>
      </c>
      <c r="J763" s="15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54" t="str">
        <f>IFERROR(IF($D764="","",VLOOKUP($D764,Cadastro!$C$4:$E$7,3,FALSE)),"")</f>
        <v/>
      </c>
      <c r="G764" s="106"/>
      <c r="H764" s="154" t="str">
        <f>IFERROR(IF($G764="","",$G764*$S$770/$G$770/Cadastro!$E$33),"")</f>
        <v/>
      </c>
      <c r="I764" s="155" t="str">
        <f>IFERROR(IF($D764="","",VLOOKUP($D764,Cadastro!$C$4:$G$7,5,FALSE)),"")</f>
        <v/>
      </c>
      <c r="J764" s="15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54" t="str">
        <f>IFERROR(IF($D765="","",VLOOKUP($D765,Cadastro!$C$4:$E$7,3,FALSE)),"")</f>
        <v/>
      </c>
      <c r="G765" s="106"/>
      <c r="H765" s="154" t="str">
        <f>IFERROR(IF($G765="","",$G765*$S$770/$G$770/Cadastro!$E$33),"")</f>
        <v/>
      </c>
      <c r="I765" s="155" t="str">
        <f>IFERROR(IF($D765="","",VLOOKUP($D765,Cadastro!$C$4:$G$7,5,FALSE)),"")</f>
        <v/>
      </c>
      <c r="J765" s="15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54" t="str">
        <f>IFERROR(IF($D766="","",VLOOKUP($D766,Cadastro!$C$4:$E$7,3,FALSE)),"")</f>
        <v/>
      </c>
      <c r="G766" s="106"/>
      <c r="H766" s="154" t="str">
        <f>IFERROR(IF($G766="","",$G766*$S$770/$G$770/Cadastro!$E$33),"")</f>
        <v/>
      </c>
      <c r="I766" s="155" t="str">
        <f>IFERROR(IF($D766="","",VLOOKUP($D766,Cadastro!$C$4:$G$7,5,FALSE)),"")</f>
        <v/>
      </c>
      <c r="J766" s="15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54" t="str">
        <f>IFERROR(IF($D767="","",VLOOKUP($D767,Cadastro!$C$4:$E$7,3,FALSE)),"")</f>
        <v/>
      </c>
      <c r="G767" s="106"/>
      <c r="H767" s="154" t="str">
        <f>IFERROR(IF($G767="","",$G767*$S$770/$G$770/Cadastro!$E$33),"")</f>
        <v/>
      </c>
      <c r="I767" s="155" t="str">
        <f>IFERROR(IF($D767="","",VLOOKUP($D767,Cadastro!$C$4:$G$7,5,FALSE)),"")</f>
        <v/>
      </c>
      <c r="J767" s="15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54" t="str">
        <f>IFERROR(IF($D768="","",VLOOKUP($D768,Cadastro!$C$4:$E$7,3,FALSE)),"")</f>
        <v/>
      </c>
      <c r="G768" s="106"/>
      <c r="H768" s="154" t="str">
        <f>IFERROR(IF($G768="","",$G768*$S$770/$G$770/Cadastro!$E$33),"")</f>
        <v/>
      </c>
      <c r="I768" s="155" t="str">
        <f>IFERROR(IF($D768="","",VLOOKUP($D768,Cadastro!$C$4:$G$7,5,FALSE)),"")</f>
        <v/>
      </c>
      <c r="J768" s="15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57" t="str">
        <f>IFERROR(IF($D769="","",VLOOKUP($D769,Cadastro!$C$4:$E$7,3,FALSE)),"")</f>
        <v/>
      </c>
      <c r="G769" s="106"/>
      <c r="H769" s="157" t="str">
        <f>IFERROR(IF($G769="","",$G769*$S$770/$G$770/Cadastro!$E$33),"")</f>
        <v/>
      </c>
      <c r="I769" s="158" t="str">
        <f>IFERROR(IF($D769="","",VLOOKUP($D769,Cadastro!$C$4:$G$7,5,FALSE)),"")</f>
        <v/>
      </c>
      <c r="J769" s="15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32" t="s">
        <v>241</v>
      </c>
      <c r="B770" s="133"/>
      <c r="C770" s="133"/>
      <c r="D770" s="133"/>
      <c r="E770" s="13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60" t="str">
        <f>IFERROR(IF($D771="","",VLOOKUP($D771,Cadastro!$C$4:$E$7,3,FALSE)),"")</f>
        <v/>
      </c>
      <c r="G771" s="106"/>
      <c r="H771" s="160" t="str">
        <f>IFERROR(IF($G771="","",$G771*$S$783/$G$783/Cadastro!$E$33),"")</f>
        <v/>
      </c>
      <c r="I771" s="161" t="str">
        <f>IFERROR(IF($D771="","",VLOOKUP($D771,Cadastro!$C$4:$G$7,5,FALSE)),"")</f>
        <v/>
      </c>
      <c r="J771" s="16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54" t="str">
        <f>IFERROR(IF($D772="","",VLOOKUP($D772,Cadastro!$C$4:$E$7,3,FALSE)),"")</f>
        <v/>
      </c>
      <c r="G772" s="106"/>
      <c r="H772" s="154" t="str">
        <f>IFERROR(IF($G772="","",$G772*$S$783/$G$783/Cadastro!$E$33),"")</f>
        <v/>
      </c>
      <c r="I772" s="155" t="str">
        <f>IFERROR(IF($D772="","",VLOOKUP($D772,Cadastro!$C$4:$G$7,5,FALSE)),"")</f>
        <v/>
      </c>
      <c r="J772" s="15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54" t="str">
        <f>IFERROR(IF($D773="","",VLOOKUP($D773,Cadastro!$C$4:$E$7,3,FALSE)),"")</f>
        <v/>
      </c>
      <c r="G773" s="106"/>
      <c r="H773" s="154" t="str">
        <f>IFERROR(IF($G773="","",$G773*$S$783/$G$783/Cadastro!$E$33),"")</f>
        <v/>
      </c>
      <c r="I773" s="155" t="str">
        <f>IFERROR(IF($D773="","",VLOOKUP($D773,Cadastro!$C$4:$G$7,5,FALSE)),"")</f>
        <v/>
      </c>
      <c r="J773" s="15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54" t="str">
        <f>IFERROR(IF($D774="","",VLOOKUP($D774,Cadastro!$C$4:$E$7,3,FALSE)),"")</f>
        <v/>
      </c>
      <c r="G774" s="106"/>
      <c r="H774" s="154" t="str">
        <f>IFERROR(IF($G774="","",$G774*$S$783/$G$783/Cadastro!$E$33),"")</f>
        <v/>
      </c>
      <c r="I774" s="155" t="str">
        <f>IFERROR(IF($D774="","",VLOOKUP($D774,Cadastro!$C$4:$G$7,5,FALSE)),"")</f>
        <v/>
      </c>
      <c r="J774" s="15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54" t="str">
        <f>IFERROR(IF($D775="","",VLOOKUP($D775,Cadastro!$C$4:$E$7,3,FALSE)),"")</f>
        <v/>
      </c>
      <c r="G775" s="106"/>
      <c r="H775" s="154" t="str">
        <f>IFERROR(IF($G775="","",$G775*$S$783/$G$783/Cadastro!$E$33),"")</f>
        <v/>
      </c>
      <c r="I775" s="155" t="str">
        <f>IFERROR(IF($D775="","",VLOOKUP($D775,Cadastro!$C$4:$G$7,5,FALSE)),"")</f>
        <v/>
      </c>
      <c r="J775" s="15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54" t="str">
        <f>IFERROR(IF($D776="","",VLOOKUP($D776,Cadastro!$C$4:$E$7,3,FALSE)),"")</f>
        <v/>
      </c>
      <c r="G776" s="106"/>
      <c r="H776" s="154" t="str">
        <f>IFERROR(IF($G776="","",$G776*$S$783/$G$783/Cadastro!$E$33),"")</f>
        <v/>
      </c>
      <c r="I776" s="155" t="str">
        <f>IFERROR(IF($D776="","",VLOOKUP($D776,Cadastro!$C$4:$G$7,5,FALSE)),"")</f>
        <v/>
      </c>
      <c r="J776" s="15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54" t="str">
        <f>IFERROR(IF($D777="","",VLOOKUP($D777,Cadastro!$C$4:$E$7,3,FALSE)),"")</f>
        <v/>
      </c>
      <c r="G777" s="106"/>
      <c r="H777" s="154" t="str">
        <f>IFERROR(IF($G777="","",$G777*$S$783/$G$783/Cadastro!$E$33),"")</f>
        <v/>
      </c>
      <c r="I777" s="155" t="str">
        <f>IFERROR(IF($D777="","",VLOOKUP($D777,Cadastro!$C$4:$G$7,5,FALSE)),"")</f>
        <v/>
      </c>
      <c r="J777" s="15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54" t="str">
        <f>IFERROR(IF($D778="","",VLOOKUP($D778,Cadastro!$C$4:$E$7,3,FALSE)),"")</f>
        <v/>
      </c>
      <c r="G778" s="106"/>
      <c r="H778" s="154" t="str">
        <f>IFERROR(IF($G778="","",$G778*$S$783/$G$783/Cadastro!$E$33),"")</f>
        <v/>
      </c>
      <c r="I778" s="155" t="str">
        <f>IFERROR(IF($D778="","",VLOOKUP($D778,Cadastro!$C$4:$G$7,5,FALSE)),"")</f>
        <v/>
      </c>
      <c r="J778" s="15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54" t="str">
        <f>IFERROR(IF($D779="","",VLOOKUP($D779,Cadastro!$C$4:$E$7,3,FALSE)),"")</f>
        <v/>
      </c>
      <c r="G779" s="106"/>
      <c r="H779" s="154" t="str">
        <f>IFERROR(IF($G779="","",$G779*$S$783/$G$783/Cadastro!$E$33),"")</f>
        <v/>
      </c>
      <c r="I779" s="155" t="str">
        <f>IFERROR(IF($D779="","",VLOOKUP($D779,Cadastro!$C$4:$G$7,5,FALSE)),"")</f>
        <v/>
      </c>
      <c r="J779" s="15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54" t="str">
        <f>IFERROR(IF($D780="","",VLOOKUP($D780,Cadastro!$C$4:$E$7,3,FALSE)),"")</f>
        <v/>
      </c>
      <c r="G780" s="106"/>
      <c r="H780" s="154" t="str">
        <f>IFERROR(IF($G780="","",$G780*$S$783/$G$783/Cadastro!$E$33),"")</f>
        <v/>
      </c>
      <c r="I780" s="155" t="str">
        <f>IFERROR(IF($D780="","",VLOOKUP($D780,Cadastro!$C$4:$G$7,5,FALSE)),"")</f>
        <v/>
      </c>
      <c r="J780" s="15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54" t="str">
        <f>IFERROR(IF($D781="","",VLOOKUP($D781,Cadastro!$C$4:$E$7,3,FALSE)),"")</f>
        <v/>
      </c>
      <c r="G781" s="106"/>
      <c r="H781" s="154" t="str">
        <f>IFERROR(IF($G781="","",$G781*$S$783/$G$783/Cadastro!$E$33),"")</f>
        <v/>
      </c>
      <c r="I781" s="155" t="str">
        <f>IFERROR(IF($D781="","",VLOOKUP($D781,Cadastro!$C$4:$G$7,5,FALSE)),"")</f>
        <v/>
      </c>
      <c r="J781" s="15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57" t="str">
        <f>IFERROR(IF($D782="","",VLOOKUP($D782,Cadastro!$C$4:$E$7,3,FALSE)),"")</f>
        <v/>
      </c>
      <c r="G782" s="106"/>
      <c r="H782" s="157" t="str">
        <f>IFERROR(IF($G782="","",$G782*$S$783/$G$783/Cadastro!$E$33),"")</f>
        <v/>
      </c>
      <c r="I782" s="158" t="str">
        <f>IFERROR(IF($D782="","",VLOOKUP($D782,Cadastro!$C$4:$G$7,5,FALSE)),"")</f>
        <v/>
      </c>
      <c r="J782" s="15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32" t="s">
        <v>244</v>
      </c>
      <c r="B783" s="133"/>
      <c r="C783" s="133"/>
      <c r="D783" s="133"/>
      <c r="E783" s="13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34" t="s">
        <v>245</v>
      </c>
      <c r="B784" s="135"/>
      <c r="C784" s="135"/>
      <c r="D784" s="135"/>
      <c r="E784" s="135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60" t="str">
        <f>IFERROR(IF($D785="","",VLOOKUP($D785,Cadastro!$C$4:$E$7,3,FALSE)),"")</f>
        <v/>
      </c>
      <c r="G785" s="106"/>
      <c r="H785" s="160" t="str">
        <f>IFERROR(IF($G785="","",$G785*$S$797/$G$797/Cadastro!$E$33),"")</f>
        <v/>
      </c>
      <c r="I785" s="161" t="str">
        <f>IFERROR(IF($D785="","",VLOOKUP($D785,Cadastro!$C$4:$G$7,5,FALSE)),"")</f>
        <v/>
      </c>
      <c r="J785" s="16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54" t="str">
        <f>IFERROR(IF($D786="","",VLOOKUP($D786,Cadastro!$C$4:$E$7,3,FALSE)),"")</f>
        <v/>
      </c>
      <c r="G786" s="106"/>
      <c r="H786" s="154" t="str">
        <f>IFERROR(IF($G786="","",$G786*$S$797/$G$797/Cadastro!$E$33),"")</f>
        <v/>
      </c>
      <c r="I786" s="155" t="str">
        <f>IFERROR(IF($D786="","",VLOOKUP($D786,Cadastro!$C$4:$G$7,5,FALSE)),"")</f>
        <v/>
      </c>
      <c r="J786" s="15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54" t="str">
        <f>IFERROR(IF($D787="","",VLOOKUP($D787,Cadastro!$C$4:$E$7,3,FALSE)),"")</f>
        <v/>
      </c>
      <c r="G787" s="106"/>
      <c r="H787" s="154" t="str">
        <f>IFERROR(IF($G787="","",$G787*$S$797/$G$797/Cadastro!$E$33),"")</f>
        <v/>
      </c>
      <c r="I787" s="155" t="str">
        <f>IFERROR(IF($D787="","",VLOOKUP($D787,Cadastro!$C$4:$G$7,5,FALSE)),"")</f>
        <v/>
      </c>
      <c r="J787" s="15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54" t="str">
        <f>IFERROR(IF($D788="","",VLOOKUP($D788,Cadastro!$C$4:$E$7,3,FALSE)),"")</f>
        <v/>
      </c>
      <c r="G788" s="106"/>
      <c r="H788" s="154" t="str">
        <f>IFERROR(IF($G788="","",$G788*$S$797/$G$797/Cadastro!$E$33),"")</f>
        <v/>
      </c>
      <c r="I788" s="155" t="str">
        <f>IFERROR(IF($D788="","",VLOOKUP($D788,Cadastro!$C$4:$G$7,5,FALSE)),"")</f>
        <v/>
      </c>
      <c r="J788" s="15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54" t="str">
        <f>IFERROR(IF($D789="","",VLOOKUP($D789,Cadastro!$C$4:$E$7,3,FALSE)),"")</f>
        <v/>
      </c>
      <c r="G789" s="106"/>
      <c r="H789" s="154" t="str">
        <f>IFERROR(IF($G789="","",$G789*$S$797/$G$797/Cadastro!$E$33),"")</f>
        <v/>
      </c>
      <c r="I789" s="155" t="str">
        <f>IFERROR(IF($D789="","",VLOOKUP($D789,Cadastro!$C$4:$G$7,5,FALSE)),"")</f>
        <v/>
      </c>
      <c r="J789" s="15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54" t="str">
        <f>IFERROR(IF($D790="","",VLOOKUP($D790,Cadastro!$C$4:$E$7,3,FALSE)),"")</f>
        <v/>
      </c>
      <c r="G790" s="106"/>
      <c r="H790" s="154" t="str">
        <f>IFERROR(IF($G790="","",$G790*$S$797/$G$797/Cadastro!$E$33),"")</f>
        <v/>
      </c>
      <c r="I790" s="155" t="str">
        <f>IFERROR(IF($D790="","",VLOOKUP($D790,Cadastro!$C$4:$G$7,5,FALSE)),"")</f>
        <v/>
      </c>
      <c r="J790" s="15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54" t="str">
        <f>IFERROR(IF($D791="","",VLOOKUP($D791,Cadastro!$C$4:$E$7,3,FALSE)),"")</f>
        <v/>
      </c>
      <c r="G791" s="106"/>
      <c r="H791" s="154" t="str">
        <f>IFERROR(IF($G791="","",$G791*$S$797/$G$797/Cadastro!$E$33),"")</f>
        <v/>
      </c>
      <c r="I791" s="155" t="str">
        <f>IFERROR(IF($D791="","",VLOOKUP($D791,Cadastro!$C$4:$G$7,5,FALSE)),"")</f>
        <v/>
      </c>
      <c r="J791" s="15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54" t="str">
        <f>IFERROR(IF($D792="","",VLOOKUP($D792,Cadastro!$C$4:$E$7,3,FALSE)),"")</f>
        <v/>
      </c>
      <c r="G792" s="106"/>
      <c r="H792" s="154" t="str">
        <f>IFERROR(IF($G792="","",$G792*$S$797/$G$797/Cadastro!$E$33),"")</f>
        <v/>
      </c>
      <c r="I792" s="155" t="str">
        <f>IFERROR(IF($D792="","",VLOOKUP($D792,Cadastro!$C$4:$G$7,5,FALSE)),"")</f>
        <v/>
      </c>
      <c r="J792" s="15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54" t="str">
        <f>IFERROR(IF($D793="","",VLOOKUP($D793,Cadastro!$C$4:$E$7,3,FALSE)),"")</f>
        <v/>
      </c>
      <c r="G793" s="106"/>
      <c r="H793" s="154" t="str">
        <f>IFERROR(IF($G793="","",$G793*$S$797/$G$797/Cadastro!$E$33),"")</f>
        <v/>
      </c>
      <c r="I793" s="155" t="str">
        <f>IFERROR(IF($D793="","",VLOOKUP($D793,Cadastro!$C$4:$G$7,5,FALSE)),"")</f>
        <v/>
      </c>
      <c r="J793" s="15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54" t="str">
        <f>IFERROR(IF($D794="","",VLOOKUP($D794,Cadastro!$C$4:$E$7,3,FALSE)),"")</f>
        <v/>
      </c>
      <c r="G794" s="106"/>
      <c r="H794" s="154" t="str">
        <f>IFERROR(IF($G794="","",$G794*$S$797/$G$797/Cadastro!$E$33),"")</f>
        <v/>
      </c>
      <c r="I794" s="155" t="str">
        <f>IFERROR(IF($D794="","",VLOOKUP($D794,Cadastro!$C$4:$G$7,5,FALSE)),"")</f>
        <v/>
      </c>
      <c r="J794" s="15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54" t="str">
        <f>IFERROR(IF($D795="","",VLOOKUP($D795,Cadastro!$C$4:$E$7,3,FALSE)),"")</f>
        <v/>
      </c>
      <c r="G795" s="106"/>
      <c r="H795" s="154" t="str">
        <f>IFERROR(IF($G795="","",$G795*$S$797/$G$797/Cadastro!$E$33),"")</f>
        <v/>
      </c>
      <c r="I795" s="155" t="str">
        <f>IFERROR(IF($D795="","",VLOOKUP($D795,Cadastro!$C$4:$G$7,5,FALSE)),"")</f>
        <v/>
      </c>
      <c r="J795" s="15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57" t="str">
        <f>IFERROR(IF($D796="","",VLOOKUP($D796,Cadastro!$C$4:$E$7,3,FALSE)),"")</f>
        <v/>
      </c>
      <c r="G796" s="106"/>
      <c r="H796" s="157" t="str">
        <f>IFERROR(IF($G796="","",$G796*$S$797/$G$797/Cadastro!$E$33),"")</f>
        <v/>
      </c>
      <c r="I796" s="158" t="str">
        <f>IFERROR(IF($D796="","",VLOOKUP($D796,Cadastro!$C$4:$G$7,5,FALSE)),"")</f>
        <v/>
      </c>
      <c r="J796" s="15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32" t="s">
        <v>241</v>
      </c>
      <c r="B797" s="133"/>
      <c r="C797" s="133"/>
      <c r="D797" s="133"/>
      <c r="E797" s="13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60" t="str">
        <f>IFERROR(IF($D798="","",VLOOKUP($D798,Cadastro!$C$4:$E$7,3,FALSE)),"")</f>
        <v/>
      </c>
      <c r="G798" s="106"/>
      <c r="H798" s="160" t="str">
        <f>IFERROR(IF($G798="","",$G798*$S$810/$G$810/Cadastro!$E$33),"")</f>
        <v/>
      </c>
      <c r="I798" s="161" t="str">
        <f>IFERROR(IF($D798="","",VLOOKUP($D798,Cadastro!$C$4:$G$7,5,FALSE)),"")</f>
        <v/>
      </c>
      <c r="J798" s="16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54" t="str">
        <f>IFERROR(IF($D799="","",VLOOKUP($D799,Cadastro!$C$4:$E$7,3,FALSE)),"")</f>
        <v/>
      </c>
      <c r="G799" s="106"/>
      <c r="H799" s="154" t="str">
        <f>IFERROR(IF($G799="","",$G799*$S$810/$G$810/Cadastro!$E$33),"")</f>
        <v/>
      </c>
      <c r="I799" s="155" t="str">
        <f>IFERROR(IF($D799="","",VLOOKUP($D799,Cadastro!$C$4:$G$7,5,FALSE)),"")</f>
        <v/>
      </c>
      <c r="J799" s="15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54" t="str">
        <f>IFERROR(IF($D800="","",VLOOKUP($D800,Cadastro!$C$4:$E$7,3,FALSE)),"")</f>
        <v/>
      </c>
      <c r="G800" s="106"/>
      <c r="H800" s="154" t="str">
        <f>IFERROR(IF($G800="","",$G800*$S$810/$G$810/Cadastro!$E$33),"")</f>
        <v/>
      </c>
      <c r="I800" s="155" t="str">
        <f>IFERROR(IF($D800="","",VLOOKUP($D800,Cadastro!$C$4:$G$7,5,FALSE)),"")</f>
        <v/>
      </c>
      <c r="J800" s="15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54" t="str">
        <f>IFERROR(IF($D801="","",VLOOKUP($D801,Cadastro!$C$4:$E$7,3,FALSE)),"")</f>
        <v/>
      </c>
      <c r="G801" s="106"/>
      <c r="H801" s="154" t="str">
        <f>IFERROR(IF($G801="","",$G801*$S$810/$G$810/Cadastro!$E$33),"")</f>
        <v/>
      </c>
      <c r="I801" s="155" t="str">
        <f>IFERROR(IF($D801="","",VLOOKUP($D801,Cadastro!$C$4:$G$7,5,FALSE)),"")</f>
        <v/>
      </c>
      <c r="J801" s="15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54" t="str">
        <f>IFERROR(IF($D802="","",VLOOKUP($D802,Cadastro!$C$4:$E$7,3,FALSE)),"")</f>
        <v/>
      </c>
      <c r="G802" s="106"/>
      <c r="H802" s="154" t="str">
        <f>IFERROR(IF($G802="","",$G802*$S$810/$G$810/Cadastro!$E$33),"")</f>
        <v/>
      </c>
      <c r="I802" s="155" t="str">
        <f>IFERROR(IF($D802="","",VLOOKUP($D802,Cadastro!$C$4:$G$7,5,FALSE)),"")</f>
        <v/>
      </c>
      <c r="J802" s="15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54" t="str">
        <f>IFERROR(IF($D803="","",VLOOKUP($D803,Cadastro!$C$4:$E$7,3,FALSE)),"")</f>
        <v/>
      </c>
      <c r="G803" s="106"/>
      <c r="H803" s="154" t="str">
        <f>IFERROR(IF($G803="","",$G803*$S$810/$G$810/Cadastro!$E$33),"")</f>
        <v/>
      </c>
      <c r="I803" s="155" t="str">
        <f>IFERROR(IF($D803="","",VLOOKUP($D803,Cadastro!$C$4:$G$7,5,FALSE)),"")</f>
        <v/>
      </c>
      <c r="J803" s="15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54" t="str">
        <f>IFERROR(IF($D804="","",VLOOKUP($D804,Cadastro!$C$4:$E$7,3,FALSE)),"")</f>
        <v/>
      </c>
      <c r="G804" s="106"/>
      <c r="H804" s="154" t="str">
        <f>IFERROR(IF($G804="","",$G804*$S$810/$G$810/Cadastro!$E$33),"")</f>
        <v/>
      </c>
      <c r="I804" s="155" t="str">
        <f>IFERROR(IF($D804="","",VLOOKUP($D804,Cadastro!$C$4:$G$7,5,FALSE)),"")</f>
        <v/>
      </c>
      <c r="J804" s="15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54" t="str">
        <f>IFERROR(IF($D805="","",VLOOKUP($D805,Cadastro!$C$4:$E$7,3,FALSE)),"")</f>
        <v/>
      </c>
      <c r="G805" s="106"/>
      <c r="H805" s="154" t="str">
        <f>IFERROR(IF($G805="","",$G805*$S$810/$G$810/Cadastro!$E$33),"")</f>
        <v/>
      </c>
      <c r="I805" s="155" t="str">
        <f>IFERROR(IF($D805="","",VLOOKUP($D805,Cadastro!$C$4:$G$7,5,FALSE)),"")</f>
        <v/>
      </c>
      <c r="J805" s="15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54" t="str">
        <f>IFERROR(IF($D806="","",VLOOKUP($D806,Cadastro!$C$4:$E$7,3,FALSE)),"")</f>
        <v/>
      </c>
      <c r="G806" s="106"/>
      <c r="H806" s="154" t="str">
        <f>IFERROR(IF($G806="","",$G806*$S$810/$G$810/Cadastro!$E$33),"")</f>
        <v/>
      </c>
      <c r="I806" s="155" t="str">
        <f>IFERROR(IF($D806="","",VLOOKUP($D806,Cadastro!$C$4:$G$7,5,FALSE)),"")</f>
        <v/>
      </c>
      <c r="J806" s="15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54" t="str">
        <f>IFERROR(IF($D807="","",VLOOKUP($D807,Cadastro!$C$4:$E$7,3,FALSE)),"")</f>
        <v/>
      </c>
      <c r="G807" s="106"/>
      <c r="H807" s="154" t="str">
        <f>IFERROR(IF($G807="","",$G807*$S$810/$G$810/Cadastro!$E$33),"")</f>
        <v/>
      </c>
      <c r="I807" s="155" t="str">
        <f>IFERROR(IF($D807="","",VLOOKUP($D807,Cadastro!$C$4:$G$7,5,FALSE)),"")</f>
        <v/>
      </c>
      <c r="J807" s="15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54" t="str">
        <f>IFERROR(IF($D808="","",VLOOKUP($D808,Cadastro!$C$4:$E$7,3,FALSE)),"")</f>
        <v/>
      </c>
      <c r="G808" s="106"/>
      <c r="H808" s="154" t="str">
        <f>IFERROR(IF($G808="","",$G808*$S$810/$G$810/Cadastro!$E$33),"")</f>
        <v/>
      </c>
      <c r="I808" s="155" t="str">
        <f>IFERROR(IF($D808="","",VLOOKUP($D808,Cadastro!$C$4:$G$7,5,FALSE)),"")</f>
        <v/>
      </c>
      <c r="J808" s="15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57" t="str">
        <f>IFERROR(IF($D809="","",VLOOKUP($D809,Cadastro!$C$4:$E$7,3,FALSE)),"")</f>
        <v/>
      </c>
      <c r="G809" s="106"/>
      <c r="H809" s="157" t="str">
        <f>IFERROR(IF($G809="","",$G809*$S$810/$G$810/Cadastro!$E$33),"")</f>
        <v/>
      </c>
      <c r="I809" s="158" t="str">
        <f>IFERROR(IF($D809="","",VLOOKUP($D809,Cadastro!$C$4:$G$7,5,FALSE)),"")</f>
        <v/>
      </c>
      <c r="J809" s="15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32" t="s">
        <v>244</v>
      </c>
      <c r="B810" s="133"/>
      <c r="C810" s="133"/>
      <c r="D810" s="133"/>
      <c r="E810" s="13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34" t="s">
        <v>245</v>
      </c>
      <c r="B811" s="135"/>
      <c r="C811" s="135"/>
      <c r="D811" s="135"/>
      <c r="E811" s="135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60" t="str">
        <f>IFERROR(IF($D812="","",VLOOKUP($D812,Cadastro!$C$4:$E$7,3,FALSE)),"")</f>
        <v/>
      </c>
      <c r="G812" s="106"/>
      <c r="H812" s="160" t="str">
        <f>IFERROR(IF($G812="","",$G812*$S$824/$G$824/Cadastro!$E$33),"")</f>
        <v/>
      </c>
      <c r="I812" s="161" t="str">
        <f>IFERROR(IF($D812="","",VLOOKUP($D812,Cadastro!$C$4:$G$7,5,FALSE)),"")</f>
        <v/>
      </c>
      <c r="J812" s="16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54" t="str">
        <f>IFERROR(IF($D813="","",VLOOKUP($D813,Cadastro!$C$4:$E$7,3,FALSE)),"")</f>
        <v/>
      </c>
      <c r="G813" s="106"/>
      <c r="H813" s="154" t="str">
        <f>IFERROR(IF($G813="","",$G813*$S$824/$G$824/Cadastro!$E$33),"")</f>
        <v/>
      </c>
      <c r="I813" s="155" t="str">
        <f>IFERROR(IF($D813="","",VLOOKUP($D813,Cadastro!$C$4:$G$7,5,FALSE)),"")</f>
        <v/>
      </c>
      <c r="J813" s="15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54" t="str">
        <f>IFERROR(IF($D814="","",VLOOKUP($D814,Cadastro!$C$4:$E$7,3,FALSE)),"")</f>
        <v/>
      </c>
      <c r="G814" s="106"/>
      <c r="H814" s="154" t="str">
        <f>IFERROR(IF($G814="","",$G814*$S$824/$G$824/Cadastro!$E$33),"")</f>
        <v/>
      </c>
      <c r="I814" s="155" t="str">
        <f>IFERROR(IF($D814="","",VLOOKUP($D814,Cadastro!$C$4:$G$7,5,FALSE)),"")</f>
        <v/>
      </c>
      <c r="J814" s="15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54" t="str">
        <f>IFERROR(IF($D815="","",VLOOKUP($D815,Cadastro!$C$4:$E$7,3,FALSE)),"")</f>
        <v/>
      </c>
      <c r="G815" s="106"/>
      <c r="H815" s="154" t="str">
        <f>IFERROR(IF($G815="","",$G815*$S$824/$G$824/Cadastro!$E$33),"")</f>
        <v/>
      </c>
      <c r="I815" s="155" t="str">
        <f>IFERROR(IF($D815="","",VLOOKUP($D815,Cadastro!$C$4:$G$7,5,FALSE)),"")</f>
        <v/>
      </c>
      <c r="J815" s="15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54" t="str">
        <f>IFERROR(IF($D816="","",VLOOKUP($D816,Cadastro!$C$4:$E$7,3,FALSE)),"")</f>
        <v/>
      </c>
      <c r="G816" s="106"/>
      <c r="H816" s="154" t="str">
        <f>IFERROR(IF($G816="","",$G816*$S$824/$G$824/Cadastro!$E$33),"")</f>
        <v/>
      </c>
      <c r="I816" s="155" t="str">
        <f>IFERROR(IF($D816="","",VLOOKUP($D816,Cadastro!$C$4:$G$7,5,FALSE)),"")</f>
        <v/>
      </c>
      <c r="J816" s="15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54" t="str">
        <f>IFERROR(IF($D817="","",VLOOKUP($D817,Cadastro!$C$4:$E$7,3,FALSE)),"")</f>
        <v/>
      </c>
      <c r="G817" s="106"/>
      <c r="H817" s="154" t="str">
        <f>IFERROR(IF($G817="","",$G817*$S$824/$G$824/Cadastro!$E$33),"")</f>
        <v/>
      </c>
      <c r="I817" s="155" t="str">
        <f>IFERROR(IF($D817="","",VLOOKUP($D817,Cadastro!$C$4:$G$7,5,FALSE)),"")</f>
        <v/>
      </c>
      <c r="J817" s="15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54" t="str">
        <f>IFERROR(IF($D818="","",VLOOKUP($D818,Cadastro!$C$4:$E$7,3,FALSE)),"")</f>
        <v/>
      </c>
      <c r="G818" s="106"/>
      <c r="H818" s="154" t="str">
        <f>IFERROR(IF($G818="","",$G818*$S$824/$G$824/Cadastro!$E$33),"")</f>
        <v/>
      </c>
      <c r="I818" s="155" t="str">
        <f>IFERROR(IF($D818="","",VLOOKUP($D818,Cadastro!$C$4:$G$7,5,FALSE)),"")</f>
        <v/>
      </c>
      <c r="J818" s="15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54" t="str">
        <f>IFERROR(IF($D819="","",VLOOKUP($D819,Cadastro!$C$4:$E$7,3,FALSE)),"")</f>
        <v/>
      </c>
      <c r="G819" s="106"/>
      <c r="H819" s="154" t="str">
        <f>IFERROR(IF($G819="","",$G819*$S$824/$G$824/Cadastro!$E$33),"")</f>
        <v/>
      </c>
      <c r="I819" s="155" t="str">
        <f>IFERROR(IF($D819="","",VLOOKUP($D819,Cadastro!$C$4:$G$7,5,FALSE)),"")</f>
        <v/>
      </c>
      <c r="J819" s="15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54" t="str">
        <f>IFERROR(IF($D820="","",VLOOKUP($D820,Cadastro!$C$4:$E$7,3,FALSE)),"")</f>
        <v/>
      </c>
      <c r="G820" s="106"/>
      <c r="H820" s="154" t="str">
        <f>IFERROR(IF($G820="","",$G820*$S$824/$G$824/Cadastro!$E$33),"")</f>
        <v/>
      </c>
      <c r="I820" s="155" t="str">
        <f>IFERROR(IF($D820="","",VLOOKUP($D820,Cadastro!$C$4:$G$7,5,FALSE)),"")</f>
        <v/>
      </c>
      <c r="J820" s="15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54" t="str">
        <f>IFERROR(IF($D821="","",VLOOKUP($D821,Cadastro!$C$4:$E$7,3,FALSE)),"")</f>
        <v/>
      </c>
      <c r="G821" s="106"/>
      <c r="H821" s="154" t="str">
        <f>IFERROR(IF($G821="","",$G821*$S$824/$G$824/Cadastro!$E$33),"")</f>
        <v/>
      </c>
      <c r="I821" s="155" t="str">
        <f>IFERROR(IF($D821="","",VLOOKUP($D821,Cadastro!$C$4:$G$7,5,FALSE)),"")</f>
        <v/>
      </c>
      <c r="J821" s="15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54" t="str">
        <f>IFERROR(IF($D822="","",VLOOKUP($D822,Cadastro!$C$4:$E$7,3,FALSE)),"")</f>
        <v/>
      </c>
      <c r="G822" s="106"/>
      <c r="H822" s="154" t="str">
        <f>IFERROR(IF($G822="","",$G822*$S$824/$G$824/Cadastro!$E$33),"")</f>
        <v/>
      </c>
      <c r="I822" s="155" t="str">
        <f>IFERROR(IF($D822="","",VLOOKUP($D822,Cadastro!$C$4:$G$7,5,FALSE)),"")</f>
        <v/>
      </c>
      <c r="J822" s="15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57" t="str">
        <f>IFERROR(IF($D823="","",VLOOKUP($D823,Cadastro!$C$4:$E$7,3,FALSE)),"")</f>
        <v/>
      </c>
      <c r="G823" s="106"/>
      <c r="H823" s="157" t="str">
        <f>IFERROR(IF($G823="","",$G823*$S$824/$G$824/Cadastro!$E$33),"")</f>
        <v/>
      </c>
      <c r="I823" s="158" t="str">
        <f>IFERROR(IF($D823="","",VLOOKUP($D823,Cadastro!$C$4:$G$7,5,FALSE)),"")</f>
        <v/>
      </c>
      <c r="J823" s="15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32" t="s">
        <v>241</v>
      </c>
      <c r="B824" s="133"/>
      <c r="C824" s="133"/>
      <c r="D824" s="133"/>
      <c r="E824" s="13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60" t="str">
        <f>IFERROR(IF($D825="","",VLOOKUP($D825,Cadastro!$C$4:$E$7,3,FALSE)),"")</f>
        <v/>
      </c>
      <c r="G825" s="106"/>
      <c r="H825" s="160" t="str">
        <f>IFERROR(IF($G825="","",$G825*$S$837/$G$837/Cadastro!$E$33),"")</f>
        <v/>
      </c>
      <c r="I825" s="161" t="str">
        <f>IFERROR(IF($D825="","",VLOOKUP($D825,Cadastro!$C$4:$G$7,5,FALSE)),"")</f>
        <v/>
      </c>
      <c r="J825" s="16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54" t="str">
        <f>IFERROR(IF($D826="","",VLOOKUP($D826,Cadastro!$C$4:$E$7,3,FALSE)),"")</f>
        <v/>
      </c>
      <c r="G826" s="106"/>
      <c r="H826" s="154" t="str">
        <f>IFERROR(IF($G826="","",$G826*$S$837/$G$837/Cadastro!$E$33),"")</f>
        <v/>
      </c>
      <c r="I826" s="155" t="str">
        <f>IFERROR(IF($D826="","",VLOOKUP($D826,Cadastro!$C$4:$G$7,5,FALSE)),"")</f>
        <v/>
      </c>
      <c r="J826" s="15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54" t="str">
        <f>IFERROR(IF($D827="","",VLOOKUP($D827,Cadastro!$C$4:$E$7,3,FALSE)),"")</f>
        <v/>
      </c>
      <c r="G827" s="106"/>
      <c r="H827" s="154" t="str">
        <f>IFERROR(IF($G827="","",$G827*$S$837/$G$837/Cadastro!$E$33),"")</f>
        <v/>
      </c>
      <c r="I827" s="155" t="str">
        <f>IFERROR(IF($D827="","",VLOOKUP($D827,Cadastro!$C$4:$G$7,5,FALSE)),"")</f>
        <v/>
      </c>
      <c r="J827" s="15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54" t="str">
        <f>IFERROR(IF($D828="","",VLOOKUP($D828,Cadastro!$C$4:$E$7,3,FALSE)),"")</f>
        <v/>
      </c>
      <c r="G828" s="106"/>
      <c r="H828" s="154" t="str">
        <f>IFERROR(IF($G828="","",$G828*$S$837/$G$837/Cadastro!$E$33),"")</f>
        <v/>
      </c>
      <c r="I828" s="155" t="str">
        <f>IFERROR(IF($D828="","",VLOOKUP($D828,Cadastro!$C$4:$G$7,5,FALSE)),"")</f>
        <v/>
      </c>
      <c r="J828" s="15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54" t="str">
        <f>IFERROR(IF($D829="","",VLOOKUP($D829,Cadastro!$C$4:$E$7,3,FALSE)),"")</f>
        <v/>
      </c>
      <c r="G829" s="106"/>
      <c r="H829" s="154" t="str">
        <f>IFERROR(IF($G829="","",$G829*$S$837/$G$837/Cadastro!$E$33),"")</f>
        <v/>
      </c>
      <c r="I829" s="155" t="str">
        <f>IFERROR(IF($D829="","",VLOOKUP($D829,Cadastro!$C$4:$G$7,5,FALSE)),"")</f>
        <v/>
      </c>
      <c r="J829" s="15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54" t="str">
        <f>IFERROR(IF($D830="","",VLOOKUP($D830,Cadastro!$C$4:$E$7,3,FALSE)),"")</f>
        <v/>
      </c>
      <c r="G830" s="106"/>
      <c r="H830" s="154" t="str">
        <f>IFERROR(IF($G830="","",$G830*$S$837/$G$837/Cadastro!$E$33),"")</f>
        <v/>
      </c>
      <c r="I830" s="155" t="str">
        <f>IFERROR(IF($D830="","",VLOOKUP($D830,Cadastro!$C$4:$G$7,5,FALSE)),"")</f>
        <v/>
      </c>
      <c r="J830" s="15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54" t="str">
        <f>IFERROR(IF($D831="","",VLOOKUP($D831,Cadastro!$C$4:$E$7,3,FALSE)),"")</f>
        <v/>
      </c>
      <c r="G831" s="106"/>
      <c r="H831" s="154" t="str">
        <f>IFERROR(IF($G831="","",$G831*$S$837/$G$837/Cadastro!$E$33),"")</f>
        <v/>
      </c>
      <c r="I831" s="155" t="str">
        <f>IFERROR(IF($D831="","",VLOOKUP($D831,Cadastro!$C$4:$G$7,5,FALSE)),"")</f>
        <v/>
      </c>
      <c r="J831" s="15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54" t="str">
        <f>IFERROR(IF($D832="","",VLOOKUP($D832,Cadastro!$C$4:$E$7,3,FALSE)),"")</f>
        <v/>
      </c>
      <c r="G832" s="106"/>
      <c r="H832" s="154" t="str">
        <f>IFERROR(IF($G832="","",$G832*$S$837/$G$837/Cadastro!$E$33),"")</f>
        <v/>
      </c>
      <c r="I832" s="155" t="str">
        <f>IFERROR(IF($D832="","",VLOOKUP($D832,Cadastro!$C$4:$G$7,5,FALSE)),"")</f>
        <v/>
      </c>
      <c r="J832" s="15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54" t="str">
        <f>IFERROR(IF($D833="","",VLOOKUP($D833,Cadastro!$C$4:$E$7,3,FALSE)),"")</f>
        <v/>
      </c>
      <c r="G833" s="106"/>
      <c r="H833" s="154" t="str">
        <f>IFERROR(IF($G833="","",$G833*$S$837/$G$837/Cadastro!$E$33),"")</f>
        <v/>
      </c>
      <c r="I833" s="155" t="str">
        <f>IFERROR(IF($D833="","",VLOOKUP($D833,Cadastro!$C$4:$G$7,5,FALSE)),"")</f>
        <v/>
      </c>
      <c r="J833" s="15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54" t="str">
        <f>IFERROR(IF($D834="","",VLOOKUP($D834,Cadastro!$C$4:$E$7,3,FALSE)),"")</f>
        <v/>
      </c>
      <c r="G834" s="106"/>
      <c r="H834" s="154" t="str">
        <f>IFERROR(IF($G834="","",$G834*$S$837/$G$837/Cadastro!$E$33),"")</f>
        <v/>
      </c>
      <c r="I834" s="155" t="str">
        <f>IFERROR(IF($D834="","",VLOOKUP($D834,Cadastro!$C$4:$G$7,5,FALSE)),"")</f>
        <v/>
      </c>
      <c r="J834" s="15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54" t="str">
        <f>IFERROR(IF($D835="","",VLOOKUP($D835,Cadastro!$C$4:$E$7,3,FALSE)),"")</f>
        <v/>
      </c>
      <c r="G835" s="106"/>
      <c r="H835" s="154" t="str">
        <f>IFERROR(IF($G835="","",$G835*$S$837/$G$837/Cadastro!$E$33),"")</f>
        <v/>
      </c>
      <c r="I835" s="155" t="str">
        <f>IFERROR(IF($D835="","",VLOOKUP($D835,Cadastro!$C$4:$G$7,5,FALSE)),"")</f>
        <v/>
      </c>
      <c r="J835" s="15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57" t="str">
        <f>IFERROR(IF($D836="","",VLOOKUP($D836,Cadastro!$C$4:$E$7,3,FALSE)),"")</f>
        <v/>
      </c>
      <c r="G836" s="106"/>
      <c r="H836" s="157" t="str">
        <f>IFERROR(IF($G836="","",$G836*$S$837/$G$837/Cadastro!$E$33),"")</f>
        <v/>
      </c>
      <c r="I836" s="158" t="str">
        <f>IFERROR(IF($D836="","",VLOOKUP($D836,Cadastro!$C$4:$G$7,5,FALSE)),"")</f>
        <v/>
      </c>
      <c r="J836" s="15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32" t="s">
        <v>244</v>
      </c>
      <c r="B837" s="133"/>
      <c r="C837" s="133"/>
      <c r="D837" s="133"/>
      <c r="E837" s="13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34" t="s">
        <v>245</v>
      </c>
      <c r="B838" s="135"/>
      <c r="C838" s="135"/>
      <c r="D838" s="135"/>
      <c r="E838" s="135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2026-08-12T19:52:59Z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