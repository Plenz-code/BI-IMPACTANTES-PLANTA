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44" documentId="13_ncr:1_{A6DBCFB4-28D9-4249-9038-216934055CA6}" xr6:coauthVersionLast="47" xr6:coauthVersionMax="47" xr10:uidLastSave="{632AB8B0-D1B9-4D6E-83BA-B0C3C64D2F41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<sst xmlns="http://schemas.openxmlformats.org/spreadsheetml/2006/main" count="9909" uniqueCount="425">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</sst>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224</v>
      </c>
      <c r="Q61" s="40"/>
      <c r="R61" s="40"/>
    </row>
    <row r="62" spans="1:18" ht="15" customHeight="1">
      <c r="M62" s="164"/>
      <c r="N62" s="37"/>
      <c r="O62" s="37"/>
      <c r="P62" s="37" t="s">
        <v>225</v>
      </c>
      <c r="Q62" s="37"/>
      <c r="R62" s="37"/>
    </row>
    <row r="63" spans="1:18" ht="15" customHeight="1">
      <c r="M63" s="164"/>
      <c r="N63" s="40"/>
      <c r="O63" s="40"/>
      <c r="P63" s="40" t="s">
        <v>226</v>
      </c>
      <c r="Q63" s="40"/>
      <c r="R63" s="40"/>
    </row>
    <row r="64" spans="1:18" ht="15" customHeight="1">
      <c r="M64" s="164"/>
      <c r="N64" s="37"/>
      <c r="O64" s="37"/>
      <c r="P64" s="37" t="s">
        <v>227</v>
      </c>
      <c r="Q64" s="37"/>
      <c r="R64" s="37"/>
    </row>
    <row r="65" spans="13:18" ht="15" customHeight="1">
      <c r="M65" s="164"/>
      <c r="N65" s="40"/>
      <c r="O65" s="40"/>
      <c r="P65" s="40" t="s">
        <v>228</v>
      </c>
      <c r="Q65" s="40"/>
      <c r="R65" s="40"/>
    </row>
    <row r="66" spans="13:18" ht="15" customHeight="1">
      <c r="M66" s="164"/>
      <c r="N66" s="37"/>
      <c r="O66" s="37"/>
      <c r="P66" s="37" t="s">
        <v>229</v>
      </c>
      <c r="Q66" s="37"/>
      <c r="R66" s="37"/>
    </row>
    <row r="67" spans="13:18" ht="15" customHeight="1">
      <c r="M67" s="164"/>
      <c r="N67" s="40"/>
      <c r="O67" s="40"/>
      <c r="P67" s="40" t="s">
        <v>230</v>
      </c>
      <c r="Q67" s="40"/>
      <c r="R67" s="40"/>
    </row>
    <row r="68" spans="13:18" ht="15" customHeight="1">
      <c r="M68" s="164"/>
      <c r="N68" s="37"/>
      <c r="O68" s="37"/>
      <c r="P68" s="37" t="s">
        <v>231</v>
      </c>
      <c r="Q68" s="37"/>
      <c r="R68" s="37"/>
    </row>
    <row r="69" spans="13:18" ht="15" customHeight="1">
      <c r="M69" s="164"/>
      <c r="N69" s="40"/>
      <c r="O69" s="40"/>
      <c r="P69" s="40" t="s">
        <v>232</v>
      </c>
      <c r="Q69" s="40"/>
      <c r="R69" s="40"/>
    </row>
    <row r="70" spans="13:18" ht="15" customHeight="1">
      <c r="M70" s="164"/>
      <c r="N70" s="37"/>
      <c r="O70" s="37"/>
      <c r="P70" s="37" t="s">
        <v>233</v>
      </c>
      <c r="Q70" s="37"/>
      <c r="R70" s="37"/>
    </row>
    <row r="71" spans="13:18" ht="15" customHeight="1">
      <c r="M71" s="164"/>
      <c r="N71" s="40"/>
      <c r="O71" s="40"/>
      <c r="P71" s="40" t="s">
        <v>234</v>
      </c>
      <c r="Q71" s="40"/>
      <c r="R71" s="40"/>
    </row>
    <row r="72" spans="13:18" ht="15" customHeight="1">
      <c r="M72" s="164"/>
      <c r="N72" s="37"/>
      <c r="O72" s="37"/>
      <c r="P72" s="37" t="s">
        <v>235</v>
      </c>
      <c r="Q72" s="37"/>
      <c r="R72" s="37"/>
    </row>
    <row r="73" spans="13:18" ht="15" customHeight="1">
      <c r="M73" s="164"/>
      <c r="N73" s="40"/>
      <c r="O73" s="40"/>
      <c r="P73" s="40" t="s">
        <v>236</v>
      </c>
      <c r="Q73" s="40"/>
      <c r="R73" s="40"/>
    </row>
    <row r="74" spans="13:18" ht="15" customHeight="1">
      <c r="M74" s="164"/>
      <c r="N74" s="37"/>
      <c r="O74" s="37"/>
      <c r="P74" s="37" t="s">
        <v>237</v>
      </c>
      <c r="Q74" s="37"/>
      <c r="R74" s="37"/>
    </row>
    <row r="75" spans="13:18" ht="15" customHeight="1">
      <c r="M75" s="164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9" activePane="bottomLeft" state="frozen"/>
      <selection pane="bottomLeft" activeCell="N583" sqref="N583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29</v>
      </c>
      <c r="I582" s="61"/>
      <c r="J582" s="61" t="s">
        <v>144</v>
      </c>
      <c r="K582" s="65">
        <v>0.13958333333333334</v>
      </c>
      <c r="L582" s="65"/>
      <c r="M582" s="66">
        <f t="shared" ref="M582:M593" ca="1" si="126">IFERROR(IF(K582="","",IF(L582="",MOD(NOW()-K582,1),IF(L582&gt;=K582,L582-K582,L582+1-K582))),"")</f>
        <v>1.9363425963092595E-3</v>
      </c>
      <c r="N582" s="80" t="s">
        <v>302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264</v>
      </c>
      <c r="B594" s="167"/>
      <c r="C594" s="167"/>
      <c r="D594" s="167"/>
      <c r="E594" s="167"/>
      <c r="F594" s="2">
        <f>SUM(F582:F593)</f>
        <v>336</v>
      </c>
      <c r="G594" s="2">
        <f>SUM(G582:G593)</f>
        <v>1680</v>
      </c>
      <c r="H594" s="72"/>
      <c r="I594" s="72"/>
      <c r="J594" s="72"/>
      <c r="K594" s="72"/>
      <c r="L594" s="72"/>
      <c r="M594" s="73">
        <f ca="1">IFERROR(SUM(M582:M593),"")</f>
        <v>1.9363425963092595E-3</v>
      </c>
      <c r="N594" s="2" t="s">
        <v>262</v>
      </c>
      <c r="O594" s="74"/>
    </row>
    <row r="595" spans="1:15" ht="18" customHeight="1">
      <c r="A595" s="168" t="s">
        <v>250</v>
      </c>
      <c r="B595" s="168"/>
      <c r="C595" s="168"/>
      <c r="D595" s="168"/>
      <c r="E595" s="168"/>
      <c r="F595" s="1">
        <f>F581+F594</f>
        <v>714</v>
      </c>
      <c r="G595" s="1">
        <f>G581+G594</f>
        <v>3570</v>
      </c>
      <c r="H595" s="76"/>
      <c r="I595" s="76"/>
      <c r="J595" s="76"/>
      <c r="K595" s="76"/>
      <c r="L595" s="76"/>
      <c r="M595" s="77">
        <f ca="1">IFERROR(M581+M594,"")</f>
        <v>7.9019675929642541E-2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90" sqref="G59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303</v>
      </c>
      <c r="I1" s="86" t="s">
        <v>22</v>
      </c>
      <c r="J1" s="86" t="s">
        <v>304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1.9991898145235609E-2</v>
      </c>
      <c r="R53" s="80" t="s">
        <v>313</v>
      </c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0.15888078703412334</v>
      </c>
      <c r="R54" s="2" t="s">
        <v>262</v>
      </c>
      <c r="S54" s="113">
        <v>352430</v>
      </c>
      <c r="T54" s="114"/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0.24360300925634615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315</v>
      </c>
      <c r="Q96" s="66" t="str">
        <f t="shared" ref="Q96:Q107" ca="1" si="22">IFERROR(IF(O96="","",IF(P96="",MOD(NOW()-O96,1),IF(P96&gt;=O96,P96-O96,P96+1-O96))),"")</f>
        <v/>
      </c>
      <c r="R96" s="80" t="s">
        <v>316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340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341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342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343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344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321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345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346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347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348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74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310.80000000000007</v>
      </c>
      <c r="L594" s="72"/>
      <c r="M594" s="72"/>
      <c r="N594" s="72"/>
      <c r="O594" s="72"/>
      <c r="P594" s="72"/>
      <c r="Q594" s="73">
        <f ca="1">IFERROR(SUM(Q582:Q593),"")</f>
        <v>0.12708333333333344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123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516.60000000000014</v>
      </c>
      <c r="L595" s="76"/>
      <c r="M595" s="76"/>
      <c r="N595" s="76"/>
      <c r="O595" s="76"/>
      <c r="P595" s="76"/>
      <c r="Q595" s="77">
        <f ca="1">IFERROR(Q581+Q594,"")</f>
        <v>0.53125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0" sqref="G590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303</v>
      </c>
      <c r="I1" s="86" t="s">
        <v>22</v>
      </c>
      <c r="J1" s="86" t="s">
        <v>304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362</v>
      </c>
      <c r="Q222" s="66" t="str">
        <f t="shared" ca="1" si="49"/>
        <v/>
      </c>
      <c r="R222" s="63" t="s">
        <v>363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314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375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376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314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377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349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314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372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56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235.20000000000005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219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928.60000000000014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G590" sqref="G590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303</v>
      </c>
      <c r="I1" s="86" t="s">
        <v>22</v>
      </c>
      <c r="J1" s="86" t="s">
        <v>304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371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100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419.99999999999994</v>
      </c>
      <c r="L594" s="72"/>
      <c r="M594" s="72"/>
      <c r="N594" s="72"/>
      <c r="O594" s="134"/>
      <c r="P594" s="134"/>
      <c r="Q594" s="73">
        <f ca="1">IFERROR(SUM(Q582:Q593),"")</f>
        <v>8.3333333333333259E-2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302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1284.4000000000001</v>
      </c>
      <c r="L595" s="76"/>
      <c r="M595" s="76"/>
      <c r="N595" s="76"/>
      <c r="O595" s="135"/>
      <c r="P595" s="135"/>
      <c r="Q595" s="77">
        <f ca="1">IFERROR(Q581+Q594,"")</f>
        <v>0.21736111111111112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2026-08-23T07:24:18Z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