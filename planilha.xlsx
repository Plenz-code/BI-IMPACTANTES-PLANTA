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76" documentId="13_ncr:1_{0A10D8D4-8450-4366-8075-B53B08E6B7EA}" xr6:coauthVersionLast="47" xr6:coauthVersionMax="47" xr10:uidLastSave="{4F840929-B857-46B8-BBDC-A6240FC6BB81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1" i="6"/>
  <c r="J341" i="6" s="1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1" i="5"/>
  <c r="J341" i="5" s="1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1" i="4"/>
  <c r="J341" i="4" s="1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<sst xmlns="http://schemas.openxmlformats.org/spreadsheetml/2006/main" count="6092" uniqueCount="340">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</sst>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J339" sqref="J33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3.7297222217603121E-2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30</v>
      </c>
      <c r="G351" s="36">
        <f>SUM(G339:G350)</f>
        <v>150</v>
      </c>
      <c r="H351" s="37"/>
      <c r="I351" s="37"/>
      <c r="J351" s="37"/>
      <c r="K351" s="37"/>
      <c r="L351" s="37"/>
      <c r="M351" s="38">
        <f ca="1">IFERROR(SUM(M339:M350),"")</f>
        <v>3.7297222217603121E-2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262</v>
      </c>
      <c r="G352" s="40">
        <f>G338+G351</f>
        <v>1310</v>
      </c>
      <c r="H352" s="41"/>
      <c r="I352" s="41"/>
      <c r="J352" s="41"/>
      <c r="K352" s="41"/>
      <c r="L352" s="41"/>
      <c r="M352" s="42">
        <f ca="1">IFERROR(M338+M351,"")</f>
        <v>0.11438055555093651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41" sqref="G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0.76229722221614793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0.90118611110503677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0.98590833332725913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88.2</v>
      </c>
      <c r="L351" s="37"/>
      <c r="M351" s="37"/>
      <c r="N351" s="37"/>
      <c r="O351" s="37"/>
      <c r="P351" s="37"/>
      <c r="Q351" s="38">
        <f ca="1">IFERROR(SUM(Q339:Q350),"")</f>
        <v>2.6388888888888906E-2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261.2</v>
      </c>
      <c r="L352" s="41"/>
      <c r="M352" s="41"/>
      <c r="N352" s="41"/>
      <c r="O352" s="41"/>
      <c r="P352" s="41"/>
      <c r="Q352" s="42">
        <f ca="1">IFERROR(Q338+Q351,"")</f>
        <v>0.36874999999999991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41" sqref="G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46.2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72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343.2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N339" sqref="N33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57</v>
      </c>
      <c r="N339" s="33" t="s">
        <v>67</v>
      </c>
      <c r="O339" s="29">
        <v>0.8833333333333333</v>
      </c>
      <c r="P339" s="29"/>
      <c r="Q339" s="35">
        <f t="shared" ref="Q339:Q350" ca="1" si="80">IFERROR(IF(O339="","",IF(P339="",MOD(NOW()-O339,1),IF(P339&gt;=O339,P339-O339,P339+1-O339))),"")</f>
        <v>4.9166666576638818E-4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46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193.2</v>
      </c>
      <c r="L351" s="37"/>
      <c r="M351" s="37"/>
      <c r="N351" s="37"/>
      <c r="O351" s="61"/>
      <c r="P351" s="61"/>
      <c r="Q351" s="38">
        <f ca="1">IFERROR(SUM(Q339:Q350),"")</f>
        <v>4.9166666576638818E-4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263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1161.4000000000001</v>
      </c>
      <c r="L352" s="41"/>
      <c r="M352" s="41"/>
      <c r="N352" s="41"/>
      <c r="O352" s="63"/>
      <c r="P352" s="63"/>
      <c r="Q352" s="42">
        <f ca="1">IFERROR(Q338+Q351,"")</f>
        <v>4.146388888798852E-2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2026-08-14T01:12:49Z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