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1" documentId="8_{AF585B22-221D-4780-BB9C-493D365A6A02}" xr6:coauthVersionLast="47" xr6:coauthVersionMax="47" xr10:uidLastSave="{8D6D4C6D-210B-40B1-9A91-4A5CDB56EDC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<sst xmlns="http://schemas.openxmlformats.org/spreadsheetml/2006/main" count="1484" uniqueCount="206">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</sst>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4" zoomScale="85" zoomScaleNormal="85" workbookViewId="0">
      <selection activeCell="K52" sqref="K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188</v>
      </c>
      <c r="E2" s="59" t="s">
        <v>189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192</v>
      </c>
      <c r="O27" s="39">
        <v>1183060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189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189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1.0857291665161029E-2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189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189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189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189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189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189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189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189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189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189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55</v>
      </c>
      <c r="H41" s="37"/>
      <c r="I41" s="37"/>
      <c r="J41" s="37"/>
      <c r="K41" s="37"/>
      <c r="L41" s="37"/>
      <c r="M41" s="38">
        <f ca="1">IFERROR(SUM(M29:M40),"")</f>
        <v>5.8079513887383249E-2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55</v>
      </c>
      <c r="H55" s="41"/>
      <c r="I55" s="41"/>
      <c r="J55" s="41"/>
      <c r="K55" s="41"/>
      <c r="L55" s="41"/>
      <c r="M55" s="42">
        <f ca="1">IFERROR(M41+M54,"")</f>
        <v>5.8079513887383249E-2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4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0" sqref="J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192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192</v>
      </c>
      <c r="O27" s="90">
        <v>393200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195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197</v>
      </c>
      <c r="M29" s="35" t="str">
        <f t="shared" ref="M29:M40" ca="1" si="7">IFERROR(IF(K29="","",IF(L29="",MOD(NOW()-K29,1),IF(L29&gt;=K29,L29-K29,L29+1-K29))),"")</f>
        <v/>
      </c>
      <c r="N29" s="46" t="s">
        <v>198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/>
      <c r="M30" s="30">
        <f t="shared" ca="1" si="7"/>
        <v>5.3017361060483381E-3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11</v>
      </c>
      <c r="G41" s="36">
        <f>SUM(G29:G40)</f>
        <v>46.2</v>
      </c>
      <c r="H41" s="37"/>
      <c r="I41" s="37"/>
      <c r="J41" s="37"/>
      <c r="K41" s="37"/>
      <c r="L41" s="37"/>
      <c r="M41" s="38">
        <f ca="1">IFERROR(SUM(M29:M40),"")</f>
        <v>5.3017361060483381E-3</v>
      </c>
      <c r="N41" s="36" t="s">
        <v>192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54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11</v>
      </c>
      <c r="G55" s="40">
        <f>G41+G54</f>
        <v>46.2</v>
      </c>
      <c r="H55" s="41"/>
      <c r="I55" s="41"/>
      <c r="J55" s="41"/>
      <c r="K55" s="41"/>
      <c r="L55" s="41"/>
      <c r="M55" s="42">
        <f ca="1">IFERROR(M41+M54,"")</f>
        <v>5.3017361060483381E-3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54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54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54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54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N30" sqref="N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192</v>
      </c>
      <c r="O27" s="39">
        <v>308500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/>
      <c r="M29" s="35">
        <f t="shared" ref="M29:M40" ca="1" si="7">IFERROR(IF(K29="","",IF(L29="",MOD(NOW()-K29,1),IF(L29&gt;=K29,L29-K29,L29+1-K29))),"")</f>
        <v>9.835729166661622E-2</v>
      </c>
      <c r="N29" s="27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9.835729166661622E-2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9.835729166661622E-2</v>
      </c>
      <c r="N55" s="40" t="s">
        <v>195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195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195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195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192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192</v>
      </c>
      <c r="O216" s="39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192</v>
      </c>
      <c r="O432" s="39"/>
    </row>
    <row r="433" spans="1:15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N30" sqref="N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178</v>
      </c>
      <c r="C1" s="23" t="s">
        <v>12</v>
      </c>
      <c r="D1" s="22" t="s">
        <v>13</v>
      </c>
      <c r="E1" s="22" t="s">
        <v>179</v>
      </c>
      <c r="F1" s="23" t="s">
        <v>180</v>
      </c>
      <c r="G1" s="23" t="s">
        <v>181</v>
      </c>
      <c r="H1" s="23" t="s">
        <v>14</v>
      </c>
      <c r="I1" s="23" t="s">
        <v>15</v>
      </c>
      <c r="J1" s="23" t="s">
        <v>182</v>
      </c>
      <c r="K1" s="23" t="s">
        <v>183</v>
      </c>
      <c r="L1" s="23" t="s">
        <v>184</v>
      </c>
      <c r="M1" s="24" t="s">
        <v>185</v>
      </c>
      <c r="N1" s="23" t="s">
        <v>186</v>
      </c>
      <c r="O1" s="23" t="s">
        <v>187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191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193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192</v>
      </c>
      <c r="O27" s="39">
        <v>202230</v>
      </c>
    </row>
    <row r="28" spans="1:15" ht="18" customHeight="1">
      <c r="A28" s="80" t="s">
        <v>194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/>
      <c r="K29" s="29">
        <v>0.34027777777777779</v>
      </c>
      <c r="L29" s="29"/>
      <c r="M29" s="30">
        <f t="shared" ref="M29:M40" ca="1" si="7">IFERROR(IF(K29="","",IF(L29="",MOD(NOW()-K29,1),IF(L29&gt;=K29,L29-K29,L29+1-K29))),"")</f>
        <v>4.9746180549846031E-2</v>
      </c>
      <c r="N29" s="27" t="s">
        <v>205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196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196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196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196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196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196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196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196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196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196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191</v>
      </c>
      <c r="B41" s="78"/>
      <c r="C41" s="78"/>
      <c r="D41" s="78"/>
      <c r="E41" s="79">
        <f>SUM(E29:E40)</f>
        <v>0</v>
      </c>
      <c r="F41" s="36">
        <f>SUM(F29:F40)</f>
        <v>12</v>
      </c>
      <c r="G41" s="36">
        <f>SUM(G29:G40)</f>
        <v>50.400000000000006</v>
      </c>
      <c r="H41" s="37"/>
      <c r="I41" s="37"/>
      <c r="J41" s="37"/>
      <c r="K41" s="61"/>
      <c r="L41" s="61"/>
      <c r="M41" s="38">
        <f ca="1">IFERROR(SUM(M29:M40),"")</f>
        <v>4.9746180549846031E-2</v>
      </c>
      <c r="N41" s="36" t="s">
        <v>192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193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192</v>
      </c>
      <c r="O54" s="39"/>
    </row>
    <row r="55" spans="1:15" ht="18" customHeight="1">
      <c r="A55" s="80" t="s">
        <v>194</v>
      </c>
      <c r="B55" s="81"/>
      <c r="C55" s="81"/>
      <c r="D55" s="81"/>
      <c r="E55" s="82">
        <f>E41+E54</f>
        <v>0</v>
      </c>
      <c r="F55" s="40">
        <f>F41+F54</f>
        <v>12</v>
      </c>
      <c r="G55" s="40">
        <f>G41+G54</f>
        <v>50.400000000000006</v>
      </c>
      <c r="H55" s="41"/>
      <c r="I55" s="41"/>
      <c r="J55" s="41"/>
      <c r="K55" s="63"/>
      <c r="L55" s="63"/>
      <c r="M55" s="42">
        <f ca="1">IFERROR(M41+M54,"")</f>
        <v>4.9746180549846031E-2</v>
      </c>
      <c r="N55" s="40" t="s">
        <v>195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191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192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193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192</v>
      </c>
      <c r="O81" s="39"/>
    </row>
    <row r="82" spans="1:15" ht="18" customHeight="1">
      <c r="A82" s="80" t="s">
        <v>194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195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191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192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193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192</v>
      </c>
      <c r="O108" s="39"/>
    </row>
    <row r="109" spans="1:15" ht="18" customHeight="1">
      <c r="A109" s="80" t="s">
        <v>194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195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191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192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193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192</v>
      </c>
      <c r="O135" s="39"/>
    </row>
    <row r="136" spans="1:15" ht="18" customHeight="1">
      <c r="A136" s="80" t="s">
        <v>194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195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191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192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193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192</v>
      </c>
      <c r="O162" s="39"/>
    </row>
    <row r="163" spans="1:15" ht="18" customHeight="1">
      <c r="A163" s="80" t="s">
        <v>194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195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191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192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193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192</v>
      </c>
      <c r="O189" s="39"/>
    </row>
    <row r="190" spans="1:15" ht="18" customHeight="1">
      <c r="A190" s="80" t="s">
        <v>194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195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191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192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193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192</v>
      </c>
      <c r="O216" s="45"/>
    </row>
    <row r="217" spans="1:15" ht="18" customHeight="1">
      <c r="A217" s="80" t="s">
        <v>194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195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191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193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192</v>
      </c>
      <c r="O243" s="39"/>
    </row>
    <row r="244" spans="1:15" ht="18" customHeight="1">
      <c r="A244" s="80" t="s">
        <v>194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191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193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192</v>
      </c>
      <c r="O270" s="39"/>
    </row>
    <row r="271" spans="1:15" ht="18" customHeight="1">
      <c r="A271" s="80" t="s">
        <v>194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191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193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192</v>
      </c>
      <c r="O297" s="39"/>
    </row>
    <row r="298" spans="1:15" ht="18" customHeight="1">
      <c r="A298" s="80" t="s">
        <v>194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191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193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192</v>
      </c>
      <c r="O324" s="39"/>
    </row>
    <row r="325" spans="1:15" ht="18" customHeight="1">
      <c r="A325" s="80" t="s">
        <v>194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191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193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192</v>
      </c>
      <c r="O351" s="39"/>
    </row>
    <row r="352" spans="1:15" ht="18" customHeight="1">
      <c r="A352" s="80" t="s">
        <v>194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191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193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192</v>
      </c>
      <c r="O378" s="39"/>
    </row>
    <row r="379" spans="1:15" ht="18" customHeight="1">
      <c r="A379" s="80" t="s">
        <v>194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191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193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192</v>
      </c>
      <c r="O405" s="39"/>
    </row>
    <row r="406" spans="1:15" ht="18" customHeight="1">
      <c r="A406" s="80" t="s">
        <v>194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191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193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192</v>
      </c>
      <c r="O432" s="39"/>
    </row>
    <row r="433" spans="1:17" ht="18" customHeight="1">
      <c r="A433" s="80" t="s">
        <v>194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191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193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192</v>
      </c>
      <c r="O459" s="39"/>
    </row>
    <row r="460" spans="1:15" ht="18" customHeight="1">
      <c r="A460" s="80" t="s">
        <v>194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191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193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192</v>
      </c>
      <c r="O486" s="39"/>
    </row>
    <row r="487" spans="1:15" ht="18" customHeight="1">
      <c r="A487" s="80" t="s">
        <v>194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191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193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192</v>
      </c>
      <c r="O513" s="39"/>
    </row>
    <row r="514" spans="1:15" ht="18" customHeight="1">
      <c r="A514" s="80" t="s">
        <v>194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191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193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192</v>
      </c>
      <c r="O540" s="39"/>
    </row>
    <row r="541" spans="1:15" ht="18" customHeight="1">
      <c r="A541" s="80" t="s">
        <v>194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191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193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192</v>
      </c>
      <c r="O567" s="39"/>
    </row>
    <row r="568" spans="1:15" ht="18" customHeight="1">
      <c r="A568" s="80" t="s">
        <v>194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191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193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192</v>
      </c>
      <c r="O594" s="39"/>
    </row>
    <row r="595" spans="1:15" ht="18" customHeight="1">
      <c r="A595" s="80" t="s">
        <v>194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191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193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192</v>
      </c>
      <c r="O621" s="39"/>
    </row>
    <row r="622" spans="1:15" ht="18" customHeight="1">
      <c r="A622" s="80" t="s">
        <v>194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191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193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192</v>
      </c>
      <c r="O648" s="39"/>
    </row>
    <row r="649" spans="1:15" ht="18" customHeight="1">
      <c r="A649" s="80" t="s">
        <v>194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191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193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192</v>
      </c>
      <c r="O675" s="39"/>
    </row>
    <row r="676" spans="1:15" ht="18" customHeight="1">
      <c r="A676" s="80" t="s">
        <v>194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191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193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192</v>
      </c>
      <c r="O702" s="39"/>
    </row>
    <row r="703" spans="1:15" ht="18" customHeight="1">
      <c r="A703" s="80" t="s">
        <v>194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191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193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192</v>
      </c>
      <c r="O729" s="39"/>
    </row>
    <row r="730" spans="1:15" ht="18" customHeight="1">
      <c r="A730" s="80" t="s">
        <v>194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191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193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192</v>
      </c>
      <c r="O756" s="39"/>
    </row>
    <row r="757" spans="1:15" ht="18" customHeight="1">
      <c r="A757" s="80" t="s">
        <v>194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191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193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192</v>
      </c>
      <c r="O783" s="39"/>
    </row>
    <row r="784" spans="1:15" ht="18" customHeight="1">
      <c r="A784" s="80" t="s">
        <v>194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191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193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192</v>
      </c>
      <c r="O810" s="39"/>
    </row>
    <row r="811" spans="1:15" ht="18" customHeight="1">
      <c r="A811" s="80" t="s">
        <v>194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195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2026-07-02T13:23:50Z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