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61" documentId="8_{AF585B22-221D-4780-BB9C-493D365A6A02}" xr6:coauthVersionLast="47" xr6:coauthVersionMax="47" xr10:uidLastSave="{1AC03B5E-1380-4F5C-A29B-0B61E3BE90E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<sst xmlns="http://schemas.openxmlformats.org/spreadsheetml/2006/main" count="6060" uniqueCount="314">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</sst>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>
        <v>0.8125</v>
      </c>
      <c r="L366" s="29"/>
      <c r="M366" s="30">
        <f t="shared" ref="M366:M377" ca="1" si="82">IFERROR(IF(K366="","",IF(L366="",MOD(NOW()-K366,1),IF(L366&gt;=K366,L366-K366,L366+1-K366))),"")</f>
        <v>3.8381828700948972E-2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3.8381828700948972E-2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0.12935405092317109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E372" sqref="E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16</v>
      </c>
      <c r="G378" s="36">
        <f>SUM(G366:G377)</f>
        <v>67.2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174</v>
      </c>
      <c r="G379" s="40">
        <f>G365+G378</f>
        <v>730.80000000000007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E377" sqref="E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</v>
      </c>
      <c r="G378" s="36">
        <f>SUM(G366:G377)</f>
        <v>50.400000000000006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</v>
      </c>
      <c r="G379" s="40">
        <f>G365+G378</f>
        <v>88.200000000000017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8" activePane="bottomLeft" state="frozen"/>
      <selection pane="bottomLeft" activeCell="K368" sqref="K3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0.60157627314765705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0.80088182870321267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1.1682429398143237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/>
      <c r="F366" s="27">
        <v>20</v>
      </c>
      <c r="G366" s="28" t="str">
        <f t="shared" ref="G366:G377" si="81">IF(F366="","",IF(E366="PC 17",F366*4.2,IF(E366="PC 19",F366*5,"")))</f>
        <v/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/>
      <c r="F367" s="27"/>
      <c r="G367" s="34" t="str">
        <f t="shared" si="81"/>
        <v/>
      </c>
      <c r="H367" s="33"/>
      <c r="I367" s="33"/>
      <c r="J367" s="33"/>
      <c r="K367" s="29">
        <v>0.85069444444444442</v>
      </c>
      <c r="L367" s="29"/>
      <c r="M367" s="35">
        <f t="shared" ca="1" si="82"/>
        <v>1.8738425569608808E-4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1.1992939811251602E-2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145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0.11685405092236278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2026-07-15T00:25:40Z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