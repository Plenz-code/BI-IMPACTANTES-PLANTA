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70" documentId="8_{AF585B22-221D-4780-BB9C-493D365A6A02}" xr6:coauthVersionLast="47" xr6:coauthVersionMax="47" xr10:uidLastSave="{E38B2F94-25B7-4698-8684-D094A82AFEA1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<sst xmlns="http://schemas.openxmlformats.org/spreadsheetml/2006/main" count="3955" uniqueCount="274">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</sst>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5" sqref="F22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113</v>
      </c>
      <c r="G230" s="36">
        <f>SUM(G218:G229)</f>
        <v>565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113</v>
      </c>
      <c r="G244" s="40">
        <f>G230+G243</f>
        <v>565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L220" sqref="L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0.20555555555555549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0.20555555555555549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K219" sqref="K2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/>
      <c r="I218" s="26"/>
      <c r="J218" s="26"/>
      <c r="K218" s="29">
        <v>0.5444444444444444</v>
      </c>
      <c r="L218" s="29"/>
      <c r="M218" s="30">
        <f t="shared" ref="M218:M229" ca="1" si="49">IFERROR(IF(K218="","",IF(L218="",MOD(NOW()-K218,1),IF(L218&gt;=K218,L218-K218,L218+1-K218))),"")</f>
        <v>4.4019791668688413E-2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55</v>
      </c>
      <c r="G230" s="36">
        <f>SUM(G218:G229)</f>
        <v>231</v>
      </c>
      <c r="H230" s="37"/>
      <c r="I230" s="37"/>
      <c r="J230" s="37"/>
      <c r="K230" s="37"/>
      <c r="L230" s="37"/>
      <c r="M230" s="38">
        <f ca="1">IFERROR(SUM(M218:M229),"")</f>
        <v>4.4019791668688413E-2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55</v>
      </c>
      <c r="G244" s="40">
        <f>G230+G243</f>
        <v>231</v>
      </c>
      <c r="H244" s="41"/>
      <c r="I244" s="41"/>
      <c r="J244" s="41"/>
      <c r="K244" s="41"/>
      <c r="L244" s="41"/>
      <c r="M244" s="42">
        <f ca="1">IFERROR(M230+M243,"")</f>
        <v>4.4019791668688413E-2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K221" sqref="K2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0.33915868055919418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0.53846423611474981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0.90582534722586083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/>
      <c r="I220" s="26"/>
      <c r="J220" s="26"/>
      <c r="K220" s="29">
        <v>0.58819444444444446</v>
      </c>
      <c r="L220" s="29"/>
      <c r="M220" s="30">
        <f t="shared" ca="1" si="49"/>
        <v>2.697916715987958E-4</v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76</v>
      </c>
      <c r="G230" s="36">
        <f>SUM(G218:G229)</f>
        <v>319.20000000000005</v>
      </c>
      <c r="H230" s="37"/>
      <c r="I230" s="37"/>
      <c r="J230" s="37"/>
      <c r="K230" s="61"/>
      <c r="L230" s="61"/>
      <c r="M230" s="38">
        <f ca="1">IFERROR(SUM(M218:M229),"")</f>
        <v>0.12388090278270997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76</v>
      </c>
      <c r="G244" s="40">
        <f>G230+G243</f>
        <v>319.20000000000005</v>
      </c>
      <c r="H244" s="41"/>
      <c r="I244" s="41"/>
      <c r="J244" s="41"/>
      <c r="K244" s="63"/>
      <c r="L244" s="63"/>
      <c r="M244" s="42">
        <f ca="1">IFERROR(M230+M243,"")</f>
        <v>0.12388090278270997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2026-07-09T18:07:56Z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