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3995" documentId="8_{C51EB6CB-002B-4D6B-B68F-DDEBDB4460C0}" xr6:coauthVersionLast="47" xr6:coauthVersionMax="47" xr10:uidLastSave="{95EF4830-641D-4102-BE3C-2FF9EC9B939D}"/>
  <bookViews>
    <workbookView xWindow="-108" yWindow="-108" windowWidth="23256" windowHeight="12456" tabRatio="500" firstSheet="4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176" i="6" l="1"/>
  <c r="G137" i="4"/>
  <c r="G34" i="3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G264" i="5"/>
  <c r="M263" i="5"/>
  <c r="G263" i="5"/>
  <c r="M262" i="5"/>
  <c r="G262" i="5"/>
  <c r="M261" i="5"/>
  <c r="G261" i="5"/>
  <c r="M260" i="5"/>
  <c r="G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57" i="5"/>
  <c r="F271" i="5" s="1"/>
  <c r="E257" i="5"/>
  <c r="E271" i="5" s="1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E230" i="3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G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6" i="1" l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487" i="3" s="1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G649" i="3" l="1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<sst xmlns="http://schemas.openxmlformats.org/spreadsheetml/2006/main" count="4143" uniqueCount="301">
  <si>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</si>
  <si>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</si>
  <si>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</si>
  <si>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</si>
  <si>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</si>
  <si>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</si>
  <si>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</si>
  <si>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</si>
  <si>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</si>
  <si>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</si>
  <si>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</si>
  <si>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</si>
  <si>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</si>
  <si>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</si>
  <si>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</si>
  <si>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</si>
  <si>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</si>
  <si>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</si>
  <si>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</si>
  <si>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</si>
  <si>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</si>
  <si>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</si>
  <si>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</si>
  <si>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</si>
  <si>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</si>
  <si>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</si>
  <si>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</si>
  <si>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</si>
  <si>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</si>
  <si>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</si>
  <si>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</si>
  <si>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</si>
  <si>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</si>
  <si>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</si>
  <si>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</si>
  <si>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</si>
  <si>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</si>
  <si>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</si>
  <si>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</si>
  <si>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</si>
  <si>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</si>
  <si>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</si>
  <si>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</si>
  <si>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</si>
  <si>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</si>
  <si>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</si>
  <si>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</si>
  <si>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</si>
  <si>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</si>
  <si>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</si>
  <si>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</si>
  <si>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</si>
  <si>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</si>
  <si>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</si>
  <si>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</si>
  <si>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</si>
  <si>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</si>
  <si>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</si>
  <si>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</si>
  <si>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</si>
  <si>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</si>
  <si>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</si>
  <si>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</si>
  <si>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</si>
  <si>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</si>
  <si>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</si>
  <si>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</si>
  <si>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</si>
  <si>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</si>
  <si>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</si>
  <si>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</si>
  <si>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</si>
  <si>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</si>
  <si>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</si>
  <si>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</si>
  <si>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</si>
  <si>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</si>
  <si>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</si>
  <si>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</si>
  <si>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</si>
  <si>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</si>
  <si>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</si>
  <si>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</si>
  <si>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</si>
  <si>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</si>
  <si>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</si>
  <si>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</si>
  <si>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</si>
  <si>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</si>
  <si>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</si>
  <si>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</si>
  <si>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</si>
  <si>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</si>
  <si>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</si>
  <si>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</si>
  <si>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</si>
  <si>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</si>
  <si>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</si>
  <si>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</si>
  <si>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</si>
  <si>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</si>
  <si>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</si>
  <si>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</si>
  <si>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</si>
  <si>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</si>
  <si>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</si>
  <si>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</si>
  <si>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</si>
  <si>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</si>
  <si>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</si>
  <si>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</si>
  <si>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</si>
  <si>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</si>
  <si>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</si>
  <si>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</si>
  <si>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</si>
  <si>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</si>
  <si>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</si>
  <si>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</si>
  <si>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</si>
  <si>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</si>
  <si>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</si>
  <si>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</si>
  <si>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</si>
  <si>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</si>
  <si>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</si>
  <si>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</si>
  <si>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</si>
  <si>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</si>
  <si>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</si>
  <si>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</si>
  <si>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</si>
  <si>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</si>
  <si>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</si>
  <si>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</si>
  <si>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</si>
  <si>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</si>
  <si>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</si>
  <si>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</si>
  <si>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</si>
  <si>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</si>
  <si>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</si>
  <si>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</si>
  <si>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</si>
  <si>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</si>
  <si>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</si>
  <si>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</si>
  <si>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</si>
  <si>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</si>
  <si>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</si>
  <si>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</si>
  <si>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</si>
  <si>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</si>
  <si>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</si>
  <si>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</si>
  <si>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</si>
  <si>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</si>
  <si>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</si>
  <si>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</si>
  <si>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</si>
  <si>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</si>
  <si>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</si>
  <si>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</si>
  <si>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</si>
  <si>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</si>
  <si>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</si>
  <si>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</si>
  <si>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</si>
  <si>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</si>
  <si>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</si>
  <si>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</si>
  <si>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</si>
  <si>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</si>
  <si>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</si>
  <si>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</si>
  <si>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</si>
  <si>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</si>
  <si>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</si>
  <si>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</si>
  <si>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</si>
  <si>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</si>
  <si>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</si>
  <si>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</si>
  <si>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</si>
  <si>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</si>
  <si>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</si>
  <si>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</si>
  <si>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</si>
  <si>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</si>
  <si>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</si>
  <si>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</si>
  <si>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</si>
  <si>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</si>
  <si>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</si>
  <si>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</si>
  <si>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</si>
  <si>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</si>
  <si>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</si>
  <si>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</si>
  <si>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</si>
  <si>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</si>
  <si>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</si>
  <si>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</si>
  <si>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</si>
  <si>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</si>
  <si>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</si>
  <si>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</si>
  <si>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</si>
  <si>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</si>
  <si>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</si>
  <si>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</si>
  <si>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</si>
  <si>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</si>
  <si>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</si>
  <si>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</si>
  <si>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</si>
  <si>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</si>
  <si>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</si>
  <si>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</si>
  <si>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</si>
  <si>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</si>
  <si>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</si>
  <si>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</si>
  <si>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</si>
  <si>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</si>
  <si>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</si>
  <si>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</si>
  <si>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</si>
  <si>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</si>
  <si>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</si>
  <si>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</si>
  <si>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</si>
  <si>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</si>
  <si>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</si>
  <si>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</si>
  <si>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</si>
  <si>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</si>
  <si>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</si>
  <si>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</si>
  <si>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</si>
  <si>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</si>
  <si>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</si>
  <si>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</si>
  <si>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</si>
  <si>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</si>
  <si>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</si>
  <si>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</si>
  <si>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</si>
  <si>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</si>
  <si>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</si>
  <si>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</si>
  <si>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</si>
  <si>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</si>
  <si>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</si>
  <si>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</si>
  <si>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</si>
  <si>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</si>
  <si>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</si>
  <si>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</si>
  <si>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</si>
  <si>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</si>
  <si>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alto teor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</si>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</sst>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9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3" fontId="14" fillId="14" borderId="6" xfId="0" applyNumberFormat="1" applyFont="1" applyFill="1" applyBorder="1" applyAlignment="1" applyProtection="1">
      <alignment horizontal="center"/>
      <protection locked="0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23" sqref="G23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7" t="s">
        <v>0</v>
      </c>
      <c r="B1" s="107"/>
      <c r="C1" s="107"/>
      <c r="D1" s="107"/>
      <c r="E1" s="107"/>
      <c r="F1" s="107"/>
      <c r="G1" s="107"/>
    </row>
    <row r="2" spans="1:7" ht="24.75" customHeight="1">
      <c r="A2" s="108"/>
      <c r="B2" s="108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2332870</v>
      </c>
      <c r="D5" s="11">
        <f>IFERROR('Linha 1'!O55,"")</f>
        <v>663500</v>
      </c>
      <c r="E5" s="11">
        <f>IFERROR('Linha 2'!O55,"")</f>
        <v>517060</v>
      </c>
      <c r="F5" s="11">
        <f>IFERROR('Linha 3'!O55,"")</f>
        <v>1119230</v>
      </c>
      <c r="G5" s="12">
        <f t="shared" si="0"/>
        <v>2299790</v>
      </c>
    </row>
    <row r="6" spans="1:7" ht="15.75" customHeight="1">
      <c r="A6" s="7">
        <v>3</v>
      </c>
      <c r="B6" s="72">
        <v>46237</v>
      </c>
      <c r="C6" s="8">
        <f>IFERROR(Britador!O82,"")</f>
        <v>3650860</v>
      </c>
      <c r="D6" s="8">
        <f>IFERROR('Linha 1'!O82,"")</f>
        <v>1199440</v>
      </c>
      <c r="E6" s="8">
        <f>IFERROR('Linha 2'!O82,"")</f>
        <v>407300</v>
      </c>
      <c r="F6" s="8">
        <f>IFERROR('Linha 3'!O82,"")</f>
        <v>1089500</v>
      </c>
      <c r="G6" s="9">
        <f>IFERROR(D6+E6+F6,"")</f>
        <v>2696240</v>
      </c>
    </row>
    <row r="7" spans="1:7" ht="15.75" customHeight="1">
      <c r="A7" s="10">
        <v>4</v>
      </c>
      <c r="B7" s="73">
        <v>46238</v>
      </c>
      <c r="C7" s="11">
        <f>IFERROR(Britador!O109,"")</f>
        <v>5206240</v>
      </c>
      <c r="D7" s="11">
        <f>IFERROR('Linha 1'!O109,"")</f>
        <v>906430</v>
      </c>
      <c r="E7" s="11">
        <f>IFERROR('Linha 2'!O109,"")</f>
        <v>638530</v>
      </c>
      <c r="F7" s="11">
        <f>IFERROR('Linha 3'!O109,"")</f>
        <v>1742770</v>
      </c>
      <c r="G7" s="12">
        <f t="shared" si="0"/>
        <v>3287730</v>
      </c>
    </row>
    <row r="8" spans="1:7" ht="15.75" customHeight="1">
      <c r="A8" s="7">
        <v>5</v>
      </c>
      <c r="B8" s="72">
        <v>46239</v>
      </c>
      <c r="C8" s="8">
        <f>IFERROR(Britador!O136,"")</f>
        <v>3721840</v>
      </c>
      <c r="D8" s="8">
        <f>IFERROR('Linha 1'!O136,"")</f>
        <v>1547790</v>
      </c>
      <c r="E8" s="8">
        <f>IFERROR('Linha 2'!O136,"")</f>
        <v>736720</v>
      </c>
      <c r="F8" s="8">
        <f>IFERROR('Linha 3'!O136,"")</f>
        <v>1723820</v>
      </c>
      <c r="G8" s="9">
        <f t="shared" si="0"/>
        <v>4008330</v>
      </c>
    </row>
    <row r="9" spans="1:7" ht="15.75" customHeight="1">
      <c r="A9" s="10">
        <v>6</v>
      </c>
      <c r="B9" s="73">
        <v>46240</v>
      </c>
      <c r="C9" s="11">
        <f>IFERROR(Britador!O163,"")</f>
        <v>2492350</v>
      </c>
      <c r="D9" s="11">
        <f>IFERROR('Linha 1'!O163,"")</f>
        <v>1035610</v>
      </c>
      <c r="E9" s="11">
        <f>IFERROR('Linha 2'!O163,"")</f>
        <v>308650</v>
      </c>
      <c r="F9" s="11">
        <f>IFERROR('Linha 3'!O163,"")</f>
        <v>1371090</v>
      </c>
      <c r="G9" s="12">
        <f t="shared" si="0"/>
        <v>2715350</v>
      </c>
    </row>
    <row r="10" spans="1:7" ht="15.75" customHeight="1">
      <c r="A10" s="7">
        <v>7</v>
      </c>
      <c r="B10" s="72">
        <v>46241</v>
      </c>
      <c r="C10" s="8">
        <f>IFERROR(Britador!O190,"")</f>
        <v>4836450</v>
      </c>
      <c r="D10" s="8">
        <f>IFERROR('Linha 1'!O190,"")</f>
        <v>728820</v>
      </c>
      <c r="E10" s="8">
        <f>IFERROR('Linha 2'!O190,"")</f>
        <v>343570</v>
      </c>
      <c r="F10" s="8">
        <f>IFERROR('Linha 3'!O190,"")</f>
        <v>1352150</v>
      </c>
      <c r="G10" s="9">
        <f t="shared" si="0"/>
        <v>2424540</v>
      </c>
    </row>
    <row r="11" spans="1:7" ht="15.75" customHeight="1">
      <c r="A11" s="10">
        <v>8</v>
      </c>
      <c r="B11" s="73">
        <v>46242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2">
        <v>46243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3">
        <v>46244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9" t="s">
        <v>9</v>
      </c>
      <c r="B35" s="109"/>
      <c r="C35" s="13">
        <f>IFERROR(SUM(C4:C34),"")</f>
        <v>24036285</v>
      </c>
      <c r="D35" s="13">
        <f>IFERROR(SUM(D4:D34),"")</f>
        <v>7112730</v>
      </c>
      <c r="E35" s="13">
        <f>IFERROR(SUM(E4:E34),"")</f>
        <v>3636350</v>
      </c>
      <c r="F35" s="13">
        <f>IFERROR(SUM(F4:F34),"")</f>
        <v>9451500</v>
      </c>
      <c r="G35" s="13">
        <f>IFERROR(SUM(G4:G34),"")</f>
        <v>20200580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" zoomScale="85" zoomScaleNormal="85" workbookViewId="0">
      <selection activeCell="J20" sqref="J20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0" t="s">
        <v>10</v>
      </c>
      <c r="B1" s="110"/>
      <c r="C1" s="110"/>
      <c r="D1" s="110"/>
      <c r="E1" s="110"/>
      <c r="F1" s="110"/>
      <c r="G1" s="110"/>
      <c r="H1" s="111"/>
      <c r="I1" s="112" t="s">
        <v>11</v>
      </c>
      <c r="J1" s="112"/>
      <c r="K1" s="112"/>
      <c r="L1" s="112"/>
      <c r="M1" s="112"/>
    </row>
    <row r="2" spans="1:13" ht="4.5" customHeight="1">
      <c r="H2" s="111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1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1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1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1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1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1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1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1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1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1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1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1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1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1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1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1"/>
      <c r="I18" s="16" t="s">
        <v>110</v>
      </c>
      <c r="J18" s="16" t="s">
        <v>111</v>
      </c>
      <c r="K18" s="16" t="s">
        <v>112</v>
      </c>
      <c r="L18" s="16" t="s">
        <v>113</v>
      </c>
      <c r="M18" s="16" t="s">
        <v>114</v>
      </c>
    </row>
    <row r="19" spans="1:13" ht="15.75" customHeight="1">
      <c r="A19" s="17"/>
      <c r="C19" s="17"/>
      <c r="E19" s="17"/>
      <c r="G19" s="17" t="s">
        <v>115</v>
      </c>
      <c r="H19" s="111"/>
      <c r="I19" s="17" t="s">
        <v>116</v>
      </c>
      <c r="J19" s="17" t="s">
        <v>117</v>
      </c>
      <c r="K19" s="17" t="s">
        <v>118</v>
      </c>
      <c r="L19" s="17"/>
      <c r="M19" s="17" t="s">
        <v>119</v>
      </c>
    </row>
    <row r="20" spans="1:13" ht="15.75" customHeight="1">
      <c r="A20" s="16"/>
      <c r="C20" s="16"/>
      <c r="E20" s="16"/>
      <c r="G20" s="16" t="s">
        <v>120</v>
      </c>
      <c r="H20" s="111"/>
      <c r="I20" s="16"/>
      <c r="J20" s="16"/>
      <c r="K20" s="16" t="s">
        <v>121</v>
      </c>
      <c r="L20" s="16"/>
      <c r="M20" s="16" t="s">
        <v>122</v>
      </c>
    </row>
    <row r="21" spans="1:13" ht="15.75" customHeight="1">
      <c r="A21" s="17"/>
      <c r="C21" s="17"/>
      <c r="E21" s="17"/>
      <c r="G21" s="17" t="s">
        <v>123</v>
      </c>
      <c r="H21" s="111"/>
      <c r="I21" s="17"/>
      <c r="J21" s="17"/>
      <c r="K21" s="17" t="s">
        <v>124</v>
      </c>
      <c r="L21" s="17"/>
      <c r="M21" s="17" t="s">
        <v>125</v>
      </c>
    </row>
    <row r="22" spans="1:13" ht="15.75" customHeight="1">
      <c r="A22" s="16"/>
      <c r="C22" s="16"/>
      <c r="E22" s="16"/>
      <c r="G22" s="16" t="s">
        <v>126</v>
      </c>
      <c r="H22" s="111"/>
      <c r="I22" s="16"/>
      <c r="J22" s="16"/>
      <c r="K22" s="16" t="s">
        <v>127</v>
      </c>
      <c r="L22" s="16"/>
      <c r="M22" s="16" t="s">
        <v>128</v>
      </c>
    </row>
    <row r="23" spans="1:13" ht="15.75" customHeight="1">
      <c r="A23" s="17"/>
      <c r="C23" s="17"/>
      <c r="E23" s="17"/>
      <c r="G23" s="17" t="s">
        <v>129</v>
      </c>
      <c r="H23" s="111"/>
      <c r="I23" s="17"/>
      <c r="J23" s="17"/>
      <c r="K23" s="17" t="s">
        <v>130</v>
      </c>
      <c r="L23" s="17"/>
      <c r="M23" s="17" t="s">
        <v>131</v>
      </c>
    </row>
    <row r="24" spans="1:13" ht="15.75" customHeight="1">
      <c r="A24" s="16"/>
      <c r="C24" s="16"/>
      <c r="E24" s="16"/>
      <c r="G24" s="16" t="s">
        <v>132</v>
      </c>
      <c r="H24" s="111"/>
      <c r="I24" s="16"/>
      <c r="J24" s="16"/>
      <c r="K24" s="16" t="s">
        <v>133</v>
      </c>
      <c r="L24" s="16"/>
      <c r="M24" s="16" t="s">
        <v>134</v>
      </c>
    </row>
    <row r="25" spans="1:13" ht="15.75" customHeight="1">
      <c r="A25" s="17"/>
      <c r="C25" s="17"/>
      <c r="E25" s="17"/>
      <c r="G25" s="17" t="s">
        <v>135</v>
      </c>
      <c r="H25" s="111"/>
      <c r="I25" s="17"/>
      <c r="J25" s="17"/>
      <c r="K25" s="17" t="s">
        <v>136</v>
      </c>
      <c r="L25" s="17"/>
      <c r="M25" s="17" t="s">
        <v>137</v>
      </c>
    </row>
    <row r="26" spans="1:13" ht="15.75" customHeight="1">
      <c r="A26" s="16"/>
      <c r="C26" s="16"/>
      <c r="E26" s="16"/>
      <c r="G26" s="16" t="s">
        <v>138</v>
      </c>
      <c r="H26" s="111"/>
      <c r="I26" s="16"/>
      <c r="J26" s="16"/>
      <c r="K26" s="16" t="s">
        <v>139</v>
      </c>
      <c r="L26" s="16"/>
      <c r="M26" s="16"/>
    </row>
    <row r="27" spans="1:13" ht="15.75" customHeight="1">
      <c r="A27" s="17"/>
      <c r="C27" s="17"/>
      <c r="E27" s="17"/>
      <c r="G27" s="17" t="s">
        <v>140</v>
      </c>
      <c r="H27" s="111"/>
      <c r="I27" s="17"/>
      <c r="J27" s="17"/>
      <c r="K27" s="17" t="s">
        <v>131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141</v>
      </c>
      <c r="H28" s="111"/>
      <c r="I28" s="16"/>
      <c r="J28" s="16"/>
      <c r="K28" s="16" t="s">
        <v>134</v>
      </c>
      <c r="L28" s="16"/>
      <c r="M28" s="16" t="s">
        <v>142</v>
      </c>
    </row>
    <row r="29" spans="1:13" ht="15.75" customHeight="1">
      <c r="A29" s="17"/>
      <c r="C29" s="17"/>
      <c r="E29" s="17"/>
      <c r="G29" s="17" t="s">
        <v>143</v>
      </c>
      <c r="H29" s="111"/>
      <c r="I29" s="17"/>
      <c r="J29" s="17"/>
      <c r="K29" s="17" t="s">
        <v>144</v>
      </c>
      <c r="L29" s="17"/>
      <c r="M29" s="17" t="s">
        <v>145</v>
      </c>
    </row>
    <row r="30" spans="1:13" ht="15.75" customHeight="1">
      <c r="A30" s="16"/>
      <c r="C30" s="16"/>
      <c r="E30" s="16"/>
      <c r="G30" s="16" t="s">
        <v>146</v>
      </c>
      <c r="H30" s="111"/>
      <c r="I30" s="16"/>
      <c r="J30" s="16"/>
      <c r="K30" s="16" t="s">
        <v>147</v>
      </c>
      <c r="L30" s="16"/>
      <c r="M30" s="16" t="s">
        <v>148</v>
      </c>
    </row>
    <row r="31" spans="1:13" ht="15.75" customHeight="1">
      <c r="A31" s="17"/>
      <c r="C31" s="17"/>
      <c r="E31" s="17"/>
      <c r="G31" s="17" t="s">
        <v>149</v>
      </c>
      <c r="H31" s="111"/>
      <c r="I31" s="17"/>
      <c r="J31" s="17"/>
      <c r="K31" s="18" t="s">
        <v>150</v>
      </c>
      <c r="L31" s="17"/>
      <c r="M31" s="17" t="s">
        <v>151</v>
      </c>
    </row>
    <row r="32" spans="1:13" ht="15.75" customHeight="1">
      <c r="A32" s="16"/>
      <c r="C32" s="16"/>
      <c r="E32" s="16"/>
      <c r="G32" s="16" t="s">
        <v>152</v>
      </c>
      <c r="H32" s="111"/>
      <c r="I32" s="16"/>
      <c r="J32" s="16"/>
      <c r="K32" s="16" t="s">
        <v>153</v>
      </c>
      <c r="L32" s="16"/>
      <c r="M32" t="s">
        <v>154</v>
      </c>
    </row>
    <row r="33" spans="1:13" ht="15.75" customHeight="1">
      <c r="A33" s="17"/>
      <c r="C33" s="17"/>
      <c r="E33" s="17"/>
      <c r="G33" s="17" t="s">
        <v>155</v>
      </c>
      <c r="H33" s="111"/>
      <c r="I33" s="17"/>
      <c r="J33" s="17"/>
      <c r="K33" s="18" t="s">
        <v>156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157</v>
      </c>
      <c r="H34" s="111"/>
      <c r="I34" s="16"/>
      <c r="J34" s="16"/>
      <c r="K34" s="16" t="s">
        <v>79</v>
      </c>
      <c r="L34" s="16"/>
      <c r="M34" s="16" t="s">
        <v>158</v>
      </c>
    </row>
    <row r="35" spans="1:13" ht="15.75" customHeight="1">
      <c r="A35" s="17"/>
      <c r="C35" s="17"/>
      <c r="E35" s="17"/>
      <c r="G35" s="17" t="s">
        <v>159</v>
      </c>
      <c r="H35" s="111"/>
      <c r="I35" s="17"/>
      <c r="J35" s="17"/>
      <c r="K35" s="17" t="s">
        <v>160</v>
      </c>
      <c r="L35" s="17"/>
      <c r="M35" s="17" t="s">
        <v>161</v>
      </c>
    </row>
    <row r="36" spans="1:13" ht="15.75" customHeight="1">
      <c r="A36" s="16"/>
      <c r="C36" s="16"/>
      <c r="E36" s="16"/>
      <c r="G36" s="16" t="s">
        <v>162</v>
      </c>
      <c r="H36" s="111"/>
      <c r="I36" s="16"/>
      <c r="J36" s="16"/>
      <c r="K36" s="16" t="s">
        <v>163</v>
      </c>
      <c r="L36" s="16"/>
      <c r="M36" s="16" t="s">
        <v>164</v>
      </c>
    </row>
    <row r="37" spans="1:13" ht="15.75" customHeight="1">
      <c r="A37" s="17"/>
      <c r="C37" s="17"/>
      <c r="E37" s="17"/>
      <c r="G37" s="17" t="s">
        <v>165</v>
      </c>
      <c r="H37" s="111"/>
      <c r="I37" s="17"/>
      <c r="J37" s="17"/>
      <c r="K37" s="17" t="s">
        <v>166</v>
      </c>
      <c r="L37" s="17"/>
      <c r="M37" s="17" t="s">
        <v>167</v>
      </c>
    </row>
    <row r="38" spans="1:13" ht="15.75" customHeight="1">
      <c r="A38" s="16"/>
      <c r="C38" s="16"/>
      <c r="E38" s="16"/>
      <c r="G38" s="16" t="s">
        <v>168</v>
      </c>
      <c r="H38" s="111"/>
      <c r="I38" s="16"/>
      <c r="J38" s="16"/>
      <c r="K38" s="16" t="s">
        <v>169</v>
      </c>
      <c r="L38" s="16"/>
      <c r="M38" s="16" t="s">
        <v>170</v>
      </c>
    </row>
    <row r="39" spans="1:13" ht="15.75" customHeight="1">
      <c r="A39" s="17"/>
      <c r="C39" s="17"/>
      <c r="E39" s="17"/>
      <c r="G39" s="17"/>
      <c r="H39" s="111"/>
      <c r="I39" s="17"/>
      <c r="J39" s="17"/>
      <c r="K39" s="17" t="s">
        <v>171</v>
      </c>
      <c r="L39" s="17"/>
      <c r="M39" s="17" t="s">
        <v>172</v>
      </c>
    </row>
    <row r="40" spans="1:13" ht="15.75" customHeight="1">
      <c r="A40" s="16"/>
      <c r="C40" s="16"/>
      <c r="E40" s="16"/>
      <c r="G40" s="16"/>
      <c r="H40" s="111"/>
      <c r="I40" s="16"/>
      <c r="J40" s="16"/>
      <c r="K40" s="16" t="s">
        <v>173</v>
      </c>
      <c r="L40" s="16"/>
      <c r="M40" s="16" t="s">
        <v>174</v>
      </c>
    </row>
    <row r="41" spans="1:13" ht="15.75" customHeight="1">
      <c r="A41" s="17"/>
      <c r="C41" s="17"/>
      <c r="E41" s="17"/>
      <c r="G41" s="17"/>
      <c r="H41" s="111"/>
      <c r="I41" s="17"/>
      <c r="J41" s="17"/>
      <c r="K41" s="17" t="s">
        <v>175</v>
      </c>
      <c r="L41" s="17"/>
      <c r="M41" s="17" t="s">
        <v>176</v>
      </c>
    </row>
    <row r="42" spans="1:13" ht="15.75" customHeight="1">
      <c r="A42" s="16"/>
      <c r="C42" s="16"/>
      <c r="E42" s="16"/>
      <c r="G42" s="16"/>
      <c r="H42" s="111"/>
      <c r="I42" s="16"/>
      <c r="J42" s="16"/>
      <c r="K42" s="16" t="s">
        <v>177</v>
      </c>
      <c r="L42" s="16"/>
      <c r="M42" s="16" t="s">
        <v>178</v>
      </c>
    </row>
    <row r="43" spans="1:13" ht="15.75" customHeight="1">
      <c r="A43" s="17"/>
      <c r="C43" s="17"/>
      <c r="E43" s="17"/>
      <c r="G43" s="17"/>
      <c r="H43" s="111"/>
      <c r="I43" s="17"/>
      <c r="J43" s="17"/>
      <c r="K43" s="17" t="s">
        <v>179</v>
      </c>
      <c r="L43" s="17"/>
      <c r="M43" s="17" t="s">
        <v>180</v>
      </c>
    </row>
    <row r="44" spans="1:13" ht="15.75" customHeight="1">
      <c r="A44" s="16"/>
      <c r="C44" s="16"/>
      <c r="E44" s="16"/>
      <c r="G44" s="16"/>
      <c r="H44" s="111"/>
      <c r="I44" s="16"/>
      <c r="J44" s="16"/>
      <c r="K44" s="16" t="s">
        <v>181</v>
      </c>
      <c r="L44" s="16"/>
      <c r="M44" s="16" t="s">
        <v>182</v>
      </c>
    </row>
    <row r="45" spans="1:13" ht="15.75" customHeight="1">
      <c r="A45" s="17"/>
      <c r="C45" s="17"/>
      <c r="E45" s="17"/>
      <c r="G45" s="17"/>
      <c r="H45" s="111"/>
      <c r="I45" s="17"/>
      <c r="J45" s="17"/>
      <c r="K45" s="17"/>
      <c r="L45" s="17"/>
      <c r="M45" s="17" t="s">
        <v>183</v>
      </c>
    </row>
    <row r="46" spans="1:13" ht="15.75" customHeight="1">
      <c r="A46" s="16"/>
      <c r="C46" s="16"/>
      <c r="E46" s="16"/>
      <c r="G46" s="16"/>
      <c r="H46" s="111"/>
      <c r="I46" s="16"/>
      <c r="J46" s="16"/>
      <c r="K46" s="16" t="s">
        <v>184</v>
      </c>
      <c r="L46" s="16"/>
      <c r="M46" s="16" t="s">
        <v>185</v>
      </c>
    </row>
    <row r="47" spans="1:13" ht="15.75" customHeight="1">
      <c r="A47" s="17"/>
      <c r="C47" s="17"/>
      <c r="E47" s="17"/>
      <c r="G47" s="17"/>
      <c r="H47" s="111"/>
      <c r="I47" s="17"/>
      <c r="J47" s="17"/>
      <c r="K47" s="17" t="s">
        <v>186</v>
      </c>
      <c r="L47" s="17"/>
      <c r="M47" s="17" t="s">
        <v>187</v>
      </c>
    </row>
    <row r="48" spans="1:13" ht="15.75" customHeight="1">
      <c r="A48" s="16"/>
      <c r="C48" s="16"/>
      <c r="E48" s="16"/>
      <c r="G48" s="16"/>
      <c r="H48" s="111"/>
      <c r="I48" s="16"/>
      <c r="J48" s="16"/>
      <c r="K48" s="16" t="s">
        <v>188</v>
      </c>
      <c r="L48" s="16"/>
      <c r="M48" s="16" t="s">
        <v>189</v>
      </c>
    </row>
    <row r="49" spans="1:13" ht="18" customHeight="1">
      <c r="H49" s="111"/>
      <c r="I49" s="17"/>
      <c r="J49" s="17"/>
      <c r="K49" s="17" t="s">
        <v>190</v>
      </c>
      <c r="L49" s="17"/>
      <c r="M49" s="17" t="s">
        <v>191</v>
      </c>
    </row>
    <row r="50" spans="1:13" ht="21" customHeight="1">
      <c r="A50" s="19" t="s">
        <v>192</v>
      </c>
      <c r="B50" s="19"/>
      <c r="C50" s="19"/>
      <c r="D50" s="19"/>
      <c r="E50" s="19"/>
      <c r="F50" s="19"/>
      <c r="G50" s="19"/>
      <c r="H50" s="111"/>
      <c r="I50" s="16"/>
      <c r="J50" s="16"/>
      <c r="K50" s="16" t="s">
        <v>193</v>
      </c>
      <c r="L50" s="16"/>
      <c r="M50" s="16" t="s">
        <v>194</v>
      </c>
    </row>
    <row r="51" spans="1:13" ht="24" customHeight="1">
      <c r="H51" s="111"/>
      <c r="I51" s="17"/>
      <c r="J51" s="17"/>
      <c r="K51" s="17" t="s">
        <v>195</v>
      </c>
      <c r="L51" s="17"/>
      <c r="M51" s="17" t="s">
        <v>196</v>
      </c>
    </row>
    <row r="52" spans="1:13" ht="24" customHeight="1">
      <c r="H52" s="111"/>
      <c r="I52" s="16"/>
      <c r="J52" s="16"/>
      <c r="K52" s="16" t="s">
        <v>197</v>
      </c>
      <c r="L52" s="16"/>
      <c r="M52" s="16" t="s">
        <v>198</v>
      </c>
    </row>
    <row r="53" spans="1:13" ht="36" customHeight="1">
      <c r="H53" s="111"/>
      <c r="I53" s="17"/>
      <c r="J53" s="17"/>
      <c r="K53" s="17" t="s">
        <v>199</v>
      </c>
      <c r="L53" s="17"/>
      <c r="M53" s="17" t="s">
        <v>200</v>
      </c>
    </row>
    <row r="54" spans="1:13" ht="15" customHeight="1">
      <c r="H54" s="111"/>
      <c r="I54" s="16"/>
      <c r="J54" s="16"/>
      <c r="K54" s="16" t="s">
        <v>201</v>
      </c>
      <c r="L54" s="16"/>
      <c r="M54" s="16" t="s">
        <v>202</v>
      </c>
    </row>
    <row r="55" spans="1:13" ht="15" customHeight="1">
      <c r="H55" s="111"/>
      <c r="I55" s="17"/>
      <c r="J55" s="17"/>
      <c r="K55" s="17" t="s">
        <v>203</v>
      </c>
      <c r="L55" s="17"/>
      <c r="M55" s="17" t="s">
        <v>204</v>
      </c>
    </row>
    <row r="56" spans="1:13" ht="15" customHeight="1">
      <c r="H56" s="111"/>
      <c r="I56" s="16"/>
      <c r="J56" s="16"/>
      <c r="K56" s="16" t="s">
        <v>205</v>
      </c>
      <c r="L56" s="16"/>
      <c r="M56" s="16" t="s">
        <v>206</v>
      </c>
    </row>
    <row r="57" spans="1:13" ht="15" customHeight="1">
      <c r="H57" s="111"/>
      <c r="I57" s="17"/>
      <c r="J57" s="17"/>
      <c r="K57" s="17" t="s">
        <v>50</v>
      </c>
      <c r="L57" s="17"/>
      <c r="M57" s="17"/>
    </row>
    <row r="58" spans="1:13" ht="15" customHeight="1">
      <c r="H58" s="111"/>
      <c r="I58" s="16"/>
      <c r="J58" s="16"/>
      <c r="K58" s="16" t="s">
        <v>207</v>
      </c>
      <c r="L58" s="16"/>
      <c r="M58" s="16"/>
    </row>
    <row r="59" spans="1:13" ht="15" customHeight="1">
      <c r="H59" s="111"/>
      <c r="I59" s="17"/>
      <c r="J59" s="17"/>
      <c r="K59" s="17" t="s">
        <v>208</v>
      </c>
      <c r="L59" s="17"/>
      <c r="M59" s="17"/>
    </row>
    <row r="60" spans="1:13" ht="15" customHeight="1">
      <c r="H60" s="111"/>
      <c r="I60" s="16"/>
      <c r="J60" s="16"/>
      <c r="K60" s="86" t="s">
        <v>105</v>
      </c>
      <c r="L60" s="16"/>
      <c r="M60" s="16"/>
    </row>
    <row r="61" spans="1:13" ht="15" customHeight="1">
      <c r="H61" s="111"/>
      <c r="I61" s="17"/>
      <c r="J61" s="17"/>
      <c r="K61" s="17" t="s">
        <v>209</v>
      </c>
      <c r="L61" s="17"/>
      <c r="M61" s="17"/>
    </row>
    <row r="62" spans="1:13" ht="15" customHeight="1">
      <c r="H62" s="111"/>
      <c r="I62" s="16"/>
      <c r="J62" s="16"/>
      <c r="K62" s="16" t="s">
        <v>210</v>
      </c>
      <c r="L62" s="16"/>
      <c r="M62" s="16"/>
    </row>
    <row r="63" spans="1:13" ht="15" customHeight="1">
      <c r="H63" s="111"/>
      <c r="I63" s="17"/>
      <c r="J63" s="17"/>
      <c r="K63" s="17" t="s">
        <v>211</v>
      </c>
      <c r="L63" s="17"/>
      <c r="M63" s="17"/>
    </row>
    <row r="64" spans="1:13" ht="15" customHeight="1">
      <c r="H64" s="111"/>
      <c r="I64" s="16"/>
      <c r="J64" s="16"/>
      <c r="K64" s="16" t="s">
        <v>212</v>
      </c>
      <c r="L64" s="16"/>
      <c r="M64" s="16"/>
    </row>
    <row r="65" spans="8:13" ht="15" customHeight="1">
      <c r="H65" s="111"/>
      <c r="I65" s="17"/>
      <c r="J65" s="17"/>
      <c r="K65" s="17" t="s">
        <v>213</v>
      </c>
      <c r="L65" s="17"/>
      <c r="M65" s="17"/>
    </row>
    <row r="66" spans="8:13" ht="15" customHeight="1">
      <c r="H66" s="111"/>
      <c r="I66" s="16"/>
      <c r="J66" s="16"/>
      <c r="K66" s="16" t="s">
        <v>214</v>
      </c>
      <c r="L66" s="16"/>
      <c r="M66" s="16"/>
    </row>
    <row r="67" spans="8:13" ht="15" customHeight="1">
      <c r="H67" s="111"/>
      <c r="I67" s="17"/>
      <c r="J67" s="17"/>
      <c r="K67" s="17" t="s">
        <v>215</v>
      </c>
      <c r="L67" s="17"/>
      <c r="M67" s="17"/>
    </row>
    <row r="68" spans="8:13" ht="15" customHeight="1">
      <c r="H68" s="111"/>
      <c r="I68" s="16"/>
      <c r="J68" s="16"/>
      <c r="K68" s="16" t="s">
        <v>216</v>
      </c>
      <c r="L68" s="16"/>
      <c r="M68" s="16"/>
    </row>
    <row r="69" spans="8:13" ht="15" customHeight="1">
      <c r="H69" s="111"/>
      <c r="I69" s="17"/>
      <c r="J69" s="17"/>
      <c r="K69" s="17" t="s">
        <v>217</v>
      </c>
      <c r="L69" s="17"/>
      <c r="M69" s="17"/>
    </row>
    <row r="70" spans="8:13" ht="15" customHeight="1">
      <c r="H70" s="111"/>
      <c r="I70" s="16"/>
      <c r="J70" s="16"/>
      <c r="K70" s="16" t="s">
        <v>218</v>
      </c>
      <c r="L70" s="16"/>
      <c r="M70" s="16"/>
    </row>
    <row r="71" spans="8:13" ht="15" customHeight="1">
      <c r="H71" s="111"/>
      <c r="I71" s="17"/>
      <c r="J71" s="17"/>
      <c r="K71" s="17" t="s">
        <v>219</v>
      </c>
      <c r="L71" s="17"/>
      <c r="M71" s="17"/>
    </row>
    <row r="72" spans="8:13" ht="15" customHeight="1">
      <c r="H72" s="111"/>
      <c r="I72" s="16"/>
      <c r="J72" s="16"/>
      <c r="K72" s="16" t="s">
        <v>220</v>
      </c>
      <c r="L72" s="16"/>
      <c r="M72" s="16"/>
    </row>
    <row r="73" spans="8:13" ht="15" customHeight="1">
      <c r="H73" s="111"/>
      <c r="I73" s="17"/>
      <c r="J73" s="17"/>
      <c r="K73" s="17" t="s">
        <v>221</v>
      </c>
      <c r="L73" s="17"/>
      <c r="M73" s="17"/>
    </row>
    <row r="74" spans="8:13" ht="15" customHeight="1">
      <c r="H74" s="111"/>
      <c r="I74" s="16"/>
      <c r="J74" s="16"/>
      <c r="K74" s="16" t="s">
        <v>222</v>
      </c>
      <c r="L74" s="16"/>
      <c r="M74" s="16"/>
    </row>
    <row r="75" spans="8:13" ht="15" customHeight="1">
      <c r="H75" s="111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zoomScale="60" zoomScaleNormal="60" workbookViewId="0">
      <pane ySplit="1" topLeftCell="A185" activePane="bottomLeft" state="frozen"/>
      <selection pane="bottomLeft" activeCell="F201" sqref="F201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7.5703125" style="20" customWidth="1"/>
    <col min="15" max="15" width="14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233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233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233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233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233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233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233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233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233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233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233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233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4" t="s">
        <v>234</v>
      </c>
      <c r="B14" s="105"/>
      <c r="C14" s="105"/>
      <c r="D14" s="105"/>
      <c r="E14" s="106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235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233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131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233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233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236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233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233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233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233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233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233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233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233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233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4" t="s">
        <v>237</v>
      </c>
      <c r="B27" s="105"/>
      <c r="C27" s="105"/>
      <c r="D27" s="105"/>
      <c r="E27" s="106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235</v>
      </c>
      <c r="O27" s="39">
        <v>997910</v>
      </c>
    </row>
    <row r="28" spans="1:15" ht="18" customHeight="1">
      <c r="A28" s="101" t="s">
        <v>238</v>
      </c>
      <c r="B28" s="102"/>
      <c r="C28" s="102"/>
      <c r="D28" s="102"/>
      <c r="E28" s="103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239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233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156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233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130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240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233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236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233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233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233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233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233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233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233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233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233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4" t="s">
        <v>234</v>
      </c>
      <c r="B41" s="105"/>
      <c r="C41" s="105"/>
      <c r="D41" s="105"/>
      <c r="E41" s="106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235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233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241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233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44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233</v>
      </c>
      <c r="F44" s="27">
        <v>0</v>
      </c>
      <c r="G44" s="34">
        <f t="shared" si="9"/>
        <v>0</v>
      </c>
      <c r="H44" s="26" t="s">
        <v>20</v>
      </c>
      <c r="I44" s="26" t="s">
        <v>23</v>
      </c>
      <c r="J44" s="26" t="s">
        <v>44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233</v>
      </c>
      <c r="F45" s="27">
        <v>0</v>
      </c>
      <c r="G45" s="28">
        <f t="shared" si="9"/>
        <v>0</v>
      </c>
      <c r="H45" s="33" t="s">
        <v>19</v>
      </c>
      <c r="I45" s="33" t="s">
        <v>23</v>
      </c>
      <c r="J45" s="33" t="s">
        <v>50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233</v>
      </c>
      <c r="F46" s="27">
        <v>27</v>
      </c>
      <c r="G46" s="34">
        <f t="shared" si="9"/>
        <v>135</v>
      </c>
      <c r="H46" s="26" t="s">
        <v>20</v>
      </c>
      <c r="I46" s="26" t="s">
        <v>23</v>
      </c>
      <c r="J46" s="26" t="s">
        <v>44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 t="s">
        <v>233</v>
      </c>
      <c r="F47" s="27">
        <v>17</v>
      </c>
      <c r="G47" s="28">
        <f t="shared" si="9"/>
        <v>85</v>
      </c>
      <c r="H47" s="33" t="s">
        <v>20</v>
      </c>
      <c r="I47" s="33" t="s">
        <v>23</v>
      </c>
      <c r="J47" s="33" t="s">
        <v>44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 t="s">
        <v>233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 t="s">
        <v>233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 t="s">
        <v>233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 t="s">
        <v>233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 t="s">
        <v>233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4" t="s">
        <v>237</v>
      </c>
      <c r="B54" s="105"/>
      <c r="C54" s="105"/>
      <c r="D54" s="105"/>
      <c r="E54" s="106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235</v>
      </c>
      <c r="O54" s="39">
        <v>981310</v>
      </c>
    </row>
    <row r="55" spans="1:15" ht="18" customHeight="1">
      <c r="A55" s="101" t="s">
        <v>238</v>
      </c>
      <c r="B55" s="102"/>
      <c r="C55" s="102"/>
      <c r="D55" s="102"/>
      <c r="E55" s="103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239</v>
      </c>
      <c r="O55" s="43">
        <f>IFERROR(O41+O54,"")</f>
        <v>2332870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20" t="s">
        <v>30</v>
      </c>
      <c r="E56" s="59" t="s">
        <v>233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18</v>
      </c>
      <c r="I56" s="26" t="s">
        <v>23</v>
      </c>
      <c r="J56" s="26" t="s">
        <v>156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233</v>
      </c>
      <c r="F57" s="27">
        <v>16</v>
      </c>
      <c r="G57" s="34">
        <f t="shared" si="12"/>
        <v>80</v>
      </c>
      <c r="H57" s="33" t="s">
        <v>20</v>
      </c>
      <c r="I57" s="33" t="s">
        <v>23</v>
      </c>
      <c r="J57" s="33" t="s">
        <v>134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30</v>
      </c>
      <c r="E58" s="59" t="s">
        <v>233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233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233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233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233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233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233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233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233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233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4" t="s">
        <v>234</v>
      </c>
      <c r="B68" s="105"/>
      <c r="C68" s="105"/>
      <c r="D68" s="105"/>
      <c r="E68" s="106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235</v>
      </c>
      <c r="O68" s="39">
        <v>2102950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233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20</v>
      </c>
      <c r="I69" s="33" t="s">
        <v>23</v>
      </c>
      <c r="J69" s="33" t="s">
        <v>44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233</v>
      </c>
      <c r="F70" s="27">
        <v>14</v>
      </c>
      <c r="G70" s="28">
        <f t="shared" si="15"/>
        <v>70</v>
      </c>
      <c r="H70" s="26" t="s">
        <v>19</v>
      </c>
      <c r="I70" s="26" t="s">
        <v>23</v>
      </c>
      <c r="J70" s="26" t="s">
        <v>67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242</v>
      </c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233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233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233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233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233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233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233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22</v>
      </c>
      <c r="E78" s="62" t="s">
        <v>233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233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 t="s">
        <v>233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4" t="s">
        <v>237</v>
      </c>
      <c r="B81" s="105"/>
      <c r="C81" s="105"/>
      <c r="D81" s="105"/>
      <c r="E81" s="106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235</v>
      </c>
      <c r="O81" s="39">
        <v>1547910</v>
      </c>
    </row>
    <row r="82" spans="1:15" ht="18" customHeight="1">
      <c r="A82" s="101" t="s">
        <v>238</v>
      </c>
      <c r="B82" s="102"/>
      <c r="C82" s="102"/>
      <c r="D82" s="102"/>
      <c r="E82" s="103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239</v>
      </c>
      <c r="O82" s="43">
        <f>IFERROR(O68+O81,"")</f>
        <v>3650860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233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16</v>
      </c>
      <c r="I83" s="33" t="s">
        <v>23</v>
      </c>
      <c r="J83" s="33" t="s">
        <v>58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233</v>
      </c>
      <c r="F84" s="27">
        <v>30</v>
      </c>
      <c r="G84" s="34">
        <f t="shared" si="18"/>
        <v>150</v>
      </c>
      <c r="H84" s="26" t="s">
        <v>20</v>
      </c>
      <c r="I84" s="26" t="s">
        <v>23</v>
      </c>
      <c r="J84" s="26" t="s">
        <v>134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233</v>
      </c>
      <c r="F85" s="27">
        <v>35</v>
      </c>
      <c r="G85" s="28">
        <f t="shared" si="18"/>
        <v>175</v>
      </c>
      <c r="H85" s="33" t="s">
        <v>20</v>
      </c>
      <c r="I85" s="33" t="s">
        <v>23</v>
      </c>
      <c r="J85" s="33" t="s">
        <v>145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243</v>
      </c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233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233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233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233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233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233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233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233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233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4" t="s">
        <v>234</v>
      </c>
      <c r="B95" s="105"/>
      <c r="C95" s="105"/>
      <c r="D95" s="105"/>
      <c r="E95" s="106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235</v>
      </c>
      <c r="O95" s="39">
        <v>2050000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233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233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233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233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233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233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244</v>
      </c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233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233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233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233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233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233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4" t="s">
        <v>237</v>
      </c>
      <c r="B108" s="105"/>
      <c r="C108" s="105"/>
      <c r="D108" s="105"/>
      <c r="E108" s="106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235</v>
      </c>
      <c r="O108" s="39">
        <v>3156240</v>
      </c>
    </row>
    <row r="109" spans="1:15" ht="18" customHeight="1">
      <c r="A109" s="101" t="s">
        <v>238</v>
      </c>
      <c r="B109" s="102"/>
      <c r="C109" s="102"/>
      <c r="D109" s="102"/>
      <c r="E109" s="103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239</v>
      </c>
      <c r="O109" s="43">
        <f>IFERROR(O95+O108,"")</f>
        <v>5206240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233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18</v>
      </c>
      <c r="I110" s="26" t="s">
        <v>23</v>
      </c>
      <c r="J110" s="26" t="s">
        <v>34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233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233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233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233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233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233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233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233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233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233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233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4" t="s">
        <v>234</v>
      </c>
      <c r="B122" s="105"/>
      <c r="C122" s="105"/>
      <c r="D122" s="105"/>
      <c r="E122" s="106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235</v>
      </c>
      <c r="O122" s="39">
        <v>846660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233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233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233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233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233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233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233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233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233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233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30</v>
      </c>
      <c r="E133" s="62" t="s">
        <v>233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30</v>
      </c>
      <c r="E134" s="62" t="s">
        <v>233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4" t="s">
        <v>237</v>
      </c>
      <c r="B135" s="105"/>
      <c r="C135" s="105"/>
      <c r="D135" s="105"/>
      <c r="E135" s="106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235</v>
      </c>
      <c r="O135" s="39">
        <v>2875180</v>
      </c>
    </row>
    <row r="136" spans="1:15" ht="18" customHeight="1">
      <c r="A136" s="101" t="s">
        <v>238</v>
      </c>
      <c r="B136" s="102"/>
      <c r="C136" s="102"/>
      <c r="D136" s="102"/>
      <c r="E136" s="103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239</v>
      </c>
      <c r="O136" s="43">
        <f>IFERROR(O122+O135,"")</f>
        <v>3721840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30</v>
      </c>
      <c r="E137" s="62" t="s">
        <v>233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17</v>
      </c>
      <c r="I137" s="33" t="s">
        <v>23</v>
      </c>
      <c r="J137" s="33" t="s">
        <v>25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245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30</v>
      </c>
      <c r="E138" s="62" t="s">
        <v>233</v>
      </c>
      <c r="F138" s="27">
        <v>35</v>
      </c>
      <c r="G138" s="28">
        <f t="shared" si="30"/>
        <v>175</v>
      </c>
      <c r="H138" s="26" t="s">
        <v>19</v>
      </c>
      <c r="I138" s="26" t="s">
        <v>23</v>
      </c>
      <c r="J138" s="26" t="s">
        <v>107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233</v>
      </c>
      <c r="F139" s="27">
        <v>25</v>
      </c>
      <c r="G139" s="34">
        <f t="shared" si="30"/>
        <v>125</v>
      </c>
      <c r="H139" s="33" t="s">
        <v>20</v>
      </c>
      <c r="I139" s="33" t="s">
        <v>23</v>
      </c>
      <c r="J139" s="33" t="s">
        <v>36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233</v>
      </c>
      <c r="F140" s="27">
        <v>30</v>
      </c>
      <c r="G140" s="28">
        <f t="shared" si="30"/>
        <v>150</v>
      </c>
      <c r="H140" s="26" t="s">
        <v>16</v>
      </c>
      <c r="I140" s="26" t="s">
        <v>23</v>
      </c>
      <c r="J140" s="26" t="s">
        <v>116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233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233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233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233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233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233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233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233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4" t="s">
        <v>234</v>
      </c>
      <c r="B149" s="105"/>
      <c r="C149" s="105"/>
      <c r="D149" s="105"/>
      <c r="E149" s="106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235</v>
      </c>
      <c r="O149" s="100">
        <v>1650350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233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20</v>
      </c>
      <c r="I150" s="26" t="s">
        <v>23</v>
      </c>
      <c r="J150" s="26" t="s">
        <v>134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233</v>
      </c>
      <c r="F151" s="27">
        <v>0</v>
      </c>
      <c r="G151" s="34">
        <f t="shared" si="33"/>
        <v>0</v>
      </c>
      <c r="H151" s="33" t="s">
        <v>17</v>
      </c>
      <c r="I151" s="33" t="s">
        <v>23</v>
      </c>
      <c r="J151" s="33" t="s">
        <v>87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246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233</v>
      </c>
      <c r="F152" s="27">
        <v>14</v>
      </c>
      <c r="G152" s="28">
        <f t="shared" si="33"/>
        <v>70</v>
      </c>
      <c r="H152" s="26" t="s">
        <v>20</v>
      </c>
      <c r="I152" s="26" t="s">
        <v>23</v>
      </c>
      <c r="J152" s="26" t="s">
        <v>134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233</v>
      </c>
      <c r="F153" s="27">
        <v>0</v>
      </c>
      <c r="G153" s="34">
        <f t="shared" si="33"/>
        <v>0</v>
      </c>
      <c r="H153" s="33" t="s">
        <v>19</v>
      </c>
      <c r="I153" s="33" t="s">
        <v>23</v>
      </c>
      <c r="J153" s="33" t="s">
        <v>67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233</v>
      </c>
      <c r="F154" s="27">
        <v>10</v>
      </c>
      <c r="G154" s="28">
        <f t="shared" si="33"/>
        <v>50</v>
      </c>
      <c r="H154" s="26" t="s">
        <v>20</v>
      </c>
      <c r="I154" s="26" t="s">
        <v>23</v>
      </c>
      <c r="J154" s="26" t="s">
        <v>145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233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233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233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233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233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233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233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4" t="s">
        <v>237</v>
      </c>
      <c r="B162" s="105"/>
      <c r="C162" s="105"/>
      <c r="D162" s="105"/>
      <c r="E162" s="106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235</v>
      </c>
      <c r="O162" s="44">
        <v>842000</v>
      </c>
    </row>
    <row r="163" spans="1:15" ht="18" customHeight="1">
      <c r="A163" s="101" t="s">
        <v>238</v>
      </c>
      <c r="B163" s="102"/>
      <c r="C163" s="102"/>
      <c r="D163" s="102"/>
      <c r="E163" s="103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239</v>
      </c>
      <c r="O163" s="43">
        <f>IFERROR(O149+O162,"")</f>
        <v>2492350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233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18</v>
      </c>
      <c r="I164" s="26" t="s">
        <v>23</v>
      </c>
      <c r="J164" s="26" t="s">
        <v>222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247</v>
      </c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233</v>
      </c>
      <c r="F165" s="27">
        <v>35</v>
      </c>
      <c r="G165" s="34">
        <f t="shared" si="36"/>
        <v>175</v>
      </c>
      <c r="H165" s="33" t="s">
        <v>16</v>
      </c>
      <c r="I165" s="33" t="s">
        <v>23</v>
      </c>
      <c r="J165" s="33" t="s">
        <v>116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233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233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233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233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233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233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233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233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233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233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4" t="s">
        <v>234</v>
      </c>
      <c r="B176" s="105"/>
      <c r="C176" s="105"/>
      <c r="D176" s="105"/>
      <c r="E176" s="106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235</v>
      </c>
      <c r="O176" s="39">
        <v>2934820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233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17</v>
      </c>
      <c r="I177" s="33" t="s">
        <v>23</v>
      </c>
      <c r="J177" s="33" t="s">
        <v>87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248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233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233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233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233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233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233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233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249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233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233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233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4" t="s">
        <v>237</v>
      </c>
      <c r="B189" s="105"/>
      <c r="C189" s="105"/>
      <c r="D189" s="105"/>
      <c r="E189" s="106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235</v>
      </c>
      <c r="O189" s="39">
        <v>1901630</v>
      </c>
    </row>
    <row r="190" spans="1:15" ht="18" customHeight="1">
      <c r="A190" s="101" t="s">
        <v>238</v>
      </c>
      <c r="B190" s="102"/>
      <c r="C190" s="102"/>
      <c r="D190" s="102"/>
      <c r="E190" s="103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239</v>
      </c>
      <c r="O190" s="43">
        <f>IFERROR(O176+O189,"")</f>
        <v>4836450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233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20</v>
      </c>
      <c r="I191" s="33" t="s">
        <v>23</v>
      </c>
      <c r="J191" s="33" t="s">
        <v>36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233</v>
      </c>
      <c r="F192" s="27">
        <v>15</v>
      </c>
      <c r="G192" s="28">
        <f t="shared" si="42"/>
        <v>75</v>
      </c>
      <c r="H192" s="26" t="s">
        <v>20</v>
      </c>
      <c r="I192" s="26" t="s">
        <v>23</v>
      </c>
      <c r="J192" s="26" t="s">
        <v>36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233</v>
      </c>
      <c r="F193" s="27">
        <v>20</v>
      </c>
      <c r="G193" s="34">
        <f t="shared" si="42"/>
        <v>100</v>
      </c>
      <c r="H193" s="33" t="s">
        <v>20</v>
      </c>
      <c r="I193" s="33" t="s">
        <v>23</v>
      </c>
      <c r="J193" s="33" t="s">
        <v>36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250</v>
      </c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233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233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233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233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233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233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233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233</v>
      </c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233</v>
      </c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4" t="s">
        <v>234</v>
      </c>
      <c r="B203" s="105"/>
      <c r="C203" s="105"/>
      <c r="D203" s="105"/>
      <c r="E203" s="106">
        <f>SUM(E191:E202)</f>
        <v>0</v>
      </c>
      <c r="F203" s="36">
        <f>SUM(F191:F202)</f>
        <v>216</v>
      </c>
      <c r="G203" s="36">
        <f>SUM(G191:G202)</f>
        <v>1080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235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19",F204*5,IF(E204="CB",F204*35,""))))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4" t="s">
        <v>237</v>
      </c>
      <c r="B216" s="105"/>
      <c r="C216" s="105"/>
      <c r="D216" s="105"/>
      <c r="E216" s="106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235</v>
      </c>
      <c r="O216" s="45"/>
    </row>
    <row r="217" spans="1:15" ht="18" customHeight="1">
      <c r="A217" s="101" t="s">
        <v>238</v>
      </c>
      <c r="B217" s="102"/>
      <c r="C217" s="102"/>
      <c r="D217" s="102"/>
      <c r="E217" s="103">
        <f>E203+E216</f>
        <v>0</v>
      </c>
      <c r="F217" s="40">
        <f>F203+F216</f>
        <v>216</v>
      </c>
      <c r="G217" s="40">
        <f>G203+G216</f>
        <v>1080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239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19",F218*5,IF(E218="CB",F218*35,""))))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4" t="s">
        <v>234</v>
      </c>
      <c r="B230" s="105"/>
      <c r="C230" s="105"/>
      <c r="D230" s="105"/>
      <c r="E230" s="106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235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19",F231*5,IF(E231="CB",F231*35,""))))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4" t="s">
        <v>237</v>
      </c>
      <c r="B243" s="105"/>
      <c r="C243" s="105"/>
      <c r="D243" s="105"/>
      <c r="E243" s="106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235</v>
      </c>
      <c r="O243" s="39"/>
    </row>
    <row r="244" spans="1:15" ht="18" customHeight="1">
      <c r="A244" s="101" t="s">
        <v>238</v>
      </c>
      <c r="B244" s="102"/>
      <c r="C244" s="102"/>
      <c r="D244" s="102"/>
      <c r="E244" s="103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239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19",F245*5,IF(E245="CB",F245*35,""))))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4" t="s">
        <v>234</v>
      </c>
      <c r="B257" s="105"/>
      <c r="C257" s="105"/>
      <c r="D257" s="105"/>
      <c r="E257" s="106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235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19",F258*5,IF(E258="CB",F258*35,""))))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4" t="s">
        <v>237</v>
      </c>
      <c r="B270" s="105"/>
      <c r="C270" s="105"/>
      <c r="D270" s="105"/>
      <c r="E270" s="106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235</v>
      </c>
      <c r="O270" s="39"/>
    </row>
    <row r="271" spans="1:15" ht="18" customHeight="1">
      <c r="A271" s="101" t="s">
        <v>238</v>
      </c>
      <c r="B271" s="102"/>
      <c r="C271" s="102"/>
      <c r="D271" s="102"/>
      <c r="E271" s="103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239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4" t="s">
        <v>234</v>
      </c>
      <c r="B284" s="105"/>
      <c r="C284" s="105"/>
      <c r="D284" s="105"/>
      <c r="E284" s="106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235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4" t="s">
        <v>237</v>
      </c>
      <c r="B297" s="105"/>
      <c r="C297" s="105"/>
      <c r="D297" s="105"/>
      <c r="E297" s="106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235</v>
      </c>
      <c r="O297" s="39"/>
    </row>
    <row r="298" spans="1:15" ht="18" customHeight="1">
      <c r="A298" s="101" t="s">
        <v>238</v>
      </c>
      <c r="B298" s="102"/>
      <c r="C298" s="102"/>
      <c r="D298" s="102"/>
      <c r="E298" s="103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239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4" t="s">
        <v>234</v>
      </c>
      <c r="B311" s="105"/>
      <c r="C311" s="105"/>
      <c r="D311" s="105"/>
      <c r="E311" s="106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235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4" t="s">
        <v>237</v>
      </c>
      <c r="B324" s="105"/>
      <c r="C324" s="105"/>
      <c r="D324" s="105"/>
      <c r="E324" s="106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235</v>
      </c>
      <c r="O324" s="39"/>
    </row>
    <row r="325" spans="1:15" ht="18" customHeight="1">
      <c r="A325" s="101" t="s">
        <v>238</v>
      </c>
      <c r="B325" s="102"/>
      <c r="C325" s="102"/>
      <c r="D325" s="102"/>
      <c r="E325" s="103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239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4" t="s">
        <v>234</v>
      </c>
      <c r="B338" s="105"/>
      <c r="C338" s="105"/>
      <c r="D338" s="105"/>
      <c r="E338" s="106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235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4" t="s">
        <v>237</v>
      </c>
      <c r="B351" s="105"/>
      <c r="C351" s="105"/>
      <c r="D351" s="105"/>
      <c r="E351" s="106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235</v>
      </c>
      <c r="O351" s="39"/>
    </row>
    <row r="352" spans="1:15" ht="18" customHeight="1">
      <c r="A352" s="101" t="s">
        <v>238</v>
      </c>
      <c r="B352" s="102"/>
      <c r="C352" s="102"/>
      <c r="D352" s="102"/>
      <c r="E352" s="103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239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4" t="s">
        <v>234</v>
      </c>
      <c r="B365" s="105"/>
      <c r="C365" s="105"/>
      <c r="D365" s="105"/>
      <c r="E365" s="106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235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4" t="s">
        <v>237</v>
      </c>
      <c r="B378" s="105"/>
      <c r="C378" s="105"/>
      <c r="D378" s="105"/>
      <c r="E378" s="106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235</v>
      </c>
      <c r="O378" s="39"/>
    </row>
    <row r="379" spans="1:15" ht="18" customHeight="1">
      <c r="A379" s="101" t="s">
        <v>238</v>
      </c>
      <c r="B379" s="102"/>
      <c r="C379" s="102"/>
      <c r="D379" s="102"/>
      <c r="E379" s="103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239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4" t="s">
        <v>234</v>
      </c>
      <c r="B392" s="105"/>
      <c r="C392" s="105"/>
      <c r="D392" s="105"/>
      <c r="E392" s="106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235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4" t="s">
        <v>237</v>
      </c>
      <c r="B405" s="105"/>
      <c r="C405" s="105"/>
      <c r="D405" s="105"/>
      <c r="E405" s="106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235</v>
      </c>
      <c r="O405" s="39"/>
    </row>
    <row r="406" spans="1:15" ht="18" customHeight="1">
      <c r="A406" s="101" t="s">
        <v>238</v>
      </c>
      <c r="B406" s="102"/>
      <c r="C406" s="102"/>
      <c r="D406" s="102"/>
      <c r="E406" s="103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239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4" t="s">
        <v>234</v>
      </c>
      <c r="B419" s="105"/>
      <c r="C419" s="105"/>
      <c r="D419" s="105"/>
      <c r="E419" s="10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235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4" t="s">
        <v>237</v>
      </c>
      <c r="B432" s="105"/>
      <c r="C432" s="105"/>
      <c r="D432" s="105"/>
      <c r="E432" s="10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235</v>
      </c>
      <c r="O432" s="39"/>
    </row>
    <row r="433" spans="1:15" ht="18" customHeight="1">
      <c r="A433" s="101" t="s">
        <v>238</v>
      </c>
      <c r="B433" s="102"/>
      <c r="C433" s="102"/>
      <c r="D433" s="102"/>
      <c r="E433" s="103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239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4" t="s">
        <v>234</v>
      </c>
      <c r="B446" s="105"/>
      <c r="C446" s="105"/>
      <c r="D446" s="105"/>
      <c r="E446" s="10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235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4" t="s">
        <v>237</v>
      </c>
      <c r="B459" s="105"/>
      <c r="C459" s="105"/>
      <c r="D459" s="105"/>
      <c r="E459" s="10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235</v>
      </c>
      <c r="O459" s="39"/>
    </row>
    <row r="460" spans="1:15" ht="18" customHeight="1">
      <c r="A460" s="101" t="s">
        <v>238</v>
      </c>
      <c r="B460" s="102"/>
      <c r="C460" s="102"/>
      <c r="D460" s="102"/>
      <c r="E460" s="103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239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4" t="s">
        <v>234</v>
      </c>
      <c r="B473" s="105"/>
      <c r="C473" s="105"/>
      <c r="D473" s="105"/>
      <c r="E473" s="10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235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4" t="s">
        <v>237</v>
      </c>
      <c r="B486" s="105"/>
      <c r="C486" s="105"/>
      <c r="D486" s="105"/>
      <c r="E486" s="10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235</v>
      </c>
      <c r="O486" s="39"/>
    </row>
    <row r="487" spans="1:15" ht="18" customHeight="1">
      <c r="A487" s="101" t="s">
        <v>238</v>
      </c>
      <c r="B487" s="102"/>
      <c r="C487" s="102"/>
      <c r="D487" s="102"/>
      <c r="E487" s="103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239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4" t="s">
        <v>234</v>
      </c>
      <c r="B500" s="105"/>
      <c r="C500" s="105"/>
      <c r="D500" s="105"/>
      <c r="E500" s="10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235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4" t="s">
        <v>237</v>
      </c>
      <c r="B513" s="105"/>
      <c r="C513" s="105"/>
      <c r="D513" s="105"/>
      <c r="E513" s="10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235</v>
      </c>
      <c r="O513" s="39"/>
    </row>
    <row r="514" spans="1:15" ht="18" customHeight="1">
      <c r="A514" s="101" t="s">
        <v>238</v>
      </c>
      <c r="B514" s="102"/>
      <c r="C514" s="102"/>
      <c r="D514" s="102"/>
      <c r="E514" s="103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239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4" t="s">
        <v>234</v>
      </c>
      <c r="B527" s="105"/>
      <c r="C527" s="105"/>
      <c r="D527" s="105"/>
      <c r="E527" s="10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235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4" t="s">
        <v>237</v>
      </c>
      <c r="B540" s="105"/>
      <c r="C540" s="105"/>
      <c r="D540" s="105"/>
      <c r="E540" s="10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235</v>
      </c>
      <c r="O540" s="39"/>
    </row>
    <row r="541" spans="1:15" ht="18" customHeight="1">
      <c r="A541" s="101" t="s">
        <v>238</v>
      </c>
      <c r="B541" s="102"/>
      <c r="C541" s="102"/>
      <c r="D541" s="102"/>
      <c r="E541" s="103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239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4" t="s">
        <v>234</v>
      </c>
      <c r="B554" s="105"/>
      <c r="C554" s="105"/>
      <c r="D554" s="105"/>
      <c r="E554" s="10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235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4" t="s">
        <v>237</v>
      </c>
      <c r="B567" s="105"/>
      <c r="C567" s="105"/>
      <c r="D567" s="105"/>
      <c r="E567" s="10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235</v>
      </c>
      <c r="O567" s="39"/>
    </row>
    <row r="568" spans="1:15" ht="18" customHeight="1">
      <c r="A568" s="101" t="s">
        <v>238</v>
      </c>
      <c r="B568" s="102"/>
      <c r="C568" s="102"/>
      <c r="D568" s="102"/>
      <c r="E568" s="10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239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4" t="s">
        <v>234</v>
      </c>
      <c r="B581" s="105"/>
      <c r="C581" s="105"/>
      <c r="D581" s="105"/>
      <c r="E581" s="10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235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4" t="s">
        <v>237</v>
      </c>
      <c r="B594" s="105"/>
      <c r="C594" s="105"/>
      <c r="D594" s="105"/>
      <c r="E594" s="10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235</v>
      </c>
      <c r="O594" s="39"/>
    </row>
    <row r="595" spans="1:15" ht="18" customHeight="1">
      <c r="A595" s="101" t="s">
        <v>238</v>
      </c>
      <c r="B595" s="102"/>
      <c r="C595" s="102"/>
      <c r="D595" s="102"/>
      <c r="E595" s="10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239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4" t="s">
        <v>234</v>
      </c>
      <c r="B608" s="105"/>
      <c r="C608" s="105"/>
      <c r="D608" s="105"/>
      <c r="E608" s="10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235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4" t="s">
        <v>237</v>
      </c>
      <c r="B621" s="105"/>
      <c r="C621" s="105"/>
      <c r="D621" s="105"/>
      <c r="E621" s="10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235</v>
      </c>
      <c r="O621" s="39"/>
    </row>
    <row r="622" spans="1:15" ht="18" customHeight="1">
      <c r="A622" s="101" t="s">
        <v>238</v>
      </c>
      <c r="B622" s="102"/>
      <c r="C622" s="102"/>
      <c r="D622" s="102"/>
      <c r="E622" s="10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239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4" t="s">
        <v>234</v>
      </c>
      <c r="B635" s="105"/>
      <c r="C635" s="105"/>
      <c r="D635" s="105"/>
      <c r="E635" s="10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235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4" t="s">
        <v>237</v>
      </c>
      <c r="B648" s="105"/>
      <c r="C648" s="105"/>
      <c r="D648" s="105"/>
      <c r="E648" s="10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235</v>
      </c>
      <c r="O648" s="39"/>
    </row>
    <row r="649" spans="1:15" ht="18" customHeight="1">
      <c r="A649" s="101" t="s">
        <v>238</v>
      </c>
      <c r="B649" s="102"/>
      <c r="C649" s="102"/>
      <c r="D649" s="102"/>
      <c r="E649" s="10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239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4" t="s">
        <v>234</v>
      </c>
      <c r="B662" s="105"/>
      <c r="C662" s="105"/>
      <c r="D662" s="105"/>
      <c r="E662" s="10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235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4" t="s">
        <v>237</v>
      </c>
      <c r="B675" s="105"/>
      <c r="C675" s="105"/>
      <c r="D675" s="105"/>
      <c r="E675" s="10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235</v>
      </c>
      <c r="O675" s="39"/>
    </row>
    <row r="676" spans="1:15" ht="18" customHeight="1">
      <c r="A676" s="101" t="s">
        <v>238</v>
      </c>
      <c r="B676" s="102"/>
      <c r="C676" s="102"/>
      <c r="D676" s="102"/>
      <c r="E676" s="10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239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4" t="s">
        <v>234</v>
      </c>
      <c r="B689" s="105"/>
      <c r="C689" s="105"/>
      <c r="D689" s="105"/>
      <c r="E689" s="10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235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4" t="s">
        <v>237</v>
      </c>
      <c r="B702" s="105"/>
      <c r="C702" s="105"/>
      <c r="D702" s="105"/>
      <c r="E702" s="10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235</v>
      </c>
      <c r="O702" s="39"/>
    </row>
    <row r="703" spans="1:15" ht="18" customHeight="1">
      <c r="A703" s="101" t="s">
        <v>238</v>
      </c>
      <c r="B703" s="102"/>
      <c r="C703" s="102"/>
      <c r="D703" s="102"/>
      <c r="E703" s="10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239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4" t="s">
        <v>234</v>
      </c>
      <c r="B716" s="105"/>
      <c r="C716" s="105"/>
      <c r="D716" s="105"/>
      <c r="E716" s="10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235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4" t="s">
        <v>237</v>
      </c>
      <c r="B729" s="105"/>
      <c r="C729" s="105"/>
      <c r="D729" s="105"/>
      <c r="E729" s="10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235</v>
      </c>
      <c r="O729" s="39"/>
    </row>
    <row r="730" spans="1:15" ht="18" customHeight="1">
      <c r="A730" s="101" t="s">
        <v>238</v>
      </c>
      <c r="B730" s="102"/>
      <c r="C730" s="102"/>
      <c r="D730" s="102"/>
      <c r="E730" s="10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239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4" t="s">
        <v>234</v>
      </c>
      <c r="B743" s="105"/>
      <c r="C743" s="105"/>
      <c r="D743" s="105"/>
      <c r="E743" s="10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235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4" t="s">
        <v>237</v>
      </c>
      <c r="B756" s="105"/>
      <c r="C756" s="105"/>
      <c r="D756" s="105"/>
      <c r="E756" s="10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1" t="s">
        <v>238</v>
      </c>
      <c r="B757" s="102"/>
      <c r="C757" s="102"/>
      <c r="D757" s="102"/>
      <c r="E757" s="10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239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4" t="s">
        <v>234</v>
      </c>
      <c r="B770" s="105"/>
      <c r="C770" s="105"/>
      <c r="D770" s="105"/>
      <c r="E770" s="10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235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4" t="s">
        <v>237</v>
      </c>
      <c r="B783" s="105"/>
      <c r="C783" s="105"/>
      <c r="D783" s="105"/>
      <c r="E783" s="10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1" t="s">
        <v>238</v>
      </c>
      <c r="B784" s="102"/>
      <c r="C784" s="102"/>
      <c r="D784" s="102"/>
      <c r="E784" s="10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239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4" t="s">
        <v>234</v>
      </c>
      <c r="B797" s="105"/>
      <c r="C797" s="105"/>
      <c r="D797" s="105"/>
      <c r="E797" s="10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4" t="s">
        <v>237</v>
      </c>
      <c r="B810" s="105"/>
      <c r="C810" s="105"/>
      <c r="D810" s="105"/>
      <c r="E810" s="10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13" t="s">
        <v>238</v>
      </c>
      <c r="B811" s="114"/>
      <c r="C811" s="114"/>
      <c r="D811" s="114"/>
      <c r="E811" s="115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239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4" t="s">
        <v>234</v>
      </c>
      <c r="B824" s="105"/>
      <c r="C824" s="105"/>
      <c r="D824" s="105"/>
      <c r="E824" s="106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235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4" t="s">
        <v>237</v>
      </c>
      <c r="B837" s="105"/>
      <c r="C837" s="105"/>
      <c r="D837" s="105"/>
      <c r="E837" s="106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235</v>
      </c>
      <c r="O837" s="39"/>
    </row>
    <row r="838" spans="1:15" ht="18" customHeight="1">
      <c r="A838" s="101" t="s">
        <v>238</v>
      </c>
      <c r="B838" s="102"/>
      <c r="C838" s="102"/>
      <c r="D838" s="102"/>
      <c r="E838" s="103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239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811:E811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D29:D55 D57:D900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zoomScale="50" zoomScaleNormal="50" workbookViewId="0">
      <pane ySplit="1" topLeftCell="A159" activePane="bottomLeft" state="frozen"/>
      <selection pane="bottomLeft" activeCell="F202" sqref="F202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48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249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159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251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249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249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249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130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252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249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253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249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131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249</v>
      </c>
      <c r="F8" s="27">
        <v>10</v>
      </c>
      <c r="G8" s="28">
        <f t="shared" si="0"/>
        <v>42</v>
      </c>
      <c r="H8" s="26" t="s">
        <v>20</v>
      </c>
      <c r="I8" s="26"/>
      <c r="J8" s="26" t="s">
        <v>131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249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249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249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249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249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4" t="s">
        <v>234</v>
      </c>
      <c r="B14" s="105"/>
      <c r="C14" s="105"/>
      <c r="D14" s="105"/>
      <c r="E14" s="106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235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249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249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249</v>
      </c>
      <c r="F17" s="27">
        <v>26</v>
      </c>
      <c r="G17" s="34">
        <f t="shared" si="3"/>
        <v>109.2</v>
      </c>
      <c r="H17" s="33" t="s">
        <v>17</v>
      </c>
      <c r="I17" s="33" t="s">
        <v>135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249</v>
      </c>
      <c r="F18" s="27">
        <v>1</v>
      </c>
      <c r="G18" s="34">
        <f t="shared" si="3"/>
        <v>4.2</v>
      </c>
      <c r="H18" s="26" t="s">
        <v>20</v>
      </c>
      <c r="I18" s="26" t="s">
        <v>157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249</v>
      </c>
      <c r="F19" s="27">
        <v>1</v>
      </c>
      <c r="G19" s="34">
        <f t="shared" si="3"/>
        <v>4.2</v>
      </c>
      <c r="H19" s="33" t="s">
        <v>17</v>
      </c>
      <c r="I19" s="33" t="s">
        <v>135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254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249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255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249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249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249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249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249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249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4" t="s">
        <v>237</v>
      </c>
      <c r="B27" s="105"/>
      <c r="C27" s="105"/>
      <c r="D27" s="105"/>
      <c r="E27" s="106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235</v>
      </c>
      <c r="O27" s="77">
        <v>549860</v>
      </c>
    </row>
    <row r="28" spans="1:15" ht="18" customHeight="1">
      <c r="A28" s="101" t="s">
        <v>238</v>
      </c>
      <c r="B28" s="102"/>
      <c r="C28" s="102"/>
      <c r="D28" s="102"/>
      <c r="E28" s="103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239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249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157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249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249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249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249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249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249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249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249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249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249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249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4" t="s">
        <v>234</v>
      </c>
      <c r="B41" s="105"/>
      <c r="C41" s="105"/>
      <c r="D41" s="105"/>
      <c r="E41" s="106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235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249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249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249</v>
      </c>
      <c r="F44" s="27">
        <v>3</v>
      </c>
      <c r="G44" s="34">
        <f t="shared" si="9"/>
        <v>12.600000000000001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249</v>
      </c>
      <c r="F45" s="27">
        <v>3</v>
      </c>
      <c r="G45" s="28">
        <f t="shared" si="9"/>
        <v>12.600000000000001</v>
      </c>
      <c r="H45" s="33" t="s">
        <v>20</v>
      </c>
      <c r="I45" s="33" t="s">
        <v>159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249</v>
      </c>
      <c r="F46" s="27">
        <v>20</v>
      </c>
      <c r="G46" s="34">
        <f t="shared" si="9"/>
        <v>84</v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249</v>
      </c>
      <c r="F47" s="27">
        <v>0</v>
      </c>
      <c r="G47" s="28">
        <f t="shared" si="9"/>
        <v>0</v>
      </c>
      <c r="H47" s="33" t="s">
        <v>20</v>
      </c>
      <c r="I47" s="33" t="s">
        <v>159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249</v>
      </c>
      <c r="F48" s="27">
        <v>2</v>
      </c>
      <c r="G48" s="34">
        <f t="shared" si="9"/>
        <v>8.4</v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>
        <v>0.98263888888888884</v>
      </c>
      <c r="M48" s="30">
        <f t="shared" ca="1" si="11"/>
        <v>1.5972222222222165E-2</v>
      </c>
      <c r="N48" s="46" t="s">
        <v>256</v>
      </c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249</v>
      </c>
      <c r="F49" s="27">
        <v>8</v>
      </c>
      <c r="G49" s="28">
        <f t="shared" si="9"/>
        <v>33.6</v>
      </c>
      <c r="H49" s="33" t="s">
        <v>19</v>
      </c>
      <c r="I49" s="33" t="s">
        <v>39</v>
      </c>
      <c r="J49" s="33" t="s">
        <v>27</v>
      </c>
      <c r="K49" s="29">
        <v>1.0416666666666666E-2</v>
      </c>
      <c r="L49" s="29">
        <v>2.7777777777777776E-2</v>
      </c>
      <c r="M49" s="30">
        <f t="shared" ca="1" si="11"/>
        <v>1.7361111111111112E-2</v>
      </c>
      <c r="N49" s="46" t="s">
        <v>257</v>
      </c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 t="s">
        <v>249</v>
      </c>
      <c r="F50" s="27">
        <v>10</v>
      </c>
      <c r="G50" s="34">
        <f t="shared" si="9"/>
        <v>42</v>
      </c>
      <c r="H50" s="26" t="s">
        <v>19</v>
      </c>
      <c r="I50" s="26" t="s">
        <v>39</v>
      </c>
      <c r="J50" s="26" t="s">
        <v>35</v>
      </c>
      <c r="K50" s="29">
        <v>3.5416666666666666E-2</v>
      </c>
      <c r="L50" s="29">
        <v>5.9722222222222225E-2</v>
      </c>
      <c r="M50" s="30">
        <f t="shared" ca="1" si="11"/>
        <v>2.4305555555555559E-2</v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 t="s">
        <v>249</v>
      </c>
      <c r="F51" s="27">
        <v>0</v>
      </c>
      <c r="G51" s="28">
        <f t="shared" si="9"/>
        <v>0</v>
      </c>
      <c r="H51" s="33" t="s">
        <v>20</v>
      </c>
      <c r="I51" s="33" t="s">
        <v>39</v>
      </c>
      <c r="J51" s="33" t="s">
        <v>51</v>
      </c>
      <c r="K51" s="29">
        <v>6.1805555555555558E-2</v>
      </c>
      <c r="L51" s="29">
        <v>7.6388888888888895E-2</v>
      </c>
      <c r="M51" s="30">
        <f t="shared" ca="1" si="11"/>
        <v>1.4583333333333337E-2</v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 t="s">
        <v>249</v>
      </c>
      <c r="F52" s="27">
        <v>14</v>
      </c>
      <c r="G52" s="34">
        <f t="shared" si="9"/>
        <v>58.800000000000004</v>
      </c>
      <c r="H52" s="26" t="s">
        <v>18</v>
      </c>
      <c r="I52" s="26" t="s">
        <v>39</v>
      </c>
      <c r="J52" s="26" t="s">
        <v>130</v>
      </c>
      <c r="K52" s="29">
        <v>9.7222222222222224E-2</v>
      </c>
      <c r="L52" s="29">
        <v>0.12152777777777778</v>
      </c>
      <c r="M52" s="30">
        <f t="shared" ca="1" si="11"/>
        <v>2.4305555555555552E-2</v>
      </c>
      <c r="N52" s="46" t="s">
        <v>258</v>
      </c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 t="s">
        <v>249</v>
      </c>
      <c r="F53" s="27">
        <v>0</v>
      </c>
      <c r="G53" s="28">
        <f t="shared" si="9"/>
        <v>0</v>
      </c>
      <c r="H53" s="33" t="s">
        <v>18</v>
      </c>
      <c r="I53" s="33"/>
      <c r="J53" s="33" t="s">
        <v>130</v>
      </c>
      <c r="K53" s="29">
        <v>0.12152777777777778</v>
      </c>
      <c r="L53" s="29"/>
      <c r="M53" s="30">
        <f t="shared" ca="1" si="11"/>
        <v>0.62903541666310048</v>
      </c>
      <c r="N53" s="46" t="s">
        <v>259</v>
      </c>
      <c r="O53" s="31"/>
    </row>
    <row r="54" spans="1:15" ht="15.75" customHeight="1">
      <c r="A54" s="104" t="s">
        <v>237</v>
      </c>
      <c r="B54" s="105"/>
      <c r="C54" s="105"/>
      <c r="D54" s="105"/>
      <c r="E54" s="106">
        <f>SUM(E42:E53)</f>
        <v>0</v>
      </c>
      <c r="F54" s="36">
        <f>SUM(F42:F53)</f>
        <v>84</v>
      </c>
      <c r="G54" s="36">
        <f>SUM(G42:G53)</f>
        <v>352.8</v>
      </c>
      <c r="H54" s="37"/>
      <c r="I54" s="37"/>
      <c r="J54" s="37"/>
      <c r="K54" s="37"/>
      <c r="L54" s="37"/>
      <c r="M54" s="38">
        <f ca="1">IFERROR(SUM(M42:M53),"")</f>
        <v>0.76792430555198932</v>
      </c>
      <c r="N54" s="36" t="s">
        <v>235</v>
      </c>
      <c r="O54" s="84">
        <v>352430</v>
      </c>
    </row>
    <row r="55" spans="1:15" ht="18" customHeight="1">
      <c r="A55" s="101" t="s">
        <v>238</v>
      </c>
      <c r="B55" s="102"/>
      <c r="C55" s="102"/>
      <c r="D55" s="102"/>
      <c r="E55" s="103">
        <f>E41+E54</f>
        <v>0</v>
      </c>
      <c r="F55" s="40">
        <f>F41+F54</f>
        <v>164</v>
      </c>
      <c r="G55" s="40">
        <f>G41+G54</f>
        <v>676.2</v>
      </c>
      <c r="H55" s="41"/>
      <c r="I55" s="41"/>
      <c r="J55" s="41"/>
      <c r="K55" s="41"/>
      <c r="L55" s="41"/>
      <c r="M55" s="42">
        <f ca="1">IFERROR(M41+M54,"")</f>
        <v>0.85264652777421168</v>
      </c>
      <c r="N55" s="40" t="s">
        <v>239</v>
      </c>
      <c r="O55" s="82">
        <f>IFERROR(O41+O54,"")</f>
        <v>663500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249</v>
      </c>
      <c r="F56" s="27">
        <v>12</v>
      </c>
      <c r="G56" s="28">
        <f t="shared" ref="G56:G67" si="12">IF(F56="","",IF(E56="PC 17",F56*4.2,IF(E56="PC 19",F56*5,IF(E56="CB",F56*24,""))))</f>
        <v>50.400000000000006</v>
      </c>
      <c r="H56" s="26" t="s">
        <v>19</v>
      </c>
      <c r="I56" s="26" t="s">
        <v>31</v>
      </c>
      <c r="J56" s="26" t="s">
        <v>27</v>
      </c>
      <c r="K56" s="29">
        <v>0.30416666666666664</v>
      </c>
      <c r="L56" s="29">
        <v>0.31736111111111109</v>
      </c>
      <c r="M56" s="35">
        <f t="shared" ref="M56:M67" ca="1" si="13">IFERROR(IF(K56="","",IF(L56="",MOD(NOW()-K56,1),IF(L56&gt;=K56,L56-K56,L56+1-K56))),"")</f>
        <v>1.3194444444444453E-2</v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249</v>
      </c>
      <c r="F57" s="27">
        <v>17</v>
      </c>
      <c r="G57" s="34">
        <f t="shared" si="12"/>
        <v>71.400000000000006</v>
      </c>
      <c r="H57" s="33" t="s">
        <v>20</v>
      </c>
      <c r="I57" s="33" t="s">
        <v>123</v>
      </c>
      <c r="J57" s="81" t="s">
        <v>114</v>
      </c>
      <c r="K57" s="29">
        <v>0.38541666666666669</v>
      </c>
      <c r="L57" s="29">
        <v>0.39027777777777778</v>
      </c>
      <c r="M57" s="30">
        <v>1.7361111111111112E-2</v>
      </c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249</v>
      </c>
      <c r="F58" s="27">
        <v>10</v>
      </c>
      <c r="G58" s="28">
        <f t="shared" si="12"/>
        <v>42</v>
      </c>
      <c r="H58" s="26" t="s">
        <v>20</v>
      </c>
      <c r="I58" s="80" t="s">
        <v>123</v>
      </c>
      <c r="J58" s="26" t="s">
        <v>114</v>
      </c>
      <c r="K58" s="29">
        <v>0.40277777777777779</v>
      </c>
      <c r="L58" s="29">
        <v>0.41041666666666665</v>
      </c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249</v>
      </c>
      <c r="F59" s="27">
        <v>10</v>
      </c>
      <c r="G59" s="34">
        <f t="shared" si="12"/>
        <v>42</v>
      </c>
      <c r="H59" s="33" t="s">
        <v>20</v>
      </c>
      <c r="I59" s="33" t="s">
        <v>123</v>
      </c>
      <c r="J59" s="33" t="s">
        <v>114</v>
      </c>
      <c r="K59" s="29">
        <v>0.42222222222222222</v>
      </c>
      <c r="L59" s="29">
        <v>0.4284722222222222</v>
      </c>
      <c r="M59" s="30">
        <f t="shared" ca="1" si="13"/>
        <v>6.2499999999999778E-3</v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249</v>
      </c>
      <c r="F60" s="27">
        <v>6</v>
      </c>
      <c r="G60" s="28">
        <f t="shared" si="12"/>
        <v>25.200000000000003</v>
      </c>
      <c r="H60" s="26" t="s">
        <v>20</v>
      </c>
      <c r="I60" s="26" t="s">
        <v>123</v>
      </c>
      <c r="J60" s="26" t="s">
        <v>114</v>
      </c>
      <c r="K60" s="29">
        <v>0.46666666666666667</v>
      </c>
      <c r="L60" s="29">
        <v>0.48472222222222222</v>
      </c>
      <c r="M60" s="35">
        <f t="shared" ca="1" si="13"/>
        <v>1.8055555555555547E-2</v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249</v>
      </c>
      <c r="F61" s="27">
        <v>14</v>
      </c>
      <c r="G61" s="34">
        <f t="shared" si="12"/>
        <v>58.800000000000004</v>
      </c>
      <c r="H61" s="33" t="s">
        <v>20</v>
      </c>
      <c r="I61" s="33" t="s">
        <v>123</v>
      </c>
      <c r="J61" s="33" t="s">
        <v>114</v>
      </c>
      <c r="K61" s="29">
        <v>0.5</v>
      </c>
      <c r="L61" s="29">
        <v>0.50694444444444442</v>
      </c>
      <c r="M61" s="30">
        <f t="shared" ca="1" si="13"/>
        <v>6.9444444444444198E-3</v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249</v>
      </c>
      <c r="F62" s="27">
        <v>19</v>
      </c>
      <c r="G62" s="28">
        <f t="shared" si="12"/>
        <v>79.8</v>
      </c>
      <c r="H62" s="26" t="s">
        <v>20</v>
      </c>
      <c r="I62" s="26" t="s">
        <v>123</v>
      </c>
      <c r="J62" s="26" t="s">
        <v>114</v>
      </c>
      <c r="K62" s="29">
        <v>0.51249999999999996</v>
      </c>
      <c r="L62" s="29">
        <v>0.52777777777777779</v>
      </c>
      <c r="M62" s="35">
        <f t="shared" ca="1" si="13"/>
        <v>1.5277777777777835E-2</v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249</v>
      </c>
      <c r="F63" s="27">
        <v>12</v>
      </c>
      <c r="G63" s="34">
        <f t="shared" si="12"/>
        <v>50.400000000000006</v>
      </c>
      <c r="H63" s="33" t="s">
        <v>19</v>
      </c>
      <c r="I63" s="33" t="s">
        <v>39</v>
      </c>
      <c r="J63" s="33" t="s">
        <v>27</v>
      </c>
      <c r="K63" s="29">
        <v>0.68541666666666667</v>
      </c>
      <c r="L63" s="29">
        <v>0.72430555555555554</v>
      </c>
      <c r="M63" s="30">
        <f t="shared" ca="1" si="13"/>
        <v>3.8888888888888862E-2</v>
      </c>
      <c r="N63" s="46" t="s">
        <v>251</v>
      </c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249</v>
      </c>
      <c r="F64" s="27">
        <v>14</v>
      </c>
      <c r="G64" s="28">
        <f t="shared" si="12"/>
        <v>58.800000000000004</v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249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249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249</v>
      </c>
      <c r="F67" s="27">
        <v>11</v>
      </c>
      <c r="G67" s="34">
        <f t="shared" si="12"/>
        <v>46.2</v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4" t="s">
        <v>234</v>
      </c>
      <c r="B68" s="105"/>
      <c r="C68" s="105"/>
      <c r="D68" s="105"/>
      <c r="E68" s="106">
        <f>SUM(E56:E67)</f>
        <v>0</v>
      </c>
      <c r="F68" s="36">
        <f>SUM(F56:F67)</f>
        <v>136</v>
      </c>
      <c r="G68" s="36">
        <f>SUM(G56:G67)</f>
        <v>571.20000000000005</v>
      </c>
      <c r="H68" s="37"/>
      <c r="I68" s="37"/>
      <c r="J68" s="37"/>
      <c r="K68" s="37"/>
      <c r="L68" s="37"/>
      <c r="M68" s="38">
        <f ca="1">IFERROR(SUM(M56:M67),"")</f>
        <v>0.1159722222222222</v>
      </c>
      <c r="N68" s="36" t="s">
        <v>235</v>
      </c>
      <c r="O68" s="54">
        <v>565230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249</v>
      </c>
      <c r="F69" s="27">
        <v>21</v>
      </c>
      <c r="G69" s="34">
        <f t="shared" ref="G69:G80" si="15">IF(F69="","",IF(E69="PC 17",F69*4.2,IF(E69="PC 19",F69*5,IF(E69="CB",F69*24,""))))</f>
        <v>88.2</v>
      </c>
      <c r="H69" s="33" t="s">
        <v>20</v>
      </c>
      <c r="I69" s="33" t="s">
        <v>149</v>
      </c>
      <c r="J69" s="26" t="s">
        <v>185</v>
      </c>
      <c r="K69" s="33"/>
      <c r="L69" s="29">
        <v>0.82638888888888884</v>
      </c>
      <c r="M69" s="30" t="str">
        <f ca="1">IFERROR(IF(#REF!="","",IF(L69="",MOD(NOW()-#REF!,1),IF(L69&gt;=#REF!,L69-#REF!,L69+1-#REF!))),"")</f>
        <v/>
      </c>
      <c r="N69" s="46"/>
      <c r="O69" s="31"/>
    </row>
    <row r="70" spans="1:15" ht="15" customHeight="1">
      <c r="A70" s="68">
        <v>46237</v>
      </c>
      <c r="B70" s="25">
        <f t="shared" ref="B70:B80" si="16">B69+TIME(0,60,0)</f>
        <v>0.87499999999999967</v>
      </c>
      <c r="C70" s="33" t="s">
        <v>29</v>
      </c>
      <c r="D70" s="62" t="s">
        <v>30</v>
      </c>
      <c r="E70" s="62" t="s">
        <v>249</v>
      </c>
      <c r="F70" s="27">
        <v>14</v>
      </c>
      <c r="G70" s="28">
        <f t="shared" si="15"/>
        <v>58.800000000000004</v>
      </c>
      <c r="H70" s="26" t="s">
        <v>17</v>
      </c>
      <c r="I70" s="26" t="s">
        <v>135</v>
      </c>
      <c r="J70" s="26" t="s">
        <v>49</v>
      </c>
      <c r="K70" s="29">
        <v>0.85833333333333328</v>
      </c>
      <c r="L70" s="29">
        <v>0.85972222222222228</v>
      </c>
      <c r="M70" s="35">
        <f t="shared" ref="M70:M80" ca="1" si="17">IFERROR(IF(K70="","",IF(L70="",MOD(NOW()-K70,1),IF(L70&gt;=K70,L70-K70,L70+1-K70))),"")</f>
        <v>1.388888888888995E-3</v>
      </c>
      <c r="N70" s="46"/>
      <c r="O70" s="31"/>
    </row>
    <row r="71" spans="1:15" ht="15" customHeight="1">
      <c r="A71" s="69">
        <v>46237</v>
      </c>
      <c r="B71" s="32">
        <f t="shared" si="16"/>
        <v>0.9166666666666663</v>
      </c>
      <c r="C71" s="33" t="s">
        <v>29</v>
      </c>
      <c r="D71" s="62" t="s">
        <v>30</v>
      </c>
      <c r="E71" s="62" t="s">
        <v>249</v>
      </c>
      <c r="F71" s="27">
        <v>1</v>
      </c>
      <c r="G71" s="34">
        <f t="shared" si="15"/>
        <v>4.2</v>
      </c>
      <c r="H71" s="33" t="s">
        <v>20</v>
      </c>
      <c r="I71" s="33" t="s">
        <v>157</v>
      </c>
      <c r="J71" s="33" t="s">
        <v>74</v>
      </c>
      <c r="K71" s="29">
        <v>0.85277777777777775</v>
      </c>
      <c r="L71" s="29">
        <v>0.86597222222222225</v>
      </c>
      <c r="M71" s="30">
        <f t="shared" ca="1" si="17"/>
        <v>1.3194444444444509E-2</v>
      </c>
      <c r="N71" s="46"/>
      <c r="O71" s="31"/>
    </row>
    <row r="72" spans="1:15" ht="15" customHeight="1">
      <c r="A72" s="68">
        <v>46237</v>
      </c>
      <c r="B72" s="25">
        <f t="shared" si="16"/>
        <v>0.95833333333333293</v>
      </c>
      <c r="C72" s="33" t="s">
        <v>29</v>
      </c>
      <c r="D72" s="62" t="s">
        <v>30</v>
      </c>
      <c r="E72" s="62" t="s">
        <v>249</v>
      </c>
      <c r="F72" s="27">
        <v>5</v>
      </c>
      <c r="G72" s="28">
        <f t="shared" si="15"/>
        <v>21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5">
        <f t="shared" ca="1" si="17"/>
        <v>3.4722222222222099E-3</v>
      </c>
      <c r="N72" s="46"/>
      <c r="O72" s="31"/>
    </row>
    <row r="73" spans="1:15" ht="15" customHeight="1">
      <c r="A73" s="69">
        <v>46237</v>
      </c>
      <c r="B73" s="32">
        <f t="shared" si="16"/>
        <v>0.99999999999999956</v>
      </c>
      <c r="C73" s="33" t="s">
        <v>29</v>
      </c>
      <c r="D73" s="62" t="s">
        <v>30</v>
      </c>
      <c r="E73" s="62" t="s">
        <v>249</v>
      </c>
      <c r="F73" s="27">
        <v>14</v>
      </c>
      <c r="G73" s="34">
        <f t="shared" si="15"/>
        <v>58.800000000000004</v>
      </c>
      <c r="H73" s="33" t="s">
        <v>19</v>
      </c>
      <c r="I73" s="33" t="s">
        <v>31</v>
      </c>
      <c r="J73" s="33" t="s">
        <v>27</v>
      </c>
      <c r="K73" s="29">
        <v>0.91527777777777775</v>
      </c>
      <c r="L73" s="29">
        <v>0.92222222222222228</v>
      </c>
      <c r="M73" s="30">
        <f t="shared" ca="1" si="17"/>
        <v>6.9444444444445308E-3</v>
      </c>
      <c r="N73" s="46"/>
      <c r="O73" s="31"/>
    </row>
    <row r="74" spans="1:15" ht="15" customHeight="1">
      <c r="A74" s="68">
        <v>46237</v>
      </c>
      <c r="B74" s="25">
        <f t="shared" si="16"/>
        <v>1.0416666666666663</v>
      </c>
      <c r="C74" s="33" t="s">
        <v>29</v>
      </c>
      <c r="D74" s="62" t="s">
        <v>30</v>
      </c>
      <c r="E74" s="62" t="s">
        <v>249</v>
      </c>
      <c r="F74" s="27">
        <v>19</v>
      </c>
      <c r="G74" s="28">
        <f t="shared" si="15"/>
        <v>79.8</v>
      </c>
      <c r="H74" s="26" t="s">
        <v>20</v>
      </c>
      <c r="I74" s="26" t="s">
        <v>157</v>
      </c>
      <c r="J74" s="26" t="s">
        <v>74</v>
      </c>
      <c r="K74" s="29">
        <v>0.95972222222222225</v>
      </c>
      <c r="L74" s="29">
        <v>0.96388888888888891</v>
      </c>
      <c r="M74" s="35">
        <f t="shared" ca="1" si="17"/>
        <v>4.1666666666666519E-3</v>
      </c>
      <c r="N74" s="46"/>
      <c r="O74" s="31"/>
    </row>
    <row r="75" spans="1:15" ht="15" customHeight="1">
      <c r="A75" s="69">
        <v>46237</v>
      </c>
      <c r="B75" s="32">
        <f t="shared" si="16"/>
        <v>1.083333333333333</v>
      </c>
      <c r="C75" s="33" t="s">
        <v>29</v>
      </c>
      <c r="D75" s="62" t="s">
        <v>30</v>
      </c>
      <c r="E75" s="62" t="s">
        <v>249</v>
      </c>
      <c r="F75" s="27">
        <v>16</v>
      </c>
      <c r="G75" s="34">
        <f t="shared" si="15"/>
        <v>67.2</v>
      </c>
      <c r="H75" s="33" t="s">
        <v>19</v>
      </c>
      <c r="I75" s="33" t="s">
        <v>39</v>
      </c>
      <c r="J75" s="33" t="s">
        <v>27</v>
      </c>
      <c r="K75" s="29">
        <v>0.12916666666666668</v>
      </c>
      <c r="L75" s="29">
        <v>0.14027777777777778</v>
      </c>
      <c r="M75" s="30">
        <f t="shared" ca="1" si="17"/>
        <v>1.1111111111111099E-2</v>
      </c>
      <c r="N75" s="46"/>
      <c r="O75" s="31"/>
    </row>
    <row r="76" spans="1:15" ht="15" customHeight="1">
      <c r="A76" s="68">
        <v>46237</v>
      </c>
      <c r="B76" s="25">
        <f t="shared" si="16"/>
        <v>1.1249999999999998</v>
      </c>
      <c r="C76" s="33" t="s">
        <v>29</v>
      </c>
      <c r="D76" s="62" t="s">
        <v>30</v>
      </c>
      <c r="E76" s="62" t="s">
        <v>249</v>
      </c>
      <c r="F76" s="27">
        <v>12</v>
      </c>
      <c r="G76" s="28">
        <f t="shared" si="15"/>
        <v>50.400000000000006</v>
      </c>
      <c r="H76" s="26" t="s">
        <v>20</v>
      </c>
      <c r="I76" s="26" t="s">
        <v>31</v>
      </c>
      <c r="J76" s="26" t="s">
        <v>200</v>
      </c>
      <c r="K76" s="29">
        <v>0.26250000000000001</v>
      </c>
      <c r="L76" s="29">
        <v>0.27569444444444446</v>
      </c>
      <c r="M76" s="35">
        <f t="shared" ca="1" si="17"/>
        <v>1.3194444444444453E-2</v>
      </c>
      <c r="N76" s="46" t="s">
        <v>260</v>
      </c>
      <c r="O76" s="31"/>
    </row>
    <row r="77" spans="1:15" ht="15" customHeight="1">
      <c r="A77" s="69">
        <v>46237</v>
      </c>
      <c r="B77" s="32">
        <f t="shared" si="16"/>
        <v>1.1666666666666665</v>
      </c>
      <c r="C77" s="33" t="s">
        <v>29</v>
      </c>
      <c r="D77" s="62" t="s">
        <v>30</v>
      </c>
      <c r="E77" s="62" t="s">
        <v>249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0" t="str">
        <f t="shared" ca="1" si="17"/>
        <v/>
      </c>
      <c r="N77" s="46"/>
      <c r="O77" s="31"/>
    </row>
    <row r="78" spans="1:15" ht="15" customHeight="1">
      <c r="A78" s="68">
        <v>46237</v>
      </c>
      <c r="B78" s="25">
        <f t="shared" si="16"/>
        <v>1.2083333333333333</v>
      </c>
      <c r="C78" s="33" t="s">
        <v>29</v>
      </c>
      <c r="D78" s="62" t="s">
        <v>30</v>
      </c>
      <c r="E78" s="62" t="s">
        <v>249</v>
      </c>
      <c r="F78" s="27">
        <v>13</v>
      </c>
      <c r="G78" s="28">
        <f t="shared" si="15"/>
        <v>54.6</v>
      </c>
      <c r="H78" s="26"/>
      <c r="I78" s="26"/>
      <c r="J78" s="26"/>
      <c r="K78" s="29"/>
      <c r="L78" s="29"/>
      <c r="M78" s="35" t="str">
        <f t="shared" ca="1" si="17"/>
        <v/>
      </c>
      <c r="N78" s="46"/>
      <c r="O78" s="31"/>
    </row>
    <row r="79" spans="1:15" ht="15" customHeight="1">
      <c r="A79" s="69">
        <v>46237</v>
      </c>
      <c r="B79" s="32">
        <f t="shared" si="16"/>
        <v>1.25</v>
      </c>
      <c r="C79" s="33" t="s">
        <v>29</v>
      </c>
      <c r="D79" s="62" t="s">
        <v>22</v>
      </c>
      <c r="E79" s="62" t="s">
        <v>249</v>
      </c>
      <c r="F79" s="27">
        <v>15</v>
      </c>
      <c r="G79" s="34">
        <f t="shared" si="15"/>
        <v>63</v>
      </c>
      <c r="H79" s="33"/>
      <c r="I79" s="33"/>
      <c r="J79" s="33"/>
      <c r="K79" s="29"/>
      <c r="L79" s="29"/>
      <c r="M79" s="30" t="str">
        <f t="shared" ca="1" si="17"/>
        <v/>
      </c>
      <c r="N79" s="46"/>
      <c r="O79" s="31"/>
    </row>
    <row r="80" spans="1:15" ht="15" customHeight="1">
      <c r="A80" s="68">
        <v>46237</v>
      </c>
      <c r="B80" s="25">
        <f t="shared" si="16"/>
        <v>1.2916666666666667</v>
      </c>
      <c r="C80" s="33" t="s">
        <v>29</v>
      </c>
      <c r="D80" s="62" t="s">
        <v>22</v>
      </c>
      <c r="E80" s="62" t="s">
        <v>249</v>
      </c>
      <c r="F80" s="27">
        <v>10</v>
      </c>
      <c r="G80" s="28">
        <f t="shared" si="15"/>
        <v>42</v>
      </c>
      <c r="H80" s="26"/>
      <c r="I80" s="26"/>
      <c r="J80" s="26"/>
      <c r="K80" s="29"/>
      <c r="L80" s="29"/>
      <c r="M80" s="35" t="str">
        <f t="shared" ca="1" si="17"/>
        <v/>
      </c>
      <c r="N80" s="46"/>
      <c r="O80" s="31"/>
    </row>
    <row r="81" spans="1:15" ht="15.75" customHeight="1">
      <c r="A81" s="104" t="s">
        <v>237</v>
      </c>
      <c r="B81" s="105"/>
      <c r="C81" s="105"/>
      <c r="D81" s="105"/>
      <c r="E81" s="106">
        <f>SUM(E69:E80)</f>
        <v>0</v>
      </c>
      <c r="F81" s="36">
        <f>SUM(F69:F80)</f>
        <v>152</v>
      </c>
      <c r="G81" s="36">
        <f>SUM(G69:G80)</f>
        <v>638.4</v>
      </c>
      <c r="H81" s="37"/>
      <c r="I81" s="37"/>
      <c r="J81" s="37"/>
      <c r="K81" s="37"/>
      <c r="L81" s="37"/>
      <c r="M81" s="38">
        <f ca="1">IFERROR(SUM(M69:M80),"")</f>
        <v>5.3472222222222449E-2</v>
      </c>
      <c r="N81" s="36" t="s">
        <v>235</v>
      </c>
      <c r="O81" s="54">
        <v>634210</v>
      </c>
    </row>
    <row r="82" spans="1:15" ht="18" customHeight="1">
      <c r="A82" s="101" t="s">
        <v>238</v>
      </c>
      <c r="B82" s="102"/>
      <c r="C82" s="102"/>
      <c r="D82" s="102"/>
      <c r="E82" s="103">
        <f>E68+E81</f>
        <v>0</v>
      </c>
      <c r="F82" s="40">
        <f>F68+F81</f>
        <v>288</v>
      </c>
      <c r="G82" s="40">
        <f>G68+G81</f>
        <v>1209.5999999999999</v>
      </c>
      <c r="H82" s="41"/>
      <c r="I82" s="41"/>
      <c r="J82" s="41"/>
      <c r="K82" s="41"/>
      <c r="L82" s="41"/>
      <c r="M82" s="42">
        <f ca="1">IFERROR(M68+M81,"")</f>
        <v>0.16944444444444465</v>
      </c>
      <c r="N82" s="40" t="s">
        <v>239</v>
      </c>
      <c r="O82" s="82">
        <f>IFERROR(O68+O81,"")</f>
        <v>1199440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20" t="s">
        <v>261</v>
      </c>
      <c r="E83" s="59" t="s">
        <v>249</v>
      </c>
      <c r="F83" s="27">
        <v>12</v>
      </c>
      <c r="G83" s="28">
        <f t="shared" ref="G83:G94" si="18">IF(F83="","",IF(E83="PC 17",F83*4.2,IF(E83="PC 19",F83*5,IF(E83="CB",F83*24,""))))</f>
        <v>50.400000000000006</v>
      </c>
      <c r="H83" s="33" t="s">
        <v>18</v>
      </c>
      <c r="I83" s="33" t="s">
        <v>138</v>
      </c>
      <c r="J83" s="33" t="s">
        <v>209</v>
      </c>
      <c r="K83" s="29">
        <v>0.34097222222222223</v>
      </c>
      <c r="L83" s="29">
        <v>0.36041666666666666</v>
      </c>
      <c r="M83" s="35">
        <f t="shared" ref="M83:M94" ca="1" si="19">IFERROR(IF(K83="","",IF(L83="",MOD(NOW()-K83,1),IF(L83&gt;=K83,L83-K83,L83+1-K83))),"")</f>
        <v>1.9444444444444431E-2</v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249</v>
      </c>
      <c r="F84" s="27">
        <v>6</v>
      </c>
      <c r="G84" s="34">
        <f t="shared" si="18"/>
        <v>25.200000000000003</v>
      </c>
      <c r="H84" s="26" t="s">
        <v>19</v>
      </c>
      <c r="I84" s="26" t="s">
        <v>39</v>
      </c>
      <c r="J84" s="26" t="s">
        <v>27</v>
      </c>
      <c r="K84" s="29">
        <v>0.40694444444444444</v>
      </c>
      <c r="L84" s="29">
        <v>0.4201388888888889</v>
      </c>
      <c r="M84" s="30">
        <f t="shared" ca="1" si="19"/>
        <v>1.3194444444444453E-2</v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249</v>
      </c>
      <c r="F85" s="27">
        <v>15</v>
      </c>
      <c r="G85" s="28">
        <f t="shared" si="18"/>
        <v>63</v>
      </c>
      <c r="H85" s="33" t="s">
        <v>20</v>
      </c>
      <c r="I85" s="33" t="s">
        <v>39</v>
      </c>
      <c r="J85" s="33" t="s">
        <v>36</v>
      </c>
      <c r="K85" s="29">
        <v>0.42430555555555555</v>
      </c>
      <c r="L85" s="29">
        <v>0.43125000000000002</v>
      </c>
      <c r="M85" s="35">
        <f t="shared" ca="1" si="19"/>
        <v>6.9444444444444753E-3</v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249</v>
      </c>
      <c r="F86" s="27">
        <v>13</v>
      </c>
      <c r="G86" s="34">
        <f t="shared" si="18"/>
        <v>54.6</v>
      </c>
      <c r="H86" s="26" t="s">
        <v>20</v>
      </c>
      <c r="I86" s="26" t="s">
        <v>39</v>
      </c>
      <c r="J86" s="26" t="s">
        <v>36</v>
      </c>
      <c r="K86" s="29">
        <v>0.5395833333333333</v>
      </c>
      <c r="L86" s="29">
        <v>0.54513888888888884</v>
      </c>
      <c r="M86" s="30">
        <f t="shared" ca="1" si="19"/>
        <v>5.5555555555555358E-3</v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249</v>
      </c>
      <c r="F87" s="27">
        <v>14</v>
      </c>
      <c r="G87" s="28">
        <f t="shared" si="18"/>
        <v>58.800000000000004</v>
      </c>
      <c r="H87" s="33" t="s">
        <v>18</v>
      </c>
      <c r="I87" s="33" t="s">
        <v>138</v>
      </c>
      <c r="J87" s="33" t="s">
        <v>118</v>
      </c>
      <c r="K87" s="29">
        <v>0.56666666666666665</v>
      </c>
      <c r="L87" s="29">
        <v>0.73819444444444449</v>
      </c>
      <c r="M87" s="35">
        <f t="shared" ca="1" si="19"/>
        <v>0.17152777777777783</v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249</v>
      </c>
      <c r="F88" s="27">
        <v>18</v>
      </c>
      <c r="G88" s="34">
        <f t="shared" si="18"/>
        <v>75.600000000000009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249</v>
      </c>
      <c r="F89" s="27">
        <v>12</v>
      </c>
      <c r="G89" s="28">
        <f t="shared" si="18"/>
        <v>50.400000000000006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249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249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249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249</v>
      </c>
      <c r="F93" s="27">
        <v>2</v>
      </c>
      <c r="G93" s="28">
        <f t="shared" si="18"/>
        <v>8.4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249</v>
      </c>
      <c r="F94" s="27">
        <v>4</v>
      </c>
      <c r="G94" s="34">
        <f t="shared" si="18"/>
        <v>16.8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4" t="s">
        <v>234</v>
      </c>
      <c r="B95" s="105"/>
      <c r="C95" s="105"/>
      <c r="D95" s="105"/>
      <c r="E95" s="106">
        <f>SUM(E83:E94)</f>
        <v>0</v>
      </c>
      <c r="F95" s="36">
        <f>SUM(F83:F94)</f>
        <v>96</v>
      </c>
      <c r="G95" s="36">
        <f>SUM(G83:G94)</f>
        <v>403.2</v>
      </c>
      <c r="H95" s="37"/>
      <c r="I95" s="37"/>
      <c r="J95" s="37"/>
      <c r="K95" s="37"/>
      <c r="L95" s="37"/>
      <c r="M95" s="38">
        <f ca="1">IFERROR(SUM(M83:M94),"")</f>
        <v>0.21666666666666673</v>
      </c>
      <c r="N95" s="36" t="s">
        <v>235</v>
      </c>
      <c r="O95" s="54">
        <v>449600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249</v>
      </c>
      <c r="F96" s="27">
        <v>3</v>
      </c>
      <c r="G96" s="34">
        <f t="shared" ref="G96:G107" si="21">IF(F96="","",IF(E96="PC 17",F96*4.2,IF(E96="PC 19",F96*5,IF(E96="CB",F96*24,""))))</f>
        <v>12.600000000000001</v>
      </c>
      <c r="H96" s="26" t="s">
        <v>18</v>
      </c>
      <c r="I96" s="26" t="s">
        <v>141</v>
      </c>
      <c r="J96" s="26" t="s">
        <v>118</v>
      </c>
      <c r="K96" s="29">
        <v>0.79166666666666663</v>
      </c>
      <c r="L96" s="29" t="s">
        <v>262</v>
      </c>
      <c r="M96" s="30" t="str">
        <f t="shared" ref="M96:M107" ca="1" si="22">IFERROR(IF(K96="","",IF(L96="",MOD(NOW()-K96,1),IF(L96&gt;=K96,L96-K96,L96+1-K96))),"")</f>
        <v/>
      </c>
      <c r="N96" s="46" t="s">
        <v>263</v>
      </c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249</v>
      </c>
      <c r="F97" s="27">
        <v>0</v>
      </c>
      <c r="G97" s="28">
        <f t="shared" si="21"/>
        <v>0</v>
      </c>
      <c r="H97" s="33" t="s">
        <v>19</v>
      </c>
      <c r="I97" s="33" t="s">
        <v>31</v>
      </c>
      <c r="J97" s="33" t="s">
        <v>50</v>
      </c>
      <c r="K97" s="29">
        <v>2.0833333333333332E-2</v>
      </c>
      <c r="L97" s="29">
        <v>5.2777777777777778E-2</v>
      </c>
      <c r="M97" s="35">
        <f t="shared" ca="1" si="22"/>
        <v>3.1944444444444442E-2</v>
      </c>
      <c r="N97" s="46" t="s">
        <v>236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249</v>
      </c>
      <c r="F98" s="27">
        <v>0</v>
      </c>
      <c r="G98" s="34">
        <f t="shared" si="21"/>
        <v>0</v>
      </c>
      <c r="H98" s="26" t="s">
        <v>17</v>
      </c>
      <c r="I98" s="26" t="s">
        <v>31</v>
      </c>
      <c r="J98" s="26"/>
      <c r="K98" s="29">
        <v>0.12430555555555556</v>
      </c>
      <c r="L98" s="29">
        <v>0.12847222222222221</v>
      </c>
      <c r="M98" s="30">
        <f t="shared" ca="1" si="22"/>
        <v>4.1666666666666519E-3</v>
      </c>
      <c r="N98" s="46" t="s">
        <v>264</v>
      </c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249</v>
      </c>
      <c r="F99" s="27">
        <v>0</v>
      </c>
      <c r="G99" s="28">
        <f t="shared" si="21"/>
        <v>0</v>
      </c>
      <c r="H99" s="33" t="s">
        <v>20</v>
      </c>
      <c r="I99" s="33" t="s">
        <v>39</v>
      </c>
      <c r="J99" s="33" t="s">
        <v>183</v>
      </c>
      <c r="K99" s="29">
        <v>0.12847222222222221</v>
      </c>
      <c r="L99" s="29">
        <v>0.13819444444444445</v>
      </c>
      <c r="M99" s="35">
        <f t="shared" ca="1" si="22"/>
        <v>9.7222222222222432E-3</v>
      </c>
      <c r="N99" s="46" t="s">
        <v>265</v>
      </c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249</v>
      </c>
      <c r="F100" s="27">
        <v>25</v>
      </c>
      <c r="G100" s="34">
        <f t="shared" si="21"/>
        <v>105</v>
      </c>
      <c r="H100" s="26" t="s">
        <v>19</v>
      </c>
      <c r="I100" s="26" t="s">
        <v>31</v>
      </c>
      <c r="J100" s="26" t="s">
        <v>50</v>
      </c>
      <c r="K100" s="29">
        <v>0.14791666666666667</v>
      </c>
      <c r="L100" s="29">
        <v>0.16666666666666666</v>
      </c>
      <c r="M100" s="30">
        <f t="shared" ca="1" si="22"/>
        <v>1.8749999999999989E-2</v>
      </c>
      <c r="N100" s="46" t="s">
        <v>236</v>
      </c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249</v>
      </c>
      <c r="F101" s="27">
        <v>3</v>
      </c>
      <c r="G101" s="28">
        <f t="shared" si="21"/>
        <v>12.600000000000001</v>
      </c>
      <c r="H101" s="33" t="s">
        <v>20</v>
      </c>
      <c r="I101" s="33" t="s">
        <v>39</v>
      </c>
      <c r="J101" s="33" t="s">
        <v>36</v>
      </c>
      <c r="K101" s="29">
        <v>0.25624999999999998</v>
      </c>
      <c r="L101" s="29">
        <v>0.25833333333333336</v>
      </c>
      <c r="M101" s="35">
        <f t="shared" ca="1" si="22"/>
        <v>2.0833333333333814E-3</v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249</v>
      </c>
      <c r="F102" s="27">
        <v>11</v>
      </c>
      <c r="G102" s="34">
        <f t="shared" si="21"/>
        <v>46.2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249</v>
      </c>
      <c r="F103" s="27">
        <v>18</v>
      </c>
      <c r="G103" s="28">
        <f t="shared" si="21"/>
        <v>75.600000000000009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249</v>
      </c>
      <c r="F104" s="27">
        <v>9</v>
      </c>
      <c r="G104" s="34">
        <f t="shared" si="21"/>
        <v>37.800000000000004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249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249</v>
      </c>
      <c r="F106" s="27">
        <v>6</v>
      </c>
      <c r="G106" s="34">
        <f t="shared" si="21"/>
        <v>25.200000000000003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249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4" t="s">
        <v>237</v>
      </c>
      <c r="B108" s="105"/>
      <c r="C108" s="105"/>
      <c r="D108" s="105"/>
      <c r="E108" s="106">
        <f>SUM(E96:E107)</f>
        <v>0</v>
      </c>
      <c r="F108" s="36">
        <f>SUM(F96:F107)</f>
        <v>97</v>
      </c>
      <c r="G108" s="36">
        <f>SUM(G96:G107)</f>
        <v>407.40000000000003</v>
      </c>
      <c r="H108" s="37"/>
      <c r="I108" s="37"/>
      <c r="J108" s="37"/>
      <c r="K108" s="37"/>
      <c r="L108" s="37"/>
      <c r="M108" s="38">
        <f ca="1">IFERROR(SUM(M96:M107),"")</f>
        <v>6.6666666666666707E-2</v>
      </c>
      <c r="N108" s="36" t="s">
        <v>235</v>
      </c>
      <c r="O108" s="54">
        <v>456830</v>
      </c>
    </row>
    <row r="109" spans="1:15" ht="18" customHeight="1">
      <c r="A109" s="101" t="s">
        <v>238</v>
      </c>
      <c r="B109" s="102"/>
      <c r="C109" s="102"/>
      <c r="D109" s="102"/>
      <c r="E109" s="103">
        <f>E95+E108</f>
        <v>0</v>
      </c>
      <c r="F109" s="40">
        <f>F95+F108</f>
        <v>193</v>
      </c>
      <c r="G109" s="40">
        <f>G95+G108</f>
        <v>810.6</v>
      </c>
      <c r="H109" s="41"/>
      <c r="I109" s="41"/>
      <c r="J109" s="41"/>
      <c r="K109" s="41"/>
      <c r="L109" s="41"/>
      <c r="M109" s="42">
        <f ca="1">IFERROR(M95+M108,"")</f>
        <v>0.28333333333333344</v>
      </c>
      <c r="N109" s="40" t="s">
        <v>239</v>
      </c>
      <c r="O109" s="82">
        <f>IFERROR(O95+O108,"")</f>
        <v>906430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249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18</v>
      </c>
      <c r="I110" s="26" t="s">
        <v>31</v>
      </c>
      <c r="J110" s="26" t="s">
        <v>156</v>
      </c>
      <c r="K110" s="29">
        <v>0.4597222222222222</v>
      </c>
      <c r="L110" s="29">
        <v>0.49305555555555558</v>
      </c>
      <c r="M110" s="35">
        <f t="shared" ref="M110:M121" ca="1" si="25">IFERROR(IF(K110="","",IF(L110="",MOD(NOW()-K110,1),IF(L110&gt;=K110,L110-K110,L110+1-K110))),"")</f>
        <v>3.3333333333333381E-2</v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249</v>
      </c>
      <c r="F111" s="27">
        <v>17</v>
      </c>
      <c r="G111" s="34">
        <f t="shared" si="24"/>
        <v>71.400000000000006</v>
      </c>
      <c r="H111" s="33" t="s">
        <v>20</v>
      </c>
      <c r="I111" s="33" t="s">
        <v>39</v>
      </c>
      <c r="J111" s="33" t="s">
        <v>36</v>
      </c>
      <c r="K111" s="29">
        <v>0.4284722222222222</v>
      </c>
      <c r="L111" s="29">
        <v>0.44444444444444442</v>
      </c>
      <c r="M111" s="30">
        <f t="shared" ca="1" si="25"/>
        <v>1.5972222222222221E-2</v>
      </c>
      <c r="N111" s="46" t="s">
        <v>266</v>
      </c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249</v>
      </c>
      <c r="F112" s="27">
        <v>23</v>
      </c>
      <c r="G112" s="28">
        <f t="shared" si="24"/>
        <v>96.600000000000009</v>
      </c>
      <c r="H112" s="26" t="s">
        <v>18</v>
      </c>
      <c r="I112" s="26" t="s">
        <v>39</v>
      </c>
      <c r="J112" s="26" t="s">
        <v>156</v>
      </c>
      <c r="K112" s="29">
        <v>0.54722222222222228</v>
      </c>
      <c r="L112" s="29">
        <v>0.58194444444444449</v>
      </c>
      <c r="M112" s="35">
        <f t="shared" ca="1" si="25"/>
        <v>3.472222222222221E-2</v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249</v>
      </c>
      <c r="F113" s="27">
        <v>11</v>
      </c>
      <c r="G113" s="34">
        <f t="shared" si="24"/>
        <v>46.2</v>
      </c>
      <c r="H113" s="33" t="s">
        <v>20</v>
      </c>
      <c r="I113" s="33" t="s">
        <v>39</v>
      </c>
      <c r="J113" s="33" t="s">
        <v>36</v>
      </c>
      <c r="K113" s="29">
        <v>0.67500000000000004</v>
      </c>
      <c r="L113" s="29">
        <v>0.68611111111111112</v>
      </c>
      <c r="M113" s="30">
        <f t="shared" ca="1" si="25"/>
        <v>1.1111111111111072E-2</v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249</v>
      </c>
      <c r="F114" s="27">
        <v>3</v>
      </c>
      <c r="G114" s="28">
        <f t="shared" si="24"/>
        <v>12.600000000000001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249</v>
      </c>
      <c r="F115" s="27">
        <v>23</v>
      </c>
      <c r="G115" s="34">
        <f t="shared" si="24"/>
        <v>96.600000000000009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249</v>
      </c>
      <c r="F116" s="27">
        <v>1</v>
      </c>
      <c r="G116" s="28">
        <f t="shared" si="24"/>
        <v>4.2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249</v>
      </c>
      <c r="F117" s="27">
        <v>14</v>
      </c>
      <c r="G117" s="34">
        <f t="shared" si="24"/>
        <v>58.800000000000004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249</v>
      </c>
      <c r="F118" s="27">
        <v>23</v>
      </c>
      <c r="G118" s="28">
        <f t="shared" si="24"/>
        <v>96.600000000000009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249</v>
      </c>
      <c r="F119" s="27">
        <v>21</v>
      </c>
      <c r="G119" s="34">
        <f t="shared" si="24"/>
        <v>88.2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249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249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4" t="s">
        <v>234</v>
      </c>
      <c r="B122" s="105"/>
      <c r="C122" s="105"/>
      <c r="D122" s="105"/>
      <c r="E122" s="106">
        <f>SUM(E110:E121)</f>
        <v>0</v>
      </c>
      <c r="F122" s="36">
        <f>SUM(F110:F121)</f>
        <v>184</v>
      </c>
      <c r="G122" s="36">
        <f>SUM(G110:G121)</f>
        <v>772.80000000000007</v>
      </c>
      <c r="H122" s="37"/>
      <c r="I122" s="37"/>
      <c r="J122" s="37"/>
      <c r="K122" s="37"/>
      <c r="L122" s="37"/>
      <c r="M122" s="38">
        <f ca="1">IFERROR(SUM(M110:M121),"")</f>
        <v>9.5138888888888884E-2</v>
      </c>
      <c r="N122" s="36" t="s">
        <v>235</v>
      </c>
      <c r="O122" s="54">
        <v>791070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249</v>
      </c>
      <c r="F123" s="27">
        <v>19</v>
      </c>
      <c r="G123" s="34">
        <f t="shared" ref="G123:G134" si="27">IF(F123="","",IF(E123="PC 17",F123*4.2,IF(E123="PC 19",F123*5,IF(E123="CB",F123*24,""))))</f>
        <v>79.8</v>
      </c>
      <c r="H123" s="33" t="s">
        <v>19</v>
      </c>
      <c r="I123" s="33" t="s">
        <v>159</v>
      </c>
      <c r="J123" s="33" t="s">
        <v>27</v>
      </c>
      <c r="K123" s="29">
        <v>0.79236111111111107</v>
      </c>
      <c r="L123" s="29">
        <v>0.8041666666666667</v>
      </c>
      <c r="M123" s="30">
        <f t="shared" ref="M123:M134" ca="1" si="28">IFERROR(IF(K123="","",IF(L123="",MOD(NOW()-K123,1),IF(L123&gt;=K123,L123-K123,L123+1-K123))),"")</f>
        <v>1.1805555555555625E-2</v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249</v>
      </c>
      <c r="F124" s="27">
        <v>14</v>
      </c>
      <c r="G124" s="28">
        <f t="shared" si="27"/>
        <v>58.800000000000004</v>
      </c>
      <c r="H124" s="26" t="s">
        <v>18</v>
      </c>
      <c r="I124" s="26" t="s">
        <v>31</v>
      </c>
      <c r="J124" s="26" t="s">
        <v>156</v>
      </c>
      <c r="K124" s="29">
        <v>0.86458333333333337</v>
      </c>
      <c r="L124" s="29">
        <v>0.87569444444444444</v>
      </c>
      <c r="M124" s="35">
        <f t="shared" ca="1" si="28"/>
        <v>1.1111111111111072E-2</v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249</v>
      </c>
      <c r="F125" s="27">
        <v>12</v>
      </c>
      <c r="G125" s="34">
        <f t="shared" si="27"/>
        <v>50.400000000000006</v>
      </c>
      <c r="H125" s="33" t="s">
        <v>17</v>
      </c>
      <c r="I125" s="33" t="s">
        <v>135</v>
      </c>
      <c r="J125" s="33" t="s">
        <v>49</v>
      </c>
      <c r="K125" s="29">
        <v>0.95</v>
      </c>
      <c r="L125" s="29">
        <v>0.95138888888888884</v>
      </c>
      <c r="M125" s="30">
        <f t="shared" ca="1" si="28"/>
        <v>1.388888888888884E-3</v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249</v>
      </c>
      <c r="F126" s="27">
        <v>20</v>
      </c>
      <c r="G126" s="28">
        <f t="shared" si="27"/>
        <v>84</v>
      </c>
      <c r="H126" s="26" t="s">
        <v>17</v>
      </c>
      <c r="I126" s="26" t="s">
        <v>135</v>
      </c>
      <c r="J126" s="26" t="s">
        <v>49</v>
      </c>
      <c r="K126" s="29">
        <v>0.96597222222222223</v>
      </c>
      <c r="L126" s="29">
        <v>0.96736111111111112</v>
      </c>
      <c r="M126" s="35">
        <f t="shared" ca="1" si="28"/>
        <v>1.388888888888884E-3</v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249</v>
      </c>
      <c r="F127" s="27">
        <v>18</v>
      </c>
      <c r="G127" s="34">
        <f t="shared" si="27"/>
        <v>75.600000000000009</v>
      </c>
      <c r="H127" s="33" t="s">
        <v>20</v>
      </c>
      <c r="I127" s="33" t="s">
        <v>123</v>
      </c>
      <c r="J127" s="33" t="s">
        <v>114</v>
      </c>
      <c r="K127" s="29">
        <v>4.1666666666666664E-2</v>
      </c>
      <c r="L127" s="29">
        <v>0.12291666666666666</v>
      </c>
      <c r="M127" s="30">
        <f t="shared" ca="1" si="28"/>
        <v>8.1249999999999989E-2</v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249</v>
      </c>
      <c r="F128" s="27">
        <v>17</v>
      </c>
      <c r="G128" s="28">
        <f t="shared" si="27"/>
        <v>71.400000000000006</v>
      </c>
      <c r="H128" s="26" t="s">
        <v>19</v>
      </c>
      <c r="I128" s="26" t="s">
        <v>39</v>
      </c>
      <c r="J128" s="26" t="s">
        <v>27</v>
      </c>
      <c r="K128" s="29">
        <v>0.2013888888888889</v>
      </c>
      <c r="L128" s="29">
        <v>0.21249999999999999</v>
      </c>
      <c r="M128" s="35">
        <f t="shared" ca="1" si="28"/>
        <v>1.1111111111111099E-2</v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249</v>
      </c>
      <c r="F129" s="27">
        <v>6</v>
      </c>
      <c r="G129" s="34">
        <f t="shared" si="27"/>
        <v>25.200000000000003</v>
      </c>
      <c r="H129" s="33" t="s">
        <v>19</v>
      </c>
      <c r="I129" s="33" t="s">
        <v>31</v>
      </c>
      <c r="J129" s="33" t="s">
        <v>27</v>
      </c>
      <c r="K129" s="29">
        <v>0.21249999999999999</v>
      </c>
      <c r="L129" s="29">
        <v>0.22222222222222221</v>
      </c>
      <c r="M129" s="30">
        <f t="shared" ca="1" si="28"/>
        <v>9.7222222222222154E-3</v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249</v>
      </c>
      <c r="F130" s="27">
        <v>6</v>
      </c>
      <c r="G130" s="28">
        <f t="shared" si="27"/>
        <v>25.200000000000003</v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249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249</v>
      </c>
      <c r="F132" s="27">
        <v>10</v>
      </c>
      <c r="G132" s="28">
        <f t="shared" si="27"/>
        <v>42</v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249</v>
      </c>
      <c r="F133" s="27">
        <v>5</v>
      </c>
      <c r="G133" s="34">
        <f t="shared" si="27"/>
        <v>21</v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249</v>
      </c>
      <c r="F134" s="27">
        <v>17</v>
      </c>
      <c r="G134" s="28">
        <f t="shared" si="27"/>
        <v>71.400000000000006</v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4" t="s">
        <v>237</v>
      </c>
      <c r="B135" s="105"/>
      <c r="C135" s="105"/>
      <c r="D135" s="105"/>
      <c r="E135" s="106">
        <f>SUM(E123:E134)</f>
        <v>0</v>
      </c>
      <c r="F135" s="36">
        <f>SUM(F123:F134)</f>
        <v>164</v>
      </c>
      <c r="G135" s="36">
        <f>SUM(G123:G134)</f>
        <v>688.8</v>
      </c>
      <c r="H135" s="37"/>
      <c r="I135" s="37"/>
      <c r="J135" s="37"/>
      <c r="K135" s="37"/>
      <c r="L135" s="37"/>
      <c r="M135" s="38">
        <f ca="1">IFERROR(SUM(M123:M134),"")</f>
        <v>0.12777777777777777</v>
      </c>
      <c r="N135" s="36" t="s">
        <v>235</v>
      </c>
      <c r="O135" s="54">
        <v>756720</v>
      </c>
    </row>
    <row r="136" spans="1:15" ht="18" customHeight="1">
      <c r="A136" s="101" t="s">
        <v>238</v>
      </c>
      <c r="B136" s="102"/>
      <c r="C136" s="102"/>
      <c r="D136" s="102"/>
      <c r="E136" s="103">
        <f>E122+E135</f>
        <v>0</v>
      </c>
      <c r="F136" s="40">
        <f>F122+F135</f>
        <v>348</v>
      </c>
      <c r="G136" s="40">
        <f>G122+G135</f>
        <v>1461.6</v>
      </c>
      <c r="H136" s="41"/>
      <c r="I136" s="41"/>
      <c r="J136" s="41"/>
      <c r="K136" s="41"/>
      <c r="L136" s="41"/>
      <c r="M136" s="42">
        <f ca="1">IFERROR(M122+M135,"")</f>
        <v>0.22291666666666665</v>
      </c>
      <c r="N136" s="40" t="s">
        <v>239</v>
      </c>
      <c r="O136" s="82">
        <f>IFERROR(O122+O135,"")</f>
        <v>1547790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249</v>
      </c>
      <c r="F137" s="27">
        <v>21</v>
      </c>
      <c r="G137" s="34">
        <f>IF(F137="","",IF(E137="PC 17",F137*4.2,IF(E137="PC 19",F137*5,IF(E137="CB",F137*24,""))))</f>
        <v>88.2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0">IFERROR(IF(K137="","",IF(L137="",MOD(NOW()-K137,1),IF(L137&gt;=K137,L137-K137,L137+1-K137))),"")</f>
        <v>1.041666666666663E-2</v>
      </c>
      <c r="N137" s="46"/>
      <c r="O137" s="31"/>
    </row>
    <row r="138" spans="1:15" ht="15" customHeight="1">
      <c r="A138" s="68">
        <v>46240</v>
      </c>
      <c r="B138" s="25">
        <f t="shared" ref="B138:B148" si="31">B137+TIME(0,60,0)</f>
        <v>0.37499999999999967</v>
      </c>
      <c r="C138" s="33" t="s">
        <v>21</v>
      </c>
      <c r="D138" s="62" t="s">
        <v>22</v>
      </c>
      <c r="E138" s="62" t="s">
        <v>249</v>
      </c>
      <c r="F138" s="27">
        <v>13</v>
      </c>
      <c r="G138" s="28">
        <f t="shared" ref="G137:G148" si="32">IF(F138="","",IF(E138="PC 17",F138*4.2,IF(E138="PC 19",F138*5,IF(E138="CB",F138*24,""))))</f>
        <v>54.6</v>
      </c>
      <c r="H138" s="26" t="s">
        <v>20</v>
      </c>
      <c r="I138" s="26" t="s">
        <v>39</v>
      </c>
      <c r="J138" s="26" t="s">
        <v>51</v>
      </c>
      <c r="K138" s="29">
        <v>0.3347222222222222</v>
      </c>
      <c r="L138" s="29">
        <v>0.33750000000000002</v>
      </c>
      <c r="M138" s="30">
        <f t="shared" ca="1" si="30"/>
        <v>2.7777777777778234E-3</v>
      </c>
      <c r="N138" s="46"/>
      <c r="O138" s="31"/>
    </row>
    <row r="139" spans="1:15" ht="15" customHeight="1">
      <c r="A139" s="69">
        <v>46240</v>
      </c>
      <c r="B139" s="32">
        <f t="shared" si="31"/>
        <v>0.41666666666666635</v>
      </c>
      <c r="C139" s="33" t="s">
        <v>21</v>
      </c>
      <c r="D139" s="62" t="s">
        <v>30</v>
      </c>
      <c r="E139" s="62" t="s">
        <v>249</v>
      </c>
      <c r="F139" s="27">
        <v>13</v>
      </c>
      <c r="G139" s="34">
        <f t="shared" si="32"/>
        <v>54.6</v>
      </c>
      <c r="H139" s="33" t="s">
        <v>20</v>
      </c>
      <c r="I139" s="33" t="s">
        <v>39</v>
      </c>
      <c r="J139" s="33" t="s">
        <v>56</v>
      </c>
      <c r="K139" s="29">
        <v>0.3576388888888889</v>
      </c>
      <c r="L139" s="29">
        <v>0.38194444444444442</v>
      </c>
      <c r="M139" s="35">
        <f t="shared" ca="1" si="30"/>
        <v>2.4305555555555525E-2</v>
      </c>
      <c r="N139" s="46" t="s">
        <v>267</v>
      </c>
      <c r="O139" s="31"/>
    </row>
    <row r="140" spans="1:15" ht="15" customHeight="1">
      <c r="A140" s="68">
        <v>46240</v>
      </c>
      <c r="B140" s="25">
        <f t="shared" si="31"/>
        <v>0.45833333333333304</v>
      </c>
      <c r="C140" s="33" t="s">
        <v>21</v>
      </c>
      <c r="D140" s="62" t="s">
        <v>30</v>
      </c>
      <c r="E140" s="62" t="s">
        <v>249</v>
      </c>
      <c r="F140" s="27">
        <v>11</v>
      </c>
      <c r="G140" s="28">
        <f t="shared" si="32"/>
        <v>46.2</v>
      </c>
      <c r="H140" s="26" t="s">
        <v>20</v>
      </c>
      <c r="I140" s="26" t="s">
        <v>39</v>
      </c>
      <c r="J140" s="26" t="s">
        <v>36</v>
      </c>
      <c r="K140" s="29">
        <v>0.39930555555555558</v>
      </c>
      <c r="L140" s="29">
        <v>0.40555555555555556</v>
      </c>
      <c r="M140" s="30">
        <f t="shared" ca="1" si="30"/>
        <v>6.2499999999999778E-3</v>
      </c>
      <c r="N140" s="46"/>
      <c r="O140" s="31"/>
    </row>
    <row r="141" spans="1:15" ht="15" customHeight="1">
      <c r="A141" s="69">
        <v>46240</v>
      </c>
      <c r="B141" s="32">
        <f t="shared" si="31"/>
        <v>0.49999999999999972</v>
      </c>
      <c r="C141" s="33" t="s">
        <v>21</v>
      </c>
      <c r="D141" s="62" t="s">
        <v>30</v>
      </c>
      <c r="E141" s="62" t="s">
        <v>249</v>
      </c>
      <c r="F141" s="27">
        <v>20</v>
      </c>
      <c r="G141" s="34">
        <f t="shared" si="32"/>
        <v>84</v>
      </c>
      <c r="H141" s="33" t="s">
        <v>20</v>
      </c>
      <c r="I141" s="33" t="s">
        <v>39</v>
      </c>
      <c r="J141" s="33" t="s">
        <v>36</v>
      </c>
      <c r="K141" s="29">
        <v>0.44444444444444442</v>
      </c>
      <c r="L141" s="29">
        <v>0.4513888888888889</v>
      </c>
      <c r="M141" s="35">
        <f t="shared" ca="1" si="30"/>
        <v>6.9444444444444753E-3</v>
      </c>
      <c r="N141" s="46" t="s">
        <v>268</v>
      </c>
      <c r="O141" s="31"/>
    </row>
    <row r="142" spans="1:15" ht="15" customHeight="1">
      <c r="A142" s="68">
        <v>46240</v>
      </c>
      <c r="B142" s="25">
        <f t="shared" si="31"/>
        <v>0.54166666666666641</v>
      </c>
      <c r="C142" s="33" t="s">
        <v>21</v>
      </c>
      <c r="D142" s="62" t="s">
        <v>30</v>
      </c>
      <c r="E142" s="62" t="s">
        <v>249</v>
      </c>
      <c r="F142" s="27">
        <v>15</v>
      </c>
      <c r="G142" s="28">
        <f t="shared" si="32"/>
        <v>63</v>
      </c>
      <c r="H142" s="26" t="s">
        <v>18</v>
      </c>
      <c r="I142" s="26"/>
      <c r="J142" s="26" t="s">
        <v>118</v>
      </c>
      <c r="K142" s="29">
        <v>0.52638888888888891</v>
      </c>
      <c r="L142" s="29">
        <v>0.6333333333333333</v>
      </c>
      <c r="M142" s="30">
        <f t="shared" ca="1" si="30"/>
        <v>0.1069444444444444</v>
      </c>
      <c r="N142" s="46"/>
      <c r="O142" s="31"/>
    </row>
    <row r="143" spans="1:15" ht="15" customHeight="1">
      <c r="A143" s="69">
        <v>46240</v>
      </c>
      <c r="B143" s="32">
        <f t="shared" si="31"/>
        <v>0.58333333333333304</v>
      </c>
      <c r="C143" s="33" t="s">
        <v>21</v>
      </c>
      <c r="D143" s="62" t="s">
        <v>30</v>
      </c>
      <c r="E143" s="62" t="s">
        <v>249</v>
      </c>
      <c r="F143" s="27">
        <v>0</v>
      </c>
      <c r="G143" s="34">
        <f t="shared" si="32"/>
        <v>0</v>
      </c>
      <c r="H143" s="33" t="s">
        <v>20</v>
      </c>
      <c r="I143" s="33" t="s">
        <v>31</v>
      </c>
      <c r="J143" s="33" t="s">
        <v>36</v>
      </c>
      <c r="K143" s="29">
        <v>0.63888888888888884</v>
      </c>
      <c r="L143" s="29">
        <v>0.64444444444444449</v>
      </c>
      <c r="M143" s="35">
        <f t="shared" ca="1" si="30"/>
        <v>5.5555555555556468E-3</v>
      </c>
      <c r="N143" s="46"/>
      <c r="O143" s="31"/>
    </row>
    <row r="144" spans="1:15" ht="15" customHeight="1">
      <c r="A144" s="68">
        <v>46240</v>
      </c>
      <c r="B144" s="25">
        <f t="shared" si="31"/>
        <v>0.62499999999999967</v>
      </c>
      <c r="C144" s="33" t="s">
        <v>21</v>
      </c>
      <c r="D144" s="62" t="s">
        <v>30</v>
      </c>
      <c r="E144" s="62" t="s">
        <v>249</v>
      </c>
      <c r="F144" s="27">
        <v>10</v>
      </c>
      <c r="G144" s="28">
        <f t="shared" si="32"/>
        <v>42</v>
      </c>
      <c r="H144" s="26" t="s">
        <v>16</v>
      </c>
      <c r="I144" s="26" t="s">
        <v>159</v>
      </c>
      <c r="J144" s="26" t="s">
        <v>110</v>
      </c>
      <c r="K144" s="29">
        <v>0.64513888888888893</v>
      </c>
      <c r="L144" s="29">
        <v>0.65763888888888888</v>
      </c>
      <c r="M144" s="30">
        <f t="shared" ca="1" si="30"/>
        <v>1.2499999999999956E-2</v>
      </c>
      <c r="N144" s="46"/>
      <c r="O144" s="31"/>
    </row>
    <row r="145" spans="1:15" ht="15" customHeight="1">
      <c r="A145" s="69">
        <v>46240</v>
      </c>
      <c r="B145" s="32">
        <f t="shared" si="31"/>
        <v>0.6666666666666663</v>
      </c>
      <c r="C145" s="33" t="s">
        <v>21</v>
      </c>
      <c r="D145" s="62" t="s">
        <v>30</v>
      </c>
      <c r="E145" s="62" t="s">
        <v>249</v>
      </c>
      <c r="F145" s="27">
        <v>12</v>
      </c>
      <c r="G145" s="34">
        <f t="shared" si="32"/>
        <v>50.400000000000006</v>
      </c>
      <c r="H145" s="33"/>
      <c r="I145" s="33"/>
      <c r="J145" s="33"/>
      <c r="K145" s="29"/>
      <c r="L145" s="29"/>
      <c r="M145" s="35" t="str">
        <f t="shared" ca="1" si="30"/>
        <v/>
      </c>
      <c r="N145" s="46" t="s">
        <v>269</v>
      </c>
      <c r="O145" s="31"/>
    </row>
    <row r="146" spans="1:15" ht="15" customHeight="1">
      <c r="A146" s="68">
        <v>46240</v>
      </c>
      <c r="B146" s="25">
        <f t="shared" si="31"/>
        <v>0.70833333333333293</v>
      </c>
      <c r="C146" s="33" t="s">
        <v>21</v>
      </c>
      <c r="D146" s="62" t="s">
        <v>30</v>
      </c>
      <c r="E146" s="62" t="s">
        <v>249</v>
      </c>
      <c r="F146" s="27">
        <v>10</v>
      </c>
      <c r="G146" s="28">
        <f t="shared" si="32"/>
        <v>42</v>
      </c>
      <c r="H146" s="26"/>
      <c r="I146" s="26"/>
      <c r="J146" s="26"/>
      <c r="K146" s="29"/>
      <c r="L146" s="29"/>
      <c r="M146" s="30" t="str">
        <f t="shared" ca="1" si="30"/>
        <v/>
      </c>
      <c r="N146" s="46"/>
      <c r="O146" s="31"/>
    </row>
    <row r="147" spans="1:15" ht="15" customHeight="1">
      <c r="A147" s="69">
        <v>46240</v>
      </c>
      <c r="B147" s="32">
        <f t="shared" si="31"/>
        <v>0.74999999999999956</v>
      </c>
      <c r="C147" s="33" t="s">
        <v>21</v>
      </c>
      <c r="D147" s="62" t="s">
        <v>30</v>
      </c>
      <c r="E147" s="62" t="s">
        <v>249</v>
      </c>
      <c r="F147" s="27">
        <v>10</v>
      </c>
      <c r="G147" s="34">
        <f t="shared" si="32"/>
        <v>42</v>
      </c>
      <c r="H147" s="33"/>
      <c r="I147" s="33"/>
      <c r="J147" s="33"/>
      <c r="K147" s="29"/>
      <c r="L147" s="29"/>
      <c r="M147" s="35" t="str">
        <f t="shared" ca="1" si="30"/>
        <v/>
      </c>
      <c r="N147" s="46"/>
      <c r="O147" s="31"/>
    </row>
    <row r="148" spans="1:15" ht="15" customHeight="1">
      <c r="A148" s="68">
        <v>46240</v>
      </c>
      <c r="B148" s="25">
        <f t="shared" si="31"/>
        <v>0.79166666666666619</v>
      </c>
      <c r="C148" s="33" t="s">
        <v>21</v>
      </c>
      <c r="D148" s="62" t="s">
        <v>30</v>
      </c>
      <c r="E148" s="62" t="s">
        <v>249</v>
      </c>
      <c r="F148" s="27">
        <v>5</v>
      </c>
      <c r="G148" s="28">
        <f t="shared" si="32"/>
        <v>21</v>
      </c>
      <c r="H148" s="26"/>
      <c r="I148" s="26"/>
      <c r="J148" s="26"/>
      <c r="K148" s="29"/>
      <c r="L148" s="29"/>
      <c r="M148" s="30" t="str">
        <f t="shared" ca="1" si="30"/>
        <v/>
      </c>
      <c r="N148" s="46"/>
      <c r="O148" s="31"/>
    </row>
    <row r="149" spans="1:15" ht="15.75" customHeight="1">
      <c r="A149" s="104" t="s">
        <v>234</v>
      </c>
      <c r="B149" s="105"/>
      <c r="C149" s="105"/>
      <c r="D149" s="105"/>
      <c r="E149" s="106">
        <f>SUM(E137:E148)</f>
        <v>0</v>
      </c>
      <c r="F149" s="36">
        <f>SUM(F137:F148)</f>
        <v>140</v>
      </c>
      <c r="G149" s="36">
        <f>SUM(G137:G148)</f>
        <v>588</v>
      </c>
      <c r="H149" s="37"/>
      <c r="I149" s="37"/>
      <c r="J149" s="37"/>
      <c r="K149" s="37"/>
      <c r="L149" s="37"/>
      <c r="M149" s="38">
        <f ca="1">IFERROR(SUM(M137:M148),"")</f>
        <v>0.17569444444444443</v>
      </c>
      <c r="N149" s="36" t="s">
        <v>235</v>
      </c>
      <c r="O149" s="54">
        <v>533860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249</v>
      </c>
      <c r="F150" s="27">
        <v>17</v>
      </c>
      <c r="G150" s="28">
        <f t="shared" ref="G150:G161" si="33">IF(F150="","",IF(E150="PC 17",F150*4.2,IF(E150="PC 19",F150*5,IF(E150="CB",F150*24,""))))</f>
        <v>71.400000000000006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249</v>
      </c>
      <c r="F151" s="27">
        <v>7</v>
      </c>
      <c r="G151" s="34">
        <f t="shared" si="33"/>
        <v>29.400000000000002</v>
      </c>
      <c r="H151" s="33" t="s">
        <v>17</v>
      </c>
      <c r="I151" s="33" t="s">
        <v>120</v>
      </c>
      <c r="J151" s="33" t="s">
        <v>87</v>
      </c>
      <c r="K151" s="29">
        <v>0.85555555555555551</v>
      </c>
      <c r="L151" s="29">
        <v>0.86527777777777781</v>
      </c>
      <c r="M151" s="35">
        <f t="shared" ca="1" si="34"/>
        <v>9.7222222222222987E-3</v>
      </c>
      <c r="N151" s="46" t="s">
        <v>270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249</v>
      </c>
      <c r="F152" s="27">
        <v>14</v>
      </c>
      <c r="G152" s="28">
        <f t="shared" si="33"/>
        <v>58.800000000000004</v>
      </c>
      <c r="H152" s="26" t="s">
        <v>19</v>
      </c>
      <c r="I152" s="26" t="s">
        <v>39</v>
      </c>
      <c r="J152" s="26" t="s">
        <v>27</v>
      </c>
      <c r="K152" s="29">
        <v>0.95138888888888884</v>
      </c>
      <c r="L152" s="29">
        <v>0.96736111111111112</v>
      </c>
      <c r="M152" s="30">
        <f t="shared" ca="1" si="34"/>
        <v>1.5972222222222276E-2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249</v>
      </c>
      <c r="F153" s="27">
        <v>7</v>
      </c>
      <c r="G153" s="34">
        <f t="shared" si="33"/>
        <v>29.400000000000002</v>
      </c>
      <c r="H153" s="33" t="s">
        <v>18</v>
      </c>
      <c r="I153" s="33" t="s">
        <v>39</v>
      </c>
      <c r="J153" s="33" t="s">
        <v>34</v>
      </c>
      <c r="K153" s="29">
        <v>0.25416666666666665</v>
      </c>
      <c r="L153" s="29">
        <v>0.28611111111111109</v>
      </c>
      <c r="M153" s="35">
        <f t="shared" ca="1" si="34"/>
        <v>3.1944444444444442E-2</v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249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249</v>
      </c>
      <c r="F155" s="27">
        <v>18</v>
      </c>
      <c r="G155" s="34">
        <f t="shared" si="33"/>
        <v>75.600000000000009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249</v>
      </c>
      <c r="F156" s="27">
        <v>9</v>
      </c>
      <c r="G156" s="28">
        <f t="shared" si="33"/>
        <v>37.800000000000004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249</v>
      </c>
      <c r="F157" s="27">
        <v>15</v>
      </c>
      <c r="G157" s="34">
        <f t="shared" si="33"/>
        <v>63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249</v>
      </c>
      <c r="F158" s="27">
        <v>11</v>
      </c>
      <c r="G158" s="28">
        <f t="shared" si="33"/>
        <v>46.2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249</v>
      </c>
      <c r="F159" s="27">
        <v>13</v>
      </c>
      <c r="G159" s="34">
        <f t="shared" si="33"/>
        <v>54.6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249</v>
      </c>
      <c r="F160" s="27">
        <v>13</v>
      </c>
      <c r="G160" s="28">
        <f t="shared" si="33"/>
        <v>54.6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249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4" t="s">
        <v>237</v>
      </c>
      <c r="B162" s="105"/>
      <c r="C162" s="105"/>
      <c r="D162" s="105"/>
      <c r="E162" s="106">
        <f>SUM(E150:E161)</f>
        <v>0</v>
      </c>
      <c r="F162" s="36">
        <f>SUM(F150:F161)</f>
        <v>134</v>
      </c>
      <c r="G162" s="36">
        <f>SUM(G150:G161)</f>
        <v>562.80000000000007</v>
      </c>
      <c r="H162" s="37"/>
      <c r="I162" s="37"/>
      <c r="J162" s="37"/>
      <c r="K162" s="37"/>
      <c r="L162" s="37"/>
      <c r="M162" s="38">
        <f ca="1">IFERROR(SUM(M150:M161),"")</f>
        <v>7.7777777777777946E-2</v>
      </c>
      <c r="N162" s="36" t="s">
        <v>235</v>
      </c>
      <c r="O162" s="54">
        <v>501750</v>
      </c>
    </row>
    <row r="163" spans="1:15" ht="18" customHeight="1">
      <c r="A163" s="101" t="s">
        <v>238</v>
      </c>
      <c r="B163" s="102"/>
      <c r="C163" s="102"/>
      <c r="D163" s="102"/>
      <c r="E163" s="103">
        <f>E149+E162</f>
        <v>0</v>
      </c>
      <c r="F163" s="40">
        <f>F149+F162</f>
        <v>274</v>
      </c>
      <c r="G163" s="40">
        <f>G149+G162</f>
        <v>1150.8000000000002</v>
      </c>
      <c r="H163" s="41"/>
      <c r="I163" s="41"/>
      <c r="J163" s="41"/>
      <c r="K163" s="41"/>
      <c r="L163" s="41"/>
      <c r="M163" s="42">
        <f ca="1">IFERROR(M149+M162,"")</f>
        <v>0.25347222222222238</v>
      </c>
      <c r="N163" s="40" t="s">
        <v>239</v>
      </c>
      <c r="O163" s="82">
        <f>IFERROR(O149+O162,"")</f>
        <v>1035610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249</v>
      </c>
      <c r="F164" s="27">
        <v>2</v>
      </c>
      <c r="G164" s="28">
        <f t="shared" ref="G164:G175" si="36">IF(F164="","",IF(E164="PC 17",F164*4.2,IF(E164="PC 19",F164*5,IF(E164="CB",F164*24,""))))</f>
        <v>8.4</v>
      </c>
      <c r="H164" s="26" t="s">
        <v>18</v>
      </c>
      <c r="I164" s="26" t="s">
        <v>39</v>
      </c>
      <c r="J164" s="26" t="s">
        <v>34</v>
      </c>
      <c r="K164" s="29">
        <v>0.29166666666666669</v>
      </c>
      <c r="L164" s="29">
        <v>0.32291666666666669</v>
      </c>
      <c r="M164" s="30">
        <f t="shared" ref="M164:M175" ca="1" si="37">IFERROR(IF(K164="","",IF(L164="",MOD(NOW()-K164,1),IF(L164&gt;=K164,L164-K164,L164+1-K164))),"")</f>
        <v>3.125E-2</v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62" t="s">
        <v>249</v>
      </c>
      <c r="F165" s="27">
        <v>8</v>
      </c>
      <c r="G165" s="34">
        <f t="shared" si="36"/>
        <v>33.6</v>
      </c>
      <c r="H165" s="33" t="s">
        <v>19</v>
      </c>
      <c r="I165" s="33" t="s">
        <v>31</v>
      </c>
      <c r="J165" s="33" t="s">
        <v>27</v>
      </c>
      <c r="K165" s="29">
        <v>0.39305555555555555</v>
      </c>
      <c r="L165" s="29">
        <v>0.42152777777777778</v>
      </c>
      <c r="M165" s="35">
        <f t="shared" ca="1" si="37"/>
        <v>2.8472222222222232E-2</v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62" t="s">
        <v>249</v>
      </c>
      <c r="F166" s="27">
        <v>2</v>
      </c>
      <c r="G166" s="28">
        <f t="shared" si="36"/>
        <v>8.4</v>
      </c>
      <c r="H166" s="26" t="s">
        <v>20</v>
      </c>
      <c r="I166" s="26" t="s">
        <v>31</v>
      </c>
      <c r="J166" s="26" t="s">
        <v>36</v>
      </c>
      <c r="K166" s="29">
        <v>0.53819444444444442</v>
      </c>
      <c r="L166" s="29">
        <v>0.54861111111111116</v>
      </c>
      <c r="M166" s="30">
        <f t="shared" ca="1" si="37"/>
        <v>1.0416666666666741E-2</v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62" t="s">
        <v>249</v>
      </c>
      <c r="F167" s="27">
        <v>6</v>
      </c>
      <c r="G167" s="34">
        <f t="shared" si="36"/>
        <v>25.200000000000003</v>
      </c>
      <c r="H167" s="33" t="s">
        <v>20</v>
      </c>
      <c r="I167" s="33" t="s">
        <v>157</v>
      </c>
      <c r="J167" s="33" t="s">
        <v>74</v>
      </c>
      <c r="K167" s="29">
        <v>0.63194444444444442</v>
      </c>
      <c r="L167" s="29">
        <v>0.63611111111111107</v>
      </c>
      <c r="M167" s="35">
        <f t="shared" ca="1" si="37"/>
        <v>4.1666666666666519E-3</v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62" t="s">
        <v>249</v>
      </c>
      <c r="F168" s="27">
        <v>8</v>
      </c>
      <c r="G168" s="28">
        <f t="shared" si="36"/>
        <v>33.6</v>
      </c>
      <c r="H168" s="26" t="s">
        <v>20</v>
      </c>
      <c r="I168" s="26" t="s">
        <v>157</v>
      </c>
      <c r="J168" s="26" t="s">
        <v>74</v>
      </c>
      <c r="K168" s="29">
        <v>0.72222222222222221</v>
      </c>
      <c r="L168" s="29">
        <v>0.73055555555555551</v>
      </c>
      <c r="M168" s="30">
        <f t="shared" ca="1" si="37"/>
        <v>8.3333333333333037E-3</v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62" t="s">
        <v>249</v>
      </c>
      <c r="F169" s="27">
        <v>9</v>
      </c>
      <c r="G169" s="34">
        <f t="shared" si="36"/>
        <v>37.800000000000004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62" t="s">
        <v>249</v>
      </c>
      <c r="F170" s="27">
        <v>6</v>
      </c>
      <c r="G170" s="28">
        <f t="shared" si="36"/>
        <v>25.200000000000003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62" t="s">
        <v>249</v>
      </c>
      <c r="F171" s="27">
        <v>7</v>
      </c>
      <c r="G171" s="34">
        <f t="shared" si="36"/>
        <v>29.400000000000002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62" t="s">
        <v>249</v>
      </c>
      <c r="F172" s="27">
        <v>6</v>
      </c>
      <c r="G172" s="28">
        <f t="shared" si="36"/>
        <v>25.200000000000003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62" t="s">
        <v>249</v>
      </c>
      <c r="F173" s="27">
        <v>8</v>
      </c>
      <c r="G173" s="34">
        <f t="shared" si="36"/>
        <v>33.6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62" t="s">
        <v>249</v>
      </c>
      <c r="F174" s="27">
        <v>5</v>
      </c>
      <c r="G174" s="28">
        <f t="shared" si="36"/>
        <v>21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62" t="s">
        <v>249</v>
      </c>
      <c r="F175" s="27">
        <v>2</v>
      </c>
      <c r="G175" s="34">
        <f t="shared" si="36"/>
        <v>8.4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4" t="s">
        <v>234</v>
      </c>
      <c r="B176" s="105"/>
      <c r="C176" s="105"/>
      <c r="D176" s="105"/>
      <c r="E176" s="106">
        <f>SUM(E164:E175)</f>
        <v>0</v>
      </c>
      <c r="F176" s="36">
        <f>SUM(F164:F175)</f>
        <v>69</v>
      </c>
      <c r="G176" s="36">
        <f>SUM(G164:G175)</f>
        <v>289.8</v>
      </c>
      <c r="H176" s="37"/>
      <c r="I176" s="37"/>
      <c r="J176" s="37"/>
      <c r="K176" s="37"/>
      <c r="L176" s="37"/>
      <c r="M176" s="38">
        <f ca="1">IFERROR(SUM(M164:M175),"")</f>
        <v>8.2638888888888928E-2</v>
      </c>
      <c r="N176" s="36" t="s">
        <v>235</v>
      </c>
      <c r="O176" s="77">
        <v>366290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249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31</v>
      </c>
      <c r="J177" s="33" t="s">
        <v>27</v>
      </c>
      <c r="K177" s="29">
        <v>0.79166666666666663</v>
      </c>
      <c r="L177" s="29">
        <v>0.83680555555555558</v>
      </c>
      <c r="M177" s="35">
        <f t="shared" ref="M177:M188" ca="1" si="40">IFERROR(IF(K177="","",IF(L177="",MOD(NOW()-K177,1),IF(L177&gt;=K177,L177-K177,L177+1-K177))),"")</f>
        <v>4.5138888888888951E-2</v>
      </c>
      <c r="N177" s="46" t="s">
        <v>117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59" t="s">
        <v>249</v>
      </c>
      <c r="F178" s="27">
        <v>7</v>
      </c>
      <c r="G178" s="28">
        <f t="shared" si="39"/>
        <v>29.400000000000002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249</v>
      </c>
      <c r="F179" s="27">
        <v>19</v>
      </c>
      <c r="G179" s="34">
        <f t="shared" si="39"/>
        <v>79.8</v>
      </c>
      <c r="H179" s="33" t="s">
        <v>20</v>
      </c>
      <c r="I179" s="33" t="s">
        <v>123</v>
      </c>
      <c r="J179" s="33" t="s">
        <v>114</v>
      </c>
      <c r="K179" s="29">
        <v>6.2500000000000003E-3</v>
      </c>
      <c r="L179" s="29">
        <v>2.5694444444444443E-2</v>
      </c>
      <c r="M179" s="35">
        <f t="shared" ca="1" si="40"/>
        <v>1.9444444444444445E-2</v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59" t="s">
        <v>249</v>
      </c>
      <c r="F180" s="27">
        <v>2</v>
      </c>
      <c r="G180" s="28">
        <f t="shared" si="39"/>
        <v>8.4</v>
      </c>
      <c r="H180" s="26" t="s">
        <v>20</v>
      </c>
      <c r="I180" s="26" t="s">
        <v>149</v>
      </c>
      <c r="J180" s="26" t="s">
        <v>134</v>
      </c>
      <c r="K180" s="29">
        <v>4.5138888888888888E-2</v>
      </c>
      <c r="L180" s="29">
        <v>7.013888888888889E-2</v>
      </c>
      <c r="M180" s="30">
        <f t="shared" ca="1" si="40"/>
        <v>2.5000000000000001E-2</v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249</v>
      </c>
      <c r="F181" s="27">
        <v>22</v>
      </c>
      <c r="G181" s="34">
        <f t="shared" si="39"/>
        <v>92.4</v>
      </c>
      <c r="H181" s="33" t="s">
        <v>20</v>
      </c>
      <c r="I181" s="33"/>
      <c r="J181" s="33" t="s">
        <v>74</v>
      </c>
      <c r="K181" s="29">
        <v>8.3333333333333329E-2</v>
      </c>
      <c r="L181" s="29">
        <v>0.15486111111111112</v>
      </c>
      <c r="M181" s="35">
        <f t="shared" ca="1" si="40"/>
        <v>7.1527777777777787E-2</v>
      </c>
      <c r="N181" s="46" t="s">
        <v>271</v>
      </c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59" t="s">
        <v>249</v>
      </c>
      <c r="F182" s="27">
        <v>6</v>
      </c>
      <c r="G182" s="28">
        <f t="shared" si="39"/>
        <v>25.200000000000003</v>
      </c>
      <c r="H182" s="26" t="s">
        <v>20</v>
      </c>
      <c r="I182" s="26"/>
      <c r="J182" s="26" t="s">
        <v>74</v>
      </c>
      <c r="K182" s="29">
        <v>0.18958333333333333</v>
      </c>
      <c r="L182" s="29">
        <v>0.2326388888888889</v>
      </c>
      <c r="M182" s="30">
        <f t="shared" ca="1" si="40"/>
        <v>4.3055555555555569E-2</v>
      </c>
      <c r="N182" s="46" t="s">
        <v>268</v>
      </c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249</v>
      </c>
      <c r="F183" s="27">
        <v>13</v>
      </c>
      <c r="G183" s="34">
        <f t="shared" si="39"/>
        <v>54.6</v>
      </c>
      <c r="H183" s="33" t="s">
        <v>20</v>
      </c>
      <c r="I183" s="33"/>
      <c r="J183" s="33" t="s">
        <v>74</v>
      </c>
      <c r="K183" s="29">
        <v>0.23958333333333334</v>
      </c>
      <c r="L183" s="29">
        <v>0.28611111111111109</v>
      </c>
      <c r="M183" s="35">
        <f t="shared" ca="1" si="40"/>
        <v>4.6527777777777751E-2</v>
      </c>
      <c r="N183" s="46" t="s">
        <v>272</v>
      </c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59" t="s">
        <v>249</v>
      </c>
      <c r="F184" s="27">
        <v>0</v>
      </c>
      <c r="G184" s="28">
        <f t="shared" si="39"/>
        <v>0</v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249</v>
      </c>
      <c r="F185" s="27">
        <v>3</v>
      </c>
      <c r="G185" s="34">
        <f t="shared" si="39"/>
        <v>12.600000000000001</v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59" t="s">
        <v>249</v>
      </c>
      <c r="F186" s="27">
        <v>10</v>
      </c>
      <c r="G186" s="28">
        <f t="shared" si="39"/>
        <v>42</v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249</v>
      </c>
      <c r="F187" s="27">
        <v>0</v>
      </c>
      <c r="G187" s="34">
        <f t="shared" si="39"/>
        <v>0</v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59" t="s">
        <v>249</v>
      </c>
      <c r="F188" s="27">
        <v>0</v>
      </c>
      <c r="G188" s="28">
        <f t="shared" si="39"/>
        <v>0</v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4" t="s">
        <v>237</v>
      </c>
      <c r="B189" s="105"/>
      <c r="C189" s="105"/>
      <c r="D189" s="105"/>
      <c r="E189" s="106">
        <f>SUM(E177:E188)</f>
        <v>0</v>
      </c>
      <c r="F189" s="36">
        <f>SUM(F177:F188)</f>
        <v>84</v>
      </c>
      <c r="G189" s="36">
        <f>SUM(G177:G188)</f>
        <v>352.80000000000007</v>
      </c>
      <c r="H189" s="37"/>
      <c r="I189" s="37"/>
      <c r="J189" s="37"/>
      <c r="K189" s="37"/>
      <c r="L189" s="37"/>
      <c r="M189" s="38">
        <f ca="1">IFERROR(SUM(M177:M188),"")</f>
        <v>0.28819444444444464</v>
      </c>
      <c r="N189" s="36" t="s">
        <v>235</v>
      </c>
      <c r="O189" s="77">
        <v>362530</v>
      </c>
    </row>
    <row r="190" spans="1:15" ht="18" customHeight="1">
      <c r="A190" s="101" t="s">
        <v>238</v>
      </c>
      <c r="B190" s="102"/>
      <c r="C190" s="102"/>
      <c r="D190" s="102"/>
      <c r="E190" s="103">
        <f>E176+E189</f>
        <v>0</v>
      </c>
      <c r="F190" s="40">
        <f>F176+F189</f>
        <v>153</v>
      </c>
      <c r="G190" s="40">
        <f>G176+G189</f>
        <v>642.60000000000014</v>
      </c>
      <c r="H190" s="41"/>
      <c r="I190" s="41"/>
      <c r="J190" s="41"/>
      <c r="K190" s="41"/>
      <c r="L190" s="41"/>
      <c r="M190" s="42">
        <f ca="1">IFERROR(M176+M189,"")</f>
        <v>0.37083333333333357</v>
      </c>
      <c r="N190" s="40" t="s">
        <v>239</v>
      </c>
      <c r="O190" s="82">
        <f>IFERROR(O176+O189,"")</f>
        <v>728820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249</v>
      </c>
      <c r="F191" s="27">
        <v>2</v>
      </c>
      <c r="G191" s="34">
        <f t="shared" ref="G191:G202" si="42">IF(F191="","",IF(E191="PC 17",F191*4.2,IF(E191="PC 19",F191*5,IF(E191="CB",F191*24,""))))</f>
        <v>8.4</v>
      </c>
      <c r="H191" s="33" t="s">
        <v>20</v>
      </c>
      <c r="I191" s="33" t="s">
        <v>149</v>
      </c>
      <c r="J191" s="33" t="s">
        <v>182</v>
      </c>
      <c r="K191" s="29">
        <v>0.29166666666666669</v>
      </c>
      <c r="L191" s="29">
        <v>0.33333333333333331</v>
      </c>
      <c r="M191" s="35">
        <f t="shared" ref="M191:M202" ca="1" si="43">IFERROR(IF(K191="","",IF(L191="",MOD(NOW()-K191,1),IF(L191&gt;=K191,L191-K191,L191+1-K191))),"")</f>
        <v>4.166666666666663E-2</v>
      </c>
      <c r="N191" s="46" t="s">
        <v>273</v>
      </c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249</v>
      </c>
      <c r="F192" s="27">
        <v>17</v>
      </c>
      <c r="G192" s="28">
        <f t="shared" si="42"/>
        <v>71.400000000000006</v>
      </c>
      <c r="H192" s="26" t="s">
        <v>20</v>
      </c>
      <c r="I192" s="26" t="s">
        <v>149</v>
      </c>
      <c r="J192" s="26" t="s">
        <v>182</v>
      </c>
      <c r="K192" s="29">
        <v>0.47499999999999998</v>
      </c>
      <c r="L192" s="29">
        <v>0.4861111111111111</v>
      </c>
      <c r="M192" s="30">
        <f t="shared" ca="1" si="43"/>
        <v>1.1111111111111127E-2</v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249</v>
      </c>
      <c r="F193" s="27">
        <v>16</v>
      </c>
      <c r="G193" s="34">
        <f t="shared" si="42"/>
        <v>67.2</v>
      </c>
      <c r="H193" s="33" t="s">
        <v>20</v>
      </c>
      <c r="I193" s="33" t="s">
        <v>149</v>
      </c>
      <c r="J193" s="26" t="s">
        <v>182</v>
      </c>
      <c r="K193" s="29">
        <v>0.50694444444444442</v>
      </c>
      <c r="L193" s="29">
        <v>0.53333333333333333</v>
      </c>
      <c r="M193" s="35">
        <f t="shared" ca="1" si="43"/>
        <v>2.6388888888888906E-2</v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249</v>
      </c>
      <c r="F194" s="27">
        <v>20</v>
      </c>
      <c r="G194" s="28">
        <f t="shared" si="42"/>
        <v>84</v>
      </c>
      <c r="H194" s="26" t="s">
        <v>20</v>
      </c>
      <c r="I194" s="26" t="s">
        <v>39</v>
      </c>
      <c r="J194" s="26" t="s">
        <v>36</v>
      </c>
      <c r="K194" s="29">
        <v>0.5625</v>
      </c>
      <c r="L194" s="29">
        <v>0.56944444444444442</v>
      </c>
      <c r="M194" s="30">
        <f t="shared" ca="1" si="43"/>
        <v>6.9444444444444198E-3</v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249</v>
      </c>
      <c r="F195" s="27">
        <v>5</v>
      </c>
      <c r="G195" s="34">
        <f t="shared" si="42"/>
        <v>21</v>
      </c>
      <c r="H195" s="33" t="s">
        <v>20</v>
      </c>
      <c r="I195" s="33" t="s">
        <v>39</v>
      </c>
      <c r="J195" s="33" t="s">
        <v>36</v>
      </c>
      <c r="K195" s="29">
        <v>0.60416666666666663</v>
      </c>
      <c r="L195" s="29">
        <v>0.63472222222222219</v>
      </c>
      <c r="M195" s="35">
        <f t="shared" ca="1" si="43"/>
        <v>3.0555555555555558E-2</v>
      </c>
      <c r="N195" s="46" t="s">
        <v>266</v>
      </c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249</v>
      </c>
      <c r="F196" s="27">
        <v>13</v>
      </c>
      <c r="G196" s="28">
        <f t="shared" si="42"/>
        <v>54.6</v>
      </c>
      <c r="H196" s="26" t="s">
        <v>18</v>
      </c>
      <c r="I196" s="26" t="s">
        <v>39</v>
      </c>
      <c r="J196" s="26" t="s">
        <v>166</v>
      </c>
      <c r="K196" s="29">
        <v>0.67361111111111116</v>
      </c>
      <c r="L196" s="29">
        <v>0.68125000000000002</v>
      </c>
      <c r="M196" s="30">
        <f t="shared" ca="1" si="43"/>
        <v>7.6388888888888618E-3</v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249</v>
      </c>
      <c r="F197" s="27">
        <v>10</v>
      </c>
      <c r="G197" s="34">
        <f t="shared" si="42"/>
        <v>42</v>
      </c>
      <c r="H197" s="33" t="s">
        <v>20</v>
      </c>
      <c r="I197" s="33" t="s">
        <v>123</v>
      </c>
      <c r="J197" s="33" t="s">
        <v>114</v>
      </c>
      <c r="K197" s="29">
        <v>0.71666666666666667</v>
      </c>
      <c r="L197" s="29">
        <v>0.72499999999999998</v>
      </c>
      <c r="M197" s="35">
        <f t="shared" ca="1" si="43"/>
        <v>8.3333333333333037E-3</v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249</v>
      </c>
      <c r="F198" s="27">
        <v>9</v>
      </c>
      <c r="G198" s="28">
        <f t="shared" si="42"/>
        <v>37.800000000000004</v>
      </c>
      <c r="H198" s="26" t="s">
        <v>20</v>
      </c>
      <c r="I198" s="26" t="s">
        <v>123</v>
      </c>
      <c r="J198" s="33" t="s">
        <v>114</v>
      </c>
      <c r="K198" s="29">
        <v>0.7368055555555556</v>
      </c>
      <c r="L198" s="29">
        <v>0.74444444444444446</v>
      </c>
      <c r="M198" s="30">
        <f t="shared" ca="1" si="43"/>
        <v>7.6388888888888618E-3</v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249</v>
      </c>
      <c r="F199" s="27">
        <v>9</v>
      </c>
      <c r="G199" s="34">
        <f t="shared" si="42"/>
        <v>37.800000000000004</v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249</v>
      </c>
      <c r="F200" s="27">
        <v>19</v>
      </c>
      <c r="G200" s="28">
        <f t="shared" si="42"/>
        <v>79.8</v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249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249</v>
      </c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4" t="s">
        <v>234</v>
      </c>
      <c r="B203" s="105"/>
      <c r="C203" s="105"/>
      <c r="D203" s="105"/>
      <c r="E203" s="106">
        <f>SUM(E191:E202)</f>
        <v>0</v>
      </c>
      <c r="F203" s="36">
        <f>SUM(F191:F202)</f>
        <v>126</v>
      </c>
      <c r="G203" s="36">
        <f>SUM(G191:G202)</f>
        <v>529.20000000000005</v>
      </c>
      <c r="H203" s="37"/>
      <c r="I203" s="37"/>
      <c r="J203" s="37"/>
      <c r="K203" s="37"/>
      <c r="L203" s="37"/>
      <c r="M203" s="38">
        <f ca="1">IFERROR(SUM(M191:M202),"")</f>
        <v>0.14027777777777767</v>
      </c>
      <c r="N203" s="36" t="s">
        <v>235</v>
      </c>
      <c r="O203" s="77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4" t="s">
        <v>237</v>
      </c>
      <c r="B216" s="105"/>
      <c r="C216" s="105"/>
      <c r="D216" s="105"/>
      <c r="E216" s="106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235</v>
      </c>
      <c r="O216" s="77"/>
    </row>
    <row r="217" spans="1:15" ht="18" customHeight="1">
      <c r="A217" s="101" t="s">
        <v>238</v>
      </c>
      <c r="B217" s="102"/>
      <c r="C217" s="102"/>
      <c r="D217" s="102"/>
      <c r="E217" s="103">
        <f>E203+E216</f>
        <v>0</v>
      </c>
      <c r="F217" s="40">
        <f>F203+F216</f>
        <v>126</v>
      </c>
      <c r="G217" s="40">
        <f>G203+G216</f>
        <v>529.20000000000005</v>
      </c>
      <c r="H217" s="41"/>
      <c r="I217" s="41"/>
      <c r="J217" s="41"/>
      <c r="K217" s="41"/>
      <c r="L217" s="41"/>
      <c r="M217" s="42">
        <f ca="1">IFERROR(M203+M216,"")</f>
        <v>0.14027777777777767</v>
      </c>
      <c r="N217" s="40" t="s">
        <v>239</v>
      </c>
      <c r="O217" s="83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33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6" t="s">
        <v>234</v>
      </c>
      <c r="B230" s="117"/>
      <c r="C230" s="117"/>
      <c r="D230" s="117"/>
      <c r="E230" s="11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235</v>
      </c>
      <c r="O230" s="77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4" t="s">
        <v>237</v>
      </c>
      <c r="B243" s="105"/>
      <c r="C243" s="105"/>
      <c r="D243" s="105"/>
      <c r="E243" s="106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235</v>
      </c>
      <c r="O243" s="77"/>
    </row>
    <row r="244" spans="1:15" ht="18" customHeight="1">
      <c r="A244" s="101" t="s">
        <v>238</v>
      </c>
      <c r="B244" s="102"/>
      <c r="C244" s="102"/>
      <c r="D244" s="102"/>
      <c r="E244" s="103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239</v>
      </c>
      <c r="O244" s="83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4" t="s">
        <v>234</v>
      </c>
      <c r="B257" s="105"/>
      <c r="C257" s="105"/>
      <c r="D257" s="105"/>
      <c r="E257" s="106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235</v>
      </c>
      <c r="O257" s="77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4" t="s">
        <v>237</v>
      </c>
      <c r="B270" s="105"/>
      <c r="C270" s="105"/>
      <c r="D270" s="105"/>
      <c r="E270" s="106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235</v>
      </c>
      <c r="O270" s="77"/>
    </row>
    <row r="271" spans="1:15" ht="18" customHeight="1">
      <c r="A271" s="101" t="s">
        <v>238</v>
      </c>
      <c r="B271" s="102"/>
      <c r="C271" s="102"/>
      <c r="D271" s="102"/>
      <c r="E271" s="103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239</v>
      </c>
      <c r="O271" s="83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4" t="s">
        <v>234</v>
      </c>
      <c r="B284" s="105"/>
      <c r="C284" s="105"/>
      <c r="D284" s="105"/>
      <c r="E284" s="106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235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4" t="s">
        <v>237</v>
      </c>
      <c r="B297" s="105"/>
      <c r="C297" s="105"/>
      <c r="D297" s="105"/>
      <c r="E297" s="106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235</v>
      </c>
      <c r="O297" s="77"/>
    </row>
    <row r="298" spans="1:15" ht="18" customHeight="1">
      <c r="A298" s="101" t="s">
        <v>238</v>
      </c>
      <c r="B298" s="102"/>
      <c r="C298" s="102"/>
      <c r="D298" s="102"/>
      <c r="E298" s="103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239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4" t="s">
        <v>234</v>
      </c>
      <c r="B311" s="105"/>
      <c r="C311" s="105"/>
      <c r="D311" s="105"/>
      <c r="E311" s="106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235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4" t="s">
        <v>237</v>
      </c>
      <c r="B324" s="105"/>
      <c r="C324" s="105"/>
      <c r="D324" s="105"/>
      <c r="E324" s="106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235</v>
      </c>
      <c r="O324" s="77"/>
    </row>
    <row r="325" spans="1:15" ht="18" customHeight="1">
      <c r="A325" s="101" t="s">
        <v>238</v>
      </c>
      <c r="B325" s="102"/>
      <c r="C325" s="102"/>
      <c r="D325" s="102"/>
      <c r="E325" s="103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239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4" t="s">
        <v>234</v>
      </c>
      <c r="B338" s="105"/>
      <c r="C338" s="105"/>
      <c r="D338" s="105"/>
      <c r="E338" s="106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235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4" t="s">
        <v>237</v>
      </c>
      <c r="B351" s="105"/>
      <c r="C351" s="105"/>
      <c r="D351" s="105"/>
      <c r="E351" s="106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235</v>
      </c>
      <c r="O351" s="77"/>
    </row>
    <row r="352" spans="1:15" ht="18" customHeight="1">
      <c r="A352" s="101" t="s">
        <v>238</v>
      </c>
      <c r="B352" s="102"/>
      <c r="C352" s="102"/>
      <c r="D352" s="102"/>
      <c r="E352" s="103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239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4" t="s">
        <v>234</v>
      </c>
      <c r="B365" s="105"/>
      <c r="C365" s="105"/>
      <c r="D365" s="105"/>
      <c r="E365" s="106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235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4" t="s">
        <v>237</v>
      </c>
      <c r="B378" s="105"/>
      <c r="C378" s="105"/>
      <c r="D378" s="105"/>
      <c r="E378" s="106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235</v>
      </c>
      <c r="O378" s="77"/>
    </row>
    <row r="379" spans="1:15" ht="18" customHeight="1">
      <c r="A379" s="101" t="s">
        <v>238</v>
      </c>
      <c r="B379" s="102"/>
      <c r="C379" s="102"/>
      <c r="D379" s="102"/>
      <c r="E379" s="103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239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4" t="s">
        <v>234</v>
      </c>
      <c r="B392" s="105"/>
      <c r="C392" s="105"/>
      <c r="D392" s="105"/>
      <c r="E392" s="106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235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4" t="s">
        <v>237</v>
      </c>
      <c r="B405" s="105"/>
      <c r="C405" s="105"/>
      <c r="D405" s="105"/>
      <c r="E405" s="106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235</v>
      </c>
      <c r="O405" s="77"/>
    </row>
    <row r="406" spans="1:15" ht="18" customHeight="1">
      <c r="A406" s="101" t="s">
        <v>238</v>
      </c>
      <c r="B406" s="102"/>
      <c r="C406" s="102"/>
      <c r="D406" s="102"/>
      <c r="E406" s="103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239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4" t="s">
        <v>234</v>
      </c>
      <c r="B419" s="105"/>
      <c r="C419" s="105"/>
      <c r="D419" s="105"/>
      <c r="E419" s="10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235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237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235</v>
      </c>
      <c r="O432" s="77"/>
    </row>
    <row r="433" spans="1:15" ht="18" customHeight="1">
      <c r="A433" s="92" t="s">
        <v>238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239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4" t="s">
        <v>234</v>
      </c>
      <c r="B446" s="105"/>
      <c r="C446" s="105"/>
      <c r="D446" s="105"/>
      <c r="E446" s="10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235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4" t="s">
        <v>237</v>
      </c>
      <c r="B459" s="105"/>
      <c r="C459" s="105"/>
      <c r="D459" s="105"/>
      <c r="E459" s="10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235</v>
      </c>
      <c r="O459" s="77"/>
    </row>
    <row r="460" spans="1:15" ht="18" customHeight="1">
      <c r="A460" s="101" t="s">
        <v>238</v>
      </c>
      <c r="B460" s="102"/>
      <c r="C460" s="102"/>
      <c r="D460" s="102"/>
      <c r="E460" s="103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239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4" t="s">
        <v>234</v>
      </c>
      <c r="B473" s="105"/>
      <c r="C473" s="105"/>
      <c r="D473" s="105"/>
      <c r="E473" s="10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235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4" t="s">
        <v>237</v>
      </c>
      <c r="B486" s="105"/>
      <c r="C486" s="105"/>
      <c r="D486" s="105"/>
      <c r="E486" s="10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235</v>
      </c>
      <c r="O486" s="77"/>
    </row>
    <row r="487" spans="1:15" ht="18" customHeight="1">
      <c r="A487" s="101" t="s">
        <v>238</v>
      </c>
      <c r="B487" s="102"/>
      <c r="C487" s="102"/>
      <c r="D487" s="102"/>
      <c r="E487" s="103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239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4" t="s">
        <v>234</v>
      </c>
      <c r="B500" s="105"/>
      <c r="C500" s="105"/>
      <c r="D500" s="105"/>
      <c r="E500" s="106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235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237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235</v>
      </c>
      <c r="O513" s="77"/>
    </row>
    <row r="514" spans="1:15" ht="18" customHeight="1">
      <c r="A514" s="92" t="s">
        <v>238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239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4" t="s">
        <v>234</v>
      </c>
      <c r="B527" s="105"/>
      <c r="C527" s="105"/>
      <c r="D527" s="105"/>
      <c r="E527" s="106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235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4" t="s">
        <v>237</v>
      </c>
      <c r="B540" s="105"/>
      <c r="C540" s="105"/>
      <c r="D540" s="105"/>
      <c r="E540" s="10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235</v>
      </c>
      <c r="O540" s="77"/>
    </row>
    <row r="541" spans="1:15" ht="18" customHeight="1">
      <c r="A541" s="101" t="s">
        <v>238</v>
      </c>
      <c r="B541" s="102"/>
      <c r="C541" s="102"/>
      <c r="D541" s="102"/>
      <c r="E541" s="103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239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4" t="s">
        <v>234</v>
      </c>
      <c r="B554" s="105"/>
      <c r="C554" s="105"/>
      <c r="D554" s="105"/>
      <c r="E554" s="10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235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4" t="s">
        <v>237</v>
      </c>
      <c r="B567" s="105"/>
      <c r="C567" s="105"/>
      <c r="D567" s="105"/>
      <c r="E567" s="10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235</v>
      </c>
      <c r="O567" s="77"/>
    </row>
    <row r="568" spans="1:15" ht="18" customHeight="1">
      <c r="A568" s="101" t="s">
        <v>238</v>
      </c>
      <c r="B568" s="102"/>
      <c r="C568" s="102"/>
      <c r="D568" s="102"/>
      <c r="E568" s="10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239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4" t="s">
        <v>234</v>
      </c>
      <c r="B581" s="105"/>
      <c r="C581" s="105"/>
      <c r="D581" s="105"/>
      <c r="E581" s="10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235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4" t="s">
        <v>237</v>
      </c>
      <c r="B594" s="105"/>
      <c r="C594" s="105"/>
      <c r="D594" s="105"/>
      <c r="E594" s="10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235</v>
      </c>
      <c r="O594" s="77"/>
    </row>
    <row r="595" spans="1:15" ht="18" customHeight="1">
      <c r="A595" s="101" t="s">
        <v>238</v>
      </c>
      <c r="B595" s="102"/>
      <c r="C595" s="102"/>
      <c r="D595" s="102"/>
      <c r="E595" s="10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239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4" t="s">
        <v>234</v>
      </c>
      <c r="B608" s="105"/>
      <c r="C608" s="105"/>
      <c r="D608" s="105"/>
      <c r="E608" s="10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235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4" t="s">
        <v>237</v>
      </c>
      <c r="B621" s="105"/>
      <c r="C621" s="105"/>
      <c r="D621" s="105"/>
      <c r="E621" s="10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235</v>
      </c>
      <c r="O621" s="77"/>
    </row>
    <row r="622" spans="1:15" ht="18" customHeight="1">
      <c r="A622" s="101" t="s">
        <v>238</v>
      </c>
      <c r="B622" s="102"/>
      <c r="C622" s="102"/>
      <c r="D622" s="102"/>
      <c r="E622" s="10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239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4" t="s">
        <v>234</v>
      </c>
      <c r="B635" s="105"/>
      <c r="C635" s="105"/>
      <c r="D635" s="105"/>
      <c r="E635" s="10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235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4" t="s">
        <v>237</v>
      </c>
      <c r="B648" s="105"/>
      <c r="C648" s="105"/>
      <c r="D648" s="105"/>
      <c r="E648" s="10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235</v>
      </c>
      <c r="O648" s="77"/>
    </row>
    <row r="649" spans="1:15" ht="18" customHeight="1">
      <c r="A649" s="101" t="s">
        <v>238</v>
      </c>
      <c r="B649" s="102"/>
      <c r="C649" s="102"/>
      <c r="D649" s="102"/>
      <c r="E649" s="10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239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4" t="s">
        <v>234</v>
      </c>
      <c r="B662" s="105"/>
      <c r="C662" s="105"/>
      <c r="D662" s="105"/>
      <c r="E662" s="10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235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4" t="s">
        <v>237</v>
      </c>
      <c r="B675" s="105"/>
      <c r="C675" s="105"/>
      <c r="D675" s="105"/>
      <c r="E675" s="10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235</v>
      </c>
      <c r="O675" s="77"/>
    </row>
    <row r="676" spans="1:15" ht="18" customHeight="1">
      <c r="A676" s="101" t="s">
        <v>238</v>
      </c>
      <c r="B676" s="102"/>
      <c r="C676" s="102"/>
      <c r="D676" s="102"/>
      <c r="E676" s="10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239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4" t="s">
        <v>234</v>
      </c>
      <c r="B689" s="105"/>
      <c r="C689" s="105"/>
      <c r="D689" s="105"/>
      <c r="E689" s="10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235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4" t="s">
        <v>237</v>
      </c>
      <c r="B702" s="105"/>
      <c r="C702" s="105"/>
      <c r="D702" s="105"/>
      <c r="E702" s="10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235</v>
      </c>
      <c r="O702" s="77"/>
    </row>
    <row r="703" spans="1:15" ht="18" customHeight="1">
      <c r="A703" s="101" t="s">
        <v>238</v>
      </c>
      <c r="B703" s="102"/>
      <c r="C703" s="102"/>
      <c r="D703" s="102"/>
      <c r="E703" s="10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239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4" t="s">
        <v>234</v>
      </c>
      <c r="B716" s="105"/>
      <c r="C716" s="105"/>
      <c r="D716" s="105"/>
      <c r="E716" s="10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235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4" t="s">
        <v>237</v>
      </c>
      <c r="B729" s="105"/>
      <c r="C729" s="105"/>
      <c r="D729" s="105"/>
      <c r="E729" s="10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235</v>
      </c>
      <c r="O729" s="77"/>
    </row>
    <row r="730" spans="1:15" ht="18" customHeight="1">
      <c r="A730" s="101" t="s">
        <v>238</v>
      </c>
      <c r="B730" s="102"/>
      <c r="C730" s="102"/>
      <c r="D730" s="102"/>
      <c r="E730" s="10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239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4" t="s">
        <v>234</v>
      </c>
      <c r="B743" s="105"/>
      <c r="C743" s="105"/>
      <c r="D743" s="105"/>
      <c r="E743" s="10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235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4" t="s">
        <v>237</v>
      </c>
      <c r="B756" s="105"/>
      <c r="C756" s="105"/>
      <c r="D756" s="105"/>
      <c r="E756" s="10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1" t="s">
        <v>238</v>
      </c>
      <c r="B757" s="102"/>
      <c r="C757" s="102"/>
      <c r="D757" s="102"/>
      <c r="E757" s="10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239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4" t="s">
        <v>234</v>
      </c>
      <c r="B770" s="105"/>
      <c r="C770" s="105"/>
      <c r="D770" s="105"/>
      <c r="E770" s="10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235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4" t="s">
        <v>237</v>
      </c>
      <c r="B783" s="105"/>
      <c r="C783" s="105"/>
      <c r="D783" s="105"/>
      <c r="E783" s="10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1" t="s">
        <v>238</v>
      </c>
      <c r="B784" s="102"/>
      <c r="C784" s="102"/>
      <c r="D784" s="102"/>
      <c r="E784" s="10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239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4" t="s">
        <v>234</v>
      </c>
      <c r="B797" s="105"/>
      <c r="C797" s="105"/>
      <c r="D797" s="105"/>
      <c r="E797" s="10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4" t="s">
        <v>237</v>
      </c>
      <c r="B810" s="105"/>
      <c r="C810" s="105"/>
      <c r="D810" s="105"/>
      <c r="E810" s="10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1" t="s">
        <v>238</v>
      </c>
      <c r="B811" s="102"/>
      <c r="C811" s="102"/>
      <c r="D811" s="102"/>
      <c r="E811" s="10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239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4" t="s">
        <v>234</v>
      </c>
      <c r="B824" s="105"/>
      <c r="C824" s="105"/>
      <c r="D824" s="105"/>
      <c r="E824" s="106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235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4" t="s">
        <v>237</v>
      </c>
      <c r="B837" s="105"/>
      <c r="C837" s="105"/>
      <c r="D837" s="105"/>
      <c r="E837" s="106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235</v>
      </c>
      <c r="O837" s="84"/>
    </row>
    <row r="838" spans="1:15" ht="18" customHeight="1">
      <c r="A838" s="101" t="s">
        <v>238</v>
      </c>
      <c r="B838" s="102"/>
      <c r="C838" s="102"/>
      <c r="D838" s="102"/>
      <c r="E838" s="103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239</v>
      </c>
      <c r="O838" s="82">
        <f>IFERROR(O824+O837,"")</f>
        <v>0</v>
      </c>
    </row>
  </sheetData>
  <mergeCells count="89"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30:E230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4">
    <dataValidation type="list" allowBlank="1" showErrorMessage="1" errorTitle="Valor inválido" error="Selecione PC 17 ou PC 19 da lista." sqref="E2:E13 E15:E26 E515:E838 E434:E512 E29:E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J2:J31 J34:J900" xr:uid="{2FF4D101-61F0-42E1-8A24-4B3BA4E86A98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827D685C-940E-4293-B05F-B675DE7EEB6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K69" xr:uid="{6C82DEFB-4BA8-4B9B-8FCA-9D0EBA28E2CB}">
      <formula1>INDIRECT("Desc_"&amp;SUBSTITUTE(SUBSTITUTE(SUBSTITUTE(SUBSTITUTE(SUBSTITUTE(SUBSTITUTE(SUBSTITUTE(SUBSTITUTE(SUBSTITUTE(SUBSTITUTE(H69,"é","e"),"ê","e"),"ã","a"),"ç","c"),"â","a"),"í","i"),"á","a"),"ó","o"),"ú","u"),"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D29:D82 D2:D13 D15:D26 E432:E433 E513:E514 D84:D900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289EB31-F410-44A6-B112-101DAD42DC2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abSelected="1" topLeftCell="A170" zoomScale="50" zoomScaleNormal="50" workbookViewId="0">
      <selection activeCell="F202" sqref="F202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7.140625" style="20" customWidth="1"/>
    <col min="15" max="15" width="14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249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249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249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249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249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249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249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249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249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249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249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249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4" t="s">
        <v>234</v>
      </c>
      <c r="B14" s="105"/>
      <c r="C14" s="105"/>
      <c r="D14" s="105"/>
      <c r="E14" s="106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235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249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274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249</v>
      </c>
      <c r="F16" s="27">
        <v>9</v>
      </c>
      <c r="G16" s="28">
        <f t="shared" si="3"/>
        <v>37.800000000000004</v>
      </c>
      <c r="H16" s="26" t="s">
        <v>17</v>
      </c>
      <c r="I16" s="26" t="s">
        <v>135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249</v>
      </c>
      <c r="F17" s="27">
        <v>12</v>
      </c>
      <c r="G17" s="34">
        <f t="shared" si="3"/>
        <v>50.400000000000006</v>
      </c>
      <c r="H17" s="33" t="s">
        <v>20</v>
      </c>
      <c r="I17" s="33" t="s">
        <v>157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249</v>
      </c>
      <c r="F18" s="27">
        <v>0</v>
      </c>
      <c r="G18" s="28">
        <f t="shared" si="3"/>
        <v>0</v>
      </c>
      <c r="H18" s="26" t="s">
        <v>17</v>
      </c>
      <c r="I18" s="26" t="s">
        <v>135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254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249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161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275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249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249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249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249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249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249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249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4" t="s">
        <v>237</v>
      </c>
      <c r="B27" s="105"/>
      <c r="C27" s="105"/>
      <c r="D27" s="105"/>
      <c r="E27" s="106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235</v>
      </c>
      <c r="O27" s="39">
        <v>358000</v>
      </c>
    </row>
    <row r="28" spans="1:15" ht="18" customHeight="1">
      <c r="A28" s="101" t="s">
        <v>238</v>
      </c>
      <c r="B28" s="102"/>
      <c r="C28" s="102"/>
      <c r="D28" s="102"/>
      <c r="E28" s="103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239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249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249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249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249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249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249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249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249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249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249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249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4" t="s">
        <v>234</v>
      </c>
      <c r="B41" s="105"/>
      <c r="C41" s="105"/>
      <c r="D41" s="105"/>
      <c r="E41" s="106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235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249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167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260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249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274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249</v>
      </c>
      <c r="F44" s="27">
        <v>5</v>
      </c>
      <c r="G44" s="34">
        <f t="shared" si="9"/>
        <v>21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249</v>
      </c>
      <c r="F45" s="27">
        <v>5</v>
      </c>
      <c r="G45" s="28">
        <f t="shared" si="9"/>
        <v>21</v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249</v>
      </c>
      <c r="F46" s="27">
        <v>12</v>
      </c>
      <c r="G46" s="34">
        <f t="shared" si="9"/>
        <v>50.400000000000006</v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249</v>
      </c>
      <c r="F47" s="27">
        <v>9</v>
      </c>
      <c r="G47" s="28">
        <f t="shared" si="9"/>
        <v>37.800000000000004</v>
      </c>
      <c r="H47" s="33" t="s">
        <v>20</v>
      </c>
      <c r="I47" s="33" t="s">
        <v>47</v>
      </c>
      <c r="J47" s="33" t="s">
        <v>51</v>
      </c>
      <c r="K47" s="29">
        <v>1.0416666666666666E-2</v>
      </c>
      <c r="L47" s="29">
        <v>2.0833333333333332E-2</v>
      </c>
      <c r="M47" s="35">
        <f t="shared" ca="1" si="10"/>
        <v>1.0416666666666666E-2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249</v>
      </c>
      <c r="F48" s="27">
        <v>7</v>
      </c>
      <c r="G48" s="34">
        <f t="shared" si="9"/>
        <v>29.400000000000002</v>
      </c>
      <c r="H48" s="26" t="s">
        <v>20</v>
      </c>
      <c r="I48" s="26" t="s">
        <v>47</v>
      </c>
      <c r="J48" s="26" t="s">
        <v>51</v>
      </c>
      <c r="K48" s="29">
        <v>4.7222222222222221E-2</v>
      </c>
      <c r="L48" s="29">
        <v>5.347222222222222E-2</v>
      </c>
      <c r="M48" s="30">
        <f t="shared" ca="1" si="10"/>
        <v>6.2499999999999986E-3</v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249</v>
      </c>
      <c r="F49" s="27">
        <v>5</v>
      </c>
      <c r="G49" s="28">
        <f t="shared" si="9"/>
        <v>21</v>
      </c>
      <c r="H49" s="33" t="s">
        <v>20</v>
      </c>
      <c r="I49" s="33" t="s">
        <v>47</v>
      </c>
      <c r="J49" s="33" t="s">
        <v>51</v>
      </c>
      <c r="K49" s="29">
        <v>5.7638888888888892E-2</v>
      </c>
      <c r="L49" s="29">
        <v>6.3888888888888884E-2</v>
      </c>
      <c r="M49" s="35">
        <f t="shared" ca="1" si="10"/>
        <v>6.2499999999999917E-3</v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249</v>
      </c>
      <c r="F50" s="27">
        <v>14</v>
      </c>
      <c r="G50" s="34">
        <f t="shared" si="9"/>
        <v>58.800000000000004</v>
      </c>
      <c r="H50" s="26" t="s">
        <v>19</v>
      </c>
      <c r="I50" s="26" t="s">
        <v>47</v>
      </c>
      <c r="J50" s="26" t="s">
        <v>27</v>
      </c>
      <c r="K50" s="29">
        <v>6.3888888888888884E-2</v>
      </c>
      <c r="L50" s="29">
        <v>7.2222222222222215E-2</v>
      </c>
      <c r="M50" s="30">
        <f t="shared" ca="1" si="10"/>
        <v>8.3333333333333315E-3</v>
      </c>
      <c r="N50" s="27" t="s">
        <v>274</v>
      </c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249</v>
      </c>
      <c r="F51" s="27">
        <v>0</v>
      </c>
      <c r="G51" s="28">
        <f t="shared" si="9"/>
        <v>0</v>
      </c>
      <c r="H51" s="33" t="s">
        <v>20</v>
      </c>
      <c r="I51" s="33" t="s">
        <v>157</v>
      </c>
      <c r="J51" s="33" t="s">
        <v>74</v>
      </c>
      <c r="K51" s="29">
        <v>0.12986111111111112</v>
      </c>
      <c r="L51" s="29">
        <v>0.13263888888888889</v>
      </c>
      <c r="M51" s="35">
        <f t="shared" ca="1" si="10"/>
        <v>2.7777777777777679E-3</v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249</v>
      </c>
      <c r="F52" s="27">
        <v>5</v>
      </c>
      <c r="G52" s="34">
        <f t="shared" si="9"/>
        <v>21</v>
      </c>
      <c r="H52" s="26" t="s">
        <v>16</v>
      </c>
      <c r="I52" s="26" t="s">
        <v>47</v>
      </c>
      <c r="J52" s="26" t="s">
        <v>32</v>
      </c>
      <c r="K52" s="29">
        <v>0.15277777777777779</v>
      </c>
      <c r="L52" s="29">
        <v>0.1736111111111111</v>
      </c>
      <c r="M52" s="30">
        <f t="shared" ca="1" si="10"/>
        <v>2.0833333333333315E-2</v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249</v>
      </c>
      <c r="F53" s="27"/>
      <c r="G53" s="28" t="str">
        <f t="shared" si="9"/>
        <v/>
      </c>
      <c r="H53" s="33" t="s">
        <v>20</v>
      </c>
      <c r="I53" s="33" t="s">
        <v>47</v>
      </c>
      <c r="J53" s="33" t="s">
        <v>134</v>
      </c>
      <c r="K53" s="29">
        <v>0.20833333333333334</v>
      </c>
      <c r="L53" s="29">
        <v>0.22222222222222221</v>
      </c>
      <c r="M53" s="35">
        <f t="shared" ca="1" si="10"/>
        <v>1.3888888888888867E-2</v>
      </c>
      <c r="N53" s="27"/>
      <c r="O53" s="31"/>
    </row>
    <row r="54" spans="1:15" ht="15.75" customHeight="1">
      <c r="A54" s="104" t="s">
        <v>237</v>
      </c>
      <c r="B54" s="105"/>
      <c r="C54" s="105"/>
      <c r="D54" s="105"/>
      <c r="E54" s="106">
        <f>SUM(E42:E53)</f>
        <v>0</v>
      </c>
      <c r="F54" s="36">
        <f>SUM(F42:F53)</f>
        <v>70</v>
      </c>
      <c r="G54" s="36">
        <f>SUM(G42:G53)</f>
        <v>294</v>
      </c>
      <c r="H54" s="37"/>
      <c r="I54" s="37"/>
      <c r="J54" s="37"/>
      <c r="K54" s="37"/>
      <c r="L54" s="37"/>
      <c r="M54" s="38">
        <f ca="1">IFERROR(SUM(M42:M53),"")</f>
        <v>0.15486111111111109</v>
      </c>
      <c r="N54" s="36" t="s">
        <v>235</v>
      </c>
      <c r="O54" s="39">
        <v>279980</v>
      </c>
    </row>
    <row r="55" spans="1:15" ht="18" customHeight="1">
      <c r="A55" s="101" t="s">
        <v>238</v>
      </c>
      <c r="B55" s="102"/>
      <c r="C55" s="102"/>
      <c r="D55" s="102"/>
      <c r="E55" s="103">
        <f>E41+E54</f>
        <v>0</v>
      </c>
      <c r="F55" s="40">
        <f>F41+F54</f>
        <v>147</v>
      </c>
      <c r="G55" s="40">
        <f>G41+G54</f>
        <v>617.40000000000009</v>
      </c>
      <c r="H55" s="41"/>
      <c r="I55" s="41"/>
      <c r="J55" s="41"/>
      <c r="K55" s="41"/>
      <c r="L55" s="41"/>
      <c r="M55" s="42">
        <f ca="1">IFERROR(M41+M54,"")</f>
        <v>0.17569444444444446</v>
      </c>
      <c r="N55" s="40" t="s">
        <v>239</v>
      </c>
      <c r="O55" s="43">
        <f>IFERROR(O41+O54,"")</f>
        <v>517060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249</v>
      </c>
      <c r="F56" s="27">
        <v>7</v>
      </c>
      <c r="G56" s="28">
        <f t="shared" ref="G56:G67" si="12">IF(F56="","",IF(E56="PC 17",F56*4.2,IF(E56="PC 19",F56*5,IF(E56="CB",F56*24,""))))</f>
        <v>29.400000000000002</v>
      </c>
      <c r="H56" s="26" t="s">
        <v>20</v>
      </c>
      <c r="I56" s="26" t="s">
        <v>123</v>
      </c>
      <c r="J56" s="26" t="s">
        <v>114</v>
      </c>
      <c r="K56" s="29">
        <v>0.40277777777777779</v>
      </c>
      <c r="L56" s="29">
        <v>0.40833333333333333</v>
      </c>
      <c r="M56" s="30">
        <f t="shared" ref="M56:M67" ca="1" si="13">IFERROR(IF(K56="","",IF(L56="",MOD(NOW()-K56,1),IF(L56&gt;=K56,L56-K56,L56+1-K56))),"")</f>
        <v>5.5555555555555358E-3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38</v>
      </c>
      <c r="E57" s="59" t="s">
        <v>249</v>
      </c>
      <c r="F57" s="27">
        <v>4</v>
      </c>
      <c r="G57" s="34">
        <f t="shared" si="12"/>
        <v>16.8</v>
      </c>
      <c r="H57" s="33" t="s">
        <v>20</v>
      </c>
      <c r="I57" s="33" t="s">
        <v>123</v>
      </c>
      <c r="J57" s="26" t="s">
        <v>114</v>
      </c>
      <c r="K57" s="29">
        <v>0.46666666666666667</v>
      </c>
      <c r="L57" s="29">
        <v>0.48402777777777778</v>
      </c>
      <c r="M57" s="35">
        <f t="shared" ca="1" si="13"/>
        <v>1.7361111111111105E-2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249</v>
      </c>
      <c r="F58" s="27">
        <v>3</v>
      </c>
      <c r="G58" s="28">
        <f t="shared" si="12"/>
        <v>12.600000000000001</v>
      </c>
      <c r="H58" s="26" t="s">
        <v>20</v>
      </c>
      <c r="I58" s="26" t="s">
        <v>47</v>
      </c>
      <c r="J58" s="26" t="s">
        <v>51</v>
      </c>
      <c r="K58" s="29">
        <v>0.49583333333333335</v>
      </c>
      <c r="L58" s="29">
        <v>0.50208333333333333</v>
      </c>
      <c r="M58" s="30">
        <f t="shared" ca="1" si="13"/>
        <v>6.2499999999999778E-3</v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38</v>
      </c>
      <c r="E59" s="59" t="s">
        <v>249</v>
      </c>
      <c r="F59" s="27">
        <v>4</v>
      </c>
      <c r="G59" s="34">
        <f t="shared" si="12"/>
        <v>16.8</v>
      </c>
      <c r="H59" s="26" t="s">
        <v>20</v>
      </c>
      <c r="I59" s="33" t="s">
        <v>47</v>
      </c>
      <c r="J59" s="26" t="s">
        <v>51</v>
      </c>
      <c r="K59" s="29">
        <v>0.51180555555555551</v>
      </c>
      <c r="L59" s="29">
        <v>0.51736111111111116</v>
      </c>
      <c r="M59" s="35">
        <f t="shared" ca="1" si="13"/>
        <v>5.5555555555556468E-3</v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38</v>
      </c>
      <c r="E60" s="59" t="s">
        <v>249</v>
      </c>
      <c r="F60" s="27">
        <v>5</v>
      </c>
      <c r="G60" s="28">
        <f t="shared" si="12"/>
        <v>21</v>
      </c>
      <c r="H60" s="26" t="s">
        <v>20</v>
      </c>
      <c r="I60" s="26" t="s">
        <v>123</v>
      </c>
      <c r="J60" s="26" t="s">
        <v>114</v>
      </c>
      <c r="K60" s="29">
        <v>0.51249999999999996</v>
      </c>
      <c r="L60" s="29">
        <v>0.52777777777777779</v>
      </c>
      <c r="M60" s="30">
        <f t="shared" ca="1" si="13"/>
        <v>1.5277777777777835E-2</v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38</v>
      </c>
      <c r="E61" s="59" t="s">
        <v>249</v>
      </c>
      <c r="F61" s="27">
        <v>6</v>
      </c>
      <c r="G61" s="34">
        <f t="shared" si="12"/>
        <v>25.200000000000003</v>
      </c>
      <c r="H61" s="33" t="s">
        <v>20</v>
      </c>
      <c r="I61" s="33" t="s">
        <v>47</v>
      </c>
      <c r="J61" s="33" t="s">
        <v>51</v>
      </c>
      <c r="K61" s="29">
        <v>0.56458333333333333</v>
      </c>
      <c r="L61" s="29">
        <v>0.56944444444444442</v>
      </c>
      <c r="M61" s="35">
        <f t="shared" ca="1" si="13"/>
        <v>4.8611111111110938E-3</v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38</v>
      </c>
      <c r="E62" s="59" t="s">
        <v>249</v>
      </c>
      <c r="F62" s="27">
        <v>0</v>
      </c>
      <c r="G62" s="28">
        <f t="shared" si="12"/>
        <v>0</v>
      </c>
      <c r="H62" s="26" t="s">
        <v>18</v>
      </c>
      <c r="I62" s="26"/>
      <c r="J62" s="26" t="s">
        <v>130</v>
      </c>
      <c r="K62" s="29">
        <v>0.61458333333333337</v>
      </c>
      <c r="L62" s="29">
        <v>0.6430555555555556</v>
      </c>
      <c r="M62" s="30">
        <f t="shared" ca="1" si="13"/>
        <v>2.8472222222222232E-2</v>
      </c>
      <c r="N62" s="27" t="s">
        <v>276</v>
      </c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38</v>
      </c>
      <c r="E63" s="59" t="s">
        <v>249</v>
      </c>
      <c r="F63" s="27">
        <v>0</v>
      </c>
      <c r="G63" s="34">
        <f t="shared" si="12"/>
        <v>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38</v>
      </c>
      <c r="E64" s="59" t="s">
        <v>249</v>
      </c>
      <c r="F64" s="27">
        <v>10</v>
      </c>
      <c r="G64" s="28">
        <f t="shared" si="12"/>
        <v>42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38</v>
      </c>
      <c r="E65" s="59" t="s">
        <v>249</v>
      </c>
      <c r="F65" s="27">
        <v>5</v>
      </c>
      <c r="G65" s="34">
        <f t="shared" si="12"/>
        <v>21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38</v>
      </c>
      <c r="E66" s="59" t="s">
        <v>249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38</v>
      </c>
      <c r="E67" s="59" t="s">
        <v>249</v>
      </c>
      <c r="F67" s="27">
        <v>1</v>
      </c>
      <c r="G67" s="34">
        <f t="shared" si="12"/>
        <v>4.2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4" t="s">
        <v>234</v>
      </c>
      <c r="B68" s="105"/>
      <c r="C68" s="105"/>
      <c r="D68" s="105"/>
      <c r="E68" s="106">
        <f>SUM(E56:E67)</f>
        <v>0</v>
      </c>
      <c r="F68" s="36">
        <f>SUM(F56:F67)</f>
        <v>50</v>
      </c>
      <c r="G68" s="36">
        <f>SUM(G56:G67)</f>
        <v>210</v>
      </c>
      <c r="H68" s="37"/>
      <c r="I68" s="37"/>
      <c r="J68" s="37"/>
      <c r="K68" s="37"/>
      <c r="L68" s="37"/>
      <c r="M68" s="38">
        <f ca="1">IFERROR(SUM(M56:M67),"")</f>
        <v>8.3333333333333426E-2</v>
      </c>
      <c r="N68" s="36" t="s">
        <v>235</v>
      </c>
      <c r="O68" s="39">
        <v>221380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249</v>
      </c>
      <c r="F69" s="27">
        <v>6</v>
      </c>
      <c r="G69" s="34">
        <f t="shared" ref="G69:G80" si="15">IF(F69="","",IF(E69="PC 17",F69*4.2,IF(E69="PC 19",F69*5,IF(E69="CB",F69*24,""))))</f>
        <v>25.200000000000003</v>
      </c>
      <c r="H69" s="33" t="s">
        <v>20</v>
      </c>
      <c r="I69" s="33" t="s">
        <v>47</v>
      </c>
      <c r="J69" s="33" t="s">
        <v>56</v>
      </c>
      <c r="K69" s="29">
        <v>0.79652777777777772</v>
      </c>
      <c r="L69" s="29">
        <v>0.8125</v>
      </c>
      <c r="M69" s="35">
        <f t="shared" ref="M69:M80" ca="1" si="16">IFERROR(IF(K69="","",IF(L69="",MOD(NOW()-K69,1),IF(L69&gt;=K69,L69-K69,L69+1-K69))),"")</f>
        <v>1.5972222222222276E-2</v>
      </c>
      <c r="N69" s="27" t="s">
        <v>277</v>
      </c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249</v>
      </c>
      <c r="F70" s="27">
        <v>9</v>
      </c>
      <c r="G70" s="28">
        <f t="shared" si="15"/>
        <v>37.800000000000004</v>
      </c>
      <c r="H70" s="26" t="s">
        <v>20</v>
      </c>
      <c r="I70" s="26" t="s">
        <v>149</v>
      </c>
      <c r="J70" s="26" t="s">
        <v>185</v>
      </c>
      <c r="K70" s="29">
        <v>0.8208333333333333</v>
      </c>
      <c r="L70" s="29">
        <v>0.82638888888888884</v>
      </c>
      <c r="M70" s="30">
        <f t="shared" ca="1" si="16"/>
        <v>5.5555555555555358E-3</v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249</v>
      </c>
      <c r="F71" s="27">
        <v>9</v>
      </c>
      <c r="G71" s="34">
        <f t="shared" si="15"/>
        <v>37.800000000000004</v>
      </c>
      <c r="H71" s="33" t="s">
        <v>20</v>
      </c>
      <c r="I71" s="33" t="s">
        <v>157</v>
      </c>
      <c r="J71" s="33" t="s">
        <v>74</v>
      </c>
      <c r="K71" s="29">
        <v>0.85972222222222228</v>
      </c>
      <c r="L71" s="29">
        <v>0.86458333333333337</v>
      </c>
      <c r="M71" s="35">
        <f t="shared" ca="1" si="16"/>
        <v>4.8611111111110938E-3</v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249</v>
      </c>
      <c r="F72" s="27">
        <v>0</v>
      </c>
      <c r="G72" s="28">
        <f t="shared" si="15"/>
        <v>0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0">
        <f t="shared" ca="1" si="16"/>
        <v>3.4722222222222099E-3</v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249</v>
      </c>
      <c r="F73" s="27">
        <v>7</v>
      </c>
      <c r="G73" s="34">
        <f t="shared" si="15"/>
        <v>29.400000000000002</v>
      </c>
      <c r="H73" s="33" t="s">
        <v>20</v>
      </c>
      <c r="I73" s="33" t="s">
        <v>157</v>
      </c>
      <c r="J73" s="33" t="s">
        <v>74</v>
      </c>
      <c r="K73" s="29">
        <v>0.95972222222222225</v>
      </c>
      <c r="L73" s="29">
        <v>0.96388888888888891</v>
      </c>
      <c r="M73" s="35">
        <f t="shared" ca="1" si="16"/>
        <v>4.1666666666666519E-3</v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249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249</v>
      </c>
      <c r="F75" s="27">
        <v>0</v>
      </c>
      <c r="G75" s="34">
        <f t="shared" si="15"/>
        <v>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249</v>
      </c>
      <c r="F76" s="27">
        <v>6</v>
      </c>
      <c r="G76" s="28">
        <f t="shared" si="15"/>
        <v>25.200000000000003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249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249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/>
      <c r="F79" s="27">
        <v>0</v>
      </c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5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4" t="s">
        <v>237</v>
      </c>
      <c r="B81" s="105"/>
      <c r="C81" s="105"/>
      <c r="D81" s="105"/>
      <c r="E81" s="106">
        <f>SUM(E69:E80)</f>
        <v>0</v>
      </c>
      <c r="F81" s="36">
        <f>SUM(F69:F80)</f>
        <v>42</v>
      </c>
      <c r="G81" s="36">
        <f>SUM(G69:G80)</f>
        <v>155.40000000000003</v>
      </c>
      <c r="H81" s="37"/>
      <c r="I81" s="37"/>
      <c r="J81" s="37"/>
      <c r="K81" s="37"/>
      <c r="L81" s="37"/>
      <c r="M81" s="38">
        <f ca="1">IFERROR(SUM(M69:M80),"")</f>
        <v>3.4027777777777768E-2</v>
      </c>
      <c r="N81" s="36" t="s">
        <v>235</v>
      </c>
      <c r="O81" s="39">
        <v>185920</v>
      </c>
    </row>
    <row r="82" spans="1:15" ht="18" customHeight="1">
      <c r="A82" s="101" t="s">
        <v>238</v>
      </c>
      <c r="B82" s="102"/>
      <c r="C82" s="102"/>
      <c r="D82" s="102"/>
      <c r="E82" s="103">
        <f>E68+E81</f>
        <v>0</v>
      </c>
      <c r="F82" s="40">
        <f>F68+F81</f>
        <v>92</v>
      </c>
      <c r="G82" s="40">
        <f>G68+G81</f>
        <v>365.40000000000003</v>
      </c>
      <c r="H82" s="41"/>
      <c r="I82" s="41"/>
      <c r="J82" s="41"/>
      <c r="K82" s="41"/>
      <c r="L82" s="41"/>
      <c r="M82" s="42">
        <f ca="1">IFERROR(M68+M81,"")</f>
        <v>0.11736111111111119</v>
      </c>
      <c r="N82" s="40" t="s">
        <v>239</v>
      </c>
      <c r="O82" s="43">
        <f>IFERROR(O68+O81,"")</f>
        <v>407300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249</v>
      </c>
      <c r="F83" s="27">
        <v>7</v>
      </c>
      <c r="G83" s="28">
        <f t="shared" ref="G83:G94" si="18">IF(F83="","",IF(E83="PC 17",F83*4.2,IF(E83="PC 19",F83*5,IF(E83="CB",F83*24,""))))</f>
        <v>29.400000000000002</v>
      </c>
      <c r="H83" s="33" t="s">
        <v>20</v>
      </c>
      <c r="I83" s="33" t="s">
        <v>47</v>
      </c>
      <c r="J83" s="33" t="s">
        <v>56</v>
      </c>
      <c r="K83" s="29">
        <v>0.33124999999999999</v>
      </c>
      <c r="L83" s="29">
        <v>0.36319444444444443</v>
      </c>
      <c r="M83" s="35">
        <f t="shared" ref="M83:M94" ca="1" si="19">IFERROR(IF(K83="","",IF(L83="",MOD(NOW()-K83,1),IF(L83&gt;=K83,L83-K83,L83+1-K83))),"")</f>
        <v>3.1944444444444442E-2</v>
      </c>
      <c r="N83" s="27" t="s">
        <v>278</v>
      </c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249</v>
      </c>
      <c r="F84" s="27">
        <v>0</v>
      </c>
      <c r="G84" s="34">
        <f t="shared" si="18"/>
        <v>0</v>
      </c>
      <c r="H84" s="26" t="s">
        <v>18</v>
      </c>
      <c r="I84" s="26" t="s">
        <v>138</v>
      </c>
      <c r="J84" s="26" t="s">
        <v>118</v>
      </c>
      <c r="K84" s="29">
        <v>0.56666666666666665</v>
      </c>
      <c r="L84" s="29">
        <v>0.69097222222222221</v>
      </c>
      <c r="M84" s="30">
        <f t="shared" ca="1" si="19"/>
        <v>0.12430555555555556</v>
      </c>
      <c r="N84" s="27" t="s">
        <v>279</v>
      </c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249</v>
      </c>
      <c r="F85" s="27">
        <v>5</v>
      </c>
      <c r="G85" s="28">
        <f t="shared" si="18"/>
        <v>21</v>
      </c>
      <c r="H85" s="33"/>
      <c r="I85" s="33"/>
      <c r="J85" s="26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249</v>
      </c>
      <c r="F86" s="27">
        <v>12</v>
      </c>
      <c r="G86" s="34">
        <f t="shared" si="18"/>
        <v>50.400000000000006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249</v>
      </c>
      <c r="F87" s="27">
        <v>6</v>
      </c>
      <c r="G87" s="28">
        <f t="shared" si="18"/>
        <v>25.200000000000003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249</v>
      </c>
      <c r="F88" s="27">
        <v>5</v>
      </c>
      <c r="G88" s="34">
        <f t="shared" si="18"/>
        <v>21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249</v>
      </c>
      <c r="F89" s="27">
        <v>7</v>
      </c>
      <c r="G89" s="28">
        <f t="shared" si="18"/>
        <v>29.400000000000002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249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249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249</v>
      </c>
      <c r="F92" s="27">
        <v>3</v>
      </c>
      <c r="G92" s="34">
        <f t="shared" si="18"/>
        <v>12.600000000000001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249</v>
      </c>
      <c r="F93" s="27">
        <v>1</v>
      </c>
      <c r="G93" s="28">
        <f t="shared" si="18"/>
        <v>4.2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249</v>
      </c>
      <c r="F94" s="27">
        <v>2</v>
      </c>
      <c r="G94" s="34">
        <f t="shared" si="18"/>
        <v>8.4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4" t="s">
        <v>234</v>
      </c>
      <c r="B95" s="105"/>
      <c r="C95" s="105"/>
      <c r="D95" s="105"/>
      <c r="E95" s="106">
        <f>SUM(E83:E94)</f>
        <v>0</v>
      </c>
      <c r="F95" s="36">
        <f>SUM(F83:F94)</f>
        <v>48</v>
      </c>
      <c r="G95" s="36">
        <f>SUM(G83:G94)</f>
        <v>201.6</v>
      </c>
      <c r="H95" s="37"/>
      <c r="I95" s="37"/>
      <c r="J95" s="37"/>
      <c r="K95" s="37"/>
      <c r="L95" s="37"/>
      <c r="M95" s="38">
        <f ca="1">IFERROR(SUM(M83:M94),"")</f>
        <v>0.15625</v>
      </c>
      <c r="N95" s="36" t="s">
        <v>235</v>
      </c>
      <c r="O95" s="39">
        <v>204160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249</v>
      </c>
      <c r="F96" s="27">
        <v>5</v>
      </c>
      <c r="G96" s="34">
        <f t="shared" ref="G96:G107" si="21">IF(F96="","",IF(E96="PC 17",F96*4.2,IF(E96="PC 19",F96*5,IF(E96="CB",F96*24,""))))</f>
        <v>21</v>
      </c>
      <c r="H96" s="26" t="s">
        <v>18</v>
      </c>
      <c r="I96" s="26" t="s">
        <v>138</v>
      </c>
      <c r="J96" s="26" t="s">
        <v>118</v>
      </c>
      <c r="K96" s="29">
        <v>0.87638888888888888</v>
      </c>
      <c r="L96" s="29">
        <v>0.88263888888888886</v>
      </c>
      <c r="M96" s="30">
        <f t="shared" ref="M96:M107" ca="1" si="22">IFERROR(IF(K96="","",IF(L96="",MOD(NOW()-K96,1),IF(L96&gt;=K96,L96-K96,L96+1-K96))),"")</f>
        <v>6.2499999999999778E-3</v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249</v>
      </c>
      <c r="F97" s="27">
        <v>0</v>
      </c>
      <c r="G97" s="28">
        <f t="shared" si="21"/>
        <v>0</v>
      </c>
      <c r="H97" s="33" t="s">
        <v>18</v>
      </c>
      <c r="I97" s="33" t="s">
        <v>138</v>
      </c>
      <c r="J97" s="33" t="s">
        <v>118</v>
      </c>
      <c r="K97" s="29">
        <v>0.90833333333333333</v>
      </c>
      <c r="L97" s="29">
        <v>0.94444444444444442</v>
      </c>
      <c r="M97" s="35">
        <f t="shared" ca="1" si="22"/>
        <v>3.6111111111111094E-2</v>
      </c>
      <c r="N97" s="27" t="s">
        <v>280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249</v>
      </c>
      <c r="F98" s="27">
        <v>5</v>
      </c>
      <c r="G98" s="34">
        <f t="shared" si="21"/>
        <v>21</v>
      </c>
      <c r="H98" s="26" t="s">
        <v>19</v>
      </c>
      <c r="I98" s="26" t="s">
        <v>47</v>
      </c>
      <c r="J98" s="26" t="s">
        <v>27</v>
      </c>
      <c r="K98" s="29">
        <v>0.24305555555555555</v>
      </c>
      <c r="L98" s="29">
        <v>0.24791666666666667</v>
      </c>
      <c r="M98" s="30">
        <f t="shared" ca="1" si="22"/>
        <v>4.8611111111111216E-3</v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249</v>
      </c>
      <c r="F99" s="27">
        <v>7</v>
      </c>
      <c r="G99" s="28">
        <f t="shared" si="21"/>
        <v>29.400000000000002</v>
      </c>
      <c r="H99" s="33" t="s">
        <v>20</v>
      </c>
      <c r="I99" s="33" t="s">
        <v>157</v>
      </c>
      <c r="J99" s="33" t="s">
        <v>74</v>
      </c>
      <c r="K99" s="29">
        <v>0.27847222222222223</v>
      </c>
      <c r="L99" s="29">
        <v>0.28472222222222221</v>
      </c>
      <c r="M99" s="35">
        <f t="shared" ca="1" si="22"/>
        <v>6.2499999999999778E-3</v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249</v>
      </c>
      <c r="F100" s="27">
        <v>7</v>
      </c>
      <c r="G100" s="34">
        <f t="shared" si="21"/>
        <v>29.400000000000002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249</v>
      </c>
      <c r="F101" s="27">
        <v>11</v>
      </c>
      <c r="G101" s="28">
        <f t="shared" si="21"/>
        <v>46.2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249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249</v>
      </c>
      <c r="F103" s="27">
        <v>7</v>
      </c>
      <c r="G103" s="28">
        <f t="shared" si="21"/>
        <v>29.400000000000002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249</v>
      </c>
      <c r="F104" s="27">
        <v>12</v>
      </c>
      <c r="G104" s="34">
        <f t="shared" si="21"/>
        <v>50.400000000000006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249</v>
      </c>
      <c r="F105" s="27">
        <v>4</v>
      </c>
      <c r="G105" s="28">
        <f t="shared" si="21"/>
        <v>16.8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249</v>
      </c>
      <c r="F106" s="27">
        <v>7</v>
      </c>
      <c r="G106" s="34">
        <f t="shared" si="21"/>
        <v>29.400000000000002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249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4" t="s">
        <v>237</v>
      </c>
      <c r="B108" s="105"/>
      <c r="C108" s="105"/>
      <c r="D108" s="105"/>
      <c r="E108" s="106">
        <f>SUM(E96:E107)</f>
        <v>0</v>
      </c>
      <c r="F108" s="36">
        <f>SUM(F96:F107)</f>
        <v>89</v>
      </c>
      <c r="G108" s="36">
        <f>SUM(G96:G107)</f>
        <v>373.8</v>
      </c>
      <c r="H108" s="37"/>
      <c r="I108" s="37"/>
      <c r="J108" s="37"/>
      <c r="K108" s="37"/>
      <c r="L108" s="37"/>
      <c r="M108" s="38">
        <f ca="1">IFERROR(SUM(M96:M107),"")</f>
        <v>5.3472222222222171E-2</v>
      </c>
      <c r="N108" s="36" t="s">
        <v>235</v>
      </c>
      <c r="O108" s="39">
        <v>434370</v>
      </c>
    </row>
    <row r="109" spans="1:15" ht="18" customHeight="1">
      <c r="A109" s="101" t="s">
        <v>238</v>
      </c>
      <c r="B109" s="102"/>
      <c r="C109" s="102"/>
      <c r="D109" s="102"/>
      <c r="E109" s="103">
        <f>E95+E108</f>
        <v>0</v>
      </c>
      <c r="F109" s="40">
        <f>F95+F108</f>
        <v>137</v>
      </c>
      <c r="G109" s="40">
        <f>G95+G108</f>
        <v>575.4</v>
      </c>
      <c r="H109" s="41"/>
      <c r="I109" s="41"/>
      <c r="J109" s="41"/>
      <c r="K109" s="41"/>
      <c r="L109" s="41"/>
      <c r="M109" s="42">
        <f ca="1">IFERROR(M95+M108,"")</f>
        <v>0.20972222222222217</v>
      </c>
      <c r="N109" s="40" t="s">
        <v>239</v>
      </c>
      <c r="O109" s="43">
        <f>IFERROR(O95+O108,"")</f>
        <v>638530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249</v>
      </c>
      <c r="F110" s="27">
        <v>4</v>
      </c>
      <c r="G110" s="28">
        <f t="shared" ref="G110:G121" si="24">IF(F110="","",IF(E110="PC 17",F110*4.2,IF(E110="PC 19",F110*5,IF(E110="CB",F110*24,""))))</f>
        <v>16.8</v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249</v>
      </c>
      <c r="F111" s="27">
        <v>6</v>
      </c>
      <c r="G111" s="34">
        <f t="shared" si="24"/>
        <v>25.200000000000003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249</v>
      </c>
      <c r="F112" s="27">
        <v>5</v>
      </c>
      <c r="G112" s="28">
        <f t="shared" si="24"/>
        <v>21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249</v>
      </c>
      <c r="F113" s="27">
        <v>11</v>
      </c>
      <c r="G113" s="34">
        <f t="shared" si="24"/>
        <v>46.2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249</v>
      </c>
      <c r="F114" s="27">
        <v>6</v>
      </c>
      <c r="G114" s="28">
        <f t="shared" si="24"/>
        <v>25.200000000000003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249</v>
      </c>
      <c r="F115" s="27">
        <v>6</v>
      </c>
      <c r="G115" s="34">
        <f t="shared" si="24"/>
        <v>25.200000000000003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249</v>
      </c>
      <c r="F116" s="27">
        <v>12</v>
      </c>
      <c r="G116" s="28">
        <f t="shared" si="24"/>
        <v>50.400000000000006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249</v>
      </c>
      <c r="F117" s="27">
        <v>5</v>
      </c>
      <c r="G117" s="34">
        <f t="shared" si="24"/>
        <v>21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249</v>
      </c>
      <c r="F118" s="27">
        <v>7</v>
      </c>
      <c r="G118" s="28">
        <f t="shared" si="24"/>
        <v>29.400000000000002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249</v>
      </c>
      <c r="F119" s="27">
        <v>9</v>
      </c>
      <c r="G119" s="34">
        <f t="shared" si="24"/>
        <v>37.800000000000004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249</v>
      </c>
      <c r="F120" s="27">
        <v>6</v>
      </c>
      <c r="G120" s="28">
        <f t="shared" si="24"/>
        <v>25.200000000000003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249</v>
      </c>
      <c r="F121" s="27">
        <v>1</v>
      </c>
      <c r="G121" s="34">
        <f t="shared" si="24"/>
        <v>4.2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4" t="s">
        <v>234</v>
      </c>
      <c r="B122" s="105"/>
      <c r="C122" s="105"/>
      <c r="D122" s="105"/>
      <c r="E122" s="106">
        <f>SUM(E110:E121)</f>
        <v>0</v>
      </c>
      <c r="F122" s="36">
        <f>SUM(F110:F121)</f>
        <v>78</v>
      </c>
      <c r="G122" s="36">
        <f>SUM(G110:G121)</f>
        <v>327.60000000000002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235</v>
      </c>
      <c r="O122" s="39">
        <v>320370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249</v>
      </c>
      <c r="F123" s="27">
        <v>15</v>
      </c>
      <c r="G123" s="34">
        <f t="shared" ref="G123:G134" si="27">IF(F123="","",IF(E123="PC 17",F123*4.2,IF(E123="PC 19",F123*5,IF(E123="CB",F123*24,""))))</f>
        <v>63</v>
      </c>
      <c r="H123" s="33" t="s">
        <v>20</v>
      </c>
      <c r="I123" s="33" t="s">
        <v>157</v>
      </c>
      <c r="J123" s="33" t="s">
        <v>74</v>
      </c>
      <c r="K123" s="29">
        <v>0.82916666666666672</v>
      </c>
      <c r="L123" s="29">
        <v>0.83263888888888893</v>
      </c>
      <c r="M123" s="35">
        <f t="shared" ref="M123:M134" ca="1" si="28">IFERROR(IF(K123="","",IF(L123="",MOD(NOW()-K123,1),IF(L123&gt;=K123,L123-K123,L123+1-K123))),"")</f>
        <v>3.4722222222222099E-3</v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249</v>
      </c>
      <c r="F124" s="27">
        <v>9</v>
      </c>
      <c r="G124" s="28">
        <f t="shared" si="27"/>
        <v>37.800000000000004</v>
      </c>
      <c r="H124" s="26" t="s">
        <v>20</v>
      </c>
      <c r="I124" s="26" t="s">
        <v>157</v>
      </c>
      <c r="J124" s="26" t="s">
        <v>74</v>
      </c>
      <c r="K124" s="29">
        <v>0.8520833333333333</v>
      </c>
      <c r="L124" s="29">
        <v>0.85833333333333328</v>
      </c>
      <c r="M124" s="30">
        <f t="shared" ca="1" si="28"/>
        <v>6.2499999999999778E-3</v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249</v>
      </c>
      <c r="F125" s="27">
        <v>0</v>
      </c>
      <c r="G125" s="34">
        <f t="shared" si="27"/>
        <v>0</v>
      </c>
      <c r="H125" s="33" t="s">
        <v>20</v>
      </c>
      <c r="I125" s="33" t="s">
        <v>47</v>
      </c>
      <c r="J125" s="33" t="s">
        <v>56</v>
      </c>
      <c r="K125" s="29">
        <v>0.88124999999999998</v>
      </c>
      <c r="L125" s="29">
        <v>0.9145833333333333</v>
      </c>
      <c r="M125" s="35">
        <f t="shared" ca="1" si="28"/>
        <v>3.3333333333333326E-2</v>
      </c>
      <c r="N125" s="27" t="s">
        <v>281</v>
      </c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249</v>
      </c>
      <c r="F126" s="27">
        <v>20</v>
      </c>
      <c r="G126" s="28">
        <f t="shared" si="27"/>
        <v>84</v>
      </c>
      <c r="H126" s="26" t="s">
        <v>19</v>
      </c>
      <c r="I126" s="26" t="s">
        <v>47</v>
      </c>
      <c r="J126" s="26" t="s">
        <v>27</v>
      </c>
      <c r="K126" s="29">
        <v>0.9145833333333333</v>
      </c>
      <c r="L126" s="29">
        <v>0.92638888888888893</v>
      </c>
      <c r="M126" s="30">
        <f t="shared" ca="1" si="28"/>
        <v>1.1805555555555625E-2</v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249</v>
      </c>
      <c r="F127" s="27">
        <v>12</v>
      </c>
      <c r="G127" s="34">
        <f t="shared" si="27"/>
        <v>50.400000000000006</v>
      </c>
      <c r="H127" s="33" t="s">
        <v>17</v>
      </c>
      <c r="I127" s="33" t="s">
        <v>135</v>
      </c>
      <c r="J127" s="33" t="s">
        <v>49</v>
      </c>
      <c r="K127" s="29">
        <v>0.95</v>
      </c>
      <c r="L127" s="29">
        <v>0.95138888888888884</v>
      </c>
      <c r="M127" s="35">
        <f t="shared" ca="1" si="28"/>
        <v>1.388888888888884E-3</v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249</v>
      </c>
      <c r="F128" s="27">
        <v>10</v>
      </c>
      <c r="G128" s="28">
        <f t="shared" si="27"/>
        <v>42</v>
      </c>
      <c r="H128" s="26" t="s">
        <v>20</v>
      </c>
      <c r="I128" s="26" t="s">
        <v>47</v>
      </c>
      <c r="J128" s="26" t="s">
        <v>36</v>
      </c>
      <c r="K128" s="29">
        <v>0.97083333333333333</v>
      </c>
      <c r="L128" s="29">
        <v>0.97777777777777775</v>
      </c>
      <c r="M128" s="30">
        <f t="shared" ca="1" si="28"/>
        <v>6.9444444444444198E-3</v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249</v>
      </c>
      <c r="F129" s="27">
        <v>5</v>
      </c>
      <c r="G129" s="34">
        <f t="shared" si="27"/>
        <v>21</v>
      </c>
      <c r="H129" s="33" t="s">
        <v>20</v>
      </c>
      <c r="I129" s="33"/>
      <c r="J129" s="33" t="s">
        <v>131</v>
      </c>
      <c r="K129" s="29">
        <v>0.14930555555555555</v>
      </c>
      <c r="L129" s="29">
        <v>0.15277777777777779</v>
      </c>
      <c r="M129" s="35">
        <f t="shared" ca="1" si="28"/>
        <v>3.4722222222222376E-3</v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249</v>
      </c>
      <c r="F130" s="27">
        <v>7</v>
      </c>
      <c r="G130" s="28">
        <f t="shared" si="27"/>
        <v>29.400000000000002</v>
      </c>
      <c r="H130" s="26" t="s">
        <v>20</v>
      </c>
      <c r="I130" s="26" t="s">
        <v>47</v>
      </c>
      <c r="J130" s="26" t="s">
        <v>51</v>
      </c>
      <c r="K130" s="29">
        <v>0.22638888888888889</v>
      </c>
      <c r="L130" s="29">
        <v>0.23819444444444443</v>
      </c>
      <c r="M130" s="30">
        <f t="shared" ca="1" si="28"/>
        <v>1.1805555555555541E-2</v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249</v>
      </c>
      <c r="F131" s="27">
        <v>10</v>
      </c>
      <c r="G131" s="34">
        <f t="shared" si="27"/>
        <v>42</v>
      </c>
      <c r="H131" s="33" t="s">
        <v>20</v>
      </c>
      <c r="I131" s="33"/>
      <c r="J131" s="33" t="s">
        <v>198</v>
      </c>
      <c r="K131" s="29">
        <v>0.25347222222222221</v>
      </c>
      <c r="L131" s="29">
        <v>0.25694444444444442</v>
      </c>
      <c r="M131" s="35">
        <f t="shared" ca="1" si="28"/>
        <v>3.4722222222222099E-3</v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249</v>
      </c>
      <c r="F132" s="27">
        <v>3</v>
      </c>
      <c r="G132" s="28">
        <f t="shared" si="27"/>
        <v>12.600000000000001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249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249</v>
      </c>
      <c r="F134" s="27">
        <v>9</v>
      </c>
      <c r="G134" s="28">
        <f t="shared" si="27"/>
        <v>37.800000000000004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4" t="s">
        <v>237</v>
      </c>
      <c r="B135" s="105"/>
      <c r="C135" s="105"/>
      <c r="D135" s="105"/>
      <c r="E135" s="106">
        <f>SUM(E123:E134)</f>
        <v>0</v>
      </c>
      <c r="F135" s="36">
        <f>SUM(F123:F134)</f>
        <v>110</v>
      </c>
      <c r="G135" s="36">
        <f>SUM(G123:G134)</f>
        <v>462.00000000000006</v>
      </c>
      <c r="H135" s="37"/>
      <c r="I135" s="37"/>
      <c r="J135" s="37"/>
      <c r="K135" s="37"/>
      <c r="L135" s="37"/>
      <c r="M135" s="38">
        <f ca="1">IFERROR(SUM(M123:M134),"")</f>
        <v>8.1944444444444431E-2</v>
      </c>
      <c r="N135" s="36" t="s">
        <v>235</v>
      </c>
      <c r="O135" s="39">
        <v>416350</v>
      </c>
    </row>
    <row r="136" spans="1:15" ht="18" customHeight="1">
      <c r="A136" s="101" t="s">
        <v>238</v>
      </c>
      <c r="B136" s="102"/>
      <c r="C136" s="102"/>
      <c r="D136" s="102"/>
      <c r="E136" s="103">
        <f>E122+E135</f>
        <v>0</v>
      </c>
      <c r="F136" s="40">
        <f>F122+F135</f>
        <v>188</v>
      </c>
      <c r="G136" s="40">
        <f>G122+G135</f>
        <v>789.60000000000014</v>
      </c>
      <c r="H136" s="41"/>
      <c r="I136" s="41"/>
      <c r="J136" s="41"/>
      <c r="K136" s="41"/>
      <c r="L136" s="41"/>
      <c r="M136" s="42">
        <f ca="1">IFERROR(M122+M135,"")</f>
        <v>8.1944444444444431E-2</v>
      </c>
      <c r="N136" s="40" t="s">
        <v>239</v>
      </c>
      <c r="O136" s="43">
        <f>IFERROR(O122+O135,"")</f>
        <v>736720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249</v>
      </c>
      <c r="F137" s="27">
        <v>3</v>
      </c>
      <c r="G137" s="34">
        <f t="shared" ref="G137:G148" si="30">IF(F137="","",IF(E137="PC 17",F137*4.2,IF(E137="PC 19",F137*5,IF(E137="CB",F137*24,""))))</f>
        <v>12.600000000000001</v>
      </c>
      <c r="H137" s="33" t="s">
        <v>19</v>
      </c>
      <c r="I137" s="33" t="s">
        <v>47</v>
      </c>
      <c r="J137" s="33" t="s">
        <v>27</v>
      </c>
      <c r="K137" s="29">
        <v>0.31944444444444442</v>
      </c>
      <c r="L137" s="29">
        <v>0.34027777777777779</v>
      </c>
      <c r="M137" s="35">
        <f t="shared" ref="M137:M148" ca="1" si="31">IFERROR(IF(K137="","",IF(L137="",MOD(NOW()-K137,1),IF(L137&gt;=K137,L137-K137,L137+1-K137))),"")</f>
        <v>2.083333333333337E-2</v>
      </c>
      <c r="N137" s="20" t="s">
        <v>282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249</v>
      </c>
      <c r="F138" s="27">
        <v>1</v>
      </c>
      <c r="G138" s="28">
        <f t="shared" si="30"/>
        <v>4.2</v>
      </c>
      <c r="H138" s="26" t="s">
        <v>16</v>
      </c>
      <c r="I138" s="26" t="s">
        <v>47</v>
      </c>
      <c r="J138" s="26" t="s">
        <v>110</v>
      </c>
      <c r="K138" s="29">
        <v>0.40277777777777779</v>
      </c>
      <c r="L138" s="29">
        <v>0.44583333333333336</v>
      </c>
      <c r="M138" s="30">
        <f t="shared" ca="1" si="31"/>
        <v>4.3055555555555569E-2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249</v>
      </c>
      <c r="F139" s="27">
        <v>5</v>
      </c>
      <c r="G139" s="34">
        <f t="shared" si="30"/>
        <v>21</v>
      </c>
      <c r="H139" s="33" t="s">
        <v>20</v>
      </c>
      <c r="I139" s="33" t="s">
        <v>47</v>
      </c>
      <c r="J139" s="33" t="s">
        <v>204</v>
      </c>
      <c r="K139" s="29">
        <v>0.52083333333333337</v>
      </c>
      <c r="L139" s="29">
        <v>0.59375</v>
      </c>
      <c r="M139" s="35">
        <f t="shared" ca="1" si="31"/>
        <v>7.291666666666663E-2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249</v>
      </c>
      <c r="F140" s="27">
        <v>0</v>
      </c>
      <c r="G140" s="28">
        <f t="shared" si="30"/>
        <v>0</v>
      </c>
      <c r="H140" s="26" t="s">
        <v>20</v>
      </c>
      <c r="I140" s="26" t="s">
        <v>138</v>
      </c>
      <c r="J140" s="26" t="s">
        <v>74</v>
      </c>
      <c r="K140" s="29">
        <v>0.625</v>
      </c>
      <c r="L140" s="29">
        <v>0.6333333333333333</v>
      </c>
      <c r="M140" s="30">
        <f t="shared" ca="1" si="31"/>
        <v>8.3333333333333037E-3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249</v>
      </c>
      <c r="F141" s="27">
        <v>3</v>
      </c>
      <c r="G141" s="34">
        <f t="shared" si="30"/>
        <v>12.600000000000001</v>
      </c>
      <c r="H141" s="33" t="s">
        <v>20</v>
      </c>
      <c r="I141" s="33" t="s">
        <v>47</v>
      </c>
      <c r="J141" s="33" t="s">
        <v>51</v>
      </c>
      <c r="K141" s="29">
        <v>0.65069444444444446</v>
      </c>
      <c r="L141" s="29">
        <v>0.65902777777777777</v>
      </c>
      <c r="M141" s="35">
        <f t="shared" ca="1" si="31"/>
        <v>8.3333333333333037E-3</v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249</v>
      </c>
      <c r="F142" s="27">
        <v>0</v>
      </c>
      <c r="G142" s="28">
        <f t="shared" si="30"/>
        <v>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249</v>
      </c>
      <c r="F143" s="27">
        <v>4</v>
      </c>
      <c r="G143" s="34">
        <f t="shared" si="30"/>
        <v>16.8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249</v>
      </c>
      <c r="F144" s="27">
        <v>4</v>
      </c>
      <c r="G144" s="28">
        <f t="shared" si="30"/>
        <v>16.8</v>
      </c>
      <c r="H144" s="26"/>
      <c r="I144" s="26"/>
      <c r="J144" s="26"/>
      <c r="K144" s="29"/>
      <c r="L144" s="29"/>
      <c r="M144" s="30" t="str">
        <f t="shared" ca="1" si="31"/>
        <v/>
      </c>
      <c r="N144" s="86" t="s">
        <v>269</v>
      </c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249</v>
      </c>
      <c r="F145" s="27">
        <v>4</v>
      </c>
      <c r="G145" s="34">
        <f t="shared" si="30"/>
        <v>16.8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249</v>
      </c>
      <c r="F146" s="27">
        <v>6</v>
      </c>
      <c r="G146" s="28">
        <f t="shared" si="30"/>
        <v>25.200000000000003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249</v>
      </c>
      <c r="F147" s="27">
        <v>3</v>
      </c>
      <c r="G147" s="34">
        <f t="shared" si="30"/>
        <v>12.600000000000001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249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4" t="s">
        <v>234</v>
      </c>
      <c r="B149" s="105"/>
      <c r="C149" s="105"/>
      <c r="D149" s="105"/>
      <c r="E149" s="106">
        <f>SUM(E137:E148)</f>
        <v>0</v>
      </c>
      <c r="F149" s="36">
        <f>SUM(F137:F148)</f>
        <v>33</v>
      </c>
      <c r="G149" s="36">
        <f>SUM(G137:G148)</f>
        <v>138.6</v>
      </c>
      <c r="H149" s="37"/>
      <c r="I149" s="37"/>
      <c r="J149" s="37"/>
      <c r="K149" s="37"/>
      <c r="L149" s="37"/>
      <c r="M149" s="38">
        <f ca="1">IFERROR(SUM(M137:M148),"")</f>
        <v>0.15347222222222218</v>
      </c>
      <c r="N149" s="36" t="s">
        <v>235</v>
      </c>
      <c r="O149" s="39">
        <v>138890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249</v>
      </c>
      <c r="F150" s="27">
        <v>4</v>
      </c>
      <c r="G150" s="28">
        <f t="shared" ref="G150:G161" si="33">IF(F150="","",IF(E150="PC 17",F150*4.2,IF(E150="PC 19",F150*5,IF(E150="CB",F150*24,""))))</f>
        <v>16.8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249</v>
      </c>
      <c r="F151" s="27">
        <v>4</v>
      </c>
      <c r="G151" s="34">
        <f t="shared" si="33"/>
        <v>16.8</v>
      </c>
      <c r="H151" s="33" t="s">
        <v>20</v>
      </c>
      <c r="I151" s="33" t="s">
        <v>47</v>
      </c>
      <c r="J151" s="33" t="s">
        <v>56</v>
      </c>
      <c r="K151" s="29">
        <v>0.86736111111111114</v>
      </c>
      <c r="L151" s="29">
        <v>0.91527777777777775</v>
      </c>
      <c r="M151" s="35">
        <f t="shared" ca="1" si="34"/>
        <v>4.7916666666666607E-2</v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249</v>
      </c>
      <c r="F152" s="27">
        <v>0</v>
      </c>
      <c r="G152" s="28">
        <f t="shared" si="33"/>
        <v>0</v>
      </c>
      <c r="H152" s="26" t="s">
        <v>20</v>
      </c>
      <c r="I152" s="26" t="s">
        <v>47</v>
      </c>
      <c r="J152" s="26" t="s">
        <v>36</v>
      </c>
      <c r="K152" s="29">
        <v>1.7361111111111112E-2</v>
      </c>
      <c r="L152" s="29">
        <v>3.3333333333333333E-2</v>
      </c>
      <c r="M152" s="30">
        <f t="shared" ca="1" si="34"/>
        <v>1.5972222222222221E-2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249</v>
      </c>
      <c r="F153" s="27">
        <v>4</v>
      </c>
      <c r="G153" s="34">
        <f t="shared" si="33"/>
        <v>16.8</v>
      </c>
      <c r="H153" s="33" t="s">
        <v>20</v>
      </c>
      <c r="I153" s="33" t="s">
        <v>47</v>
      </c>
      <c r="J153" s="33" t="s">
        <v>36</v>
      </c>
      <c r="K153" s="29">
        <v>4.6527777777777779E-2</v>
      </c>
      <c r="L153" s="29">
        <v>7.4305555555555555E-2</v>
      </c>
      <c r="M153" s="35">
        <f t="shared" ca="1" si="34"/>
        <v>2.7777777777777776E-2</v>
      </c>
      <c r="N153" s="27" t="s">
        <v>260</v>
      </c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249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249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249</v>
      </c>
      <c r="F156" s="27">
        <v>4</v>
      </c>
      <c r="G156" s="28">
        <f t="shared" si="33"/>
        <v>16.8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249</v>
      </c>
      <c r="F157" s="27">
        <v>1</v>
      </c>
      <c r="G157" s="34">
        <f t="shared" si="33"/>
        <v>4.2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249</v>
      </c>
      <c r="F158" s="27">
        <v>6</v>
      </c>
      <c r="G158" s="28">
        <f t="shared" si="33"/>
        <v>25.200000000000003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249</v>
      </c>
      <c r="F159" s="27">
        <v>4</v>
      </c>
      <c r="G159" s="34">
        <f t="shared" si="33"/>
        <v>16.8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249</v>
      </c>
      <c r="F160" s="27">
        <v>4</v>
      </c>
      <c r="G160" s="28">
        <f t="shared" si="33"/>
        <v>16.8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249</v>
      </c>
      <c r="F161" s="27">
        <v>2</v>
      </c>
      <c r="G161" s="34">
        <f t="shared" si="33"/>
        <v>8.4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4" t="s">
        <v>237</v>
      </c>
      <c r="B162" s="105"/>
      <c r="C162" s="105"/>
      <c r="D162" s="105"/>
      <c r="E162" s="106">
        <f>SUM(E150:E161)</f>
        <v>0</v>
      </c>
      <c r="F162" s="36">
        <f>SUM(F150:F161)</f>
        <v>43</v>
      </c>
      <c r="G162" s="36">
        <f>SUM(G150:G161)</f>
        <v>180.60000000000005</v>
      </c>
      <c r="H162" s="37"/>
      <c r="I162" s="37"/>
      <c r="J162" s="37"/>
      <c r="K162" s="37"/>
      <c r="L162" s="37"/>
      <c r="M162" s="38">
        <f ca="1">IFERROR(SUM(M150:M161),"")</f>
        <v>0.11180555555555553</v>
      </c>
      <c r="N162" s="36" t="s">
        <v>235</v>
      </c>
      <c r="O162" s="39">
        <v>169760</v>
      </c>
    </row>
    <row r="163" spans="1:15" ht="18" customHeight="1">
      <c r="A163" s="101" t="s">
        <v>238</v>
      </c>
      <c r="B163" s="102"/>
      <c r="C163" s="102"/>
      <c r="D163" s="102"/>
      <c r="E163" s="103">
        <f>E149+E162</f>
        <v>0</v>
      </c>
      <c r="F163" s="40">
        <f>F149+F162</f>
        <v>76</v>
      </c>
      <c r="G163" s="40">
        <f>G149+G162</f>
        <v>319.20000000000005</v>
      </c>
      <c r="H163" s="41"/>
      <c r="I163" s="41"/>
      <c r="J163" s="41"/>
      <c r="K163" s="41"/>
      <c r="L163" s="41"/>
      <c r="M163" s="42">
        <f ca="1">IFERROR(M149+M162,"")</f>
        <v>0.26527777777777772</v>
      </c>
      <c r="N163" s="40" t="s">
        <v>239</v>
      </c>
      <c r="O163" s="43">
        <f>IFERROR(O149+O162,"")</f>
        <v>308650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249</v>
      </c>
      <c r="F164" s="27">
        <v>4</v>
      </c>
      <c r="G164" s="28">
        <f t="shared" ref="G164:G175" si="36">IF(F164="","",IF(E164="PC 17",F164*4.2,IF(E164="PC 19",F164*5,IF(E164="CB",F164*24,""))))</f>
        <v>16.8</v>
      </c>
      <c r="H164" s="26" t="s">
        <v>20</v>
      </c>
      <c r="I164" s="26" t="s">
        <v>47</v>
      </c>
      <c r="J164" s="26" t="s">
        <v>51</v>
      </c>
      <c r="K164" s="29">
        <v>0.32222222222222224</v>
      </c>
      <c r="L164" s="29">
        <v>0.32569444444444445</v>
      </c>
      <c r="M164" s="30">
        <f t="shared" ref="M164:M175" ca="1" si="37">IFERROR(IF(K164="","",IF(L164="",MOD(NOW()-K164,1),IF(L164&gt;=K164,L164-K164,L164+1-K164))),"")</f>
        <v>3.4722222222222099E-3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249</v>
      </c>
      <c r="F165" s="27">
        <v>14</v>
      </c>
      <c r="G165" s="34">
        <f t="shared" si="36"/>
        <v>58.800000000000004</v>
      </c>
      <c r="H165" s="33" t="s">
        <v>20</v>
      </c>
      <c r="I165" s="33" t="s">
        <v>47</v>
      </c>
      <c r="J165" s="33" t="s">
        <v>51</v>
      </c>
      <c r="K165" s="29">
        <v>0.36666666666666664</v>
      </c>
      <c r="L165" s="29">
        <v>0.37152777777777779</v>
      </c>
      <c r="M165" s="35">
        <f t="shared" ca="1" si="37"/>
        <v>4.8611111111111494E-3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249</v>
      </c>
      <c r="F166" s="27">
        <v>7</v>
      </c>
      <c r="G166" s="28">
        <f t="shared" si="36"/>
        <v>29.400000000000002</v>
      </c>
      <c r="H166" s="26" t="s">
        <v>20</v>
      </c>
      <c r="I166" s="26" t="s">
        <v>47</v>
      </c>
      <c r="J166" s="26" t="s">
        <v>51</v>
      </c>
      <c r="K166" s="29">
        <v>0.42430555555555555</v>
      </c>
      <c r="L166" s="29">
        <v>0.44930555555555557</v>
      </c>
      <c r="M166" s="78">
        <f ca="1">IFERROR(IF(K166="","",IF(L166="",MOD(NOW()-K166,1),IF(L166&gt;=K166,L166-K166,L166+1-K166))),"")</f>
        <v>2.5000000000000022E-2</v>
      </c>
      <c r="N166" s="27" t="s">
        <v>283</v>
      </c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249</v>
      </c>
      <c r="F167" s="27">
        <v>0</v>
      </c>
      <c r="G167" s="34">
        <f t="shared" si="36"/>
        <v>0</v>
      </c>
      <c r="H167" s="33" t="s">
        <v>20</v>
      </c>
      <c r="I167" s="33" t="s">
        <v>47</v>
      </c>
      <c r="J167" s="33" t="s">
        <v>51</v>
      </c>
      <c r="K167" s="29">
        <v>0.45416666666666666</v>
      </c>
      <c r="L167" s="29">
        <v>0.47499999999999998</v>
      </c>
      <c r="M167" s="35">
        <f t="shared" ca="1" si="37"/>
        <v>2.0833333333333315E-2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249</v>
      </c>
      <c r="F168" s="27">
        <v>8</v>
      </c>
      <c r="G168" s="28">
        <f t="shared" si="36"/>
        <v>33.6</v>
      </c>
      <c r="H168" s="26" t="s">
        <v>20</v>
      </c>
      <c r="I168" s="26" t="s">
        <v>47</v>
      </c>
      <c r="J168" s="26" t="s">
        <v>51</v>
      </c>
      <c r="K168" s="29">
        <v>0.48055555555555557</v>
      </c>
      <c r="L168" s="29">
        <v>0.48402777777777778</v>
      </c>
      <c r="M168" s="30">
        <f t="shared" ca="1" si="37"/>
        <v>3.4722222222222099E-3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249</v>
      </c>
      <c r="F169" s="27">
        <v>7</v>
      </c>
      <c r="G169" s="34">
        <f t="shared" si="36"/>
        <v>29.400000000000002</v>
      </c>
      <c r="H169" s="33" t="s">
        <v>20</v>
      </c>
      <c r="I169" s="33" t="s">
        <v>47</v>
      </c>
      <c r="J169" s="33" t="s">
        <v>51</v>
      </c>
      <c r="K169" s="29">
        <v>0.48680555555555555</v>
      </c>
      <c r="L169" s="29">
        <v>0.48958333333333331</v>
      </c>
      <c r="M169" s="35">
        <f t="shared" ca="1" si="37"/>
        <v>2.7777777777777679E-3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249</v>
      </c>
      <c r="F170" s="27">
        <v>5</v>
      </c>
      <c r="G170" s="28">
        <f t="shared" si="36"/>
        <v>21</v>
      </c>
      <c r="H170" s="26" t="s">
        <v>20</v>
      </c>
      <c r="I170" s="26" t="s">
        <v>47</v>
      </c>
      <c r="J170" s="26" t="s">
        <v>51</v>
      </c>
      <c r="K170" s="29">
        <v>0.51041666666666663</v>
      </c>
      <c r="L170" s="29">
        <v>0.51666666666666672</v>
      </c>
      <c r="M170" s="30">
        <f t="shared" ca="1" si="37"/>
        <v>6.2500000000000888E-3</v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249</v>
      </c>
      <c r="F171" s="27">
        <v>5</v>
      </c>
      <c r="G171" s="34">
        <f t="shared" si="36"/>
        <v>21</v>
      </c>
      <c r="H171" s="33" t="s">
        <v>20</v>
      </c>
      <c r="I171" s="33" t="s">
        <v>47</v>
      </c>
      <c r="J171" s="33" t="s">
        <v>51</v>
      </c>
      <c r="K171" s="29">
        <v>0.59027777777777779</v>
      </c>
      <c r="L171" s="29">
        <v>0.59583333333333333</v>
      </c>
      <c r="M171" s="35">
        <f t="shared" ca="1" si="37"/>
        <v>5.5555555555555358E-3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249</v>
      </c>
      <c r="F172" s="27">
        <v>4</v>
      </c>
      <c r="G172" s="28">
        <f t="shared" si="36"/>
        <v>16.8</v>
      </c>
      <c r="H172" s="26" t="s">
        <v>20</v>
      </c>
      <c r="I172" s="26" t="s">
        <v>157</v>
      </c>
      <c r="J172" s="26" t="s">
        <v>74</v>
      </c>
      <c r="K172" s="29">
        <v>0.63194444444444442</v>
      </c>
      <c r="L172" s="29">
        <v>0.63611111111111107</v>
      </c>
      <c r="M172" s="30">
        <f t="shared" ca="1" si="37"/>
        <v>4.1666666666666519E-3</v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249</v>
      </c>
      <c r="F173" s="27">
        <v>3</v>
      </c>
      <c r="G173" s="34">
        <f t="shared" si="36"/>
        <v>12.600000000000001</v>
      </c>
      <c r="H173" s="33" t="s">
        <v>20</v>
      </c>
      <c r="I173" s="33" t="s">
        <v>157</v>
      </c>
      <c r="J173" s="33" t="s">
        <v>74</v>
      </c>
      <c r="K173" s="29">
        <v>0.72222222222222221</v>
      </c>
      <c r="L173" s="29">
        <v>0.73055555555555551</v>
      </c>
      <c r="M173" s="35">
        <f t="shared" ca="1" si="37"/>
        <v>8.3333333333333037E-3</v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249</v>
      </c>
      <c r="F174" s="27">
        <v>3</v>
      </c>
      <c r="G174" s="28">
        <f t="shared" si="36"/>
        <v>12.600000000000001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249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4" t="s">
        <v>234</v>
      </c>
      <c r="B176" s="105"/>
      <c r="C176" s="105"/>
      <c r="D176" s="105"/>
      <c r="E176" s="106">
        <f>SUM(E164:E175)</f>
        <v>0</v>
      </c>
      <c r="F176" s="36">
        <f>SUM(F164:F175)</f>
        <v>65</v>
      </c>
      <c r="G176" s="36">
        <f>SUM(G164:G175)</f>
        <v>273</v>
      </c>
      <c r="H176" s="37"/>
      <c r="I176" s="37"/>
      <c r="J176" s="37"/>
      <c r="K176" s="37"/>
      <c r="L176" s="37"/>
      <c r="M176" s="38">
        <f ca="1">IFERROR(SUM(M164:M175),"")</f>
        <v>8.4722222222222254E-2</v>
      </c>
      <c r="N176" s="36" t="s">
        <v>235</v>
      </c>
      <c r="O176" s="39">
        <v>271350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249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47</v>
      </c>
      <c r="J177" s="33" t="s">
        <v>35</v>
      </c>
      <c r="K177" s="29">
        <v>0.8125</v>
      </c>
      <c r="L177" s="29">
        <v>0.90833333333333333</v>
      </c>
      <c r="M177" s="35">
        <f t="shared" ref="M177:M188" ca="1" si="40">IFERROR(IF(K177="","",IF(L177="",MOD(NOW()-K177,1),IF(L177&gt;=K177,L177-K177,L177+1-K177))),"")</f>
        <v>9.5833333333333326E-2</v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249</v>
      </c>
      <c r="F178" s="27">
        <v>0</v>
      </c>
      <c r="G178" s="28">
        <f t="shared" si="39"/>
        <v>0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249</v>
      </c>
      <c r="F179" s="27">
        <v>0</v>
      </c>
      <c r="G179" s="34">
        <f t="shared" si="39"/>
        <v>0</v>
      </c>
      <c r="H179" s="33" t="s">
        <v>20</v>
      </c>
      <c r="I179" s="33" t="s">
        <v>47</v>
      </c>
      <c r="J179" s="33" t="s">
        <v>56</v>
      </c>
      <c r="K179" s="29">
        <v>0.95833333333333337</v>
      </c>
      <c r="L179" s="29">
        <v>0.96805555555555556</v>
      </c>
      <c r="M179" s="35">
        <f t="shared" ca="1" si="40"/>
        <v>9.7222222222221877E-3</v>
      </c>
      <c r="N179" s="27" t="s">
        <v>284</v>
      </c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249</v>
      </c>
      <c r="F180" s="27">
        <v>0</v>
      </c>
      <c r="G180" s="28">
        <f t="shared" si="39"/>
        <v>0</v>
      </c>
      <c r="H180" s="26" t="s">
        <v>20</v>
      </c>
      <c r="I180" s="26" t="s">
        <v>123</v>
      </c>
      <c r="J180" s="26" t="s">
        <v>114</v>
      </c>
      <c r="K180" s="29">
        <v>6.9444444444444441E-3</v>
      </c>
      <c r="L180" s="29">
        <v>2.5694444444444443E-2</v>
      </c>
      <c r="M180" s="30">
        <f t="shared" ca="1" si="40"/>
        <v>1.8749999999999999E-2</v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249</v>
      </c>
      <c r="F181" s="27">
        <v>5</v>
      </c>
      <c r="G181" s="34">
        <f>IF(F181="","",IF(E181="PC 17",F181*4.2,IF(E181="PC 19",F181*5,IF(E181="CB",F181*24,""))))</f>
        <v>21</v>
      </c>
      <c r="H181" s="33" t="s">
        <v>20</v>
      </c>
      <c r="I181" s="33" t="s">
        <v>149</v>
      </c>
      <c r="J181" s="33" t="s">
        <v>134</v>
      </c>
      <c r="K181" s="29">
        <v>4.5138888888888888E-2</v>
      </c>
      <c r="L181" s="29">
        <v>7.013888888888889E-2</v>
      </c>
      <c r="M181" s="35">
        <f t="shared" ca="1" si="40"/>
        <v>2.5000000000000001E-2</v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249</v>
      </c>
      <c r="F182" s="27">
        <v>2</v>
      </c>
      <c r="G182" s="28">
        <f t="shared" si="39"/>
        <v>8.4</v>
      </c>
      <c r="H182" s="26" t="s">
        <v>20</v>
      </c>
      <c r="I182" s="26"/>
      <c r="J182" s="26" t="s">
        <v>74</v>
      </c>
      <c r="K182" s="29">
        <v>8.3333333333333329E-2</v>
      </c>
      <c r="L182" s="29">
        <v>0.15486111111111112</v>
      </c>
      <c r="M182" s="30">
        <f t="shared" ca="1" si="40"/>
        <v>7.1527777777777787E-2</v>
      </c>
      <c r="N182" s="27" t="s">
        <v>272</v>
      </c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249</v>
      </c>
      <c r="F183" s="27">
        <v>1</v>
      </c>
      <c r="G183" s="34">
        <f t="shared" si="39"/>
        <v>4.2</v>
      </c>
      <c r="H183" s="33" t="s">
        <v>20</v>
      </c>
      <c r="I183" s="33" t="s">
        <v>47</v>
      </c>
      <c r="J183" s="33" t="s">
        <v>51</v>
      </c>
      <c r="K183" s="29">
        <v>0.16666666666666666</v>
      </c>
      <c r="L183" s="29">
        <v>0.1701388888888889</v>
      </c>
      <c r="M183" s="35">
        <f t="shared" ca="1" si="40"/>
        <v>3.4722222222222376E-3</v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249</v>
      </c>
      <c r="F184" s="27">
        <v>0</v>
      </c>
      <c r="G184" s="28">
        <f t="shared" si="39"/>
        <v>0</v>
      </c>
      <c r="H184" s="26" t="s">
        <v>20</v>
      </c>
      <c r="I184" s="26"/>
      <c r="J184" s="26" t="s">
        <v>74</v>
      </c>
      <c r="K184" s="29">
        <v>0.18958333333333333</v>
      </c>
      <c r="L184" s="29">
        <v>0.1986111111111111</v>
      </c>
      <c r="M184" s="30">
        <f t="shared" ca="1" si="40"/>
        <v>9.0277777777777735E-3</v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249</v>
      </c>
      <c r="F185" s="27">
        <v>2</v>
      </c>
      <c r="G185" s="34">
        <f t="shared" si="39"/>
        <v>8.4</v>
      </c>
      <c r="H185" s="33" t="s">
        <v>20</v>
      </c>
      <c r="I185" s="33"/>
      <c r="J185" s="33" t="s">
        <v>74</v>
      </c>
      <c r="K185" s="29">
        <v>0.23958333333333334</v>
      </c>
      <c r="L185" s="29">
        <v>0.28611111111111109</v>
      </c>
      <c r="M185" s="35">
        <f t="shared" ca="1" si="40"/>
        <v>4.6527777777777751E-2</v>
      </c>
      <c r="N185" s="27" t="s">
        <v>272</v>
      </c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249</v>
      </c>
      <c r="F186" s="27">
        <v>3</v>
      </c>
      <c r="G186" s="28">
        <f t="shared" si="39"/>
        <v>12.600000000000001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249</v>
      </c>
      <c r="F187" s="27">
        <v>4</v>
      </c>
      <c r="G187" s="34">
        <f t="shared" si="39"/>
        <v>16.8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249</v>
      </c>
      <c r="F188" s="27">
        <v>0</v>
      </c>
      <c r="G188" s="28">
        <f t="shared" si="39"/>
        <v>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4" t="s">
        <v>237</v>
      </c>
      <c r="B189" s="105"/>
      <c r="C189" s="105"/>
      <c r="D189" s="105"/>
      <c r="E189" s="106">
        <f>SUM(E177:E188)</f>
        <v>0</v>
      </c>
      <c r="F189" s="36">
        <f>SUM(F177:F188)</f>
        <v>19</v>
      </c>
      <c r="G189" s="36">
        <f>SUM(G177:G188)</f>
        <v>79.8</v>
      </c>
      <c r="H189" s="37"/>
      <c r="I189" s="37"/>
      <c r="J189" s="37"/>
      <c r="K189" s="37"/>
      <c r="L189" s="37"/>
      <c r="M189" s="38">
        <f ca="1">IFERROR(SUM(M177:M188),"")</f>
        <v>0.31736111111111109</v>
      </c>
      <c r="N189" s="36" t="s">
        <v>235</v>
      </c>
      <c r="O189" s="39">
        <v>72220</v>
      </c>
    </row>
    <row r="190" spans="1:15" ht="18" customHeight="1">
      <c r="A190" s="101" t="s">
        <v>238</v>
      </c>
      <c r="B190" s="102"/>
      <c r="C190" s="102"/>
      <c r="D190" s="102"/>
      <c r="E190" s="103">
        <f>E176+E189</f>
        <v>0</v>
      </c>
      <c r="F190" s="40">
        <f>F176+F189</f>
        <v>84</v>
      </c>
      <c r="G190" s="40">
        <f>G176+G189</f>
        <v>352.8</v>
      </c>
      <c r="H190" s="41"/>
      <c r="I190" s="41"/>
      <c r="J190" s="41"/>
      <c r="K190" s="41"/>
      <c r="L190" s="41"/>
      <c r="M190" s="42">
        <f ca="1">IFERROR(M176+M189,"")</f>
        <v>0.40208333333333335</v>
      </c>
      <c r="N190" s="40" t="s">
        <v>239</v>
      </c>
      <c r="O190" s="43">
        <f>IFERROR(O176+O189,"")</f>
        <v>343570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249</v>
      </c>
      <c r="F191" s="27">
        <v>0</v>
      </c>
      <c r="G191" s="34">
        <f t="shared" ref="G191:G202" si="42">IF(F191="","",IF(E191="PC 17",F191*4.2,IF(E191="PC 19",F191*5,IF(E191="CB",F191*24,""))))</f>
        <v>0</v>
      </c>
      <c r="H191" s="33" t="s">
        <v>20</v>
      </c>
      <c r="I191" s="33" t="s">
        <v>149</v>
      </c>
      <c r="J191" s="33" t="s">
        <v>182</v>
      </c>
      <c r="K191" s="29">
        <v>0.29166666666666669</v>
      </c>
      <c r="L191" s="29">
        <v>0.33333333333333331</v>
      </c>
      <c r="M191" s="35">
        <f t="shared" ref="M191:M202" ca="1" si="43">IFERROR(IF(K191="","",IF(L191="",MOD(NOW()-K191,1),IF(L191&gt;=K191,L191-K191,L191+1-K191))),"")</f>
        <v>4.166666666666663E-2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249</v>
      </c>
      <c r="F192" s="27">
        <v>2</v>
      </c>
      <c r="G192" s="28">
        <f t="shared" si="42"/>
        <v>8.4</v>
      </c>
      <c r="H192" s="26" t="s">
        <v>20</v>
      </c>
      <c r="I192" s="26" t="s">
        <v>47</v>
      </c>
      <c r="J192" s="33" t="s">
        <v>36</v>
      </c>
      <c r="K192" s="29">
        <v>0.38472222222222224</v>
      </c>
      <c r="L192" s="29">
        <v>0.40972222222222221</v>
      </c>
      <c r="M192" s="30">
        <f t="shared" ca="1" si="43"/>
        <v>2.4999999999999967E-2</v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249</v>
      </c>
      <c r="F193" s="27">
        <v>0</v>
      </c>
      <c r="G193" s="34">
        <f t="shared" si="42"/>
        <v>0</v>
      </c>
      <c r="H193" s="33" t="s">
        <v>19</v>
      </c>
      <c r="I193" s="33" t="s">
        <v>47</v>
      </c>
      <c r="J193" s="33" t="s">
        <v>27</v>
      </c>
      <c r="K193" s="29">
        <v>0.43055555555555558</v>
      </c>
      <c r="L193" s="29">
        <v>0.44583333333333336</v>
      </c>
      <c r="M193" s="35">
        <f t="shared" ca="1" si="43"/>
        <v>1.5277777777777779E-2</v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249</v>
      </c>
      <c r="F194" s="27">
        <v>2</v>
      </c>
      <c r="G194" s="28">
        <f t="shared" si="42"/>
        <v>8.4</v>
      </c>
      <c r="H194" s="26" t="s">
        <v>20</v>
      </c>
      <c r="I194" s="26" t="s">
        <v>149</v>
      </c>
      <c r="J194" s="26" t="s">
        <v>182</v>
      </c>
      <c r="K194" s="29">
        <v>0.47499999999999998</v>
      </c>
      <c r="L194" s="29">
        <v>0.4861111111111111</v>
      </c>
      <c r="M194" s="30">
        <f t="shared" ca="1" si="43"/>
        <v>1.1111111111111127E-2</v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249</v>
      </c>
      <c r="F195" s="27">
        <v>0</v>
      </c>
      <c r="G195" s="34">
        <f t="shared" si="42"/>
        <v>0</v>
      </c>
      <c r="H195" s="33" t="s">
        <v>20</v>
      </c>
      <c r="I195" s="33" t="s">
        <v>149</v>
      </c>
      <c r="J195" s="26" t="s">
        <v>182</v>
      </c>
      <c r="K195" s="29">
        <v>0.50694444444444442</v>
      </c>
      <c r="L195" s="29">
        <v>0.53333333333333333</v>
      </c>
      <c r="M195" s="35">
        <f t="shared" ca="1" si="43"/>
        <v>2.6388888888888906E-2</v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249</v>
      </c>
      <c r="F196" s="27">
        <v>0</v>
      </c>
      <c r="G196" s="28">
        <f t="shared" si="42"/>
        <v>0</v>
      </c>
      <c r="H196" s="26" t="s">
        <v>19</v>
      </c>
      <c r="I196" s="26" t="s">
        <v>47</v>
      </c>
      <c r="J196" s="26" t="s">
        <v>78</v>
      </c>
      <c r="K196" s="29">
        <v>0.58750000000000002</v>
      </c>
      <c r="L196" s="29">
        <v>0.59375</v>
      </c>
      <c r="M196" s="30">
        <f t="shared" ca="1" si="43"/>
        <v>6.2499999999999778E-3</v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249</v>
      </c>
      <c r="F197" s="27">
        <v>2</v>
      </c>
      <c r="G197" s="34">
        <f t="shared" si="42"/>
        <v>8.4</v>
      </c>
      <c r="H197" s="33" t="s">
        <v>20</v>
      </c>
      <c r="I197" s="33" t="s">
        <v>47</v>
      </c>
      <c r="J197" s="33" t="s">
        <v>51</v>
      </c>
      <c r="K197" s="29">
        <v>0.6069444444444444</v>
      </c>
      <c r="L197" s="29">
        <v>0.61319444444444449</v>
      </c>
      <c r="M197" s="35">
        <f t="shared" ca="1" si="43"/>
        <v>6.2500000000000888E-3</v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249</v>
      </c>
      <c r="F198" s="27">
        <v>3</v>
      </c>
      <c r="G198" s="28">
        <f t="shared" si="42"/>
        <v>12.600000000000001</v>
      </c>
      <c r="H198" s="26" t="s">
        <v>19</v>
      </c>
      <c r="I198" s="26" t="s">
        <v>47</v>
      </c>
      <c r="J198" s="33" t="s">
        <v>78</v>
      </c>
      <c r="K198" s="29">
        <v>0.625</v>
      </c>
      <c r="L198" s="29">
        <v>0.63194444444444442</v>
      </c>
      <c r="M198" s="30">
        <f t="shared" ca="1" si="43"/>
        <v>6.9444444444444198E-3</v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249</v>
      </c>
      <c r="F199" s="27">
        <v>0</v>
      </c>
      <c r="G199" s="34">
        <f t="shared" si="42"/>
        <v>0</v>
      </c>
      <c r="H199" s="33" t="s">
        <v>19</v>
      </c>
      <c r="I199" s="33" t="s">
        <v>47</v>
      </c>
      <c r="J199" s="33" t="s">
        <v>78</v>
      </c>
      <c r="K199" s="29">
        <v>0.68402777777777779</v>
      </c>
      <c r="L199" s="29">
        <v>0.69097222222222221</v>
      </c>
      <c r="M199" s="35">
        <f t="shared" ca="1" si="43"/>
        <v>6.9444444444444198E-3</v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249</v>
      </c>
      <c r="F200" s="27">
        <v>4</v>
      </c>
      <c r="G200" s="28">
        <f t="shared" si="42"/>
        <v>16.8</v>
      </c>
      <c r="H200" s="26" t="s">
        <v>20</v>
      </c>
      <c r="I200" s="26" t="s">
        <v>123</v>
      </c>
      <c r="J200" s="26" t="s">
        <v>114</v>
      </c>
      <c r="K200" s="29">
        <v>0.71666666666666667</v>
      </c>
      <c r="L200" s="29">
        <v>0.72499999999999998</v>
      </c>
      <c r="M200" s="30">
        <f t="shared" ca="1" si="43"/>
        <v>8.3333333333333037E-3</v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249</v>
      </c>
      <c r="F201" s="27">
        <v>0</v>
      </c>
      <c r="G201" s="34">
        <f t="shared" si="42"/>
        <v>0</v>
      </c>
      <c r="H201" s="33" t="s">
        <v>20</v>
      </c>
      <c r="I201" s="33" t="s">
        <v>123</v>
      </c>
      <c r="J201" s="33" t="s">
        <v>114</v>
      </c>
      <c r="K201" s="29">
        <v>0.7368055555555556</v>
      </c>
      <c r="L201" s="29">
        <v>0.74444444444444446</v>
      </c>
      <c r="M201" s="35">
        <f t="shared" ca="1" si="43"/>
        <v>7.6388888888888618E-3</v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249</v>
      </c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4" t="s">
        <v>234</v>
      </c>
      <c r="B203" s="105"/>
      <c r="C203" s="105"/>
      <c r="D203" s="105"/>
      <c r="E203" s="106">
        <f>SUM(E191:E202)</f>
        <v>0</v>
      </c>
      <c r="F203" s="36">
        <f>SUM(F191:F202)</f>
        <v>13</v>
      </c>
      <c r="G203" s="36">
        <f>SUM(G191:G202)</f>
        <v>54.600000000000009</v>
      </c>
      <c r="H203" s="37"/>
      <c r="I203" s="37"/>
      <c r="J203" s="37"/>
      <c r="K203" s="37"/>
      <c r="L203" s="37"/>
      <c r="M203" s="38">
        <f ca="1">IFERROR(SUM(M191:M202),"")</f>
        <v>0.16180555555555548</v>
      </c>
      <c r="N203" s="36" t="s">
        <v>235</v>
      </c>
      <c r="O203" s="39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4" t="s">
        <v>237</v>
      </c>
      <c r="B216" s="105"/>
      <c r="C216" s="105"/>
      <c r="D216" s="105"/>
      <c r="E216" s="106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235</v>
      </c>
      <c r="O216" s="39"/>
    </row>
    <row r="217" spans="1:15" ht="18" customHeight="1">
      <c r="A217" s="101" t="s">
        <v>238</v>
      </c>
      <c r="B217" s="102"/>
      <c r="C217" s="102"/>
      <c r="D217" s="102"/>
      <c r="E217" s="103">
        <f>E203+E216</f>
        <v>0</v>
      </c>
      <c r="F217" s="40">
        <f>F203+F216</f>
        <v>13</v>
      </c>
      <c r="G217" s="40">
        <f>G203+G216</f>
        <v>54.600000000000009</v>
      </c>
      <c r="H217" s="41"/>
      <c r="I217" s="41"/>
      <c r="J217" s="41"/>
      <c r="K217" s="41"/>
      <c r="L217" s="41"/>
      <c r="M217" s="42">
        <f ca="1">IFERROR(M203+M216,"")</f>
        <v>0.16180555555555548</v>
      </c>
      <c r="N217" s="40" t="s">
        <v>239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4" t="s">
        <v>234</v>
      </c>
      <c r="B230" s="105"/>
      <c r="C230" s="105"/>
      <c r="D230" s="105"/>
      <c r="E230" s="106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235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4" t="s">
        <v>237</v>
      </c>
      <c r="B243" s="105"/>
      <c r="C243" s="105"/>
      <c r="D243" s="105"/>
      <c r="E243" s="106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235</v>
      </c>
      <c r="O243" s="39"/>
    </row>
    <row r="244" spans="1:15" ht="18" customHeight="1">
      <c r="A244" s="101" t="s">
        <v>238</v>
      </c>
      <c r="B244" s="102"/>
      <c r="C244" s="102"/>
      <c r="D244" s="102"/>
      <c r="E244" s="103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239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4" t="s">
        <v>234</v>
      </c>
      <c r="B257" s="105"/>
      <c r="C257" s="105"/>
      <c r="D257" s="105"/>
      <c r="E257" s="106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235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4" t="s">
        <v>237</v>
      </c>
      <c r="B270" s="105"/>
      <c r="C270" s="105"/>
      <c r="D270" s="105"/>
      <c r="E270" s="106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235</v>
      </c>
      <c r="O270" s="39"/>
    </row>
    <row r="271" spans="1:15" ht="18" customHeight="1">
      <c r="A271" s="101" t="s">
        <v>238</v>
      </c>
      <c r="B271" s="102"/>
      <c r="C271" s="102"/>
      <c r="D271" s="102"/>
      <c r="E271" s="103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239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4" t="s">
        <v>234</v>
      </c>
      <c r="B284" s="105"/>
      <c r="C284" s="105"/>
      <c r="D284" s="105"/>
      <c r="E284" s="106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235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4" t="s">
        <v>237</v>
      </c>
      <c r="B297" s="105"/>
      <c r="C297" s="105"/>
      <c r="D297" s="105"/>
      <c r="E297" s="106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235</v>
      </c>
      <c r="O297" s="39"/>
    </row>
    <row r="298" spans="1:15" ht="18" customHeight="1">
      <c r="A298" s="101" t="s">
        <v>238</v>
      </c>
      <c r="B298" s="102"/>
      <c r="C298" s="102"/>
      <c r="D298" s="102"/>
      <c r="E298" s="103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239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4" t="s">
        <v>234</v>
      </c>
      <c r="B311" s="105"/>
      <c r="C311" s="105"/>
      <c r="D311" s="105"/>
      <c r="E311" s="106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235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4" t="s">
        <v>237</v>
      </c>
      <c r="B324" s="105"/>
      <c r="C324" s="105"/>
      <c r="D324" s="105"/>
      <c r="E324" s="106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235</v>
      </c>
      <c r="O324" s="39"/>
    </row>
    <row r="325" spans="1:15" ht="18" customHeight="1">
      <c r="A325" s="101" t="s">
        <v>238</v>
      </c>
      <c r="B325" s="102"/>
      <c r="C325" s="102"/>
      <c r="D325" s="102"/>
      <c r="E325" s="103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239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4" t="s">
        <v>234</v>
      </c>
      <c r="B338" s="105"/>
      <c r="C338" s="105"/>
      <c r="D338" s="105"/>
      <c r="E338" s="106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235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4" t="s">
        <v>237</v>
      </c>
      <c r="B351" s="105"/>
      <c r="C351" s="105"/>
      <c r="D351" s="105"/>
      <c r="E351" s="106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235</v>
      </c>
      <c r="O351" s="39"/>
    </row>
    <row r="352" spans="1:15" ht="18" customHeight="1">
      <c r="A352" s="101" t="s">
        <v>238</v>
      </c>
      <c r="B352" s="102"/>
      <c r="C352" s="102"/>
      <c r="D352" s="102"/>
      <c r="E352" s="103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239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4" t="s">
        <v>234</v>
      </c>
      <c r="B365" s="105"/>
      <c r="C365" s="105"/>
      <c r="D365" s="105"/>
      <c r="E365" s="106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235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4" t="s">
        <v>237</v>
      </c>
      <c r="B378" s="105"/>
      <c r="C378" s="105"/>
      <c r="D378" s="105"/>
      <c r="E378" s="106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235</v>
      </c>
      <c r="O378" s="39"/>
    </row>
    <row r="379" spans="1:15" ht="18" customHeight="1">
      <c r="A379" s="101" t="s">
        <v>238</v>
      </c>
      <c r="B379" s="102"/>
      <c r="C379" s="102"/>
      <c r="D379" s="102"/>
      <c r="E379" s="103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239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4" t="s">
        <v>234</v>
      </c>
      <c r="B392" s="105"/>
      <c r="C392" s="105"/>
      <c r="D392" s="105"/>
      <c r="E392" s="106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235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4" t="s">
        <v>237</v>
      </c>
      <c r="B405" s="105"/>
      <c r="C405" s="105"/>
      <c r="D405" s="105"/>
      <c r="E405" s="106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235</v>
      </c>
      <c r="O405" s="39"/>
    </row>
    <row r="406" spans="1:15" ht="18" customHeight="1">
      <c r="A406" s="101" t="s">
        <v>238</v>
      </c>
      <c r="B406" s="102"/>
      <c r="C406" s="102"/>
      <c r="D406" s="102"/>
      <c r="E406" s="103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239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4" t="s">
        <v>234</v>
      </c>
      <c r="B419" s="105"/>
      <c r="C419" s="105"/>
      <c r="D419" s="105"/>
      <c r="E419" s="10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235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4" t="s">
        <v>237</v>
      </c>
      <c r="B432" s="105"/>
      <c r="C432" s="105"/>
      <c r="D432" s="105"/>
      <c r="E432" s="10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235</v>
      </c>
      <c r="O432" s="39"/>
    </row>
    <row r="433" spans="1:15" ht="18" customHeight="1">
      <c r="A433" s="101" t="s">
        <v>238</v>
      </c>
      <c r="B433" s="102"/>
      <c r="C433" s="102"/>
      <c r="D433" s="102"/>
      <c r="E433" s="103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239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4" t="s">
        <v>234</v>
      </c>
      <c r="B446" s="105"/>
      <c r="C446" s="105"/>
      <c r="D446" s="105"/>
      <c r="E446" s="10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235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4" t="s">
        <v>237</v>
      </c>
      <c r="B459" s="105"/>
      <c r="C459" s="105"/>
      <c r="D459" s="105"/>
      <c r="E459" s="10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235</v>
      </c>
      <c r="O459" s="39"/>
    </row>
    <row r="460" spans="1:15" ht="18" customHeight="1">
      <c r="A460" s="101" t="s">
        <v>238</v>
      </c>
      <c r="B460" s="102"/>
      <c r="C460" s="102"/>
      <c r="D460" s="102"/>
      <c r="E460" s="103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239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4" t="s">
        <v>234</v>
      </c>
      <c r="B473" s="105"/>
      <c r="C473" s="105"/>
      <c r="D473" s="105"/>
      <c r="E473" s="10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235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4" t="s">
        <v>237</v>
      </c>
      <c r="B486" s="105"/>
      <c r="C486" s="105"/>
      <c r="D486" s="105"/>
      <c r="E486" s="10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235</v>
      </c>
      <c r="O486" s="39"/>
    </row>
    <row r="487" spans="1:15" ht="18" customHeight="1">
      <c r="A487" s="101" t="s">
        <v>238</v>
      </c>
      <c r="B487" s="102"/>
      <c r="C487" s="102"/>
      <c r="D487" s="102"/>
      <c r="E487" s="103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239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4" t="s">
        <v>234</v>
      </c>
      <c r="B500" s="105"/>
      <c r="C500" s="105"/>
      <c r="D500" s="105"/>
      <c r="E500" s="10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235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4" t="s">
        <v>237</v>
      </c>
      <c r="B513" s="105"/>
      <c r="C513" s="105"/>
      <c r="D513" s="105"/>
      <c r="E513" s="10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235</v>
      </c>
      <c r="O513" s="39"/>
    </row>
    <row r="514" spans="1:15" ht="18" customHeight="1">
      <c r="A514" s="101" t="s">
        <v>238</v>
      </c>
      <c r="B514" s="102"/>
      <c r="C514" s="102"/>
      <c r="D514" s="102"/>
      <c r="E514" s="103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239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4" t="s">
        <v>234</v>
      </c>
      <c r="B527" s="105"/>
      <c r="C527" s="105"/>
      <c r="D527" s="105"/>
      <c r="E527" s="10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235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4" t="s">
        <v>237</v>
      </c>
      <c r="B540" s="105"/>
      <c r="C540" s="105"/>
      <c r="D540" s="105"/>
      <c r="E540" s="10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235</v>
      </c>
      <c r="O540" s="39"/>
    </row>
    <row r="541" spans="1:15" ht="18" customHeight="1">
      <c r="A541" s="101" t="s">
        <v>238</v>
      </c>
      <c r="B541" s="102"/>
      <c r="C541" s="102"/>
      <c r="D541" s="102"/>
      <c r="E541" s="103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239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4" t="s">
        <v>234</v>
      </c>
      <c r="B554" s="105"/>
      <c r="C554" s="105"/>
      <c r="D554" s="105"/>
      <c r="E554" s="10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235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4" t="s">
        <v>237</v>
      </c>
      <c r="B567" s="105"/>
      <c r="C567" s="105"/>
      <c r="D567" s="105"/>
      <c r="E567" s="10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235</v>
      </c>
      <c r="O567" s="39"/>
    </row>
    <row r="568" spans="1:15" ht="18" customHeight="1">
      <c r="A568" s="101" t="s">
        <v>238</v>
      </c>
      <c r="B568" s="102"/>
      <c r="C568" s="102"/>
      <c r="D568" s="102"/>
      <c r="E568" s="10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239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4" t="s">
        <v>234</v>
      </c>
      <c r="B581" s="105"/>
      <c r="C581" s="105"/>
      <c r="D581" s="105"/>
      <c r="E581" s="10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235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4" t="s">
        <v>237</v>
      </c>
      <c r="B594" s="105"/>
      <c r="C594" s="105"/>
      <c r="D594" s="105"/>
      <c r="E594" s="10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235</v>
      </c>
      <c r="O594" s="39"/>
    </row>
    <row r="595" spans="1:15" ht="18" customHeight="1">
      <c r="A595" s="101" t="s">
        <v>238</v>
      </c>
      <c r="B595" s="102"/>
      <c r="C595" s="102"/>
      <c r="D595" s="102"/>
      <c r="E595" s="10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239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4" t="s">
        <v>234</v>
      </c>
      <c r="B608" s="105"/>
      <c r="C608" s="105"/>
      <c r="D608" s="105"/>
      <c r="E608" s="10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235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4" t="s">
        <v>237</v>
      </c>
      <c r="B621" s="105"/>
      <c r="C621" s="105"/>
      <c r="D621" s="105"/>
      <c r="E621" s="10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235</v>
      </c>
      <c r="O621" s="39"/>
    </row>
    <row r="622" spans="1:15" ht="18" customHeight="1">
      <c r="A622" s="101" t="s">
        <v>238</v>
      </c>
      <c r="B622" s="102"/>
      <c r="C622" s="102"/>
      <c r="D622" s="102"/>
      <c r="E622" s="10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239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4" t="s">
        <v>234</v>
      </c>
      <c r="B635" s="105"/>
      <c r="C635" s="105"/>
      <c r="D635" s="105"/>
      <c r="E635" s="10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235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4" t="s">
        <v>237</v>
      </c>
      <c r="B648" s="105"/>
      <c r="C648" s="105"/>
      <c r="D648" s="105"/>
      <c r="E648" s="10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235</v>
      </c>
      <c r="O648" s="39"/>
    </row>
    <row r="649" spans="1:15" ht="18" customHeight="1">
      <c r="A649" s="101" t="s">
        <v>238</v>
      </c>
      <c r="B649" s="102"/>
      <c r="C649" s="102"/>
      <c r="D649" s="102"/>
      <c r="E649" s="10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239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4" t="s">
        <v>234</v>
      </c>
      <c r="B662" s="105"/>
      <c r="C662" s="105"/>
      <c r="D662" s="105"/>
      <c r="E662" s="10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235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4" t="s">
        <v>237</v>
      </c>
      <c r="B675" s="105"/>
      <c r="C675" s="105"/>
      <c r="D675" s="105"/>
      <c r="E675" s="10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235</v>
      </c>
      <c r="O675" s="39"/>
    </row>
    <row r="676" spans="1:15" ht="18" customHeight="1">
      <c r="A676" s="101" t="s">
        <v>238</v>
      </c>
      <c r="B676" s="102"/>
      <c r="C676" s="102"/>
      <c r="D676" s="102"/>
      <c r="E676" s="10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239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4" t="s">
        <v>234</v>
      </c>
      <c r="B689" s="105"/>
      <c r="C689" s="105"/>
      <c r="D689" s="105"/>
      <c r="E689" s="10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235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4" t="s">
        <v>237</v>
      </c>
      <c r="B702" s="105"/>
      <c r="C702" s="105"/>
      <c r="D702" s="105"/>
      <c r="E702" s="10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235</v>
      </c>
      <c r="O702" s="39"/>
    </row>
    <row r="703" spans="1:15" ht="18" customHeight="1">
      <c r="A703" s="101" t="s">
        <v>238</v>
      </c>
      <c r="B703" s="102"/>
      <c r="C703" s="102"/>
      <c r="D703" s="102"/>
      <c r="E703" s="10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239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4" t="s">
        <v>234</v>
      </c>
      <c r="B716" s="105"/>
      <c r="C716" s="105"/>
      <c r="D716" s="105"/>
      <c r="E716" s="10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235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4" t="s">
        <v>237</v>
      </c>
      <c r="B729" s="105"/>
      <c r="C729" s="105"/>
      <c r="D729" s="105"/>
      <c r="E729" s="10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235</v>
      </c>
      <c r="O729" s="39"/>
    </row>
    <row r="730" spans="1:15" ht="18" customHeight="1">
      <c r="A730" s="101" t="s">
        <v>238</v>
      </c>
      <c r="B730" s="102"/>
      <c r="C730" s="102"/>
      <c r="D730" s="102"/>
      <c r="E730" s="10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239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4" t="s">
        <v>234</v>
      </c>
      <c r="B743" s="105"/>
      <c r="C743" s="105"/>
      <c r="D743" s="105"/>
      <c r="E743" s="10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235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4" t="s">
        <v>237</v>
      </c>
      <c r="B756" s="105"/>
      <c r="C756" s="105"/>
      <c r="D756" s="105"/>
      <c r="E756" s="10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1" t="s">
        <v>238</v>
      </c>
      <c r="B757" s="102"/>
      <c r="C757" s="102"/>
      <c r="D757" s="102"/>
      <c r="E757" s="10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239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4" t="s">
        <v>234</v>
      </c>
      <c r="B770" s="105"/>
      <c r="C770" s="105"/>
      <c r="D770" s="105"/>
      <c r="E770" s="10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235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4" t="s">
        <v>237</v>
      </c>
      <c r="B783" s="105"/>
      <c r="C783" s="105"/>
      <c r="D783" s="105"/>
      <c r="E783" s="10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1" t="s">
        <v>238</v>
      </c>
      <c r="B784" s="102"/>
      <c r="C784" s="102"/>
      <c r="D784" s="102"/>
      <c r="E784" s="10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239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4" t="s">
        <v>234</v>
      </c>
      <c r="B797" s="105"/>
      <c r="C797" s="105"/>
      <c r="D797" s="105"/>
      <c r="E797" s="10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4" t="s">
        <v>237</v>
      </c>
      <c r="B810" s="105"/>
      <c r="C810" s="105"/>
      <c r="D810" s="105"/>
      <c r="E810" s="10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1" t="s">
        <v>238</v>
      </c>
      <c r="B811" s="102"/>
      <c r="C811" s="102"/>
      <c r="D811" s="102"/>
      <c r="E811" s="10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239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4" t="s">
        <v>234</v>
      </c>
      <c r="B824" s="105"/>
      <c r="C824" s="105"/>
      <c r="D824" s="105"/>
      <c r="E824" s="106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235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4" t="s">
        <v>237</v>
      </c>
      <c r="B837" s="105"/>
      <c r="C837" s="105"/>
      <c r="D837" s="105"/>
      <c r="E837" s="106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235</v>
      </c>
      <c r="O837" s="39"/>
    </row>
    <row r="838" spans="1:15" ht="18" customHeight="1">
      <c r="A838" s="101" t="s">
        <v>238</v>
      </c>
      <c r="B838" s="102"/>
      <c r="C838" s="102"/>
      <c r="D838" s="102"/>
      <c r="E838" s="103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239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516:E838 E382:E514 E29:E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D15:D26 D29:D294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zoomScale="50" zoomScaleNormal="50" workbookViewId="0">
      <pane ySplit="1" topLeftCell="A173" activePane="bottomLeft" state="frozen"/>
      <selection pane="bottomLeft" activeCell="F202" sqref="F202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7.140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249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249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249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249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249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249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249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249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249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249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249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249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4" t="s">
        <v>234</v>
      </c>
      <c r="B14" s="105"/>
      <c r="C14" s="105"/>
      <c r="D14" s="105"/>
      <c r="E14" s="106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235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249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249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285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249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257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249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130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274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249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130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286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249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249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249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161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287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249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249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249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249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4" t="s">
        <v>237</v>
      </c>
      <c r="B27" s="105"/>
      <c r="C27" s="105"/>
      <c r="D27" s="105"/>
      <c r="E27" s="106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235</v>
      </c>
      <c r="O27" s="39">
        <v>491520</v>
      </c>
    </row>
    <row r="28" spans="1:15" ht="18" customHeight="1">
      <c r="A28" s="101" t="s">
        <v>238</v>
      </c>
      <c r="B28" s="102"/>
      <c r="C28" s="102"/>
      <c r="D28" s="102"/>
      <c r="E28" s="103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239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249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249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249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249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249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249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249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249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249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249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249</v>
      </c>
      <c r="F39" s="57">
        <v>8</v>
      </c>
      <c r="G39" s="28">
        <f>IF(F50="","",IF(E39="PC 17",F50*4.2,IF(E39="PC 19",F50*5,IF(E39="CB",F50*24,""))))</f>
        <v>50.400000000000006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4" t="s">
        <v>234</v>
      </c>
      <c r="B41" s="105"/>
      <c r="C41" s="105"/>
      <c r="D41" s="105"/>
      <c r="E41" s="106"/>
      <c r="F41" s="36">
        <f>SUM(F29:F40)</f>
        <v>141</v>
      </c>
      <c r="G41" s="36">
        <f>SUM(G29:G40)</f>
        <v>609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235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249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249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249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249</v>
      </c>
      <c r="F45" s="27">
        <v>3</v>
      </c>
      <c r="G45" s="28">
        <f t="shared" si="9"/>
        <v>12.600000000000001</v>
      </c>
      <c r="H45" s="33" t="s">
        <v>20</v>
      </c>
      <c r="I45" s="33" t="s">
        <v>57</v>
      </c>
      <c r="J45" s="33" t="s">
        <v>62</v>
      </c>
      <c r="K45" s="29">
        <v>0.96944444444444444</v>
      </c>
      <c r="L45" s="29">
        <v>0.99305555555555558</v>
      </c>
      <c r="M45" s="35">
        <f t="shared" ca="1" si="10"/>
        <v>2.3611111111111138E-2</v>
      </c>
      <c r="N45" s="27" t="s">
        <v>288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249</v>
      </c>
      <c r="F46" s="27">
        <v>8</v>
      </c>
      <c r="G46" s="34">
        <f t="shared" si="9"/>
        <v>33.6</v>
      </c>
      <c r="H46" s="26" t="s">
        <v>20</v>
      </c>
      <c r="I46" s="26" t="s">
        <v>57</v>
      </c>
      <c r="J46" s="26" t="s">
        <v>36</v>
      </c>
      <c r="K46" s="29">
        <v>0.99583333333333335</v>
      </c>
      <c r="L46" s="29">
        <v>6.2500000000000003E-3</v>
      </c>
      <c r="M46" s="35">
        <f t="shared" ca="1" si="10"/>
        <v>1.0416666666666741E-2</v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249</v>
      </c>
      <c r="F47" s="27">
        <v>11</v>
      </c>
      <c r="G47" s="28">
        <f t="shared" si="9"/>
        <v>46.2</v>
      </c>
      <c r="H47" s="33" t="s">
        <v>19</v>
      </c>
      <c r="I47" s="33" t="s">
        <v>57</v>
      </c>
      <c r="J47" s="33" t="s">
        <v>27</v>
      </c>
      <c r="K47" s="29">
        <v>0.1875</v>
      </c>
      <c r="L47" s="29">
        <v>0.19791666666666666</v>
      </c>
      <c r="M47" s="35">
        <f t="shared" ca="1" si="10"/>
        <v>1.0416666666666657E-2</v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249</v>
      </c>
      <c r="F48" s="27">
        <v>17</v>
      </c>
      <c r="G48" s="34">
        <f t="shared" si="9"/>
        <v>71.400000000000006</v>
      </c>
      <c r="H48" s="26" t="s">
        <v>20</v>
      </c>
      <c r="I48" s="26" t="s">
        <v>57</v>
      </c>
      <c r="J48" s="26" t="s">
        <v>28</v>
      </c>
      <c r="K48" s="29">
        <v>0.19791666666666666</v>
      </c>
      <c r="L48" s="29">
        <v>0.23194444444444445</v>
      </c>
      <c r="M48" s="35">
        <f t="shared" ca="1" si="10"/>
        <v>3.4027777777777796E-2</v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249</v>
      </c>
      <c r="F49" s="27">
        <v>20</v>
      </c>
      <c r="G49" s="28">
        <f t="shared" si="9"/>
        <v>84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249</v>
      </c>
      <c r="F50" s="27">
        <v>12</v>
      </c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249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249</v>
      </c>
      <c r="F52" s="27">
        <v>11</v>
      </c>
      <c r="G52" s="34">
        <f t="shared" si="9"/>
        <v>46.2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249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4" t="s">
        <v>237</v>
      </c>
      <c r="B54" s="105"/>
      <c r="C54" s="105"/>
      <c r="D54" s="105"/>
      <c r="E54" s="106">
        <f>SUM(E42:E53)</f>
        <v>0</v>
      </c>
      <c r="F54" s="36">
        <f>SUM(F42:F53)</f>
        <v>121</v>
      </c>
      <c r="G54" s="36">
        <f>SUM(G42:G53)</f>
        <v>457.8</v>
      </c>
      <c r="H54" s="37"/>
      <c r="I54" s="37"/>
      <c r="J54" s="37"/>
      <c r="K54" s="61"/>
      <c r="L54" s="61"/>
      <c r="M54" s="38">
        <f ca="1">IFERROR(SUM(M42:M53),"")</f>
        <v>0.12777777777777782</v>
      </c>
      <c r="N54" s="36" t="s">
        <v>235</v>
      </c>
      <c r="O54" s="39">
        <v>352430</v>
      </c>
    </row>
    <row r="55" spans="1:15" ht="18" customHeight="1">
      <c r="A55" s="101" t="s">
        <v>238</v>
      </c>
      <c r="B55" s="102"/>
      <c r="C55" s="102"/>
      <c r="D55" s="102"/>
      <c r="E55" s="103">
        <f>E41+E54</f>
        <v>0</v>
      </c>
      <c r="F55" s="40">
        <f>F41+F54</f>
        <v>262</v>
      </c>
      <c r="G55" s="40">
        <f>G41+G54</f>
        <v>1066.8</v>
      </c>
      <c r="H55" s="41"/>
      <c r="I55" s="41"/>
      <c r="J55" s="41"/>
      <c r="K55" s="63"/>
      <c r="L55" s="63"/>
      <c r="M55" s="42">
        <f ca="1">IFERROR(M41+M54,"")</f>
        <v>0.1388888888888889</v>
      </c>
      <c r="N55" s="40" t="s">
        <v>239</v>
      </c>
      <c r="O55" s="48">
        <f>IFERROR(O41+O54,"")</f>
        <v>1119230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249</v>
      </c>
      <c r="F56" s="27">
        <v>18</v>
      </c>
      <c r="G56" s="28">
        <f t="shared" ref="G56:G67" si="12">IF(F56="","",IF(E56="PC 17",F56*4.2,IF(E56="PC 19",F56*5,IF(E56="CB",F56*24,""))))</f>
        <v>75.600000000000009</v>
      </c>
      <c r="H56" s="26" t="s">
        <v>20</v>
      </c>
      <c r="I56" s="26" t="s">
        <v>57</v>
      </c>
      <c r="J56" s="33" t="s">
        <v>51</v>
      </c>
      <c r="K56" s="29">
        <v>0.4284722222222222</v>
      </c>
      <c r="L56" s="29">
        <v>0.43402777777777779</v>
      </c>
      <c r="M56" s="30">
        <f t="shared" ref="M56:M67" ca="1" si="13">IFERROR(IF(K56="","",IF(L56="",MOD(NOW()-K56,1),IF(L56&gt;=K56,L56-K56,L56+1-K56))),"")</f>
        <v>5.5555555555555913E-3</v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249</v>
      </c>
      <c r="F57" s="27">
        <v>12</v>
      </c>
      <c r="G57" s="34">
        <f t="shared" si="12"/>
        <v>50.400000000000006</v>
      </c>
      <c r="H57" s="33" t="s">
        <v>19</v>
      </c>
      <c r="I57" s="33" t="s">
        <v>52</v>
      </c>
      <c r="J57" s="33" t="s">
        <v>27</v>
      </c>
      <c r="K57" s="29">
        <v>0.50208333333333333</v>
      </c>
      <c r="L57" s="29">
        <v>0.52569444444444446</v>
      </c>
      <c r="M57" s="35">
        <f t="shared" ca="1" si="13"/>
        <v>2.3611111111111138E-2</v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249</v>
      </c>
      <c r="F58" s="27">
        <v>15</v>
      </c>
      <c r="G58" s="28">
        <f t="shared" si="12"/>
        <v>63</v>
      </c>
      <c r="H58" s="26" t="s">
        <v>20</v>
      </c>
      <c r="I58" s="26" t="s">
        <v>57</v>
      </c>
      <c r="J58" s="26" t="s">
        <v>206</v>
      </c>
      <c r="K58" s="29">
        <v>0.52777777777777779</v>
      </c>
      <c r="L58" s="29">
        <v>0.53263888888888888</v>
      </c>
      <c r="M58" s="30">
        <f t="shared" ca="1" si="13"/>
        <v>4.8611111111110938E-3</v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249</v>
      </c>
      <c r="F59" s="27">
        <v>15</v>
      </c>
      <c r="G59" s="34">
        <f t="shared" si="12"/>
        <v>63</v>
      </c>
      <c r="H59" s="33" t="s">
        <v>18</v>
      </c>
      <c r="I59" s="33" t="s">
        <v>52</v>
      </c>
      <c r="J59" s="33" t="s">
        <v>34</v>
      </c>
      <c r="K59" s="29">
        <v>0.60555555555555551</v>
      </c>
      <c r="L59" s="29">
        <v>0.66319444444444442</v>
      </c>
      <c r="M59" s="35">
        <f t="shared" ca="1" si="13"/>
        <v>5.7638888888888906E-2</v>
      </c>
      <c r="N59" s="27" t="s">
        <v>289</v>
      </c>
      <c r="O59" s="60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249</v>
      </c>
      <c r="F60" s="27">
        <v>16</v>
      </c>
      <c r="G60" s="28">
        <f t="shared" si="12"/>
        <v>67.2</v>
      </c>
      <c r="H60" s="26" t="s">
        <v>18</v>
      </c>
      <c r="I60" s="26" t="s">
        <v>52</v>
      </c>
      <c r="J60" s="26" t="s">
        <v>130</v>
      </c>
      <c r="K60" s="29">
        <v>0.69513888888888886</v>
      </c>
      <c r="L60" s="29">
        <v>0.74861111111111112</v>
      </c>
      <c r="M60" s="30">
        <f t="shared" ca="1" si="13"/>
        <v>5.3472222222222254E-2</v>
      </c>
      <c r="N60" s="27" t="s">
        <v>290</v>
      </c>
      <c r="O60" s="60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249</v>
      </c>
      <c r="F61" s="27">
        <v>7</v>
      </c>
      <c r="G61" s="34">
        <f t="shared" si="12"/>
        <v>29.400000000000002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249</v>
      </c>
      <c r="F62" s="27">
        <v>15</v>
      </c>
      <c r="G62" s="28">
        <f t="shared" si="12"/>
        <v>63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249</v>
      </c>
      <c r="F63" s="27">
        <v>5</v>
      </c>
      <c r="G63" s="34">
        <f t="shared" si="12"/>
        <v>21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249</v>
      </c>
      <c r="F64" s="27">
        <v>0</v>
      </c>
      <c r="G64" s="28">
        <f t="shared" si="12"/>
        <v>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249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249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249</v>
      </c>
      <c r="F67" s="27">
        <v>6</v>
      </c>
      <c r="G67" s="34">
        <f t="shared" si="12"/>
        <v>25.200000000000003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4" t="s">
        <v>234</v>
      </c>
      <c r="B68" s="105"/>
      <c r="C68" s="105"/>
      <c r="D68" s="105"/>
      <c r="E68" s="106">
        <f>SUM(E56:E67)</f>
        <v>0</v>
      </c>
      <c r="F68" s="36">
        <f>SUM(F56:F67)</f>
        <v>115</v>
      </c>
      <c r="G68" s="36">
        <f>SUM(G56:G67)</f>
        <v>482.99999999999994</v>
      </c>
      <c r="H68" s="37"/>
      <c r="I68" s="37"/>
      <c r="J68" s="37"/>
      <c r="K68" s="61"/>
      <c r="L68" s="61"/>
      <c r="M68" s="38">
        <f ca="1">IFERROR(SUM(M56:M67),"")</f>
        <v>0.14513888888888898</v>
      </c>
      <c r="N68" s="36" t="s">
        <v>235</v>
      </c>
      <c r="O68" s="39">
        <v>477090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249</v>
      </c>
      <c r="F69" s="27">
        <v>7</v>
      </c>
      <c r="G69" s="34">
        <f t="shared" ref="G69:G80" si="15">IF(F69="","",IF(E69="PC 17",F69*4.2,IF(E69="PC 19",F69*5,IF(E69="CB",F69*24,""))))</f>
        <v>29.400000000000002</v>
      </c>
      <c r="H69" s="33" t="s">
        <v>18</v>
      </c>
      <c r="I69" s="33" t="s">
        <v>52</v>
      </c>
      <c r="J69" s="33" t="s">
        <v>216</v>
      </c>
      <c r="K69" s="29">
        <v>0.79166666666666663</v>
      </c>
      <c r="L69" s="29">
        <v>0.84097222222222223</v>
      </c>
      <c r="M69" s="35">
        <f t="shared" ref="M69:M80" ca="1" si="16">IFERROR(IF(K69="","",IF(L69="",MOD(NOW()-K69,1),IF(L69&gt;=K69,L69-K69,L69+1-K69))),"")</f>
        <v>4.9305555555555602E-2</v>
      </c>
      <c r="N69" s="27" t="s">
        <v>291</v>
      </c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249</v>
      </c>
      <c r="F70" s="27">
        <v>9</v>
      </c>
      <c r="G70" s="28">
        <f t="shared" si="15"/>
        <v>37.800000000000004</v>
      </c>
      <c r="H70" s="26" t="s">
        <v>20</v>
      </c>
      <c r="I70" s="26" t="s">
        <v>57</v>
      </c>
      <c r="J70" s="26" t="s">
        <v>62</v>
      </c>
      <c r="K70" s="29">
        <v>0.94374999999999998</v>
      </c>
      <c r="L70" s="29">
        <v>0.9458333333333333</v>
      </c>
      <c r="M70" s="30">
        <f t="shared" ca="1" si="16"/>
        <v>2.0833333333333259E-3</v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249</v>
      </c>
      <c r="F71" s="27">
        <v>9</v>
      </c>
      <c r="G71" s="34">
        <f t="shared" si="15"/>
        <v>37.800000000000004</v>
      </c>
      <c r="H71" s="33" t="s">
        <v>19</v>
      </c>
      <c r="I71" s="33" t="s">
        <v>57</v>
      </c>
      <c r="J71" s="33" t="s">
        <v>27</v>
      </c>
      <c r="K71" s="29">
        <v>0.98541666666666672</v>
      </c>
      <c r="L71" s="29">
        <v>0.99652777777777779</v>
      </c>
      <c r="M71" s="35">
        <f t="shared" ca="1" si="16"/>
        <v>1.1111111111111072E-2</v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249</v>
      </c>
      <c r="F72" s="27">
        <v>11</v>
      </c>
      <c r="G72" s="28">
        <f t="shared" si="15"/>
        <v>46.2</v>
      </c>
      <c r="H72" s="26" t="s">
        <v>18</v>
      </c>
      <c r="I72" s="26" t="s">
        <v>57</v>
      </c>
      <c r="J72" s="26" t="s">
        <v>130</v>
      </c>
      <c r="K72" s="29">
        <v>0.99652777777777779</v>
      </c>
      <c r="L72" s="29">
        <v>9.0277777777777769E-3</v>
      </c>
      <c r="M72" s="30">
        <f t="shared" ca="1" si="16"/>
        <v>1.2500000000000067E-2</v>
      </c>
      <c r="N72" s="27" t="s">
        <v>274</v>
      </c>
      <c r="O72" s="60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249</v>
      </c>
      <c r="F73" s="27">
        <v>13</v>
      </c>
      <c r="G73" s="34">
        <f t="shared" si="15"/>
        <v>54.6</v>
      </c>
      <c r="H73" s="33" t="s">
        <v>19</v>
      </c>
      <c r="I73" s="33" t="s">
        <v>52</v>
      </c>
      <c r="J73" s="33" t="s">
        <v>27</v>
      </c>
      <c r="K73" s="29">
        <v>0.11597222222222223</v>
      </c>
      <c r="L73" s="29">
        <v>0.12430555555555556</v>
      </c>
      <c r="M73" s="35">
        <f t="shared" ca="1" si="16"/>
        <v>8.3333333333333315E-3</v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249</v>
      </c>
      <c r="F74" s="27">
        <v>14</v>
      </c>
      <c r="G74" s="28">
        <f t="shared" si="15"/>
        <v>58.800000000000004</v>
      </c>
      <c r="H74" s="26" t="s">
        <v>20</v>
      </c>
      <c r="I74" s="26" t="s">
        <v>52</v>
      </c>
      <c r="J74" s="33" t="s">
        <v>206</v>
      </c>
      <c r="K74" s="29">
        <v>0.16388888888888889</v>
      </c>
      <c r="L74" s="29">
        <v>0.16666666666666666</v>
      </c>
      <c r="M74" s="30">
        <f t="shared" ca="1" si="16"/>
        <v>2.7777777777777679E-3</v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249</v>
      </c>
      <c r="F75" s="27">
        <v>18</v>
      </c>
      <c r="G75" s="34">
        <f>IF(F75="","",IF(E75="PC 17",F75*4.2,IF(E75="PC 19",F75*5,IF(E75="CB",F75*24,""))))</f>
        <v>75.600000000000009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249</v>
      </c>
      <c r="F76" s="27">
        <v>12</v>
      </c>
      <c r="G76" s="28">
        <f t="shared" si="15"/>
        <v>50.400000000000006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249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249</v>
      </c>
      <c r="F78" s="27">
        <v>14</v>
      </c>
      <c r="G78" s="28">
        <f t="shared" si="15"/>
        <v>58.800000000000004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249</v>
      </c>
      <c r="F79" s="27">
        <v>14</v>
      </c>
      <c r="G79" s="34">
        <f t="shared" si="15"/>
        <v>58.800000000000004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10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4" t="s">
        <v>237</v>
      </c>
      <c r="B81" s="105"/>
      <c r="C81" s="105"/>
      <c r="D81" s="105"/>
      <c r="E81" s="106">
        <f>SUM(E69:E80)</f>
        <v>0</v>
      </c>
      <c r="F81" s="36">
        <f>SUM(F69:F80)</f>
        <v>143</v>
      </c>
      <c r="G81" s="36">
        <f>SUM(G69:G80)</f>
        <v>558.6</v>
      </c>
      <c r="H81" s="37"/>
      <c r="I81" s="37"/>
      <c r="J81" s="37"/>
      <c r="K81" s="61"/>
      <c r="L81" s="61"/>
      <c r="M81" s="38">
        <f ca="1">IFERROR(SUM(M69:M80),"")</f>
        <v>8.6111111111111166E-2</v>
      </c>
      <c r="N81" s="36" t="s">
        <v>235</v>
      </c>
      <c r="O81" s="39">
        <v>612410</v>
      </c>
    </row>
    <row r="82" spans="1:15" ht="18" customHeight="1">
      <c r="A82" s="101" t="s">
        <v>238</v>
      </c>
      <c r="B82" s="102"/>
      <c r="C82" s="102"/>
      <c r="D82" s="102"/>
      <c r="E82" s="103">
        <f>E68+E81</f>
        <v>0</v>
      </c>
      <c r="F82" s="40">
        <f>F68+F81</f>
        <v>258</v>
      </c>
      <c r="G82" s="40">
        <f>G68+G81</f>
        <v>1041.5999999999999</v>
      </c>
      <c r="H82" s="41"/>
      <c r="I82" s="41"/>
      <c r="J82" s="41"/>
      <c r="K82" s="63"/>
      <c r="L82" s="63"/>
      <c r="M82" s="42">
        <f ca="1">IFERROR(M68+M81,"")</f>
        <v>0.23125000000000015</v>
      </c>
      <c r="N82" s="40" t="s">
        <v>239</v>
      </c>
      <c r="O82" s="48">
        <f>IFERROR(O68+O81,"")</f>
        <v>1089500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249</v>
      </c>
      <c r="F83" s="27">
        <v>15</v>
      </c>
      <c r="G83" s="28">
        <f t="shared" ref="G83:G94" si="18">IF(F83="","",IF(E83="PC 17",F83*4.2,IF(E83="PC 19",F83*5,IF(E83="CB",F83*24,""))))</f>
        <v>63</v>
      </c>
      <c r="H83" s="33" t="s">
        <v>19</v>
      </c>
      <c r="I83" s="33" t="s">
        <v>162</v>
      </c>
      <c r="J83" s="33" t="s">
        <v>27</v>
      </c>
      <c r="K83" s="29">
        <v>0.375</v>
      </c>
      <c r="L83" s="29">
        <v>0.39444444444444443</v>
      </c>
      <c r="M83" s="30">
        <f t="shared" ref="M83:M94" ca="1" si="19">IFERROR(IF(K83="","",IF(L83="",MOD(NOW()-K83,1),IF(L83&gt;=K83,L83-K83,L83+1-K83))),"")</f>
        <v>1.9444444444444431E-2</v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249</v>
      </c>
      <c r="F84" s="27">
        <v>20</v>
      </c>
      <c r="G84" s="34">
        <f t="shared" si="18"/>
        <v>84</v>
      </c>
      <c r="H84" s="26" t="s">
        <v>19</v>
      </c>
      <c r="I84" s="26" t="s">
        <v>52</v>
      </c>
      <c r="J84" s="26" t="s">
        <v>27</v>
      </c>
      <c r="K84" s="29">
        <v>0.70833333333333337</v>
      </c>
      <c r="L84" s="29">
        <v>0.72986111111111107</v>
      </c>
      <c r="M84" s="35">
        <f t="shared" ca="1" si="19"/>
        <v>2.1527777777777701E-2</v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249</v>
      </c>
      <c r="F85" s="27">
        <v>10</v>
      </c>
      <c r="G85" s="28">
        <f t="shared" si="18"/>
        <v>42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249</v>
      </c>
      <c r="F86" s="27">
        <v>17</v>
      </c>
      <c r="G86" s="34">
        <f t="shared" si="18"/>
        <v>71.400000000000006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249</v>
      </c>
      <c r="F87" s="27">
        <v>17</v>
      </c>
      <c r="G87" s="28">
        <f t="shared" si="18"/>
        <v>71.400000000000006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249</v>
      </c>
      <c r="F88" s="27">
        <v>15</v>
      </c>
      <c r="G88" s="34">
        <f t="shared" si="18"/>
        <v>63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249</v>
      </c>
      <c r="F89" s="27">
        <v>16</v>
      </c>
      <c r="G89" s="28">
        <f t="shared" si="18"/>
        <v>67.2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249</v>
      </c>
      <c r="F90" s="27">
        <v>20</v>
      </c>
      <c r="G90" s="34">
        <f t="shared" si="18"/>
        <v>84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249</v>
      </c>
      <c r="F91" s="27">
        <v>16</v>
      </c>
      <c r="G91" s="28">
        <f t="shared" si="18"/>
        <v>67.2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249</v>
      </c>
      <c r="F92" s="27">
        <v>19</v>
      </c>
      <c r="G92" s="34">
        <f t="shared" si="18"/>
        <v>79.8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249</v>
      </c>
      <c r="F93" s="27">
        <v>3</v>
      </c>
      <c r="G93" s="28">
        <f t="shared" si="18"/>
        <v>12.600000000000001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249</v>
      </c>
      <c r="F94" s="27">
        <v>15</v>
      </c>
      <c r="G94" s="34">
        <f t="shared" si="18"/>
        <v>63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4" t="s">
        <v>234</v>
      </c>
      <c r="B95" s="105"/>
      <c r="C95" s="105"/>
      <c r="D95" s="105"/>
      <c r="E95" s="106">
        <f>SUM(E83:E94)</f>
        <v>0</v>
      </c>
      <c r="F95" s="36">
        <f>SUM(F83:F94)</f>
        <v>183</v>
      </c>
      <c r="G95" s="36">
        <f>SUM(G83:G94)</f>
        <v>768.6</v>
      </c>
      <c r="H95" s="37"/>
      <c r="I95" s="37"/>
      <c r="J95" s="37"/>
      <c r="K95" s="61"/>
      <c r="L95" s="61"/>
      <c r="M95" s="38">
        <f ca="1">IFERROR(SUM(M83:M94),"")</f>
        <v>4.0972222222222132E-2</v>
      </c>
      <c r="N95" s="36" t="s">
        <v>235</v>
      </c>
      <c r="O95" s="39">
        <v>786700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249</v>
      </c>
      <c r="F96" s="27">
        <v>20</v>
      </c>
      <c r="G96" s="34">
        <f t="shared" ref="G96:G107" si="21">IF(F96="","",IF(E96="PC 17",F96*4.2,IF(E96="PC 19",F96*5,IF(E96="CB",F96*24,""))))</f>
        <v>84</v>
      </c>
      <c r="H96" s="26" t="s">
        <v>19</v>
      </c>
      <c r="I96" s="26" t="s">
        <v>162</v>
      </c>
      <c r="J96" s="26" t="s">
        <v>27</v>
      </c>
      <c r="K96" s="29">
        <v>0.99861111111111112</v>
      </c>
      <c r="L96" s="29">
        <v>1.1805555555555555E-2</v>
      </c>
      <c r="M96" s="35">
        <f t="shared" ref="M96:M107" ca="1" si="22">IFERROR(IF(K96="","",IF(L96="",MOD(NOW()-K96,1),IF(L96&gt;=K96,L96-K96,L96+1-K96))),"")</f>
        <v>1.3194444444444509E-2</v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249</v>
      </c>
      <c r="F97" s="27">
        <v>20</v>
      </c>
      <c r="G97" s="28">
        <f t="shared" si="21"/>
        <v>84</v>
      </c>
      <c r="H97" s="33" t="s">
        <v>18</v>
      </c>
      <c r="I97" s="33" t="s">
        <v>52</v>
      </c>
      <c r="J97" s="33" t="s">
        <v>130</v>
      </c>
      <c r="K97" s="29">
        <v>6.8750000000000006E-2</v>
      </c>
      <c r="L97" s="29">
        <v>8.6805555555555552E-2</v>
      </c>
      <c r="M97" s="30">
        <f t="shared" ca="1" si="22"/>
        <v>1.8055555555555547E-2</v>
      </c>
      <c r="N97" s="27" t="s">
        <v>274</v>
      </c>
      <c r="O97" s="60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249</v>
      </c>
      <c r="F98" s="27">
        <v>15</v>
      </c>
      <c r="G98" s="34">
        <f>IF(F98="","",IF(E98="PC 17",F98*4.2,IF(E98="PC 19",F98*5,IF(E98="CB",F98*24,""))))</f>
        <v>63</v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249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249</v>
      </c>
      <c r="F100" s="27">
        <v>14</v>
      </c>
      <c r="G100" s="34">
        <f t="shared" si="21"/>
        <v>58.800000000000004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249</v>
      </c>
      <c r="F101" s="27">
        <v>10</v>
      </c>
      <c r="G101" s="28">
        <f t="shared" si="21"/>
        <v>42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249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249</v>
      </c>
      <c r="F103" s="27">
        <v>28</v>
      </c>
      <c r="G103" s="28">
        <f t="shared" si="21"/>
        <v>117.60000000000001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249</v>
      </c>
      <c r="F104" s="27">
        <v>17</v>
      </c>
      <c r="G104" s="34">
        <f t="shared" si="21"/>
        <v>71.400000000000006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249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249</v>
      </c>
      <c r="F106" s="27">
        <v>15</v>
      </c>
      <c r="G106" s="34">
        <f t="shared" si="21"/>
        <v>63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249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4" t="s">
        <v>237</v>
      </c>
      <c r="B108" s="105"/>
      <c r="C108" s="105"/>
      <c r="D108" s="105"/>
      <c r="E108" s="106">
        <f>SUM(E96:E107)</f>
        <v>0</v>
      </c>
      <c r="F108" s="36">
        <f>SUM(F96:F107)</f>
        <v>197</v>
      </c>
      <c r="G108" s="36">
        <f>SUM(G96:G107)</f>
        <v>827.4</v>
      </c>
      <c r="H108" s="37"/>
      <c r="I108" s="37"/>
      <c r="J108" s="37"/>
      <c r="K108" s="61"/>
      <c r="L108" s="61"/>
      <c r="M108" s="38">
        <f ca="1">IFERROR(SUM(M96:M107),"")</f>
        <v>3.1250000000000056E-2</v>
      </c>
      <c r="N108" s="36" t="s">
        <v>235</v>
      </c>
      <c r="O108" s="39">
        <v>956070</v>
      </c>
    </row>
    <row r="109" spans="1:15" ht="18" customHeight="1">
      <c r="A109" s="101" t="s">
        <v>238</v>
      </c>
      <c r="B109" s="102"/>
      <c r="C109" s="102"/>
      <c r="D109" s="102"/>
      <c r="E109" s="103">
        <f>E95+E108</f>
        <v>0</v>
      </c>
      <c r="F109" s="40">
        <f>F95+F108</f>
        <v>380</v>
      </c>
      <c r="G109" s="40">
        <f>G95+G108</f>
        <v>1596</v>
      </c>
      <c r="H109" s="41"/>
      <c r="I109" s="41"/>
      <c r="J109" s="41"/>
      <c r="K109" s="63"/>
      <c r="L109" s="63"/>
      <c r="M109" s="42">
        <f ca="1">IFERROR(M95+M108,"")</f>
        <v>7.2222222222222188E-2</v>
      </c>
      <c r="N109" s="40" t="s">
        <v>239</v>
      </c>
      <c r="O109" s="48">
        <f>IFERROR(O95+O108,"")</f>
        <v>1742770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249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19</v>
      </c>
      <c r="I110" s="26" t="s">
        <v>162</v>
      </c>
      <c r="J110" s="26" t="s">
        <v>27</v>
      </c>
      <c r="K110" s="29">
        <v>0.33333333333333331</v>
      </c>
      <c r="L110" s="29">
        <v>0.3527777777777778</v>
      </c>
      <c r="M110" s="30">
        <f t="shared" ref="M110:M121" ca="1" si="25">IFERROR(IF(K110="","",IF(L110="",MOD(NOW()-K110,1),IF(L110&gt;=K110,L110-K110,L110+1-K110))),"")</f>
        <v>1.9444444444444486E-2</v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249</v>
      </c>
      <c r="F111" s="27">
        <v>10</v>
      </c>
      <c r="G111" s="34">
        <f t="shared" si="24"/>
        <v>42</v>
      </c>
      <c r="H111" s="33" t="s">
        <v>18</v>
      </c>
      <c r="I111" s="33" t="s">
        <v>57</v>
      </c>
      <c r="J111" s="33" t="s">
        <v>216</v>
      </c>
      <c r="K111" s="29">
        <v>0.40277777777777779</v>
      </c>
      <c r="L111" s="29">
        <v>0.41805555555555557</v>
      </c>
      <c r="M111" s="35">
        <f t="shared" ca="1" si="25"/>
        <v>1.5277777777777779E-2</v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249</v>
      </c>
      <c r="F112" s="27">
        <v>16</v>
      </c>
      <c r="G112" s="28">
        <f t="shared" si="24"/>
        <v>67.2</v>
      </c>
      <c r="H112" s="26" t="s">
        <v>18</v>
      </c>
      <c r="I112" s="26"/>
      <c r="J112" s="33" t="s">
        <v>221</v>
      </c>
      <c r="K112" s="29">
        <v>0.57499999999999996</v>
      </c>
      <c r="L112" s="29">
        <v>0.59722222222222221</v>
      </c>
      <c r="M112" s="30">
        <f t="shared" ca="1" si="25"/>
        <v>2.2222222222222254E-2</v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249</v>
      </c>
      <c r="F113" s="27">
        <v>18</v>
      </c>
      <c r="G113" s="34">
        <f t="shared" si="24"/>
        <v>75.600000000000009</v>
      </c>
      <c r="H113" s="26" t="s">
        <v>18</v>
      </c>
      <c r="I113" s="33"/>
      <c r="J113" s="33" t="s">
        <v>221</v>
      </c>
      <c r="K113" s="29">
        <v>0.60416666666666663</v>
      </c>
      <c r="L113" s="29">
        <v>0.61805555555555558</v>
      </c>
      <c r="M113" s="35">
        <f t="shared" ca="1" si="25"/>
        <v>1.3888888888888951E-2</v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249</v>
      </c>
      <c r="F114" s="27">
        <v>14</v>
      </c>
      <c r="G114" s="28">
        <f t="shared" si="24"/>
        <v>58.800000000000004</v>
      </c>
      <c r="H114" s="26" t="s">
        <v>19</v>
      </c>
      <c r="I114" s="26" t="s">
        <v>162</v>
      </c>
      <c r="J114" s="26" t="s">
        <v>27</v>
      </c>
      <c r="K114" s="29">
        <v>0.68541666666666667</v>
      </c>
      <c r="L114" s="29">
        <v>0.73888888888888893</v>
      </c>
      <c r="M114" s="30">
        <f t="shared" ca="1" si="25"/>
        <v>5.3472222222222254E-2</v>
      </c>
      <c r="N114" s="27" t="s">
        <v>292</v>
      </c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249</v>
      </c>
      <c r="F115" s="27">
        <v>20</v>
      </c>
      <c r="G115" s="34">
        <f t="shared" si="24"/>
        <v>84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249</v>
      </c>
      <c r="F116" s="27">
        <v>13</v>
      </c>
      <c r="G116" s="28">
        <f t="shared" si="24"/>
        <v>54.6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249</v>
      </c>
      <c r="F117" s="27">
        <v>7</v>
      </c>
      <c r="G117" s="34">
        <f t="shared" si="24"/>
        <v>29.400000000000002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249</v>
      </c>
      <c r="F118" s="27">
        <v>21</v>
      </c>
      <c r="G118" s="28">
        <f t="shared" si="24"/>
        <v>88.2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249</v>
      </c>
      <c r="F119" s="27">
        <v>16</v>
      </c>
      <c r="G119" s="34">
        <f t="shared" si="24"/>
        <v>67.2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249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249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4" t="s">
        <v>234</v>
      </c>
      <c r="B122" s="105"/>
      <c r="C122" s="105"/>
      <c r="D122" s="105"/>
      <c r="E122" s="106">
        <f>SUM(E110:E121)</f>
        <v>0</v>
      </c>
      <c r="F122" s="36">
        <f>SUM(F110:F121)</f>
        <v>170</v>
      </c>
      <c r="G122" s="36">
        <f>SUM(G110:G121)</f>
        <v>714.00000000000011</v>
      </c>
      <c r="H122" s="37"/>
      <c r="I122" s="37"/>
      <c r="J122" s="37"/>
      <c r="K122" s="61"/>
      <c r="L122" s="61"/>
      <c r="M122" s="38">
        <f ca="1">IFERROR(SUM(M110:M121),"")</f>
        <v>0.12430555555555572</v>
      </c>
      <c r="N122" s="36" t="s">
        <v>235</v>
      </c>
      <c r="O122" s="39">
        <v>811580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249</v>
      </c>
      <c r="F123" s="27">
        <v>24</v>
      </c>
      <c r="G123" s="34">
        <f t="shared" ref="G123:G134" si="27">IF(F123="","",IF(E123="PC 17",F123*4.2,IF(E123="PC 19",F123*5,IF(E123="CB",F123*24,""))))</f>
        <v>100.80000000000001</v>
      </c>
      <c r="H123" s="33" t="s">
        <v>20</v>
      </c>
      <c r="I123" s="33" t="s">
        <v>52</v>
      </c>
      <c r="J123" s="33" t="s">
        <v>206</v>
      </c>
      <c r="K123" s="29">
        <v>0.85486111111111107</v>
      </c>
      <c r="L123" s="29">
        <v>0.85972222222222228</v>
      </c>
      <c r="M123" s="35">
        <f t="shared" ref="M123:M134" ca="1" si="28">IFERROR(IF(K123="","",IF(L123="",MOD(NOW()-K123,1),IF(L123&gt;=K123,L123-K123,L123+1-K123))),"")</f>
        <v>4.8611111111112049E-3</v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249</v>
      </c>
      <c r="F124" s="27">
        <v>14</v>
      </c>
      <c r="G124" s="28">
        <f t="shared" si="27"/>
        <v>58.800000000000004</v>
      </c>
      <c r="H124" s="26" t="s">
        <v>20</v>
      </c>
      <c r="I124" s="26" t="s">
        <v>52</v>
      </c>
      <c r="J124" s="26" t="s">
        <v>56</v>
      </c>
      <c r="K124" s="29">
        <v>0.86875000000000002</v>
      </c>
      <c r="L124" s="29">
        <v>0.87569444444444444</v>
      </c>
      <c r="M124" s="30">
        <f t="shared" ca="1" si="28"/>
        <v>6.9444444444444198E-3</v>
      </c>
      <c r="N124" s="27" t="s">
        <v>293</v>
      </c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249</v>
      </c>
      <c r="F125" s="27">
        <v>15</v>
      </c>
      <c r="G125" s="34">
        <f t="shared" si="27"/>
        <v>63</v>
      </c>
      <c r="H125" s="33" t="s">
        <v>20</v>
      </c>
      <c r="I125" s="33" t="s">
        <v>52</v>
      </c>
      <c r="J125" s="33" t="s">
        <v>36</v>
      </c>
      <c r="K125" s="29">
        <v>0.97222222222222221</v>
      </c>
      <c r="L125" s="29">
        <v>0.97916666666666663</v>
      </c>
      <c r="M125" s="35">
        <f t="shared" ca="1" si="28"/>
        <v>6.9444444444444198E-3</v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249</v>
      </c>
      <c r="F126" s="27">
        <v>24</v>
      </c>
      <c r="G126" s="28"/>
      <c r="H126" s="26" t="s">
        <v>19</v>
      </c>
      <c r="I126" s="26" t="s">
        <v>57</v>
      </c>
      <c r="J126" s="26" t="s">
        <v>27</v>
      </c>
      <c r="K126" s="29">
        <v>0.97916666666666663</v>
      </c>
      <c r="L126" s="29">
        <v>0.98958333333333337</v>
      </c>
      <c r="M126" s="30">
        <f t="shared" ca="1" si="28"/>
        <v>1.0416666666666741E-2</v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249</v>
      </c>
      <c r="F127" s="27">
        <v>10</v>
      </c>
      <c r="G127" s="34">
        <f t="shared" si="27"/>
        <v>42</v>
      </c>
      <c r="H127" s="33" t="s">
        <v>19</v>
      </c>
      <c r="I127" s="33" t="s">
        <v>52</v>
      </c>
      <c r="J127" s="33" t="s">
        <v>260</v>
      </c>
      <c r="K127" s="29">
        <v>0.98958333333333337</v>
      </c>
      <c r="L127" s="29">
        <v>0.99930555555555556</v>
      </c>
      <c r="M127" s="35">
        <f t="shared" ca="1" si="28"/>
        <v>9.7222222222221877E-3</v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249</v>
      </c>
      <c r="F128" s="27">
        <v>16</v>
      </c>
      <c r="G128" s="28">
        <f t="shared" si="27"/>
        <v>67.2</v>
      </c>
      <c r="H128" s="26" t="s">
        <v>19</v>
      </c>
      <c r="I128" s="26" t="s">
        <v>57</v>
      </c>
      <c r="J128" s="26" t="s">
        <v>27</v>
      </c>
      <c r="K128" s="29">
        <v>0.2388888888888889</v>
      </c>
      <c r="L128" s="29">
        <v>0.25</v>
      </c>
      <c r="M128" s="30">
        <f t="shared" ca="1" si="28"/>
        <v>1.1111111111111099E-2</v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249</v>
      </c>
      <c r="F129" s="27">
        <v>25</v>
      </c>
      <c r="G129" s="34">
        <f t="shared" si="27"/>
        <v>105</v>
      </c>
      <c r="H129" s="33" t="s">
        <v>18</v>
      </c>
      <c r="I129" s="33" t="s">
        <v>52</v>
      </c>
      <c r="J129" s="33" t="s">
        <v>130</v>
      </c>
      <c r="K129" s="29">
        <v>0.25</v>
      </c>
      <c r="L129" s="29">
        <v>0.26319444444444445</v>
      </c>
      <c r="M129" s="35">
        <f t="shared" ca="1" si="28"/>
        <v>1.3194444444444453E-2</v>
      </c>
      <c r="N129" s="27" t="s">
        <v>274</v>
      </c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249</v>
      </c>
      <c r="F130" s="27">
        <v>13</v>
      </c>
      <c r="G130" s="28">
        <f t="shared" si="27"/>
        <v>54.6</v>
      </c>
      <c r="H130" s="26" t="s">
        <v>20</v>
      </c>
      <c r="I130" s="26" t="s">
        <v>57</v>
      </c>
      <c r="J130" s="26" t="s">
        <v>51</v>
      </c>
      <c r="K130" s="29">
        <v>0.27777777777777779</v>
      </c>
      <c r="L130" s="29">
        <v>0.28541666666666665</v>
      </c>
      <c r="M130" s="30">
        <f t="shared" ca="1" si="28"/>
        <v>7.6388888888888618E-3</v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249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249</v>
      </c>
      <c r="F132" s="27">
        <v>21</v>
      </c>
      <c r="G132" s="28">
        <f t="shared" si="27"/>
        <v>88.2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249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249</v>
      </c>
      <c r="F134" s="27">
        <v>5</v>
      </c>
      <c r="G134" s="28">
        <f t="shared" si="27"/>
        <v>21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4" t="s">
        <v>237</v>
      </c>
      <c r="B135" s="105"/>
      <c r="C135" s="105"/>
      <c r="D135" s="105"/>
      <c r="E135" s="106">
        <f>SUM(E123:E134)</f>
        <v>0</v>
      </c>
      <c r="F135" s="36">
        <f>SUM(F123:F134)</f>
        <v>197</v>
      </c>
      <c r="G135" s="36">
        <f>SUM(G123:G134)</f>
        <v>726.60000000000014</v>
      </c>
      <c r="H135" s="37"/>
      <c r="I135" s="37"/>
      <c r="J135" s="37"/>
      <c r="K135" s="61"/>
      <c r="L135" s="61"/>
      <c r="M135" s="38">
        <f ca="1">IFERROR(SUM(M123:M134),"")</f>
        <v>7.0833333333333387E-2</v>
      </c>
      <c r="N135" s="36" t="s">
        <v>235</v>
      </c>
      <c r="O135" s="39">
        <v>912240</v>
      </c>
    </row>
    <row r="136" spans="1:18" ht="18" customHeight="1">
      <c r="A136" s="101" t="s">
        <v>238</v>
      </c>
      <c r="B136" s="102"/>
      <c r="C136" s="102"/>
      <c r="D136" s="102"/>
      <c r="E136" s="103">
        <f>E122+E135</f>
        <v>0</v>
      </c>
      <c r="F136" s="40">
        <f>F122+F135</f>
        <v>367</v>
      </c>
      <c r="G136" s="40">
        <f>G122+G135</f>
        <v>1440.6000000000004</v>
      </c>
      <c r="H136" s="41"/>
      <c r="I136" s="41"/>
      <c r="J136" s="41"/>
      <c r="K136" s="63"/>
      <c r="L136" s="63"/>
      <c r="M136" s="42">
        <f ca="1">IFERROR(M122+M135,"")</f>
        <v>0.19513888888888911</v>
      </c>
      <c r="N136" s="40" t="s">
        <v>239</v>
      </c>
      <c r="O136" s="48">
        <f>IFERROR(O122+O135,"")</f>
        <v>1723820</v>
      </c>
    </row>
    <row r="137" spans="1:18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249</v>
      </c>
      <c r="F137" s="27">
        <v>20</v>
      </c>
      <c r="G137" s="34">
        <f t="shared" ref="G137:G148" si="30">IF(F137="","",IF(E137="PC 17",F137*4.2,IF(E137="PC 19",F137*5,IF(E137="CB",F137*24,""))))</f>
        <v>84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1">IFERROR(IF(K137="","",IF(L137="",MOD(NOW()-K137,1),IF(L137&gt;=K137,L137-K137,L137+1-K137))),"")</f>
        <v>1.041666666666663E-2</v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249</v>
      </c>
      <c r="F138" s="27">
        <v>24</v>
      </c>
      <c r="G138" s="28">
        <f t="shared" si="30"/>
        <v>100.80000000000001</v>
      </c>
      <c r="H138" s="26" t="s">
        <v>20</v>
      </c>
      <c r="I138" s="26" t="s">
        <v>162</v>
      </c>
      <c r="J138" s="26" t="s">
        <v>36</v>
      </c>
      <c r="K138" s="29">
        <v>0.40694444444444444</v>
      </c>
      <c r="L138" s="29">
        <v>0.41319444444444442</v>
      </c>
      <c r="M138" s="30">
        <f t="shared" ca="1" si="31"/>
        <v>6.2499999999999778E-3</v>
      </c>
      <c r="N138" s="27" t="s">
        <v>294</v>
      </c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249</v>
      </c>
      <c r="F139" s="27">
        <v>15</v>
      </c>
      <c r="G139" s="34">
        <f t="shared" si="30"/>
        <v>63</v>
      </c>
      <c r="H139" s="33" t="s">
        <v>16</v>
      </c>
      <c r="I139" s="33" t="s">
        <v>52</v>
      </c>
      <c r="J139" s="33" t="s">
        <v>110</v>
      </c>
      <c r="K139" s="29">
        <v>0.41319444444444442</v>
      </c>
      <c r="L139" s="29">
        <v>0.4236111111111111</v>
      </c>
      <c r="M139" s="35">
        <f t="shared" ca="1" si="31"/>
        <v>1.0416666666666685E-2</v>
      </c>
      <c r="N139" s="86" t="s">
        <v>295</v>
      </c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249</v>
      </c>
      <c r="F140" s="27">
        <v>18</v>
      </c>
      <c r="G140" s="28">
        <f t="shared" si="30"/>
        <v>75.600000000000009</v>
      </c>
      <c r="H140" s="26" t="s">
        <v>20</v>
      </c>
      <c r="I140" s="26" t="s">
        <v>57</v>
      </c>
      <c r="J140" s="26" t="s">
        <v>51</v>
      </c>
      <c r="K140" s="29">
        <v>0.49652777777777779</v>
      </c>
      <c r="L140" s="29">
        <v>0.50347222222222221</v>
      </c>
      <c r="M140" s="30">
        <f t="shared" ca="1" si="31"/>
        <v>6.9444444444444198E-3</v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249</v>
      </c>
      <c r="F141" s="27">
        <v>18</v>
      </c>
      <c r="G141" s="34">
        <f t="shared" si="30"/>
        <v>75.600000000000009</v>
      </c>
      <c r="H141" s="33" t="s">
        <v>20</v>
      </c>
      <c r="I141" s="33" t="s">
        <v>141</v>
      </c>
      <c r="J141" s="33" t="s">
        <v>74</v>
      </c>
      <c r="K141" s="29">
        <v>0.53611111111111109</v>
      </c>
      <c r="L141" s="29">
        <v>0.54861111111111116</v>
      </c>
      <c r="M141" s="35">
        <f t="shared" ca="1" si="31"/>
        <v>1.2500000000000067E-2</v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249</v>
      </c>
      <c r="F142" s="27">
        <v>14</v>
      </c>
      <c r="G142" s="28">
        <f t="shared" si="30"/>
        <v>58.800000000000004</v>
      </c>
      <c r="H142" s="26" t="s">
        <v>20</v>
      </c>
      <c r="I142" s="26" t="s">
        <v>52</v>
      </c>
      <c r="J142" s="26" t="s">
        <v>51</v>
      </c>
      <c r="K142" s="29">
        <v>0.55972222222222223</v>
      </c>
      <c r="L142" s="29">
        <v>0.5625</v>
      </c>
      <c r="M142" s="30">
        <f t="shared" ca="1" si="31"/>
        <v>2.7777777777777679E-3</v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249</v>
      </c>
      <c r="F143" s="27">
        <v>17</v>
      </c>
      <c r="G143" s="34">
        <f t="shared" si="30"/>
        <v>71.400000000000006</v>
      </c>
      <c r="H143" s="33" t="s">
        <v>19</v>
      </c>
      <c r="I143" s="33" t="s">
        <v>162</v>
      </c>
      <c r="J143" s="33" t="s">
        <v>27</v>
      </c>
      <c r="K143" s="29">
        <v>0.61597222222222225</v>
      </c>
      <c r="L143" s="29">
        <v>0.63194444444444442</v>
      </c>
      <c r="M143" s="35">
        <f t="shared" ca="1" si="31"/>
        <v>1.5972222222222165E-2</v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249</v>
      </c>
      <c r="F144" s="27">
        <v>12</v>
      </c>
      <c r="G144" s="28">
        <f t="shared" si="30"/>
        <v>50.400000000000006</v>
      </c>
      <c r="H144" s="26" t="s">
        <v>16</v>
      </c>
      <c r="I144" s="26" t="s">
        <v>57</v>
      </c>
      <c r="J144" s="26" t="s">
        <v>110</v>
      </c>
      <c r="K144" s="29">
        <v>0.65833333333333333</v>
      </c>
      <c r="L144" s="29">
        <v>0.6875</v>
      </c>
      <c r="M144" s="30">
        <f t="shared" ca="1" si="31"/>
        <v>2.9166666666666674E-2</v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249</v>
      </c>
      <c r="F145" s="27">
        <v>16</v>
      </c>
      <c r="G145" s="34">
        <f t="shared" si="30"/>
        <v>67.2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249</v>
      </c>
      <c r="F146" s="27">
        <v>12</v>
      </c>
      <c r="G146" s="28">
        <f t="shared" si="30"/>
        <v>50.400000000000006</v>
      </c>
      <c r="H146" s="26"/>
      <c r="I146" s="26"/>
      <c r="J146" s="26"/>
      <c r="K146" s="29"/>
      <c r="L146" s="29"/>
      <c r="M146" s="30" t="str">
        <f t="shared" ca="1" si="31"/>
        <v/>
      </c>
      <c r="N146" s="86" t="s">
        <v>269</v>
      </c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249</v>
      </c>
      <c r="F147" s="27">
        <v>10</v>
      </c>
      <c r="G147" s="34">
        <f t="shared" si="30"/>
        <v>42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249</v>
      </c>
      <c r="F148" s="27">
        <v>6</v>
      </c>
      <c r="G148" s="28">
        <f t="shared" si="30"/>
        <v>25.200000000000003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234</v>
      </c>
      <c r="B149" s="88"/>
      <c r="C149" s="88"/>
      <c r="D149" s="88"/>
      <c r="E149" s="89">
        <f>SUM(E137:E148)</f>
        <v>0</v>
      </c>
      <c r="F149" s="36">
        <f>SUM(F137:F148)</f>
        <v>182</v>
      </c>
      <c r="G149" s="36">
        <f>SUM(G137:G148)</f>
        <v>764.40000000000009</v>
      </c>
      <c r="H149" s="37"/>
      <c r="I149" s="37"/>
      <c r="J149" s="37"/>
      <c r="K149" s="61"/>
      <c r="L149" s="61"/>
      <c r="M149" s="38">
        <f ca="1">IFERROR(SUM(M137:M148),"")</f>
        <v>9.4444444444444386E-2</v>
      </c>
      <c r="N149" s="36" t="s">
        <v>235</v>
      </c>
      <c r="O149" s="39">
        <v>797860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249</v>
      </c>
      <c r="F150" s="27">
        <v>10</v>
      </c>
      <c r="G150" s="28">
        <f t="shared" ref="G150:G161" si="33">IF(F150="","",IF(E150="PC 17",F150*4.2,IF(E150="PC 19",F150*5,IF(E150="CB",F150*24,""))))</f>
        <v>42</v>
      </c>
      <c r="H150" s="26" t="s">
        <v>19</v>
      </c>
      <c r="I150" s="26" t="s">
        <v>162</v>
      </c>
      <c r="J150" s="26" t="s">
        <v>27</v>
      </c>
      <c r="K150" s="29">
        <v>0.9194444444444444</v>
      </c>
      <c r="L150" s="29">
        <v>0.98750000000000004</v>
      </c>
      <c r="M150" s="30">
        <f t="shared" ref="M150:M161" ca="1" si="34">IFERROR(IF(K150="","",IF(L150="",MOD(NOW()-K150,1),IF(L150&gt;=K150,L150-K150,L150+1-K150))),"")</f>
        <v>6.8055555555555647E-2</v>
      </c>
      <c r="N150" s="27" t="s">
        <v>296</v>
      </c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249</v>
      </c>
      <c r="F151" s="27">
        <v>11</v>
      </c>
      <c r="G151" s="34">
        <f t="shared" si="33"/>
        <v>46.2</v>
      </c>
      <c r="H151" s="33" t="s">
        <v>16</v>
      </c>
      <c r="I151" s="33" t="s">
        <v>140</v>
      </c>
      <c r="J151" s="33" t="s">
        <v>58</v>
      </c>
      <c r="K151" s="29">
        <v>0.21180555555555555</v>
      </c>
      <c r="L151" s="29">
        <v>0.28680555555555554</v>
      </c>
      <c r="M151" s="35">
        <f t="shared" ca="1" si="34"/>
        <v>7.4999999999999983E-2</v>
      </c>
      <c r="N151" s="27" t="s">
        <v>297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249</v>
      </c>
      <c r="F152" s="27">
        <v>10</v>
      </c>
      <c r="G152" s="28">
        <f t="shared" si="33"/>
        <v>42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249</v>
      </c>
      <c r="F153" s="27">
        <v>7</v>
      </c>
      <c r="G153" s="34">
        <f t="shared" si="33"/>
        <v>29.400000000000002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249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249</v>
      </c>
      <c r="F155" s="27">
        <v>10</v>
      </c>
      <c r="G155" s="34">
        <f t="shared" si="33"/>
        <v>42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249</v>
      </c>
      <c r="F156" s="27">
        <v>19</v>
      </c>
      <c r="G156" s="28">
        <f t="shared" si="33"/>
        <v>79.8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249</v>
      </c>
      <c r="F157" s="27">
        <v>16</v>
      </c>
      <c r="G157" s="34">
        <f t="shared" si="33"/>
        <v>67.2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249</v>
      </c>
      <c r="F158" s="27">
        <v>19</v>
      </c>
      <c r="G158" s="28">
        <f t="shared" si="33"/>
        <v>79.8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249</v>
      </c>
      <c r="F159" s="27">
        <v>14</v>
      </c>
      <c r="G159" s="34">
        <f t="shared" si="33"/>
        <v>58.800000000000004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249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249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4" t="s">
        <v>237</v>
      </c>
      <c r="B162" s="105"/>
      <c r="C162" s="105"/>
      <c r="D162" s="105"/>
      <c r="E162" s="106">
        <f>SUM(E150:E161)</f>
        <v>0</v>
      </c>
      <c r="F162" s="36">
        <f>SUM(F150:F161)</f>
        <v>126</v>
      </c>
      <c r="G162" s="36">
        <f>SUM(G150:G161)</f>
        <v>529.19999999999993</v>
      </c>
      <c r="H162" s="37"/>
      <c r="I162" s="37"/>
      <c r="J162" s="37"/>
      <c r="K162" s="61"/>
      <c r="L162" s="61"/>
      <c r="M162" s="38">
        <f ca="1">IFERROR(SUM(M150:M161),"")</f>
        <v>0.14305555555555563</v>
      </c>
      <c r="N162" s="36" t="s">
        <v>235</v>
      </c>
      <c r="O162" s="39">
        <v>573230</v>
      </c>
    </row>
    <row r="163" spans="1:15" ht="18" customHeight="1">
      <c r="A163" s="101" t="s">
        <v>238</v>
      </c>
      <c r="B163" s="102"/>
      <c r="C163" s="102"/>
      <c r="D163" s="102"/>
      <c r="E163" s="103">
        <f>E149+E162</f>
        <v>0</v>
      </c>
      <c r="F163" s="40">
        <f>F149+F162</f>
        <v>308</v>
      </c>
      <c r="G163" s="40">
        <f>G149+G162</f>
        <v>1293.5999999999999</v>
      </c>
      <c r="H163" s="41"/>
      <c r="I163" s="41"/>
      <c r="J163" s="41"/>
      <c r="K163" s="63"/>
      <c r="L163" s="63"/>
      <c r="M163" s="42">
        <f ca="1">IFERROR(M149+M162,"")</f>
        <v>0.23750000000000002</v>
      </c>
      <c r="N163" s="40" t="s">
        <v>239</v>
      </c>
      <c r="O163" s="43">
        <f>IFERROR(O149+O162,"")</f>
        <v>1371090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249</v>
      </c>
      <c r="F164" s="27">
        <v>5</v>
      </c>
      <c r="G164" s="28">
        <f t="shared" ref="G164:G175" si="36">IF(F164="","",IF(E164="PC 17",F164*4.2,IF(E164="PC 19",F164*5,IF(E164="CB",F164*24,""))))</f>
        <v>21</v>
      </c>
      <c r="H164" s="26" t="s">
        <v>20</v>
      </c>
      <c r="I164" s="26" t="s">
        <v>140</v>
      </c>
      <c r="J164" s="26" t="s">
        <v>134</v>
      </c>
      <c r="K164" s="29">
        <v>0.29166666666666669</v>
      </c>
      <c r="L164" s="29">
        <v>0.3125</v>
      </c>
      <c r="M164" s="30">
        <f t="shared" ref="M164:M175" ca="1" si="37">IFERROR(IF(K164="","",IF(L164="",MOD(NOW()-K164,1),IF(L164&gt;=K164,L164-K164,L164+1-K164))),"")</f>
        <v>2.0833333333333315E-2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249</v>
      </c>
      <c r="F165" s="27">
        <v>17</v>
      </c>
      <c r="G165" s="34">
        <f t="shared" si="36"/>
        <v>71.400000000000006</v>
      </c>
      <c r="H165" s="33" t="s">
        <v>20</v>
      </c>
      <c r="I165" s="33" t="s">
        <v>162</v>
      </c>
      <c r="J165" s="33" t="s">
        <v>183</v>
      </c>
      <c r="K165" s="29">
        <v>0.31597222222222221</v>
      </c>
      <c r="L165" s="29">
        <v>0.32013888888888886</v>
      </c>
      <c r="M165" s="35">
        <f t="shared" ca="1" si="37"/>
        <v>4.1666666666666519E-3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249</v>
      </c>
      <c r="F166" s="27">
        <v>23</v>
      </c>
      <c r="G166" s="28">
        <f t="shared" si="36"/>
        <v>96.600000000000009</v>
      </c>
      <c r="H166" s="26" t="s">
        <v>19</v>
      </c>
      <c r="I166" s="26" t="s">
        <v>162</v>
      </c>
      <c r="J166" s="26" t="s">
        <v>27</v>
      </c>
      <c r="K166" s="29">
        <v>0.34027777777777779</v>
      </c>
      <c r="L166" s="29">
        <v>0.3576388888888889</v>
      </c>
      <c r="M166" s="30">
        <f t="shared" ca="1" si="37"/>
        <v>1.7361111111111105E-2</v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249</v>
      </c>
      <c r="F167" s="27">
        <v>14</v>
      </c>
      <c r="G167" s="34">
        <f t="shared" si="36"/>
        <v>58.800000000000004</v>
      </c>
      <c r="H167" s="33" t="s">
        <v>20</v>
      </c>
      <c r="I167" s="33" t="s">
        <v>57</v>
      </c>
      <c r="J167" s="33" t="s">
        <v>36</v>
      </c>
      <c r="K167" s="29">
        <v>0.45208333333333334</v>
      </c>
      <c r="L167" s="29">
        <v>0.45833333333333331</v>
      </c>
      <c r="M167" s="35">
        <f t="shared" ca="1" si="37"/>
        <v>6.2499999999999778E-3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249</v>
      </c>
      <c r="F168" s="27">
        <v>10</v>
      </c>
      <c r="G168" s="28">
        <f t="shared" si="36"/>
        <v>42</v>
      </c>
      <c r="H168" s="26" t="s">
        <v>18</v>
      </c>
      <c r="I168" s="26" t="s">
        <v>57</v>
      </c>
      <c r="J168" s="26" t="s">
        <v>156</v>
      </c>
      <c r="K168" s="29">
        <v>0.46875</v>
      </c>
      <c r="L168" s="29">
        <v>0.49305555555555558</v>
      </c>
      <c r="M168" s="30">
        <f t="shared" ca="1" si="37"/>
        <v>2.430555555555558E-2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249</v>
      </c>
      <c r="F169" s="27">
        <v>14</v>
      </c>
      <c r="G169" s="34">
        <f t="shared" si="36"/>
        <v>58.800000000000004</v>
      </c>
      <c r="H169" s="33" t="s">
        <v>20</v>
      </c>
      <c r="I169" s="33" t="s">
        <v>141</v>
      </c>
      <c r="J169" s="33" t="s">
        <v>74</v>
      </c>
      <c r="K169" s="29">
        <v>0.52569444444444446</v>
      </c>
      <c r="L169" s="29">
        <v>0.55000000000000004</v>
      </c>
      <c r="M169" s="35">
        <f t="shared" ca="1" si="37"/>
        <v>2.430555555555558E-2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249</v>
      </c>
      <c r="F170" s="27">
        <v>18</v>
      </c>
      <c r="G170" s="28">
        <f t="shared" si="36"/>
        <v>75.600000000000009</v>
      </c>
      <c r="H170" s="26" t="s">
        <v>19</v>
      </c>
      <c r="I170" s="26" t="s">
        <v>162</v>
      </c>
      <c r="J170" s="26" t="s">
        <v>27</v>
      </c>
      <c r="K170" s="29">
        <v>0.62847222222222221</v>
      </c>
      <c r="L170" s="29">
        <v>0.64930555555555558</v>
      </c>
      <c r="M170" s="30">
        <f t="shared" ca="1" si="37"/>
        <v>2.083333333333337E-2</v>
      </c>
      <c r="N170" s="27" t="s">
        <v>298</v>
      </c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249</v>
      </c>
      <c r="F171" s="27">
        <v>17</v>
      </c>
      <c r="G171" s="34">
        <f t="shared" si="36"/>
        <v>71.400000000000006</v>
      </c>
      <c r="H171" s="33" t="s">
        <v>20</v>
      </c>
      <c r="I171" s="33" t="s">
        <v>141</v>
      </c>
      <c r="J171" s="33" t="s">
        <v>74</v>
      </c>
      <c r="K171" s="29">
        <v>0.69791666666666663</v>
      </c>
      <c r="L171" s="29">
        <v>0.71250000000000002</v>
      </c>
      <c r="M171" s="35">
        <f t="shared" ca="1" si="37"/>
        <v>1.4583333333333393E-2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249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249</v>
      </c>
      <c r="F173" s="27">
        <v>14</v>
      </c>
      <c r="G173" s="34">
        <f t="shared" si="36"/>
        <v>58.800000000000004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249</v>
      </c>
      <c r="F174" s="27">
        <v>15</v>
      </c>
      <c r="G174" s="28">
        <f t="shared" si="36"/>
        <v>63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249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4" t="s">
        <v>234</v>
      </c>
      <c r="B176" s="105"/>
      <c r="C176" s="105"/>
      <c r="D176" s="105"/>
      <c r="E176" s="106">
        <f>SUM(E164:E175)</f>
        <v>0</v>
      </c>
      <c r="F176" s="36">
        <f>SUM(F164:F175)</f>
        <v>162</v>
      </c>
      <c r="G176" s="36">
        <f>SUM(G164:G175)</f>
        <v>680.4</v>
      </c>
      <c r="H176" s="37"/>
      <c r="I176" s="37"/>
      <c r="J176" s="37"/>
      <c r="K176" s="61"/>
      <c r="L176" s="61"/>
      <c r="M176" s="38">
        <f ca="1">IFERROR(SUM(M164:M175),"")</f>
        <v>0.13263888888888897</v>
      </c>
      <c r="N176" s="36" t="s">
        <v>235</v>
      </c>
      <c r="O176" s="39">
        <v>659400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249</v>
      </c>
      <c r="F177" s="27">
        <v>12</v>
      </c>
      <c r="G177" s="34">
        <f t="shared" ref="G177:G188" si="39">IF(F177="","",IF(E177="PC 17",F177*4.2,IF(E177="PC 19",F177*5,IF(E177="CB",F177*24,""))))</f>
        <v>50.400000000000006</v>
      </c>
      <c r="H177" s="33" t="s">
        <v>17</v>
      </c>
      <c r="I177" s="33"/>
      <c r="J177" s="33" t="s">
        <v>117</v>
      </c>
      <c r="K177" s="29">
        <v>0.8125</v>
      </c>
      <c r="L177" s="29">
        <v>0.84166666666666667</v>
      </c>
      <c r="M177" s="35">
        <f t="shared" ref="M177:M188" ca="1" si="40">IFERROR(IF(K177="","",IF(L177="",MOD(NOW()-K177,1),IF(L177&gt;=K177,L177-K177,L177+1-K177))),"")</f>
        <v>2.9166666666666674E-2</v>
      </c>
      <c r="N177" s="27" t="s">
        <v>299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249</v>
      </c>
      <c r="F178" s="27">
        <v>8</v>
      </c>
      <c r="G178" s="28">
        <f t="shared" si="39"/>
        <v>33.6</v>
      </c>
      <c r="H178" s="26" t="s">
        <v>18</v>
      </c>
      <c r="I178" s="26" t="s">
        <v>141</v>
      </c>
      <c r="J178" s="26" t="s">
        <v>130</v>
      </c>
      <c r="K178" s="29">
        <v>0.96805555555555556</v>
      </c>
      <c r="L178" s="29">
        <v>4.1666666666666664E-2</v>
      </c>
      <c r="M178" s="30">
        <f t="shared" ca="1" si="40"/>
        <v>7.3611111111111183E-2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249</v>
      </c>
      <c r="F179" s="27">
        <v>6</v>
      </c>
      <c r="G179" s="34">
        <f t="shared" si="39"/>
        <v>25.200000000000003</v>
      </c>
      <c r="H179" s="33" t="s">
        <v>19</v>
      </c>
      <c r="I179" s="33" t="s">
        <v>162</v>
      </c>
      <c r="J179" s="26" t="s">
        <v>27</v>
      </c>
      <c r="K179" s="29">
        <v>0.1076388888888889</v>
      </c>
      <c r="L179" s="29">
        <v>0.12847222222222221</v>
      </c>
      <c r="M179" s="35">
        <f t="shared" ca="1" si="40"/>
        <v>2.0833333333333315E-2</v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249</v>
      </c>
      <c r="F180" s="27">
        <v>23</v>
      </c>
      <c r="G180" s="28">
        <f t="shared" si="39"/>
        <v>96.600000000000009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249</v>
      </c>
      <c r="F181" s="27">
        <v>10</v>
      </c>
      <c r="G181" s="34">
        <f t="shared" si="39"/>
        <v>42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249</v>
      </c>
      <c r="F182" s="27">
        <v>13</v>
      </c>
      <c r="G182" s="28">
        <f t="shared" si="39"/>
        <v>54.6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249</v>
      </c>
      <c r="F183" s="27">
        <v>16</v>
      </c>
      <c r="G183" s="34">
        <f t="shared" si="39"/>
        <v>67.2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249</v>
      </c>
      <c r="F184" s="27">
        <v>9</v>
      </c>
      <c r="G184" s="28">
        <f t="shared" si="39"/>
        <v>37.800000000000004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249</v>
      </c>
      <c r="F185" s="27">
        <v>19</v>
      </c>
      <c r="G185" s="34">
        <f t="shared" si="39"/>
        <v>79.8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249</v>
      </c>
      <c r="F186" s="27">
        <v>20</v>
      </c>
      <c r="G186" s="28">
        <f t="shared" si="39"/>
        <v>84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249</v>
      </c>
      <c r="F187" s="27">
        <v>18</v>
      </c>
      <c r="G187" s="34">
        <f t="shared" si="39"/>
        <v>75.600000000000009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249</v>
      </c>
      <c r="F188" s="27">
        <v>8</v>
      </c>
      <c r="G188" s="28">
        <f t="shared" si="39"/>
        <v>33.6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4" t="s">
        <v>237</v>
      </c>
      <c r="B189" s="105"/>
      <c r="C189" s="105"/>
      <c r="D189" s="105"/>
      <c r="E189" s="106">
        <f>SUM(E177:E188)</f>
        <v>0</v>
      </c>
      <c r="F189" s="36">
        <f>SUM(F177:F188)</f>
        <v>162</v>
      </c>
      <c r="G189" s="36">
        <f>SUM(G177:G188)</f>
        <v>680.40000000000009</v>
      </c>
      <c r="H189" s="37"/>
      <c r="I189" s="37"/>
      <c r="J189" s="37"/>
      <c r="K189" s="61"/>
      <c r="L189" s="61"/>
      <c r="M189" s="38">
        <f ca="1">IFERROR(SUM(M177:M188),"")</f>
        <v>0.12361111111111117</v>
      </c>
      <c r="N189" s="36" t="s">
        <v>235</v>
      </c>
      <c r="O189" s="39">
        <v>692750</v>
      </c>
    </row>
    <row r="190" spans="1:15" ht="18" customHeight="1">
      <c r="A190" s="101" t="s">
        <v>238</v>
      </c>
      <c r="B190" s="102"/>
      <c r="C190" s="102"/>
      <c r="D190" s="102"/>
      <c r="E190" s="103">
        <f>E176+E189</f>
        <v>0</v>
      </c>
      <c r="F190" s="40">
        <f>F176+F189</f>
        <v>324</v>
      </c>
      <c r="G190" s="40">
        <f>G176+G189</f>
        <v>1360.8000000000002</v>
      </c>
      <c r="H190" s="41"/>
      <c r="I190" s="41"/>
      <c r="J190" s="41"/>
      <c r="K190" s="63"/>
      <c r="L190" s="63"/>
      <c r="M190" s="42">
        <f ca="1">IFERROR(M176+M189,"")</f>
        <v>0.25625000000000014</v>
      </c>
      <c r="N190" s="40" t="s">
        <v>239</v>
      </c>
      <c r="O190" s="43">
        <f>IFERROR(O176+O189,"")</f>
        <v>1352150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249</v>
      </c>
      <c r="F191" s="27">
        <v>15</v>
      </c>
      <c r="G191" s="34">
        <f t="shared" ref="G191:G202" si="42">IF(F191="","",IF(E191="PC 17",F191*4.2,IF(E191="PC 19",F191*5,IF(E191="CB",F191*24,""))))</f>
        <v>63</v>
      </c>
      <c r="H191" s="33" t="s">
        <v>19</v>
      </c>
      <c r="I191" s="33" t="s">
        <v>162</v>
      </c>
      <c r="J191" s="33" t="s">
        <v>27</v>
      </c>
      <c r="K191" s="29">
        <v>0.29166666666666669</v>
      </c>
      <c r="L191" s="29">
        <v>0.31111111111111112</v>
      </c>
      <c r="M191" s="35">
        <f t="shared" ref="M191:M202" ca="1" si="43">IFERROR(IF(K191="","",IF(L191="",MOD(NOW()-K191,1),IF(L191&gt;=K191,L191-K191,L191+1-K191))),"")</f>
        <v>1.9444444444444431E-2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249</v>
      </c>
      <c r="F192" s="27">
        <v>15</v>
      </c>
      <c r="G192" s="28">
        <f t="shared" si="42"/>
        <v>63</v>
      </c>
      <c r="H192" s="26" t="s">
        <v>18</v>
      </c>
      <c r="I192" s="26" t="s">
        <v>52</v>
      </c>
      <c r="J192" s="33" t="s">
        <v>156</v>
      </c>
      <c r="K192" s="29">
        <v>0.55138888888888893</v>
      </c>
      <c r="L192" s="29">
        <v>0.58750000000000002</v>
      </c>
      <c r="M192" s="30">
        <f t="shared" ca="1" si="43"/>
        <v>3.6111111111111094E-2</v>
      </c>
      <c r="N192" s="27" t="s">
        <v>300</v>
      </c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249</v>
      </c>
      <c r="F193" s="27">
        <v>14</v>
      </c>
      <c r="G193" s="34">
        <f t="shared" si="42"/>
        <v>58.800000000000004</v>
      </c>
      <c r="H193" s="33" t="s">
        <v>20</v>
      </c>
      <c r="I193" s="33" t="s">
        <v>57</v>
      </c>
      <c r="J193" s="33" t="s">
        <v>28</v>
      </c>
      <c r="K193" s="29">
        <v>0.67013888888888884</v>
      </c>
      <c r="L193" s="29">
        <v>0.67638888888888893</v>
      </c>
      <c r="M193" s="35">
        <f t="shared" ca="1" si="43"/>
        <v>6.2500000000000888E-3</v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249</v>
      </c>
      <c r="F194" s="27">
        <v>18</v>
      </c>
      <c r="G194" s="28">
        <f t="shared" si="42"/>
        <v>75.600000000000009</v>
      </c>
      <c r="H194" s="26" t="s">
        <v>20</v>
      </c>
      <c r="I194" s="26" t="s">
        <v>157</v>
      </c>
      <c r="J194" s="26" t="s">
        <v>74</v>
      </c>
      <c r="K194" s="29">
        <v>0.69861111111111107</v>
      </c>
      <c r="L194" s="29">
        <v>0.70486111111111116</v>
      </c>
      <c r="M194" s="30">
        <f t="shared" ca="1" si="43"/>
        <v>6.2500000000000888E-3</v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249</v>
      </c>
      <c r="F195" s="27">
        <v>10</v>
      </c>
      <c r="G195" s="34">
        <f t="shared" si="42"/>
        <v>42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249</v>
      </c>
      <c r="F196" s="27">
        <v>17</v>
      </c>
      <c r="G196" s="28">
        <f t="shared" si="42"/>
        <v>71.400000000000006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249</v>
      </c>
      <c r="F197" s="27">
        <v>0</v>
      </c>
      <c r="G197" s="34">
        <f t="shared" si="42"/>
        <v>0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249</v>
      </c>
      <c r="F198" s="27">
        <v>16</v>
      </c>
      <c r="G198" s="28">
        <f t="shared" si="42"/>
        <v>67.2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249</v>
      </c>
      <c r="F199" s="27">
        <v>17</v>
      </c>
      <c r="G199" s="34">
        <f t="shared" si="42"/>
        <v>71.400000000000006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249</v>
      </c>
      <c r="F200" s="27">
        <v>20</v>
      </c>
      <c r="G200" s="28">
        <f t="shared" si="42"/>
        <v>84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249</v>
      </c>
      <c r="F201" s="27">
        <v>10</v>
      </c>
      <c r="G201" s="34">
        <f t="shared" si="42"/>
        <v>42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249</v>
      </c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4" t="s">
        <v>234</v>
      </c>
      <c r="B203" s="105"/>
      <c r="C203" s="105"/>
      <c r="D203" s="105"/>
      <c r="E203" s="106">
        <f>SUM(E191:E202)</f>
        <v>0</v>
      </c>
      <c r="F203" s="36">
        <f>SUM(F191:F202)</f>
        <v>152</v>
      </c>
      <c r="G203" s="36">
        <f>SUM(G191:G202)</f>
        <v>638.40000000000009</v>
      </c>
      <c r="H203" s="37"/>
      <c r="I203" s="37"/>
      <c r="J203" s="37"/>
      <c r="K203" s="61"/>
      <c r="L203" s="61"/>
      <c r="M203" s="38">
        <f ca="1">IFERROR(SUM(M191:M202),"")</f>
        <v>6.8055555555555702E-2</v>
      </c>
      <c r="N203" s="36" t="s">
        <v>235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/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4" t="s">
        <v>237</v>
      </c>
      <c r="B216" s="105"/>
      <c r="C216" s="105"/>
      <c r="D216" s="105"/>
      <c r="E216" s="106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235</v>
      </c>
      <c r="O216" s="45"/>
    </row>
    <row r="217" spans="1:15" ht="18" customHeight="1">
      <c r="A217" s="101" t="s">
        <v>238</v>
      </c>
      <c r="B217" s="102"/>
      <c r="C217" s="102"/>
      <c r="D217" s="102"/>
      <c r="E217" s="103">
        <f>E203+E216</f>
        <v>0</v>
      </c>
      <c r="F217" s="40">
        <f>F203+F216</f>
        <v>152</v>
      </c>
      <c r="G217" s="40">
        <f>G203+G216</f>
        <v>638.40000000000009</v>
      </c>
      <c r="H217" s="41"/>
      <c r="I217" s="41"/>
      <c r="J217" s="41"/>
      <c r="K217" s="63"/>
      <c r="L217" s="63"/>
      <c r="M217" s="42">
        <f ca="1">IFERROR(M203+M216,"")</f>
        <v>6.8055555555555702E-2</v>
      </c>
      <c r="N217" s="40" t="s">
        <v>239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4" t="s">
        <v>234</v>
      </c>
      <c r="B230" s="105"/>
      <c r="C230" s="105"/>
      <c r="D230" s="105"/>
      <c r="E230" s="106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235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4" t="s">
        <v>237</v>
      </c>
      <c r="B243" s="105"/>
      <c r="C243" s="105"/>
      <c r="D243" s="105"/>
      <c r="E243" s="106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235</v>
      </c>
      <c r="O243" s="39"/>
    </row>
    <row r="244" spans="1:15" ht="18" customHeight="1">
      <c r="A244" s="101" t="s">
        <v>238</v>
      </c>
      <c r="B244" s="102"/>
      <c r="C244" s="102"/>
      <c r="D244" s="102"/>
      <c r="E244" s="103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239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4" t="s">
        <v>234</v>
      </c>
      <c r="B257" s="105"/>
      <c r="C257" s="105"/>
      <c r="D257" s="105"/>
      <c r="E257" s="106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235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4" t="s">
        <v>237</v>
      </c>
      <c r="B270" s="105"/>
      <c r="C270" s="105"/>
      <c r="D270" s="105"/>
      <c r="E270" s="106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235</v>
      </c>
      <c r="O270" s="39"/>
    </row>
    <row r="271" spans="1:15" ht="18" customHeight="1">
      <c r="A271" s="101" t="s">
        <v>238</v>
      </c>
      <c r="B271" s="102"/>
      <c r="C271" s="102"/>
      <c r="D271" s="102"/>
      <c r="E271" s="103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239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4" t="s">
        <v>234</v>
      </c>
      <c r="B284" s="105"/>
      <c r="C284" s="105"/>
      <c r="D284" s="105"/>
      <c r="E284" s="106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235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4" t="s">
        <v>237</v>
      </c>
      <c r="B297" s="105"/>
      <c r="C297" s="105"/>
      <c r="D297" s="105"/>
      <c r="E297" s="106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235</v>
      </c>
      <c r="O297" s="39"/>
    </row>
    <row r="298" spans="1:15" ht="18" customHeight="1">
      <c r="A298" s="101" t="s">
        <v>238</v>
      </c>
      <c r="B298" s="102"/>
      <c r="C298" s="102"/>
      <c r="D298" s="102"/>
      <c r="E298" s="103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239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4" t="s">
        <v>234</v>
      </c>
      <c r="B311" s="105"/>
      <c r="C311" s="105"/>
      <c r="D311" s="105"/>
      <c r="E311" s="106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235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4" t="s">
        <v>237</v>
      </c>
      <c r="B324" s="105"/>
      <c r="C324" s="105"/>
      <c r="D324" s="105"/>
      <c r="E324" s="106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235</v>
      </c>
      <c r="O324" s="39"/>
    </row>
    <row r="325" spans="1:15" ht="18" customHeight="1">
      <c r="A325" s="101" t="s">
        <v>238</v>
      </c>
      <c r="B325" s="102"/>
      <c r="C325" s="102"/>
      <c r="D325" s="102"/>
      <c r="E325" s="103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239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4" t="s">
        <v>234</v>
      </c>
      <c r="B338" s="105"/>
      <c r="C338" s="105"/>
      <c r="D338" s="105"/>
      <c r="E338" s="106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235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4" t="s">
        <v>237</v>
      </c>
      <c r="B351" s="105"/>
      <c r="C351" s="105"/>
      <c r="D351" s="105"/>
      <c r="E351" s="106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235</v>
      </c>
      <c r="O351" s="39"/>
    </row>
    <row r="352" spans="1:15" ht="18" customHeight="1">
      <c r="A352" s="101" t="s">
        <v>238</v>
      </c>
      <c r="B352" s="102"/>
      <c r="C352" s="102"/>
      <c r="D352" s="102"/>
      <c r="E352" s="103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239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234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235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4" t="s">
        <v>237</v>
      </c>
      <c r="B378" s="105"/>
      <c r="C378" s="105"/>
      <c r="D378" s="105"/>
      <c r="E378" s="106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235</v>
      </c>
      <c r="O378" s="39"/>
    </row>
    <row r="379" spans="1:15" ht="18" customHeight="1">
      <c r="A379" s="101" t="s">
        <v>238</v>
      </c>
      <c r="B379" s="102"/>
      <c r="C379" s="102"/>
      <c r="D379" s="102"/>
      <c r="E379" s="103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239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4" t="s">
        <v>234</v>
      </c>
      <c r="B392" s="105"/>
      <c r="C392" s="105"/>
      <c r="D392" s="105"/>
      <c r="E392" s="106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235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4" t="s">
        <v>237</v>
      </c>
      <c r="B405" s="105"/>
      <c r="C405" s="105"/>
      <c r="D405" s="105"/>
      <c r="E405" s="106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235</v>
      </c>
      <c r="O405" s="39"/>
    </row>
    <row r="406" spans="1:15" ht="18" customHeight="1">
      <c r="A406" s="101" t="s">
        <v>238</v>
      </c>
      <c r="B406" s="102"/>
      <c r="C406" s="102"/>
      <c r="D406" s="102"/>
      <c r="E406" s="103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239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4" t="s">
        <v>234</v>
      </c>
      <c r="B419" s="105"/>
      <c r="C419" s="105"/>
      <c r="D419" s="105"/>
      <c r="E419" s="10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235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4" t="s">
        <v>237</v>
      </c>
      <c r="B432" s="105"/>
      <c r="C432" s="105"/>
      <c r="D432" s="105"/>
      <c r="E432" s="10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235</v>
      </c>
      <c r="O432" s="39"/>
    </row>
    <row r="433" spans="1:17" ht="18" customHeight="1">
      <c r="A433" s="101" t="s">
        <v>238</v>
      </c>
      <c r="B433" s="102"/>
      <c r="C433" s="102"/>
      <c r="D433" s="102"/>
      <c r="E433" s="103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239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4" t="s">
        <v>234</v>
      </c>
      <c r="B446" s="105"/>
      <c r="C446" s="105"/>
      <c r="D446" s="105"/>
      <c r="E446" s="10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235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4" t="s">
        <v>237</v>
      </c>
      <c r="B459" s="105"/>
      <c r="C459" s="105"/>
      <c r="D459" s="105"/>
      <c r="E459" s="10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235</v>
      </c>
      <c r="O459" s="39"/>
    </row>
    <row r="460" spans="1:15" ht="18" customHeight="1">
      <c r="A460" s="101" t="s">
        <v>238</v>
      </c>
      <c r="B460" s="102"/>
      <c r="C460" s="102"/>
      <c r="D460" s="102"/>
      <c r="E460" s="103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239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4" t="s">
        <v>234</v>
      </c>
      <c r="B473" s="105"/>
      <c r="C473" s="105"/>
      <c r="D473" s="105"/>
      <c r="E473" s="10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235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4" t="s">
        <v>237</v>
      </c>
      <c r="B486" s="105"/>
      <c r="C486" s="105"/>
      <c r="D486" s="105"/>
      <c r="E486" s="10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235</v>
      </c>
      <c r="O486" s="39"/>
    </row>
    <row r="487" spans="1:15" ht="18" customHeight="1">
      <c r="A487" s="101" t="s">
        <v>238</v>
      </c>
      <c r="B487" s="102"/>
      <c r="C487" s="102"/>
      <c r="D487" s="102"/>
      <c r="E487" s="103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239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4" t="s">
        <v>234</v>
      </c>
      <c r="B500" s="105"/>
      <c r="C500" s="105"/>
      <c r="D500" s="105"/>
      <c r="E500" s="10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235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4" t="s">
        <v>237</v>
      </c>
      <c r="B513" s="105"/>
      <c r="C513" s="105"/>
      <c r="D513" s="105"/>
      <c r="E513" s="10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235</v>
      </c>
      <c r="O513" s="39"/>
    </row>
    <row r="514" spans="1:15" ht="18" customHeight="1">
      <c r="A514" s="101" t="s">
        <v>238</v>
      </c>
      <c r="B514" s="102"/>
      <c r="C514" s="102"/>
      <c r="D514" s="102"/>
      <c r="E514" s="103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239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4" t="s">
        <v>234</v>
      </c>
      <c r="B527" s="105"/>
      <c r="C527" s="105"/>
      <c r="D527" s="105"/>
      <c r="E527" s="10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235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4" t="s">
        <v>237</v>
      </c>
      <c r="B540" s="105"/>
      <c r="C540" s="105"/>
      <c r="D540" s="105"/>
      <c r="E540" s="10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235</v>
      </c>
      <c r="O540" s="39"/>
    </row>
    <row r="541" spans="1:15" ht="18" customHeight="1">
      <c r="A541" s="101" t="s">
        <v>238</v>
      </c>
      <c r="B541" s="102"/>
      <c r="C541" s="102"/>
      <c r="D541" s="102"/>
      <c r="E541" s="103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239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4" t="s">
        <v>234</v>
      </c>
      <c r="B554" s="105"/>
      <c r="C554" s="105"/>
      <c r="D554" s="105"/>
      <c r="E554" s="10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235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4" t="s">
        <v>237</v>
      </c>
      <c r="B567" s="105"/>
      <c r="C567" s="105"/>
      <c r="D567" s="105"/>
      <c r="E567" s="10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235</v>
      </c>
      <c r="O567" s="39"/>
    </row>
    <row r="568" spans="1:15" ht="18" customHeight="1">
      <c r="A568" s="101" t="s">
        <v>238</v>
      </c>
      <c r="B568" s="102"/>
      <c r="C568" s="102"/>
      <c r="D568" s="102"/>
      <c r="E568" s="10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239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4" t="s">
        <v>234</v>
      </c>
      <c r="B581" s="105"/>
      <c r="C581" s="105"/>
      <c r="D581" s="105"/>
      <c r="E581" s="10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235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4" t="s">
        <v>237</v>
      </c>
      <c r="B594" s="105"/>
      <c r="C594" s="105"/>
      <c r="D594" s="105"/>
      <c r="E594" s="10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235</v>
      </c>
      <c r="O594" s="39"/>
    </row>
    <row r="595" spans="1:15" ht="18" customHeight="1">
      <c r="A595" s="101" t="s">
        <v>238</v>
      </c>
      <c r="B595" s="102"/>
      <c r="C595" s="102"/>
      <c r="D595" s="102"/>
      <c r="E595" s="10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239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4" t="s">
        <v>234</v>
      </c>
      <c r="B608" s="105"/>
      <c r="C608" s="105"/>
      <c r="D608" s="105"/>
      <c r="E608" s="10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235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4" t="s">
        <v>237</v>
      </c>
      <c r="B621" s="105"/>
      <c r="C621" s="105"/>
      <c r="D621" s="105"/>
      <c r="E621" s="10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235</v>
      </c>
      <c r="O621" s="39"/>
    </row>
    <row r="622" spans="1:15" ht="18" customHeight="1">
      <c r="A622" s="101" t="s">
        <v>238</v>
      </c>
      <c r="B622" s="102"/>
      <c r="C622" s="102"/>
      <c r="D622" s="102"/>
      <c r="E622" s="10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239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4" t="s">
        <v>234</v>
      </c>
      <c r="B635" s="105"/>
      <c r="C635" s="105"/>
      <c r="D635" s="105"/>
      <c r="E635" s="10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235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4" t="s">
        <v>237</v>
      </c>
      <c r="B648" s="105"/>
      <c r="C648" s="105"/>
      <c r="D648" s="105"/>
      <c r="E648" s="10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235</v>
      </c>
      <c r="O648" s="39"/>
    </row>
    <row r="649" spans="1:15" ht="18" customHeight="1">
      <c r="A649" s="101" t="s">
        <v>238</v>
      </c>
      <c r="B649" s="102"/>
      <c r="C649" s="102"/>
      <c r="D649" s="102"/>
      <c r="E649" s="10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239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4" t="s">
        <v>234</v>
      </c>
      <c r="B662" s="105"/>
      <c r="C662" s="105"/>
      <c r="D662" s="105"/>
      <c r="E662" s="10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235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4" t="s">
        <v>237</v>
      </c>
      <c r="B675" s="105"/>
      <c r="C675" s="105"/>
      <c r="D675" s="105"/>
      <c r="E675" s="10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235</v>
      </c>
      <c r="O675" s="39"/>
    </row>
    <row r="676" spans="1:15" ht="18" customHeight="1">
      <c r="A676" s="101" t="s">
        <v>238</v>
      </c>
      <c r="B676" s="102"/>
      <c r="C676" s="102"/>
      <c r="D676" s="102"/>
      <c r="E676" s="10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239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4" t="s">
        <v>234</v>
      </c>
      <c r="B689" s="105"/>
      <c r="C689" s="105"/>
      <c r="D689" s="105"/>
      <c r="E689" s="10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235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4" t="s">
        <v>237</v>
      </c>
      <c r="B702" s="105"/>
      <c r="C702" s="105"/>
      <c r="D702" s="105"/>
      <c r="E702" s="10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235</v>
      </c>
      <c r="O702" s="39"/>
    </row>
    <row r="703" spans="1:15" ht="18" customHeight="1">
      <c r="A703" s="101" t="s">
        <v>238</v>
      </c>
      <c r="B703" s="102"/>
      <c r="C703" s="102"/>
      <c r="D703" s="102"/>
      <c r="E703" s="10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239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4" t="s">
        <v>234</v>
      </c>
      <c r="B716" s="105"/>
      <c r="C716" s="105"/>
      <c r="D716" s="105"/>
      <c r="E716" s="10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235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4" t="s">
        <v>237</v>
      </c>
      <c r="B729" s="105"/>
      <c r="C729" s="105"/>
      <c r="D729" s="105"/>
      <c r="E729" s="10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235</v>
      </c>
      <c r="O729" s="39"/>
    </row>
    <row r="730" spans="1:15" ht="18" customHeight="1">
      <c r="A730" s="101" t="s">
        <v>238</v>
      </c>
      <c r="B730" s="102"/>
      <c r="C730" s="102"/>
      <c r="D730" s="102"/>
      <c r="E730" s="10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239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4" t="s">
        <v>234</v>
      </c>
      <c r="B743" s="105"/>
      <c r="C743" s="105"/>
      <c r="D743" s="105"/>
      <c r="E743" s="10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235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4" t="s">
        <v>237</v>
      </c>
      <c r="B756" s="105"/>
      <c r="C756" s="105"/>
      <c r="D756" s="105"/>
      <c r="E756" s="10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1" t="s">
        <v>238</v>
      </c>
      <c r="B757" s="102"/>
      <c r="C757" s="102"/>
      <c r="D757" s="102"/>
      <c r="E757" s="10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239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4" t="s">
        <v>234</v>
      </c>
      <c r="B770" s="105"/>
      <c r="C770" s="105"/>
      <c r="D770" s="105"/>
      <c r="E770" s="10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235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4" t="s">
        <v>237</v>
      </c>
      <c r="B783" s="105"/>
      <c r="C783" s="105"/>
      <c r="D783" s="105"/>
      <c r="E783" s="10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1" t="s">
        <v>238</v>
      </c>
      <c r="B784" s="102"/>
      <c r="C784" s="102"/>
      <c r="D784" s="102"/>
      <c r="E784" s="10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239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4" t="s">
        <v>234</v>
      </c>
      <c r="B797" s="105"/>
      <c r="C797" s="105"/>
      <c r="D797" s="105"/>
      <c r="E797" s="10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4" t="s">
        <v>237</v>
      </c>
      <c r="B810" s="105"/>
      <c r="C810" s="105"/>
      <c r="D810" s="105"/>
      <c r="E810" s="10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1" t="s">
        <v>238</v>
      </c>
      <c r="B811" s="102"/>
      <c r="C811" s="102"/>
      <c r="D811" s="102"/>
      <c r="E811" s="10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239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4" t="s">
        <v>234</v>
      </c>
      <c r="B824" s="105"/>
      <c r="C824" s="105"/>
      <c r="D824" s="105"/>
      <c r="E824" s="106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235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4" t="s">
        <v>237</v>
      </c>
      <c r="B837" s="105"/>
      <c r="C837" s="105"/>
      <c r="D837" s="105"/>
      <c r="E837" s="106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235</v>
      </c>
      <c r="O837" s="39"/>
    </row>
    <row r="838" spans="1:15" ht="18" customHeight="1">
      <c r="A838" s="101" t="s">
        <v>238</v>
      </c>
      <c r="B838" s="102"/>
      <c r="C838" s="102"/>
      <c r="D838" s="102"/>
      <c r="E838" s="103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239</v>
      </c>
      <c r="O838" s="48">
        <f>IFERROR(O824+O837,"")</f>
        <v>0</v>
      </c>
    </row>
  </sheetData>
  <mergeCells count="91"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29:E40 E42:E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C149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2026-08-08T22:02:23Z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