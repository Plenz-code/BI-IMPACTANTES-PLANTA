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17" documentId="8_{AF585B22-221D-4780-BB9C-493D365A6A02}" xr6:coauthVersionLast="47" xr6:coauthVersionMax="47" xr10:uidLastSave="{B6B92FEC-999D-41C3-BA42-F7BA508D6154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703" i="4" l="1"/>
  <c r="E689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716" i="5" l="1"/>
  <c r="G716" i="6"/>
  <c r="G730" i="6" s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03" i="4" s="1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3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<sst xmlns="http://schemas.openxmlformats.org/spreadsheetml/2006/main" count="10720" uniqueCount="402">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</sst>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 t="s">
        <v>218</v>
      </c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0" zoomScaleNormal="80" workbookViewId="0">
      <pane ySplit="1" topLeftCell="A670" activePane="bottomLeft" state="frozen"/>
      <selection pane="bottomLeft" activeCell="O703" sqref="O70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8</v>
      </c>
      <c r="G716" s="36">
        <f>SUM(G704:G715)</f>
        <v>40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8</v>
      </c>
      <c r="G730" s="40">
        <f>G716+G729</f>
        <v>40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0" zoomScaleNormal="80" workbookViewId="0">
      <pane ySplit="1" topLeftCell="A670" activePane="bottomLeft" state="frozen"/>
      <selection pane="bottomLeft" activeCell="I690" sqref="I690:I695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0.11194907407480059</v>
      </c>
      <c r="N377" s="46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0.26958796296368948</v>
      </c>
      <c r="N378" s="36" t="s">
        <v>233</v>
      </c>
      <c r="O378" s="77">
        <v>511980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0.37931018518591164</v>
      </c>
      <c r="N379" s="40" t="s">
        <v>236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9.0421296299609821E-2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0.26125462963294321</v>
      </c>
      <c r="N432" s="36" t="s">
        <v>233</v>
      </c>
      <c r="O432" s="77">
        <v>484540</v>
      </c>
    </row>
    <row r="433" spans="1:15" ht="18" customHeight="1" x14ac:dyDescent="0.25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0.40639351852183209</v>
      </c>
      <c r="N433" s="40" t="s">
        <v>236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 x14ac:dyDescent="0.25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/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233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236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11</v>
      </c>
      <c r="G704" s="28">
        <f t="shared" ref="G704:G715" si="156">IF(F704="","",IF(E704="PC 17",F704*4.2,IF(E704="PC 19",F704*5,"")))</f>
        <v>46.2</v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11</v>
      </c>
      <c r="G716" s="36">
        <f>SUM(G704:G715)</f>
        <v>46.2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11</v>
      </c>
      <c r="G730" s="40">
        <f>G716+G729</f>
        <v>46.2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3" zoomScale="90" zoomScaleNormal="90" workbookViewId="0">
      <selection activeCell="G711" sqref="G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8</v>
      </c>
      <c r="G704" s="28">
        <f t="shared" ref="G704:G715" si="156">IF(F704="","",IF(E704="PC 17",F704*4.2,IF(E704="PC 19",F704*5,"")))</f>
        <v>33.6</v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8</v>
      </c>
      <c r="G716" s="36">
        <f>SUM(G704:G715)</f>
        <v>33.6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8</v>
      </c>
      <c r="G730" s="40">
        <f>G716+G729</f>
        <v>33.6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669" activePane="bottomLeft" state="frozen"/>
      <selection pane="bottomLeft" activeCell="K705" sqref="K705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 x14ac:dyDescent="0.25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 x14ac:dyDescent="0.25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 x14ac:dyDescent="0.25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 x14ac:dyDescent="0.25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0.10222685185726732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0.30153240741282294</v>
      </c>
      <c r="N135" s="36" t="s">
        <v>233</v>
      </c>
      <c r="O135" s="39">
        <v>729290</v>
      </c>
    </row>
    <row r="136" spans="1:18" ht="18" customHeight="1" x14ac:dyDescent="0.25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0.66889351852393397</v>
      </c>
      <c r="N136" s="40" t="s">
        <v>236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 x14ac:dyDescent="0.25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 x14ac:dyDescent="0.25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 x14ac:dyDescent="0.25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 x14ac:dyDescent="0.25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 x14ac:dyDescent="0.25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 x14ac:dyDescent="0.25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 x14ac:dyDescent="0.25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 x14ac:dyDescent="0.25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 x14ac:dyDescent="0.25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 x14ac:dyDescent="0.25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 x14ac:dyDescent="0.25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 x14ac:dyDescent="0.25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 x14ac:dyDescent="0.25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 x14ac:dyDescent="0.25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 x14ac:dyDescent="0.25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 x14ac:dyDescent="0.25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 x14ac:dyDescent="0.25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 x14ac:dyDescent="0.25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 x14ac:dyDescent="0.25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 x14ac:dyDescent="0.25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 x14ac:dyDescent="0.25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159</v>
      </c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5.9865740746317897E-2</v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2</v>
      </c>
      <c r="G716" s="36">
        <f>SUM(G704:G715)</f>
        <v>8.4</v>
      </c>
      <c r="H716" s="37"/>
      <c r="I716" s="37"/>
      <c r="J716" s="37"/>
      <c r="K716" s="61"/>
      <c r="L716" s="61"/>
      <c r="M716" s="38">
        <f ca="1">IFERROR(SUM(M704:M715),"")</f>
        <v>5.9865740746317897E-2</v>
      </c>
      <c r="N716" s="36" t="s">
        <v>233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 x14ac:dyDescent="0.25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2</v>
      </c>
      <c r="G730" s="40">
        <f>G716+G729</f>
        <v>8.4</v>
      </c>
      <c r="H730" s="41"/>
      <c r="I730" s="41"/>
      <c r="J730" s="41"/>
      <c r="K730" s="63"/>
      <c r="L730" s="63"/>
      <c r="M730" s="42">
        <f ca="1">IFERROR(M716+M729,"")</f>
        <v>5.9865740746317897E-2</v>
      </c>
      <c r="N730" s="40" t="s">
        <v>236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 x14ac:dyDescent="0.25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 x14ac:dyDescent="0.25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 x14ac:dyDescent="0.25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2026-07-27T12:27:56Z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