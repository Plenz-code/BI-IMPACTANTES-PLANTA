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727" documentId="13_ncr:1_{A6DBCFB4-28D9-4249-9038-216934055CA6}" xr6:coauthVersionLast="47" xr6:coauthVersionMax="47" xr10:uidLastSave="{1A5D0973-6C6D-4335-B744-C29BB4EB8D25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4" i="6" l="1"/>
  <c r="J585" i="6"/>
  <c r="J586" i="6"/>
  <c r="J587" i="6"/>
  <c r="J588" i="6"/>
  <c r="J589" i="6"/>
  <c r="J590" i="6"/>
  <c r="J591" i="6"/>
  <c r="J592" i="6"/>
  <c r="J593" i="6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<sst xmlns="http://schemas.openxmlformats.org/spreadsheetml/2006/main" count="10077" uniqueCount="428">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</sst>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R17" sqref="R1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79841380</v>
      </c>
      <c r="D35" s="30">
        <f t="shared" si="2"/>
        <v>25386150</v>
      </c>
      <c r="E35" s="30">
        <f t="shared" si="2"/>
        <v>14583440</v>
      </c>
      <c r="F35" s="30">
        <f t="shared" si="2"/>
        <v>34414330</v>
      </c>
      <c r="G35" s="30">
        <f t="shared" si="2"/>
        <v>74383920</v>
      </c>
      <c r="H35" s="31">
        <f t="shared" si="2"/>
        <v>7206.0576326915125</v>
      </c>
      <c r="I35" s="31">
        <f t="shared" si="2"/>
        <v>4967.05</v>
      </c>
      <c r="J35" s="32">
        <f>I35/H35</f>
        <v>0.68928813134467992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78" activePane="bottomLeft" state="frozen"/>
      <selection pane="bottomLeft" activeCell="D600" sqref="D600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304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263</v>
      </c>
      <c r="O594" s="74">
        <v>2100270</v>
      </c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266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261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261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0.16111111111111109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43</v>
      </c>
      <c r="G622" s="1">
        <f>G608+G621</f>
        <v>215</v>
      </c>
      <c r="H622" s="76"/>
      <c r="I622" s="76"/>
      <c r="J622" s="76"/>
      <c r="K622" s="76"/>
      <c r="L622" s="76"/>
      <c r="M622" s="77">
        <f ca="1">IFERROR(M608+M621,"")</f>
        <v>0.16111111111111109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75" activePane="bottomLeft" state="frozen"/>
      <selection pane="bottomLeft" activeCell="O598" sqref="O598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0.3861953703672043</v>
      </c>
      <c r="R53" s="80" t="s">
        <v>315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0.52508425925609203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0.60980648147831484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317</v>
      </c>
      <c r="Q96" s="66" t="str">
        <f t="shared" ref="Q96:Q107" ca="1" si="22">IFERROR(IF(O96="","",IF(P96="",MOD(NOW()-O96,1),IF(P96&gt;=O96,P96-O96,P96+1-O96))),"")</f>
        <v/>
      </c>
      <c r="R96" s="80" t="s">
        <v>318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347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348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349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23.705806451612901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4.9782193548387088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23.705806451612901</v>
      </c>
      <c r="I583" s="90">
        <f>IFERROR(IF($D583="","",VLOOKUP($D583,Cadastro!$C$4:$G$7,5,FALSE())),"")</f>
        <v>0.6</v>
      </c>
      <c r="J583" s="91">
        <f t="shared" si="150"/>
        <v>4.9782193548387088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136.30838709677417</v>
      </c>
      <c r="I584" s="90">
        <f>IFERROR(IF($D584="","",VLOOKUP($D584,Cadastro!$C$4:$G$7,5,FALSE())),"")</f>
        <v>0.6</v>
      </c>
      <c r="J584" s="91">
        <f t="shared" si="150"/>
        <v>28.624761290322571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53.33806451612903</v>
      </c>
      <c r="I585" s="90">
        <f>IFERROR(IF($D585="","",VLOOKUP($D585,Cadastro!$C$4:$G$7,5,FALSE())),"")</f>
        <v>0.6</v>
      </c>
      <c r="J585" s="91">
        <f t="shared" si="150"/>
        <v>11.200993548387096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350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23.705806451612901</v>
      </c>
      <c r="I586" s="90">
        <f>IFERROR(IF($D586="","",VLOOKUP($D586,Cadastro!$C$4:$G$7,5,FALSE())),"")</f>
        <v>0.6</v>
      </c>
      <c r="J586" s="91">
        <f t="shared" si="150"/>
        <v>4.9782193548387088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23.705806451612901</v>
      </c>
      <c r="I587" s="90">
        <f>IFERROR(IF($D587="","",VLOOKUP($D587,Cadastro!$C$4:$G$7,5,FALSE())),"")</f>
        <v>0.6</v>
      </c>
      <c r="J587" s="91">
        <f t="shared" si="150"/>
        <v>4.9782193548387088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35.558709677419358</v>
      </c>
      <c r="I588" s="90">
        <f>IFERROR(IF($D588="","",VLOOKUP($D588,Cadastro!$C$4:$G$7,5,FALSE())),"")</f>
        <v>0.6</v>
      </c>
      <c r="J588" s="91">
        <f t="shared" si="150"/>
        <v>7.4673290322580641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118.52903225806452</v>
      </c>
      <c r="I589" s="90">
        <f>IFERROR(IF($D589="","",VLOOKUP($D589,Cadastro!$C$4:$G$7,5,FALSE())),"")</f>
        <v>0.6</v>
      </c>
      <c r="J589" s="91">
        <f t="shared" si="150"/>
        <v>24.891096774193546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59.264516129032259</v>
      </c>
      <c r="I590" s="90">
        <f>IFERROR(IF($D590="","",VLOOKUP($D590,Cadastro!$C$4:$G$7,5,FALSE())),"")</f>
        <v>0.6</v>
      </c>
      <c r="J590" s="91">
        <f t="shared" si="150"/>
        <v>12.445548387096773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35.558709677419358</v>
      </c>
      <c r="I591" s="90">
        <f>IFERROR(IF($D591="","",VLOOKUP($D591,Cadastro!$C$4:$G$7,5,FALSE())),"")</f>
        <v>0.6</v>
      </c>
      <c r="J591" s="91">
        <f t="shared" si="150"/>
        <v>7.4673290322580641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17.779354838709679</v>
      </c>
      <c r="I592" s="90">
        <f>IFERROR(IF($D592="","",VLOOKUP($D592,Cadastro!$C$4:$G$7,5,FALSE())),"")</f>
        <v>0.6</v>
      </c>
      <c r="J592" s="91">
        <f t="shared" si="150"/>
        <v>3.7336645161290321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551.15999999999985</v>
      </c>
      <c r="I594" s="106"/>
      <c r="J594" s="107">
        <f>IFERROR(SUM(J582:J593),"")</f>
        <v>115.74359999999999</v>
      </c>
      <c r="K594" s="2">
        <f>SUM(K582:K593)</f>
        <v>398.60000000000008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142</v>
      </c>
      <c r="H595" s="108">
        <f>IFERROR(H581+H594,"")</f>
        <v>726.69999999999982</v>
      </c>
      <c r="I595" s="110"/>
      <c r="J595" s="111">
        <f>IFERROR(J581+J594,"")</f>
        <v>152.60699999999997</v>
      </c>
      <c r="K595" s="1">
        <f>K581+K594</f>
        <v>604.40000000000009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0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4"/>
        <v>0</v>
      </c>
      <c r="K597" s="69">
        <f t="shared" si="155"/>
        <v>63</v>
      </c>
      <c r="L597" s="70"/>
      <c r="M597" s="70"/>
      <c r="N597" s="70"/>
      <c r="O597" s="65">
        <v>0.50694444444444442</v>
      </c>
      <c r="P597" s="65"/>
      <c r="Q597" s="71">
        <f t="shared" ca="1" si="156"/>
        <v>7.7858796430518851E-4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0</v>
      </c>
      <c r="I598" s="90">
        <f>IFERROR(IF($D598="","",VLOOKUP($D598,Cadastro!$C$4:$G$7,5,FALSE())),"")</f>
        <v>0.6</v>
      </c>
      <c r="J598" s="91">
        <f t="shared" si="154"/>
        <v>0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0</v>
      </c>
      <c r="I599" s="90">
        <f>IFERROR(IF($D599="","",VLOOKUP($D599,Cadastro!$C$4:$G$7,5,FALSE())),"")</f>
        <v>0.6</v>
      </c>
      <c r="J599" s="91">
        <f t="shared" si="154"/>
        <v>0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0</v>
      </c>
      <c r="I600" s="90">
        <f>IFERROR(IF($D600="","",VLOOKUP($D600,Cadastro!$C$4:$G$7,5,FALSE())),"")</f>
        <v>0.6</v>
      </c>
      <c r="J600" s="91">
        <f t="shared" si="154"/>
        <v>0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56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1.6056365742082968E-2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56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235.2</v>
      </c>
      <c r="L622" s="76"/>
      <c r="M622" s="76"/>
      <c r="N622" s="76"/>
      <c r="O622" s="76"/>
      <c r="P622" s="76"/>
      <c r="Q622" s="77">
        <f ca="1">IFERROR(Q608+Q621,"")</f>
        <v>1.6056365742082968E-2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600" sqref="G600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364</v>
      </c>
      <c r="Q222" s="66" t="str">
        <f t="shared" ca="1" si="49"/>
        <v/>
      </c>
      <c r="R222" s="63" t="s">
        <v>365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316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316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379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351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316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374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261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263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266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0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1"/>
        <v>0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0</v>
      </c>
      <c r="I598" s="90">
        <f>IFERROR(IF($D598="","",VLOOKUP($D598,Cadastro!$C$4:$G$7,5,FALSE())),"")</f>
        <v>0.6</v>
      </c>
      <c r="J598" s="91">
        <f t="shared" si="151"/>
        <v>0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0</v>
      </c>
      <c r="I599" s="90">
        <f>IFERROR(IF($D599="","",VLOOKUP($D599,Cadastro!$C$4:$G$7,5,FALSE())),"")</f>
        <v>0.6</v>
      </c>
      <c r="J599" s="91">
        <f t="shared" si="151"/>
        <v>0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/>
      <c r="Q599" s="71">
        <f t="shared" ca="1" si="153"/>
        <v>3.8973032409558073E-2</v>
      </c>
      <c r="R599" s="63" t="s">
        <v>316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0</v>
      </c>
      <c r="I600" s="90">
        <f>IFERROR(IF($D600="","",VLOOKUP($D600,Cadastro!$C$4:$G$7,5,FALSE())),"")</f>
        <v>0.6</v>
      </c>
      <c r="J600" s="91">
        <f t="shared" si="151"/>
        <v>0</v>
      </c>
      <c r="K600" s="64">
        <f t="shared" si="152"/>
        <v>16.8</v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25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8.6889699076224736E-2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25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105</v>
      </c>
      <c r="L622" s="76"/>
      <c r="M622" s="76"/>
      <c r="N622" s="76"/>
      <c r="O622" s="76"/>
      <c r="P622" s="76"/>
      <c r="Q622" s="77">
        <f ca="1">IFERROR(Q608+Q621,"")</f>
        <v>8.6889699076224736E-2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93" activePane="bottomLeft" state="frozen"/>
      <selection pane="bottomLeft" activeCell="G601" sqref="G601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418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419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420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421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422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423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406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407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424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425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426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373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0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427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4"/>
        <v>0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0</v>
      </c>
      <c r="I598" s="90">
        <f>IFERROR(IF($D598="","",VLOOKUP($D598,Cadastro!$C$4:$G$7,5,FALSE())),"")</f>
        <v>0.6</v>
      </c>
      <c r="J598" s="91">
        <f t="shared" si="154"/>
        <v>0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0</v>
      </c>
      <c r="I599" s="90">
        <f>IFERROR(IF($D599="","",VLOOKUP($D599,Cadastro!$C$4:$G$7,5,FALSE())),"")</f>
        <v>0.6</v>
      </c>
      <c r="J599" s="91">
        <f t="shared" si="154"/>
        <v>0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0</v>
      </c>
      <c r="I600" s="90">
        <f>IFERROR(IF($D600="","",VLOOKUP($D600,Cadastro!$C$4:$G$7,5,FALSE())),"")</f>
        <v>0.6</v>
      </c>
      <c r="J600" s="91">
        <f t="shared" si="154"/>
        <v>0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60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60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252</v>
      </c>
      <c r="L622" s="76"/>
      <c r="M622" s="76"/>
      <c r="N622" s="76"/>
      <c r="O622" s="135"/>
      <c r="P622" s="135"/>
      <c r="Q622" s="77">
        <f ca="1">IFERROR(Q608+Q621,"")</f>
        <v>2.0833333333333315E-2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2026-08-23T16:11:40Z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