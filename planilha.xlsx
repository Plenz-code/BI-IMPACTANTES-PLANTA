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73" documentId="8_{AF585B22-221D-4780-BB9C-493D365A6A02}" xr6:coauthVersionLast="47" xr6:coauthVersionMax="47" xr10:uidLastSave="{44D8AFEF-0B0F-467E-A997-B35F5411462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<sst xmlns="http://schemas.openxmlformats.org/spreadsheetml/2006/main" count="4530" uniqueCount="287">
  <si>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</si>
  <si>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</si>
  <si>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</si>
  <si>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</si>
  <si>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</si>
  <si>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</si>
  <si>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</si>
  <si>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</si>
  <si>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</si>
  <si>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</si>
  <si>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</si>
  <si>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</si>
  <si>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</si>
  <si>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</si>
  <si>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</si>
  <si>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</si>
  <si>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</si>
  <si>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</si>
  <si>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</si>
  <si>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</si>
  <si>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</si>
  <si>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</si>
  <si>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</si>
  <si>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</si>
  <si>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</si>
  <si>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</si>
  <si>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</si>
  <si>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</si>
  <si>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</si>
  <si>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</si>
  <si>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</si>
  <si>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</si>
  <si>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</si>
  <si>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</si>
  <si>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</si>
  <si>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</si>
  <si>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</si>
  <si>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</si>
  <si>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</si>
  <si>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</si>
  <si>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</si>
  <si>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</si>
  <si>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</si>
  <si>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</si>
  <si>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</si>
  <si>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</si>
  <si>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</si>
  <si>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</si>
  <si>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</si>
  <si>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</si>
  <si>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</si>
  <si>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</si>
  <si>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</si>
  <si>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</si>
  <si>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</si>
  <si>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</si>
  <si>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</si>
  <si>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</si>
  <si>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</si>
  <si>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</si>
  <si>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</si>
  <si>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</si>
  <si>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</si>
  <si>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</si>
  <si>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</si>
  <si>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</si>
  <si>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</si>
  <si>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</si>
  <si>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</si>
  <si>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</si>
  <si>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</si>
  <si>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</si>
  <si>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</si>
  <si>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</si>
  <si>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</si>
  <si>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</si>
  <si>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</si>
  <si>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</si>
  <si>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</si>
  <si>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</si>
  <si>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</si>
  <si>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</si>
  <si>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</si>
  <si>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</si>
  <si>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</si>
  <si>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</si>
  <si>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</si>
  <si>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</si>
  <si>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</si>
  <si>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</si>
  <si>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</si>
  <si>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</si>
  <si>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</si>
  <si>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</si>
  <si>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</si>
  <si>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</si>
  <si>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</si>
  <si>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</si>
  <si>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</si>
  <si>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</si>
  <si>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</si>
  <si>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</si>
  <si>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</si>
  <si>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</si>
  <si>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</si>
  <si>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</si>
  <si>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</si>
  <si>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</si>
  <si>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</si>
  <si>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</si>
  <si>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</si>
  <si>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</si>
  <si>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</si>
  <si>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</si>
  <si>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</si>
  <si>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</si>
  <si>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</si>
  <si>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</si>
  <si>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</si>
  <si>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</si>
  <si>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</si>
  <si>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</si>
  <si>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</si>
  <si>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</si>
  <si>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</si>
  <si>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</si>
  <si>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</si>
  <si>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</si>
  <si>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</si>
  <si>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</si>
  <si>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</si>
  <si>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</si>
  <si>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</si>
  <si>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</si>
  <si>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</si>
  <si>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</si>
  <si>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</si>
  <si>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</si>
  <si>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</si>
  <si>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</si>
  <si>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</si>
  <si>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</si>
  <si>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</si>
  <si>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</si>
  <si>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</si>
  <si>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</si>
  <si>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</si>
  <si>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</si>
  <si>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</si>
  <si>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</si>
  <si>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</si>
  <si>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</si>
  <si>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</si>
  <si>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</si>
  <si>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</si>
  <si>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</si>
  <si>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</si>
  <si>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</si>
  <si>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</si>
  <si>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</si>
  <si>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</si>
  <si>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</si>
  <si>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</si>
  <si>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</si>
  <si>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</si>
  <si>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</si>
  <si>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</si>
  <si>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</si>
  <si>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</si>
  <si>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</si>
  <si>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</si>
  <si>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</si>
  <si>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</si>
  <si>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</si>
  <si>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</si>
  <si>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</si>
  <si>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</si>
  <si>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</si>
  <si>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</si>
  <si>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</si>
  <si>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</si>
  <si>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</si>
  <si>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</si>
  <si>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</si>
  <si>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</si>
  <si>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</si>
  <si>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</si>
  <si>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</si>
  <si>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</si>
  <si>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</si>
  <si>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</si>
  <si>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</si>
  <si>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</si>
  <si>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</si>
  <si>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</si>
  <si>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</si>
  <si>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</si>
  <si>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</si>
  <si>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</si>
  <si>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</si>
  <si>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</si>
  <si>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</si>
  <si>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</si>
  <si>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</si>
  <si>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</si>
  <si>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</si>
  <si>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</si>
  <si>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</si>
  <si>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</si>
  <si>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</si>
  <si>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</si>
  <si>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</si>
  <si>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</si>
  <si>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</si>
  <si>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</si>
  <si>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</si>
  <si>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</si>
  <si>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</si>
  <si>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</si>
  <si>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</si>
  <si>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</si>
  <si>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</si>
  <si>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</si>
  <si>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</si>
  <si>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</si>
  <si>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</si>
  <si>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</si>
  <si>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</si>
  <si>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</si>
  <si>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</si>
  <si>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</si>
  <si>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</si>
  <si>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</si>
  <si>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</si>
  <si>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</si>
  <si>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</si>
  <si>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</si>
  <si>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</si>
  <si>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</si>
  <si>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</si>
  <si>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</si>
  <si>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</si>
  <si>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</si>
  <si>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</si>
  <si>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</si>
  <si>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</si>
  <si>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</si>
  <si>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</si>
  <si>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</si>
  <si>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troca de balata mm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</si>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</sst>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7" activePane="bottomLeft" state="frozen"/>
      <selection pane="bottomLeft" activeCell="F261" sqref="F2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99</v>
      </c>
      <c r="G270" s="36">
        <f>SUM(G258:G269)</f>
        <v>495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449</v>
      </c>
      <c r="G271" s="40">
        <f>G257+G270</f>
        <v>2245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I260" sqref="I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 t="s">
        <v>249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27</v>
      </c>
      <c r="K260" s="29"/>
      <c r="L260" s="29">
        <v>0.96875</v>
      </c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42</v>
      </c>
      <c r="G270" s="36">
        <f>SUM(G258:G269)</f>
        <v>182.79999999999998</v>
      </c>
      <c r="H270" s="37"/>
      <c r="I270" s="37"/>
      <c r="J270" s="37"/>
      <c r="K270" s="37"/>
      <c r="L270" s="37"/>
      <c r="M270" s="38">
        <f ca="1">IFERROR(SUM(M258:M269),"")</f>
        <v>4.513888888888884E-2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207</v>
      </c>
      <c r="G271" s="40">
        <f>G257+G270</f>
        <v>875.79999999999984</v>
      </c>
      <c r="H271" s="41"/>
      <c r="I271" s="41"/>
      <c r="J271" s="41"/>
      <c r="K271" s="41"/>
      <c r="L271" s="41"/>
      <c r="M271" s="42">
        <f ca="1">IFERROR(M257+M270,"")</f>
        <v>0.11736111111111108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N260" sqref="N2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30</v>
      </c>
      <c r="G270" s="36">
        <f>SUM(G258:G269)</f>
        <v>126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169</v>
      </c>
      <c r="G271" s="40">
        <f>G257+G270</f>
        <v>709.8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51" activePane="bottomLeft" state="frozen"/>
      <selection pane="bottomLeft" activeCell="F262" sqref="F2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0.75191747685312293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0.95122303240867856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1.3185841435197896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78</v>
      </c>
      <c r="G270" s="36">
        <f>SUM(G258:G269)</f>
        <v>327.60000000000002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268</v>
      </c>
      <c r="G271" s="40">
        <f>G257+G270</f>
        <v>1125.5999999999999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2026-07-11T04:01:49Z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