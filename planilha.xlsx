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88" documentId="8_{C51EB6CB-002B-4D6B-B68F-DDEBDB4460C0}" xr6:coauthVersionLast="47" xr6:coauthVersionMax="47" xr10:uidLastSave="{B9318329-FE8B-447F-A0BF-0ABB38D8D465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E811" i="3"/>
  <c r="F811" i="3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F109" i="6" l="1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298" i="6" l="1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<sst xmlns="http://schemas.openxmlformats.org/spreadsheetml/2006/main" count="1618" uniqueCount="253">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</sst>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" activePane="bottomLeft" state="frozen"/>
      <selection pane="bottomLeft" activeCell="O42" sqref="O4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253</v>
      </c>
      <c r="G55" s="40">
        <f>G41+G54</f>
        <v>695</v>
      </c>
      <c r="H55" s="41"/>
      <c r="I55" s="41"/>
      <c r="J55" s="41"/>
      <c r="K55" s="41"/>
      <c r="L55" s="41"/>
      <c r="M55" s="42">
        <f ca="1">IFERROR(M41+M54,"")</f>
        <v>5.9722222222222177E-2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" activePane="bottomLeft" state="frozen"/>
      <selection pane="bottomLeft" activeCell="O42" sqref="O4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80</v>
      </c>
      <c r="G55" s="40">
        <f>G41+G54</f>
        <v>323.39999999999998</v>
      </c>
      <c r="H55" s="41"/>
      <c r="I55" s="41"/>
      <c r="J55" s="41"/>
      <c r="K55" s="41"/>
      <c r="L55" s="41"/>
      <c r="M55" s="42">
        <f ca="1">IFERROR(M41+M54,"")</f>
        <v>8.4722222222222324E-2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2" zoomScale="50" zoomScaleNormal="50" workbookViewId="0">
      <selection activeCell="O42" sqref="O4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77</v>
      </c>
      <c r="G55" s="40">
        <f>G41+G54</f>
        <v>323.40000000000003</v>
      </c>
      <c r="H55" s="41"/>
      <c r="I55" s="41"/>
      <c r="J55" s="41"/>
      <c r="K55" s="41"/>
      <c r="L55" s="41"/>
      <c r="M55" s="42">
        <f ca="1">IFERROR(M41+M54,"")</f>
        <v>2.083333333333337E-2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0" activePane="bottomLeft" state="frozen"/>
      <selection pane="bottomLeft" activeCell="F41" sqref="F4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e">
        <f>IF(#REF!="","",IF(E50="PC 17",#REF!*4.2,IF(E50="PC 19",#REF!*5,IF(E50="CB",#REF!*24,""))))</f>
        <v>#REF!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 t="e">
        <f>SUM(G42:G53)</f>
        <v>#REF!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141</v>
      </c>
      <c r="G55" s="40" t="e">
        <f>G41+G54</f>
        <v>#REF!</v>
      </c>
      <c r="H55" s="41"/>
      <c r="I55" s="41"/>
      <c r="J55" s="41"/>
      <c r="K55" s="63"/>
      <c r="L55" s="63"/>
      <c r="M55" s="42">
        <f ca="1">IFERROR(M41+M54,"")</f>
        <v>1.1111111111111072E-2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2026-08-02T22:51:38Z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