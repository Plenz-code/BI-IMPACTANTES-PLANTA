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568" documentId="8_{AF585B22-221D-4780-BB9C-493D365A6A02}" xr6:coauthVersionLast="47" xr6:coauthVersionMax="47" xr10:uidLastSave="{40C80410-10CE-4C0C-AAEE-0C7781E7F19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<sst xmlns="http://schemas.openxmlformats.org/spreadsheetml/2006/main" count="5122" uniqueCount="296">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</sst>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01" sqref="F30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216</v>
      </c>
      <c r="O297" s="39">
        <v>1843460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219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228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213</v>
      </c>
      <c r="F300" s="27">
        <v>11</v>
      </c>
      <c r="G300" s="28">
        <f t="shared" si="66"/>
        <v>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213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213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213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213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213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213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213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213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213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11</v>
      </c>
      <c r="G311" s="36">
        <f>SUM(G299:G310)</f>
        <v>55</v>
      </c>
      <c r="H311" s="37"/>
      <c r="I311" s="37"/>
      <c r="J311" s="37"/>
      <c r="K311" s="37"/>
      <c r="L311" s="37"/>
      <c r="M311" s="38">
        <f ca="1">IFERROR(SUM(M299:M310),"")</f>
        <v>3.7500000000000033E-2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11</v>
      </c>
      <c r="G325" s="40">
        <f>G311+G324</f>
        <v>55</v>
      </c>
      <c r="H325" s="41"/>
      <c r="I325" s="41"/>
      <c r="J325" s="41"/>
      <c r="K325" s="41"/>
      <c r="L325" s="41"/>
      <c r="M325" s="42">
        <f ca="1">IFERROR(M311+M324,"")</f>
        <v>3.7500000000000033E-2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L301" sqref="L3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246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247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249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244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251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252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253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>
        <v>761660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6</v>
      </c>
      <c r="G311" s="36">
        <f>SUM(G299:G310)</f>
        <v>25.200000000000003</v>
      </c>
      <c r="H311" s="37"/>
      <c r="I311" s="37"/>
      <c r="J311" s="37"/>
      <c r="K311" s="37"/>
      <c r="L311" s="37"/>
      <c r="M311" s="38">
        <f ca="1">IFERROR(SUM(M299:M310),"")</f>
        <v>5.5555555555555525E-2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6</v>
      </c>
      <c r="G325" s="40">
        <f>G311+G324</f>
        <v>25.200000000000003</v>
      </c>
      <c r="H325" s="41"/>
      <c r="I325" s="41"/>
      <c r="J325" s="41"/>
      <c r="K325" s="41"/>
      <c r="L325" s="41"/>
      <c r="M325" s="42">
        <f ca="1">IFERROR(M311+M324,"")</f>
        <v>5.5555555555555525E-2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F301" sqref="F3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263</v>
      </c>
      <c r="N166" s="27" t="s">
        <v>264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>
        <v>487980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7</v>
      </c>
      <c r="G311" s="36">
        <f>SUM(G299:G310)</f>
        <v>29.400000000000002</v>
      </c>
      <c r="H311" s="37"/>
      <c r="I311" s="37"/>
      <c r="J311" s="37"/>
      <c r="K311" s="37"/>
      <c r="L311" s="37"/>
      <c r="M311" s="38">
        <f ca="1">IFERROR(SUM(M299:M310),"")</f>
        <v>3.4027777777777768E-2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7</v>
      </c>
      <c r="G325" s="40">
        <f>G311+G324</f>
        <v>29.400000000000002</v>
      </c>
      <c r="H325" s="41"/>
      <c r="I325" s="41"/>
      <c r="J325" s="41"/>
      <c r="K325" s="41"/>
      <c r="L325" s="41"/>
      <c r="M325" s="42">
        <f ca="1">IFERROR(M311+M324,"")</f>
        <v>3.4027777777777768E-2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80" activePane="bottomLeft" state="frozen"/>
      <selection pane="bottomLeft" activeCell="F301" sqref="F30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274</v>
      </c>
      <c r="L58" s="29">
        <v>0.54097222222222219</v>
      </c>
      <c r="M58" s="30" t="str">
        <f t="shared" ca="1" si="13"/>
        <v/>
      </c>
      <c r="N58" s="27" t="s">
        <v>275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0.1564409722268465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0.35574652778240212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0.72310763889351315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229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229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229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229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229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216</v>
      </c>
      <c r="O297" s="39">
        <v>1049090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219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/>
      <c r="M299" s="35">
        <f t="shared" ref="M299:M310" ca="1" si="67">IFERROR(IF(K299="","",IF(L299="",MOD(NOW()-K299,1),IF(L299&gt;=K299,L299-K299,L299+1-K299))),"")</f>
        <v>0.11407986111589707</v>
      </c>
      <c r="N299" s="27" t="s">
        <v>295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0</v>
      </c>
      <c r="G300" s="28">
        <f t="shared" si="66"/>
        <v>0</v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0.11407986111589707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0.11407986111589707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2026-07-12T13:44:34Z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