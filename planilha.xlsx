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08" documentId="8_{AF585B22-221D-4780-BB9C-493D365A6A02}" xr6:coauthVersionLast="47" xr6:coauthVersionMax="47" xr10:uidLastSave="{4BDAECEE-0ABB-447C-B161-671B26A3FE5A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<sst xmlns="http://schemas.openxmlformats.org/spreadsheetml/2006/main" count="6132" uniqueCount="315">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</sst>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46" activePane="bottomLeft" state="frozen"/>
      <selection pane="bottomLeft" activeCell="F373" sqref="F37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95</v>
      </c>
      <c r="G378" s="36">
        <f>SUM(G366:G377)</f>
        <v>475</v>
      </c>
      <c r="H378" s="37"/>
      <c r="I378" s="37"/>
      <c r="J378" s="37"/>
      <c r="K378" s="37"/>
      <c r="L378" s="37"/>
      <c r="M378" s="38">
        <f ca="1">IFERROR(SUM(M366:M377),"")</f>
        <v>1.9444444444444445E-2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370</v>
      </c>
      <c r="G379" s="40">
        <f>G365+G378</f>
        <v>1850</v>
      </c>
      <c r="H379" s="41"/>
      <c r="I379" s="41"/>
      <c r="J379" s="41"/>
      <c r="K379" s="41"/>
      <c r="L379" s="41"/>
      <c r="M379" s="42">
        <f ca="1">IFERROR(M365+M378,"")</f>
        <v>0.11041666666666657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J373" sqref="J3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79</v>
      </c>
      <c r="G378" s="36">
        <f>SUM(G366:G377)</f>
        <v>331.8</v>
      </c>
      <c r="H378" s="37"/>
      <c r="I378" s="37"/>
      <c r="J378" s="37"/>
      <c r="K378" s="37"/>
      <c r="L378" s="37"/>
      <c r="M378" s="38">
        <f ca="1">IFERROR(SUM(M366:M377),"")</f>
        <v>0.10555555555555556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237</v>
      </c>
      <c r="G379" s="40">
        <f>G365+G378</f>
        <v>995.40000000000009</v>
      </c>
      <c r="H379" s="41"/>
      <c r="I379" s="41"/>
      <c r="J379" s="41"/>
      <c r="K379" s="41"/>
      <c r="L379" s="41"/>
      <c r="M379" s="42">
        <f ca="1">IFERROR(M365+M378,"")</f>
        <v>0.21527777777777773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73" sqref="F3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80</v>
      </c>
      <c r="G378" s="36">
        <f>SUM(G366:G377)</f>
        <v>336.00000000000006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89</v>
      </c>
      <c r="G379" s="40">
        <f>G365+G378</f>
        <v>373.80000000000007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6" activePane="bottomLeft" state="frozen"/>
      <selection pane="bottomLeft" activeCell="L374" sqref="L3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0.8708928240739624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1.070198379629518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1.4375594907406291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122</v>
      </c>
      <c r="G378" s="36">
        <f>SUM(G366:G377)</f>
        <v>512.4</v>
      </c>
      <c r="H378" s="37"/>
      <c r="I378" s="37"/>
      <c r="J378" s="37"/>
      <c r="K378" s="61"/>
      <c r="L378" s="61"/>
      <c r="M378" s="38">
        <f ca="1">IFERROR(SUM(M366:M377),"")</f>
        <v>4.236111111111121E-2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247</v>
      </c>
      <c r="G379" s="40">
        <f>G365+G378</f>
        <v>1037.4000000000001</v>
      </c>
      <c r="H379" s="41"/>
      <c r="I379" s="41"/>
      <c r="J379" s="41"/>
      <c r="K379" s="63"/>
      <c r="L379" s="63"/>
      <c r="M379" s="42">
        <f ca="1">IFERROR(M365+M378,"")</f>
        <v>0.14722222222222239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2026-07-15T06:53:35Z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