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208" documentId="8_{C51EB6CB-002B-4D6B-B68F-DDEBDB4460C0}" xr6:coauthVersionLast="47" xr6:coauthVersionMax="47" xr10:uidLastSave="{4282B3E6-EB33-4579-8487-B707A2C25D26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<sst xmlns="http://schemas.openxmlformats.org/spreadsheetml/2006/main" count="4417" uniqueCount="305">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</sst>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08" activePane="bottomLeft" state="frozen"/>
      <selection pane="bottomLeft" activeCell="F219" sqref="F21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30</v>
      </c>
      <c r="G218" s="28">
        <f t="shared" ref="G218:G229" si="48">IF(F218="","",IF(E218="PC 17",F218*4.2,IF(E218="PC 19",F218*5,IF(E218="CB",F218*35,""))))</f>
        <v>150</v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</v>
      </c>
      <c r="G230" s="36">
        <f>SUM(G218:G229)</f>
        <v>150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30</v>
      </c>
      <c r="G244" s="40">
        <f>G230+G243</f>
        <v>150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J218" sqref="J2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0.24296817129652482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0.38185706018541371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0.46657928240763602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/>
      <c r="M218" s="30">
        <f t="shared" ref="M218:M229" ca="1" si="49">IFERROR(IF(K218="","",IF(L218="",MOD(NOW()-K218,1),IF(L218&gt;=K218,L218-K218,L218+1-K218))),"")</f>
        <v>7.2829282413295005E-2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18</v>
      </c>
      <c r="G230" s="36">
        <f>SUM(G218:G229)</f>
        <v>75.600000000000009</v>
      </c>
      <c r="H230" s="37"/>
      <c r="I230" s="37"/>
      <c r="J230" s="37"/>
      <c r="K230" s="37"/>
      <c r="L230" s="37"/>
      <c r="M230" s="38">
        <f ca="1">IFERROR(SUM(M218:M229),"")</f>
        <v>7.2829282413295005E-2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18</v>
      </c>
      <c r="G244" s="40">
        <f>G230+G243</f>
        <v>75.600000000000009</v>
      </c>
      <c r="H244" s="41"/>
      <c r="I244" s="41"/>
      <c r="J244" s="41"/>
      <c r="K244" s="41"/>
      <c r="L244" s="41"/>
      <c r="M244" s="42">
        <f ca="1">IFERROR(M230+M243,"")</f>
        <v>7.2829282413295005E-2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02" zoomScale="50" zoomScaleNormal="50" workbookViewId="0">
      <selection activeCell="D218" sqref="D218:D2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0" activePane="bottomLeft" state="frozen"/>
      <selection pane="bottomLeft" activeCell="F219" sqref="F21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15</v>
      </c>
      <c r="G230" s="36">
        <f>SUM(G218:G229)</f>
        <v>63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15</v>
      </c>
      <c r="G244" s="40">
        <f>G230+G243</f>
        <v>63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2026-08-09T12:45:22Z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