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277" documentId="8_{AF585B22-221D-4780-BB9C-493D365A6A02}" xr6:coauthVersionLast="47" xr6:coauthVersionMax="47" xr10:uidLastSave="{40F18617-CBEC-4C2C-AAA8-C1B0F8CE631C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<sst xmlns="http://schemas.openxmlformats.org/spreadsheetml/2006/main" count="3274" uniqueCount="257">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</sst>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15131070</v>
      </c>
      <c r="D35" s="13">
        <f>IFERROR(SUM(D4:D34),"")</f>
        <v>7238930</v>
      </c>
      <c r="E35" s="13">
        <f>IFERROR(SUM(E4:E34),"")</f>
        <v>3700390</v>
      </c>
      <c r="F35" s="13">
        <f>IFERROR(SUM(F4:F34),"")</f>
        <v>6731590</v>
      </c>
      <c r="G35" s="13">
        <f>IFERROR(SUM(G4:G34),"")</f>
        <v>17670910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K60" sqref="K6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192</v>
      </c>
      <c r="L58" s="16"/>
      <c r="M58" s="16"/>
    </row>
    <row r="59" spans="1:13" ht="15" customHeight="1">
      <c r="H59" s="97"/>
      <c r="I59" s="17"/>
      <c r="J59" s="17"/>
      <c r="K59" s="17" t="s">
        <v>193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41" activePane="bottomLeft" state="frozen"/>
      <selection pane="bottomLeft" activeCell="F167" sqref="F16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204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208</v>
      </c>
      <c r="O27" s="39">
        <v>1183060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208</v>
      </c>
      <c r="O54" s="39">
        <v>959290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208</v>
      </c>
      <c r="O81" s="39">
        <v>878050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208</v>
      </c>
      <c r="O108" s="39">
        <v>1700000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208</v>
      </c>
      <c r="O135" s="39">
        <v>862330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157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136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208</v>
      </c>
      <c r="O162" s="44">
        <v>1546080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121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205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205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205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205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205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205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205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205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205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25</v>
      </c>
      <c r="G176" s="36">
        <f>SUM(G164:G175)</f>
        <v>125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25</v>
      </c>
      <c r="G190" s="40">
        <f>G176+G189</f>
        <v>125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35" activePane="bottomLeft" state="frozen"/>
      <selection pane="bottomLeft" activeCell="F172" sqref="F17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208</v>
      </c>
      <c r="O27" s="78">
        <v>393200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216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85">
        <v>276360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208</v>
      </c>
      <c r="O81" s="54">
        <v>787860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208</v>
      </c>
      <c r="O108" s="54">
        <v>1087080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208</v>
      </c>
      <c r="O135" s="54">
        <v>794480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208</v>
      </c>
      <c r="O162" s="54">
        <v>882280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31</v>
      </c>
      <c r="J164" s="26" t="s">
        <v>193</v>
      </c>
      <c r="K164" s="29">
        <v>0.29166666666666669</v>
      </c>
      <c r="L164" s="29"/>
      <c r="M164" s="30">
        <f t="shared" ref="M164:M175" ca="1" si="37">IFERROR(IF(K164="","",IF(L164="",MOD(NOW()-K164,1),IF(L164&gt;=K164,L164-K164,L164+1-K164))),"")</f>
        <v>0.12560694444982801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0.12560694444982801</v>
      </c>
      <c r="N176" s="36" t="s">
        <v>208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78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0.12560694444982801</v>
      </c>
      <c r="N190" s="40" t="s">
        <v>211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78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78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78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78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78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78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78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78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78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78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78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78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78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78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78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78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78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78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78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78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135" activePane="bottomLeft" state="frozen"/>
      <selection pane="bottomLeft" activeCell="F167" sqref="F16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208</v>
      </c>
      <c r="O27" s="39">
        <v>308500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39">
        <v>124290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208</v>
      </c>
      <c r="O81" s="39">
        <v>396340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208</v>
      </c>
      <c r="O108" s="39">
        <v>41230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208</v>
      </c>
      <c r="O135" s="39">
        <v>381250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208</v>
      </c>
      <c r="O162" s="39">
        <v>337120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205</v>
      </c>
      <c r="F164" s="27">
        <v>3</v>
      </c>
      <c r="G164" s="28">
        <f t="shared" ref="G164:G175" si="36">IF(F164="","",IF(E164="PC 17",F164*4.2,IF(E164="PC 19",F164*5,"")))</f>
        <v>15</v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216</v>
      </c>
      <c r="F165" s="27">
        <v>6</v>
      </c>
      <c r="G165" s="34">
        <f t="shared" si="36"/>
        <v>25.200000000000003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216</v>
      </c>
      <c r="F166" s="27">
        <v>10</v>
      </c>
      <c r="G166" s="28">
        <f t="shared" si="36"/>
        <v>42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216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216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216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216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216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19</v>
      </c>
      <c r="G176" s="36">
        <f>SUM(G164:G175)</f>
        <v>82.2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19</v>
      </c>
      <c r="G190" s="40">
        <f>G176+G189</f>
        <v>82.2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39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32" activePane="bottomLeft" state="frozen"/>
      <selection pane="bottomLeft" activeCell="F167" sqref="F16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208</v>
      </c>
      <c r="O27" s="39">
        <v>202230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208</v>
      </c>
      <c r="O54" s="39">
        <v>473910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245</v>
      </c>
      <c r="L58" s="29">
        <v>0.54097222222222219</v>
      </c>
      <c r="M58" s="30" t="str">
        <f t="shared" ca="1" si="13"/>
        <v/>
      </c>
      <c r="N58" s="27" t="s">
        <v>246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208</v>
      </c>
      <c r="O81" s="39">
        <v>565120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208</v>
      </c>
      <c r="O108" s="39">
        <v>558590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0.16796805556077743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0.36727361111633305</v>
      </c>
      <c r="N135" s="36" t="s">
        <v>208</v>
      </c>
      <c r="O135" s="39">
        <v>729290</v>
      </c>
    </row>
    <row r="136" spans="1:18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0.73463472222744408</v>
      </c>
      <c r="N136" s="40" t="s">
        <v>211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158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208</v>
      </c>
      <c r="O162" s="39">
        <v>697320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216</v>
      </c>
      <c r="F165" s="27">
        <v>20</v>
      </c>
      <c r="G165" s="34">
        <f t="shared" si="36"/>
        <v>84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216</v>
      </c>
      <c r="F166" s="27">
        <v>10</v>
      </c>
      <c r="G166" s="28">
        <f t="shared" si="36"/>
        <v>42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62" t="s">
        <v>216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216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62" t="s">
        <v>216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216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62" t="s">
        <v>216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62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62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43</v>
      </c>
      <c r="G176" s="36">
        <f>SUM(G164:G175)</f>
        <v>191</v>
      </c>
      <c r="H176" s="37"/>
      <c r="I176" s="37"/>
      <c r="J176" s="37"/>
      <c r="K176" s="61"/>
      <c r="L176" s="61"/>
      <c r="M176" s="38">
        <f ca="1">IFERROR(SUM(M164:M175),"")</f>
        <v>1.2499999999999956E-2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43</v>
      </c>
      <c r="G190" s="40">
        <f>G176+G189</f>
        <v>191</v>
      </c>
      <c r="H190" s="41"/>
      <c r="I190" s="41"/>
      <c r="J190" s="41"/>
      <c r="K190" s="63"/>
      <c r="L190" s="63"/>
      <c r="M190" s="42">
        <f ca="1">IFERROR(M176+M189,"")</f>
        <v>1.2499999999999956E-2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208</v>
      </c>
      <c r="O432" s="39"/>
    </row>
    <row r="433" spans="1:17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2026-07-07T14:00:55Z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