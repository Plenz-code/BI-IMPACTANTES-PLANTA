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79" documentId="13_ncr:1_{A6DBCFB4-28D9-4249-9038-216934055CA6}" xr6:coauthVersionLast="47" xr6:coauthVersionMax="47" xr10:uidLastSave="{13BA598F-F9C7-4CAA-A10D-613FB506627B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<sst xmlns="http://schemas.openxmlformats.org/spreadsheetml/2006/main" count="9714" uniqueCount="421">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</sst>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9" sqref="F57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333</v>
      </c>
      <c r="G581" s="2">
        <f>SUM(G569:G580)</f>
        <v>1665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333</v>
      </c>
      <c r="G595" s="1">
        <f>G581+G594</f>
        <v>1665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G579" sqref="G57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0.62316296296194196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0.76205185185082969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0.8467740740730525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117.6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117.6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G579" sqref="G57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3"/>
        <v>0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592.6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592.6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M576" sqref="M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 t="s">
        <v>29</v>
      </c>
      <c r="M576" s="61" t="s">
        <v>168</v>
      </c>
      <c r="N576" s="61"/>
      <c r="O576" s="65">
        <v>0.73611111111111116</v>
      </c>
      <c r="P576" s="65"/>
      <c r="Q576" s="66">
        <f ca="1">IFERROR(IF(O576="","",IF(P576="",MOD(NOW()-O576,1),IF(P576&gt;=O576,P576-O576,P576+1-O576))),"")</f>
        <v>8.5796296334592625E-3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746.80000000000007</v>
      </c>
      <c r="L581" s="72"/>
      <c r="M581" s="72"/>
      <c r="N581" s="72"/>
      <c r="O581" s="134"/>
      <c r="P581" s="134"/>
      <c r="Q581" s="73">
        <f ca="1">IFERROR(SUM(Q569:Q580),"")</f>
        <v>0.12455185185568163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746.80000000000007</v>
      </c>
      <c r="L595" s="76"/>
      <c r="M595" s="76"/>
      <c r="N595" s="76"/>
      <c r="O595" s="135"/>
      <c r="P595" s="135"/>
      <c r="Q595" s="77">
        <f ca="1">IFERROR(Q581+Q594,"")</f>
        <v>0.12455185185568163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2026-08-22T21:52:22Z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