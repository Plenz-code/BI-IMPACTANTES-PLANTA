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33" documentId="8_{C51EB6CB-002B-4D6B-B68F-DDEBDB4460C0}" xr6:coauthVersionLast="47" xr6:coauthVersionMax="47" xr10:uidLastSave="{35C79110-34F8-410C-8061-27F1562996AF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<sst xmlns="http://schemas.openxmlformats.org/spreadsheetml/2006/main" count="1780" uniqueCount="256">
  <si>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</si>
  <si>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</si>
  <si>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</si>
  <si>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</si>
  <si>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</si>
  <si>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</si>
  <si>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</si>
  <si>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</si>
  <si>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</si>
  <si>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</si>
  <si>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</si>
  <si>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</si>
  <si>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</si>
  <si>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</si>
  <si>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</si>
  <si>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</si>
  <si>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</si>
  <si>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</si>
  <si>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</si>
  <si>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</si>
  <si>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</si>
  <si>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</si>
  <si>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</si>
  <si>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</si>
  <si>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</si>
  <si>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</si>
  <si>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</si>
  <si>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</si>
  <si>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</si>
  <si>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</si>
  <si>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</si>
  <si>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</si>
  <si>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</si>
  <si>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</si>
  <si>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</si>
  <si>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</si>
  <si>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</si>
  <si>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</si>
  <si>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</si>
  <si>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</si>
  <si>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</si>
  <si>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</si>
  <si>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</si>
  <si>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</si>
  <si>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</si>
  <si>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</si>
  <si>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</si>
  <si>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</si>
  <si>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</si>
  <si>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</si>
  <si>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</si>
  <si>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</si>
  <si>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</si>
  <si>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</si>
  <si>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</si>
  <si>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</si>
  <si>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</si>
  <si>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</si>
  <si>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</si>
  <si>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</si>
  <si>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</si>
  <si>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</si>
  <si>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</si>
  <si>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</si>
  <si>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</si>
  <si>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</si>
  <si>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</si>
  <si>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</si>
  <si>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</si>
  <si>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</si>
  <si>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</si>
  <si>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</si>
  <si>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</si>
  <si>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</si>
  <si>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</si>
  <si>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</si>
  <si>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</si>
  <si>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</si>
  <si>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</si>
  <si>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</si>
  <si>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</si>
  <si>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</si>
  <si>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</si>
  <si>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</si>
  <si>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</si>
  <si>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</si>
  <si>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</si>
  <si>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</si>
  <si>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</si>
  <si>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</si>
  <si>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</si>
  <si>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</si>
  <si>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</si>
  <si>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</si>
  <si>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</si>
  <si>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</si>
  <si>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</si>
  <si>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</si>
  <si>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</si>
  <si>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</si>
  <si>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</si>
  <si>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</si>
  <si>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</si>
  <si>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</si>
  <si>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</si>
  <si>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</si>
  <si>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</si>
  <si>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</si>
  <si>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</si>
  <si>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</si>
  <si>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</si>
  <si>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</si>
  <si>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</si>
  <si>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</si>
  <si>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</si>
  <si>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</si>
  <si>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</si>
  <si>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</si>
  <si>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</si>
  <si>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</si>
  <si>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</si>
  <si>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</si>
  <si>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</si>
  <si>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</si>
  <si>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</si>
  <si>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</si>
  <si>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</si>
  <si>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</si>
  <si>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</si>
  <si>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</si>
  <si>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</si>
  <si>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</si>
  <si>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</si>
  <si>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</si>
  <si>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</si>
  <si>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</si>
  <si>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</si>
  <si>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</si>
  <si>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</si>
  <si>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</si>
  <si>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</si>
  <si>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</si>
  <si>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</si>
  <si>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</si>
  <si>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</si>
  <si>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</si>
  <si>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</si>
  <si>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</si>
  <si>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</si>
  <si>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</si>
  <si>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</si>
  <si>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</si>
  <si>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</si>
  <si>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</si>
  <si>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</si>
  <si>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</si>
  <si>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</si>
  <si>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</si>
  <si>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</si>
  <si>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</si>
  <si>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</si>
  <si>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</si>
  <si>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</si>
  <si>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</si>
  <si>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</si>
  <si>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</si>
  <si>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</si>
  <si>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</si>
  <si>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</si>
  <si>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</si>
  <si>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</si>
  <si>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</si>
  <si>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</si>
  <si>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</si>
  <si>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</si>
  <si>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</si>
  <si>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</si>
  <si>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</si>
  <si>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</si>
  <si>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</si>
  <si>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</si>
  <si>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</si>
  <si>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</si>
  <si>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</si>
  <si>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</si>
  <si>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</si>
  <si>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</si>
  <si>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</si>
  <si>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</si>
  <si>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</si>
  <si>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</si>
  <si>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</si>
  <si>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</si>
  <si>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</si>
  <si>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</si>
  <si>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</si>
  <si>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</si>
  <si>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</si>
  <si>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</si>
  <si>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</si>
  <si>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</si>
  <si>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</si>
  <si>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</si>
  <si>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</si>
  <si>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</si>
  <si>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</si>
  <si>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</si>
  <si>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</si>
  <si>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</si>
  <si>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</si>
  <si>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</si>
  <si>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</si>
  <si>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</si>
  <si>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</si>
  <si>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</si>
  <si>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</si>
  <si>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</si>
  <si>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</si>
  <si>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</si>
  <si>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</si>
  <si>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</si>
  <si>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</si>
  <si>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</si>
  <si>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</si>
  <si>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</si>
  <si>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</si>
  <si>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</si>
  <si>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</si>
  <si>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</si>
  <si>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</si>
  <si>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</si>
  <si>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</si>
  <si>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</si>
  <si>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</si>
  <si>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</si>
  <si>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</si>
  <si>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</si>
  <si>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</si>
  <si>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</si>
  <si>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</si>
  <si>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</si>
  <si>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</si>
  <si>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</si>
  <si>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</si>
  <si>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</si>
  <si>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</si>
  <si>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</si>
  <si>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</si>
  <si>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</si>
  <si>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</si>
  <si>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troca de martelo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</si>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</sst>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" activePane="bottomLeft" state="frozen"/>
      <selection pane="bottomLeft" activeCell="N43" sqref="N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/>
      <c r="M42" s="30">
        <f t="shared" ref="M42:M53" ca="1" si="10">IFERROR(IF(K42="","",IF(L42="",MOD(NOW()-K42,1),IF(L42&gt;=K42,L42-K42,L42+1-K42))),"")</f>
        <v>9.0233101851481479E-2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9.0233101851481479E-2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0.14995532407370366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L48" sqref="L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6</v>
      </c>
      <c r="G44" s="34">
        <f t="shared" si="9"/>
        <v>25.200000000000003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30</v>
      </c>
      <c r="G54" s="36">
        <f>SUM(G42:G53)</f>
        <v>126.00000000000001</v>
      </c>
      <c r="H54" s="37"/>
      <c r="I54" s="37"/>
      <c r="J54" s="37"/>
      <c r="K54" s="37"/>
      <c r="L54" s="37"/>
      <c r="M54" s="38">
        <f ca="1">IFERROR(SUM(M42:M53),"")</f>
        <v>4.2361111111111183E-2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110</v>
      </c>
      <c r="G55" s="40">
        <f>G41+G54</f>
        <v>449.4</v>
      </c>
      <c r="H55" s="41"/>
      <c r="I55" s="41"/>
      <c r="J55" s="41"/>
      <c r="K55" s="41"/>
      <c r="L55" s="41"/>
      <c r="M55" s="42">
        <f ca="1">IFERROR(M41+M54,"")</f>
        <v>0.12708333333333349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" zoomScale="50" zoomScaleNormal="50" workbookViewId="0">
      <selection activeCell="K45" sqref="K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10</v>
      </c>
      <c r="G44" s="34">
        <f t="shared" si="9"/>
        <v>42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/>
      <c r="M44" s="30">
        <f t="shared" ca="1" si="10"/>
        <v>6.4976851717801765E-4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18</v>
      </c>
      <c r="G54" s="36">
        <f>SUM(G42:G53)</f>
        <v>75.599999999999994</v>
      </c>
      <c r="H54" s="37"/>
      <c r="I54" s="37"/>
      <c r="J54" s="37"/>
      <c r="K54" s="37"/>
      <c r="L54" s="37"/>
      <c r="M54" s="38">
        <f ca="1">IFERROR(SUM(M42:M53),"")</f>
        <v>6.8705324072733664E-2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95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8.9538657406067035E-2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H45" sqref="H4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/>
      <c r="K44" s="29">
        <v>0.92638888888888893</v>
      </c>
      <c r="L44" s="29"/>
      <c r="M44" s="35">
        <f t="shared" ca="1" si="10"/>
        <v>4.8164351828745566E-3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 t="s">
        <v>251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39</v>
      </c>
      <c r="G54" s="36">
        <f>SUM(G42:G53)</f>
        <v>163.80000000000001</v>
      </c>
      <c r="H54" s="37"/>
      <c r="I54" s="37"/>
      <c r="J54" s="37"/>
      <c r="K54" s="61"/>
      <c r="L54" s="61"/>
      <c r="M54" s="38">
        <f ca="1">IFERROR(SUM(M42:M53),"")</f>
        <v>3.9538657405096767E-2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180</v>
      </c>
      <c r="G55" s="40">
        <f>G41+G54</f>
        <v>722.40000000000009</v>
      </c>
      <c r="H55" s="41"/>
      <c r="I55" s="41"/>
      <c r="J55" s="41"/>
      <c r="K55" s="63"/>
      <c r="L55" s="63"/>
      <c r="M55" s="42">
        <f ca="1">IFERROR(M41+M54,"")</f>
        <v>5.0649768516207838E-2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2026-08-03T02:21:06Z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