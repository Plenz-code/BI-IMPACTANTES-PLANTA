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600" documentId="8_{AF585B22-221D-4780-BB9C-493D365A6A02}" xr6:coauthVersionLast="47" xr6:coauthVersionMax="47" xr10:uidLastSave="{6B9E72ED-64BA-426D-A4C4-E9D2A8902B65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<sst xmlns="http://schemas.openxmlformats.org/spreadsheetml/2006/main" count="8403" uniqueCount="362">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</sst>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33" sqref="F53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/>
      <c r="I529" s="33"/>
      <c r="J529" s="33"/>
      <c r="K529" s="29"/>
      <c r="L529" s="29"/>
      <c r="M529" s="35" t="str">
        <f t="shared" ref="M528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115</v>
      </c>
      <c r="G540" s="36">
        <f>SUM(G528:G539)</f>
        <v>575</v>
      </c>
      <c r="H540" s="37"/>
      <c r="I540" s="37"/>
      <c r="J540" s="37"/>
      <c r="K540" s="37"/>
      <c r="L540" s="37"/>
      <c r="M540" s="38">
        <f ca="1">IFERROR(SUM(M528:M539),"")</f>
        <v>3.3333333333333333E-2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289</v>
      </c>
      <c r="G541" s="40">
        <f>G527+G540</f>
        <v>1445</v>
      </c>
      <c r="H541" s="41"/>
      <c r="I541" s="41"/>
      <c r="J541" s="41"/>
      <c r="K541" s="41"/>
      <c r="L541" s="41"/>
      <c r="M541" s="42">
        <f ca="1">IFERROR(M527+M540,"")</f>
        <v>0.22986111111111107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06" activePane="bottomLeft" state="frozen"/>
      <selection pane="bottomLeft" activeCell="I530" sqref="I5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0.7728898148125154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0.93052870370140428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1.0402509259236266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0.75136203703732463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0.92219537037065802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1.0673342592595469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/>
      <c r="J531" s="33" t="s">
        <v>62</v>
      </c>
      <c r="K531" s="29">
        <v>1.1805555555555555E-2</v>
      </c>
      <c r="L531" s="29"/>
      <c r="M531" s="35">
        <f t="shared" ca="1" si="118"/>
        <v>6.675925906165503E-4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51</v>
      </c>
      <c r="G540" s="36">
        <f>SUM(G528:G539)</f>
        <v>214.2</v>
      </c>
      <c r="H540" s="37"/>
      <c r="I540" s="37"/>
      <c r="J540" s="37"/>
      <c r="K540" s="37"/>
      <c r="L540" s="37"/>
      <c r="M540" s="38">
        <f ca="1">IFERROR(SUM(M528:M539),"")</f>
        <v>4.3723148146172175E-2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235</v>
      </c>
      <c r="G541" s="40">
        <f>G527+G540</f>
        <v>987</v>
      </c>
      <c r="H541" s="41"/>
      <c r="I541" s="41"/>
      <c r="J541" s="41"/>
      <c r="K541" s="41"/>
      <c r="L541" s="41"/>
      <c r="M541" s="42">
        <f ca="1">IFERROR(M527+M540,"")</f>
        <v>0.13122314814617225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0" zoomScale="50" zoomScaleNormal="50" workbookViewId="0">
      <selection activeCell="F533" sqref="F5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2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19</v>
      </c>
      <c r="G540" s="36">
        <f>SUM(G528:G539)</f>
        <v>79.800000000000011</v>
      </c>
      <c r="H540" s="37"/>
      <c r="I540" s="37"/>
      <c r="J540" s="37"/>
      <c r="K540" s="37"/>
      <c r="L540" s="37"/>
      <c r="M540" s="38">
        <f ca="1">IFERROR(SUM(M528:M539),"")</f>
        <v>7.5694444444444398E-2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70</v>
      </c>
      <c r="G541" s="40">
        <f>G527+G540</f>
        <v>294.00000000000006</v>
      </c>
      <c r="H541" s="41"/>
      <c r="I541" s="41"/>
      <c r="J541" s="41"/>
      <c r="K541" s="41"/>
      <c r="L541" s="41"/>
      <c r="M541" s="42">
        <f ca="1">IFERROR(M527+M540,"")</f>
        <v>0.17986111111111097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5" activePane="bottomLeft" state="frozen"/>
      <selection pane="bottomLeft" activeCell="F533" sqref="F53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327</v>
      </c>
      <c r="L58" s="29">
        <v>0.54097222222222219</v>
      </c>
      <c r="M58" s="30" t="str">
        <f t="shared" ca="1" si="13"/>
        <v/>
      </c>
      <c r="N58" s="27" t="s">
        <v>328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0.76316759259498212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0.96247314815053775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1.3298342592616488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42</v>
      </c>
      <c r="G540" s="36">
        <f>SUM(G528:G539)</f>
        <v>176.4</v>
      </c>
      <c r="H540" s="37"/>
      <c r="I540" s="37"/>
      <c r="J540" s="37"/>
      <c r="K540" s="61"/>
      <c r="L540" s="61"/>
      <c r="M540" s="38">
        <f ca="1">IFERROR(SUM(M528:M539),"")</f>
        <v>3.3333333333333326E-2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122</v>
      </c>
      <c r="G541" s="40">
        <f>G527+G540</f>
        <v>512.40000000000009</v>
      </c>
      <c r="H541" s="41"/>
      <c r="I541" s="41"/>
      <c r="J541" s="41"/>
      <c r="K541" s="63"/>
      <c r="L541" s="63"/>
      <c r="M541" s="42">
        <f ca="1">IFERROR(M527+M540,"")</f>
        <v>0.34513888888888883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2026-07-21T04:18:04Z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