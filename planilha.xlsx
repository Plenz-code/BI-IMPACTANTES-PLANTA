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118" documentId="8_{AF585B22-221D-4780-BB9C-493D365A6A02}" xr6:coauthVersionLast="47" xr6:coauthVersionMax="47" xr10:uidLastSave="{795592C9-A3CF-40BF-902A-9A8EB35F5F28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<sst xmlns="http://schemas.openxmlformats.org/spreadsheetml/2006/main" count="8785" uniqueCount="370">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</sst>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726090</v>
      </c>
      <c r="D24" s="8">
        <f>IFERROR('Linha 1'!O568,"")</f>
        <v>1003230</v>
      </c>
      <c r="E24" s="8">
        <f>IFERROR('Linha 2'!O568,"")</f>
        <v>171920</v>
      </c>
      <c r="F24" s="8">
        <f>IFERROR('Linha 3'!O568,"")</f>
        <v>583380</v>
      </c>
      <c r="G24" s="9">
        <f t="shared" si="0"/>
        <v>1758530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63111241</v>
      </c>
      <c r="D35" s="13">
        <f>IFERROR(SUM(D4:D34),"")</f>
        <v>24771590</v>
      </c>
      <c r="E35" s="13">
        <f>IFERROR(SUM(E4:E34),"")</f>
        <v>14012030</v>
      </c>
      <c r="F35" s="13">
        <f>IFERROR(SUM(F4:F34),"")</f>
        <v>28224620</v>
      </c>
      <c r="G35" s="13">
        <f>IFERROR(SUM(G4:G34),"")</f>
        <v>67008240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30" activePane="bottomLeft" state="frozen"/>
      <selection pane="bottomLeft" activeCell="F559" sqref="F55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/>
      <c r="M555" s="35">
        <f t="shared" ref="M555:M566" ca="1" si="124">IFERROR(IF(K555="","",IF(L555="",MOD(NOW()-K555,1),IF(L555&gt;=K555,L555-K555,L555+1-K555))),"")</f>
        <v>6.9002314849058166E-3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79</v>
      </c>
      <c r="G567" s="36">
        <f>SUM(G555:G566)</f>
        <v>395</v>
      </c>
      <c r="H567" s="37"/>
      <c r="I567" s="37"/>
      <c r="J567" s="37"/>
      <c r="K567" s="37"/>
      <c r="L567" s="37"/>
      <c r="M567" s="38">
        <f ca="1">IFERROR(SUM(M555:M566),"")</f>
        <v>6.9002314849058166E-3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209</v>
      </c>
      <c r="G568" s="40">
        <f>G554+G567</f>
        <v>1045</v>
      </c>
      <c r="H568" s="41"/>
      <c r="I568" s="41"/>
      <c r="J568" s="41"/>
      <c r="K568" s="41"/>
      <c r="L568" s="41"/>
      <c r="M568" s="42">
        <f ca="1">IFERROR(M554+M567,"")</f>
        <v>0.3298168981515725</v>
      </c>
      <c r="N568" s="40" t="s">
        <v>234</v>
      </c>
      <c r="O568" s="48">
        <f>IFERROR(O554+O567,"")</f>
        <v>726090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32" activePane="bottomLeft" state="frozen"/>
      <selection pane="bottomLeft" activeCell="J558" sqref="J55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0.75759467592433793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0.91523356481322682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1.0249557870354491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0.73606689814914716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0.90690023148248056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1.0520391203713695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/>
      <c r="M558" s="30">
        <f t="shared" ca="1" si="124"/>
        <v>6.5023147908505052E-4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56</v>
      </c>
      <c r="G567" s="36">
        <f>SUM(G555:G566)</f>
        <v>235.2</v>
      </c>
      <c r="H567" s="37"/>
      <c r="I567" s="37"/>
      <c r="J567" s="37"/>
      <c r="K567" s="37"/>
      <c r="L567" s="37"/>
      <c r="M567" s="38">
        <f ca="1">IFERROR(SUM(M555:M566),"")</f>
        <v>3.884467592352947E-2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294</v>
      </c>
      <c r="G568" s="40">
        <f>G554+G567</f>
        <v>1234.8</v>
      </c>
      <c r="H568" s="41"/>
      <c r="I568" s="41"/>
      <c r="J568" s="41"/>
      <c r="K568" s="41"/>
      <c r="L568" s="41"/>
      <c r="M568" s="42">
        <f ca="1">IFERROR(M554+M567,"")</f>
        <v>0.12356689814575172</v>
      </c>
      <c r="N568" s="40" t="s">
        <v>234</v>
      </c>
      <c r="O568" s="83">
        <f>IFERROR(O554+O567,"")</f>
        <v>1003230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30" zoomScale="50" zoomScaleNormal="50" workbookViewId="0">
      <selection activeCell="L556" sqref="L55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309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311</v>
      </c>
      <c r="N166" s="27" t="s">
        <v>312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26</v>
      </c>
      <c r="G567" s="36">
        <f>SUM(G555:G566)</f>
        <v>109.20000000000002</v>
      </c>
      <c r="H567" s="37"/>
      <c r="I567" s="37"/>
      <c r="J567" s="37"/>
      <c r="K567" s="37"/>
      <c r="L567" s="37"/>
      <c r="M567" s="38">
        <f ca="1">IFERROR(SUM(M555:M566),"")</f>
        <v>5.5555555555556468E-3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59</v>
      </c>
      <c r="G568" s="40">
        <f>G554+G567</f>
        <v>247.80000000000004</v>
      </c>
      <c r="H568" s="41"/>
      <c r="I568" s="41"/>
      <c r="J568" s="41"/>
      <c r="K568" s="41"/>
      <c r="L568" s="41"/>
      <c r="M568" s="42">
        <f ca="1">IFERROR(M554+M567,"")</f>
        <v>6.2500000000000111E-2</v>
      </c>
      <c r="N568" s="40" t="s">
        <v>234</v>
      </c>
      <c r="O568" s="48">
        <f>IFERROR(O554+O567,"")</f>
        <v>171920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30" activePane="bottomLeft" state="frozen"/>
      <selection pane="bottomLeft" activeCell="J556" sqref="J55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332</v>
      </c>
      <c r="L58" s="29">
        <v>0.54097222222222219</v>
      </c>
      <c r="M58" s="30" t="str">
        <f t="shared" ca="1" si="13"/>
        <v/>
      </c>
      <c r="N58" s="27" t="s">
        <v>333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0.74787245370680466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0.94717800926236029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1.3145391203734713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369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/>
      <c r="M556" s="30">
        <f t="shared" ref="M555:M566" ca="1" si="125">IFERROR(IF(K556="","",IF(L556="",MOD(NOW()-K556,1),IF(L556&gt;=K556,L556-K556,L556+1-K556))),"")</f>
        <v>1.9400231481995434E-2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51</v>
      </c>
      <c r="G567" s="36">
        <f>SUM(G555:G566)</f>
        <v>214.2</v>
      </c>
      <c r="H567" s="37"/>
      <c r="I567" s="37"/>
      <c r="J567" s="37"/>
      <c r="K567" s="61"/>
      <c r="L567" s="61"/>
      <c r="M567" s="38">
        <f ca="1">IFERROR(SUM(M555:M566),"")</f>
        <v>4.717800925977321E-2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201</v>
      </c>
      <c r="G568" s="40">
        <f>G554+G567</f>
        <v>844.2</v>
      </c>
      <c r="H568" s="41"/>
      <c r="I568" s="41"/>
      <c r="J568" s="41"/>
      <c r="K568" s="63"/>
      <c r="L568" s="63"/>
      <c r="M568" s="42">
        <f ca="1">IFERROR(M554+M567,"")</f>
        <v>0.22634467592643981</v>
      </c>
      <c r="N568" s="40" t="s">
        <v>234</v>
      </c>
      <c r="O568" s="48">
        <f>IFERROR(O554+O567,"")</f>
        <v>583380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2026-07-22T03:56:03Z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