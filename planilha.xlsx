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36" documentId="13_ncr:1_{A6DBCFB4-28D9-4249-9038-216934055CA6}" xr6:coauthVersionLast="47" xr6:coauthVersionMax="47" xr10:uidLastSave="{7E9FA1FB-A177-4276-AAD9-394FA8891E74}"/>
  <bookViews>
    <workbookView xWindow="-120" yWindow="-120" windowWidth="29040" windowHeight="15720" tabRatio="500" activeTab="2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419" i="5" l="1"/>
  <c r="Q433" i="5" s="1"/>
  <c r="M459" i="3"/>
  <c r="Q486" i="6"/>
  <c r="Q487" i="6" s="1"/>
  <c r="Q27" i="4"/>
  <c r="Q716" i="5"/>
  <c r="M419" i="3"/>
  <c r="M41" i="3"/>
  <c r="Q82" i="4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09" i="4" s="1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648" i="6"/>
  <c r="Q729" i="5"/>
  <c r="Q730" i="5" s="1"/>
  <c r="Q486" i="5"/>
  <c r="Q487" i="5" s="1"/>
  <c r="Q459" i="5"/>
  <c r="Q460" i="5" s="1"/>
  <c r="Q27" i="5"/>
  <c r="M837" i="3"/>
  <c r="M838" i="3" s="1"/>
  <c r="M324" i="3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757" i="5" l="1"/>
  <c r="M244" i="3"/>
  <c r="Q406" i="5"/>
  <c r="Q649" i="6"/>
  <c r="M325" i="3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<sst xmlns="http://schemas.openxmlformats.org/spreadsheetml/2006/main" count="8842" uniqueCount="400">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</sst>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E9" sqref="E9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 x14ac:dyDescent="0.25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 x14ac:dyDescent="0.25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602.1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25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5113.8</v>
      </c>
    </row>
    <row r="36" spans="1:12" ht="15" customHeight="1" x14ac:dyDescent="0.25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 x14ac:dyDescent="0.25">
      <c r="M2" s="162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2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2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25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25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25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25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25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25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25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25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25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25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25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25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25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25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25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25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25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25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25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25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25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25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25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25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25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25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25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25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25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25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25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25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25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25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25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2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25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25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25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25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25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25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25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25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25">
      <c r="M59" s="162"/>
      <c r="N59" s="40"/>
      <c r="O59" s="40"/>
      <c r="P59" s="40" t="s">
        <v>222</v>
      </c>
      <c r="Q59" s="40"/>
      <c r="R59" s="40"/>
    </row>
    <row r="60" spans="1:18" ht="15" customHeight="1" x14ac:dyDescent="0.25">
      <c r="M60" s="162"/>
      <c r="N60" s="37"/>
      <c r="O60" s="37"/>
      <c r="P60" s="53" t="s">
        <v>114</v>
      </c>
      <c r="Q60" s="37"/>
      <c r="R60" s="37"/>
    </row>
    <row r="61" spans="1:18" ht="15" customHeight="1" x14ac:dyDescent="0.25">
      <c r="M61" s="162"/>
      <c r="N61" s="40"/>
      <c r="O61" s="40"/>
      <c r="P61" s="40" t="s">
        <v>223</v>
      </c>
      <c r="Q61" s="40"/>
      <c r="R61" s="40"/>
    </row>
    <row r="62" spans="1:18" ht="15" customHeight="1" x14ac:dyDescent="0.25">
      <c r="M62" s="162"/>
      <c r="N62" s="37"/>
      <c r="O62" s="37"/>
      <c r="P62" s="37" t="s">
        <v>224</v>
      </c>
      <c r="Q62" s="37"/>
      <c r="R62" s="37"/>
    </row>
    <row r="63" spans="1:18" ht="15" customHeight="1" x14ac:dyDescent="0.25">
      <c r="M63" s="162"/>
      <c r="N63" s="40"/>
      <c r="O63" s="40"/>
      <c r="P63" s="40" t="s">
        <v>225</v>
      </c>
      <c r="Q63" s="40"/>
      <c r="R63" s="40"/>
    </row>
    <row r="64" spans="1:18" ht="15" customHeight="1" x14ac:dyDescent="0.25">
      <c r="M64" s="162"/>
      <c r="N64" s="37"/>
      <c r="O64" s="37"/>
      <c r="P64" s="37" t="s">
        <v>226</v>
      </c>
      <c r="Q64" s="37"/>
      <c r="R64" s="37"/>
    </row>
    <row r="65" spans="13:18" ht="15" customHeight="1" x14ac:dyDescent="0.25">
      <c r="M65" s="162"/>
      <c r="N65" s="40"/>
      <c r="O65" s="40"/>
      <c r="P65" s="40" t="s">
        <v>227</v>
      </c>
      <c r="Q65" s="40"/>
      <c r="R65" s="40"/>
    </row>
    <row r="66" spans="13:18" ht="15" customHeight="1" x14ac:dyDescent="0.25">
      <c r="M66" s="162"/>
      <c r="N66" s="37"/>
      <c r="O66" s="37"/>
      <c r="P66" s="37" t="s">
        <v>228</v>
      </c>
      <c r="Q66" s="37"/>
      <c r="R66" s="37"/>
    </row>
    <row r="67" spans="13:18" ht="15" customHeight="1" x14ac:dyDescent="0.25">
      <c r="M67" s="162"/>
      <c r="N67" s="40"/>
      <c r="O67" s="40"/>
      <c r="P67" s="40" t="s">
        <v>229</v>
      </c>
      <c r="Q67" s="40"/>
      <c r="R67" s="40"/>
    </row>
    <row r="68" spans="13:18" ht="15" customHeight="1" x14ac:dyDescent="0.25">
      <c r="M68" s="162"/>
      <c r="N68" s="37"/>
      <c r="O68" s="37"/>
      <c r="P68" s="37" t="s">
        <v>230</v>
      </c>
      <c r="Q68" s="37"/>
      <c r="R68" s="37"/>
    </row>
    <row r="69" spans="13:18" ht="15" customHeight="1" x14ac:dyDescent="0.25">
      <c r="M69" s="162"/>
      <c r="N69" s="40"/>
      <c r="O69" s="40"/>
      <c r="P69" s="40" t="s">
        <v>231</v>
      </c>
      <c r="Q69" s="40"/>
      <c r="R69" s="40"/>
    </row>
    <row r="70" spans="13:18" ht="15" customHeight="1" x14ac:dyDescent="0.25">
      <c r="M70" s="162"/>
      <c r="N70" s="37"/>
      <c r="O70" s="37"/>
      <c r="P70" s="37" t="s">
        <v>232</v>
      </c>
      <c r="Q70" s="37"/>
      <c r="R70" s="37"/>
    </row>
    <row r="71" spans="13:18" ht="15" customHeight="1" x14ac:dyDescent="0.25">
      <c r="M71" s="162"/>
      <c r="N71" s="40"/>
      <c r="O71" s="40"/>
      <c r="P71" s="40" t="s">
        <v>233</v>
      </c>
      <c r="Q71" s="40"/>
      <c r="R71" s="40"/>
    </row>
    <row r="72" spans="13:18" ht="15" customHeight="1" x14ac:dyDescent="0.25">
      <c r="M72" s="162"/>
      <c r="N72" s="37"/>
      <c r="O72" s="37"/>
      <c r="P72" s="37" t="s">
        <v>234</v>
      </c>
      <c r="Q72" s="37"/>
      <c r="R72" s="37"/>
    </row>
    <row r="73" spans="13:18" ht="15" customHeight="1" x14ac:dyDescent="0.25">
      <c r="M73" s="162"/>
      <c r="N73" s="40"/>
      <c r="O73" s="40"/>
      <c r="P73" s="40" t="s">
        <v>235</v>
      </c>
      <c r="Q73" s="40"/>
      <c r="R73" s="40"/>
    </row>
    <row r="74" spans="13:18" ht="15" customHeight="1" x14ac:dyDescent="0.25">
      <c r="M74" s="162"/>
      <c r="N74" s="37"/>
      <c r="O74" s="37"/>
      <c r="P74" s="37" t="s">
        <v>236</v>
      </c>
      <c r="Q74" s="37"/>
      <c r="R74" s="37"/>
    </row>
    <row r="75" spans="13:18" ht="15" customHeight="1" x14ac:dyDescent="0.25">
      <c r="M75" s="162"/>
      <c r="N75" s="40"/>
      <c r="O75" s="40"/>
      <c r="P75" s="40" t="s">
        <v>237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tabSelected="1" zoomScaleNormal="100" workbookViewId="0">
      <pane ySplit="1" topLeftCell="A51" activePane="bottomLeft" state="frozen"/>
      <selection pane="bottomLeft" activeCell="G59" sqref="G59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 x14ac:dyDescent="0.25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25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25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25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25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25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25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25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25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25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25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25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25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25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25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25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25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25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25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25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25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25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25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25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25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25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25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25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25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25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25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25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25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25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25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25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25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25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25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25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25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25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25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25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25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25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25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25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25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25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25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25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25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25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25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25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25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25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25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25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25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25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25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25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25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25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25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25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25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25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25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25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25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25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25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25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25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25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25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25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25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25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25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25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25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25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25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25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25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25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25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25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25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4" sqref="F524"/>
    </sheetView>
  </sheetViews>
  <sheetFormatPr defaultColWidth="8.5703125" defaultRowHeight="15" x14ac:dyDescent="0.2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 x14ac:dyDescent="0.2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25">
      <c r="A14" s="156" t="s">
        <v>260</v>
      </c>
      <c r="B14" s="156"/>
      <c r="C14" s="156"/>
      <c r="D14" s="156"/>
      <c r="E14" s="15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25">
      <c r="A27" s="156" t="s">
        <v>263</v>
      </c>
      <c r="B27" s="156"/>
      <c r="C27" s="156"/>
      <c r="D27" s="156"/>
      <c r="E27" s="15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 x14ac:dyDescent="0.25">
      <c r="A28" s="157" t="s">
        <v>249</v>
      </c>
      <c r="B28" s="157"/>
      <c r="C28" s="157"/>
      <c r="D28" s="157"/>
      <c r="E28" s="15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25">
      <c r="A41" s="156" t="s">
        <v>260</v>
      </c>
      <c r="B41" s="156"/>
      <c r="C41" s="156"/>
      <c r="D41" s="156"/>
      <c r="E41" s="15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 x14ac:dyDescent="0.2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25">
      <c r="A54" s="156" t="s">
        <v>263</v>
      </c>
      <c r="B54" s="156"/>
      <c r="C54" s="156"/>
      <c r="D54" s="156"/>
      <c r="E54" s="15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 x14ac:dyDescent="0.25">
      <c r="A55" s="157" t="s">
        <v>249</v>
      </c>
      <c r="B55" s="157"/>
      <c r="C55" s="157"/>
      <c r="D55" s="157"/>
      <c r="E55" s="15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25">
      <c r="A68" s="156" t="s">
        <v>260</v>
      </c>
      <c r="B68" s="156"/>
      <c r="C68" s="156"/>
      <c r="D68" s="156"/>
      <c r="E68" s="15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25">
      <c r="A81" s="156" t="s">
        <v>263</v>
      </c>
      <c r="B81" s="156"/>
      <c r="C81" s="156"/>
      <c r="D81" s="156"/>
      <c r="E81" s="15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 x14ac:dyDescent="0.25">
      <c r="A82" s="157" t="s">
        <v>249</v>
      </c>
      <c r="B82" s="157"/>
      <c r="C82" s="157"/>
      <c r="D82" s="157"/>
      <c r="E82" s="15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25">
      <c r="A95" s="156" t="s">
        <v>260</v>
      </c>
      <c r="B95" s="156"/>
      <c r="C95" s="156"/>
      <c r="D95" s="156"/>
      <c r="E95" s="15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25">
      <c r="A108" s="156" t="s">
        <v>263</v>
      </c>
      <c r="B108" s="156"/>
      <c r="C108" s="156"/>
      <c r="D108" s="156"/>
      <c r="E108" s="15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 x14ac:dyDescent="0.25">
      <c r="A109" s="157" t="s">
        <v>249</v>
      </c>
      <c r="B109" s="157"/>
      <c r="C109" s="157"/>
      <c r="D109" s="157"/>
      <c r="E109" s="15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25">
      <c r="A122" s="156" t="s">
        <v>260</v>
      </c>
      <c r="B122" s="156"/>
      <c r="C122" s="156"/>
      <c r="D122" s="156"/>
      <c r="E122" s="15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25">
      <c r="A135" s="156" t="s">
        <v>263</v>
      </c>
      <c r="B135" s="156"/>
      <c r="C135" s="156"/>
      <c r="D135" s="156"/>
      <c r="E135" s="15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 x14ac:dyDescent="0.25">
      <c r="A136" s="157" t="s">
        <v>249</v>
      </c>
      <c r="B136" s="157"/>
      <c r="C136" s="157"/>
      <c r="D136" s="157"/>
      <c r="E136" s="15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">
      <c r="A149" s="156" t="s">
        <v>260</v>
      </c>
      <c r="B149" s="156"/>
      <c r="C149" s="156"/>
      <c r="D149" s="156"/>
      <c r="E149" s="15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">
      <c r="A162" s="156" t="s">
        <v>263</v>
      </c>
      <c r="B162" s="156"/>
      <c r="C162" s="156"/>
      <c r="D162" s="156"/>
      <c r="E162" s="15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 x14ac:dyDescent="0.25">
      <c r="A163" s="157" t="s">
        <v>249</v>
      </c>
      <c r="B163" s="157"/>
      <c r="C163" s="157"/>
      <c r="D163" s="157"/>
      <c r="E163" s="15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25">
      <c r="A176" s="156" t="s">
        <v>260</v>
      </c>
      <c r="B176" s="156"/>
      <c r="C176" s="156"/>
      <c r="D176" s="156"/>
      <c r="E176" s="15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25">
      <c r="A189" s="156" t="s">
        <v>263</v>
      </c>
      <c r="B189" s="156"/>
      <c r="C189" s="156"/>
      <c r="D189" s="156"/>
      <c r="E189" s="15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 x14ac:dyDescent="0.25">
      <c r="A190" s="157" t="s">
        <v>249</v>
      </c>
      <c r="B190" s="157"/>
      <c r="C190" s="157"/>
      <c r="D190" s="157"/>
      <c r="E190" s="15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25">
      <c r="A203" s="156" t="s">
        <v>260</v>
      </c>
      <c r="B203" s="156"/>
      <c r="C203" s="156"/>
      <c r="D203" s="156"/>
      <c r="E203" s="15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25">
      <c r="A216" s="156" t="s">
        <v>263</v>
      </c>
      <c r="B216" s="156"/>
      <c r="C216" s="156"/>
      <c r="D216" s="156"/>
      <c r="E216" s="15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 x14ac:dyDescent="0.25">
      <c r="A217" s="157" t="s">
        <v>249</v>
      </c>
      <c r="B217" s="157"/>
      <c r="C217" s="157"/>
      <c r="D217" s="157"/>
      <c r="E217" s="15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25">
      <c r="A230" s="156" t="s">
        <v>260</v>
      </c>
      <c r="B230" s="156"/>
      <c r="C230" s="156"/>
      <c r="D230" s="156"/>
      <c r="E230" s="15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25">
      <c r="A243" s="156" t="s">
        <v>263</v>
      </c>
      <c r="B243" s="156"/>
      <c r="C243" s="156"/>
      <c r="D243" s="156"/>
      <c r="E243" s="15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 x14ac:dyDescent="0.25">
      <c r="A244" s="157" t="s">
        <v>249</v>
      </c>
      <c r="B244" s="157"/>
      <c r="C244" s="157"/>
      <c r="D244" s="157"/>
      <c r="E244" s="15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25">
      <c r="A257" s="156" t="s">
        <v>260</v>
      </c>
      <c r="B257" s="156"/>
      <c r="C257" s="156"/>
      <c r="D257" s="156"/>
      <c r="E257" s="15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 x14ac:dyDescent="0.25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2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25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25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25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25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25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25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25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25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25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25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25">
      <c r="A270" s="156" t="s">
        <v>263</v>
      </c>
      <c r="B270" s="156"/>
      <c r="C270" s="156"/>
      <c r="D270" s="156"/>
      <c r="E270" s="15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 x14ac:dyDescent="0.25">
      <c r="A271" s="157" t="s">
        <v>249</v>
      </c>
      <c r="B271" s="157"/>
      <c r="C271" s="157"/>
      <c r="D271" s="157"/>
      <c r="E271" s="15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2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25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25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25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25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 x14ac:dyDescent="0.25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25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25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25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25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25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25">
      <c r="A284" s="156" t="s">
        <v>260</v>
      </c>
      <c r="B284" s="156"/>
      <c r="C284" s="156"/>
      <c r="D284" s="156"/>
      <c r="E284" s="15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2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25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25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25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25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25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25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25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25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25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25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25">
      <c r="A297" s="156" t="s">
        <v>263</v>
      </c>
      <c r="B297" s="156"/>
      <c r="C297" s="156"/>
      <c r="D297" s="156"/>
      <c r="E297" s="15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 x14ac:dyDescent="0.25">
      <c r="A298" s="157" t="s">
        <v>249</v>
      </c>
      <c r="B298" s="157"/>
      <c r="C298" s="157"/>
      <c r="D298" s="157"/>
      <c r="E298" s="15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2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2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2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 x14ac:dyDescent="0.2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2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2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2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2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2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2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2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25">
      <c r="A311" s="156" t="s">
        <v>260</v>
      </c>
      <c r="B311" s="156"/>
      <c r="C311" s="156"/>
      <c r="D311" s="156"/>
      <c r="E311" s="15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2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2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2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2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2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2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2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2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2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2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2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25">
      <c r="A324" s="156" t="s">
        <v>263</v>
      </c>
      <c r="B324" s="156"/>
      <c r="C324" s="156"/>
      <c r="D324" s="156"/>
      <c r="E324" s="15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 x14ac:dyDescent="0.25">
      <c r="A325" s="157" t="s">
        <v>249</v>
      </c>
      <c r="B325" s="157"/>
      <c r="C325" s="157"/>
      <c r="D325" s="157"/>
      <c r="E325" s="15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2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2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 x14ac:dyDescent="0.2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2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2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2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2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 x14ac:dyDescent="0.2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2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2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2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25">
      <c r="A338" s="156" t="s">
        <v>260</v>
      </c>
      <c r="B338" s="156"/>
      <c r="C338" s="156"/>
      <c r="D338" s="156"/>
      <c r="E338" s="15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2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2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2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2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2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2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2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2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2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2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2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25">
      <c r="A351" s="156" t="s">
        <v>263</v>
      </c>
      <c r="B351" s="156"/>
      <c r="C351" s="156"/>
      <c r="D351" s="156"/>
      <c r="E351" s="15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 x14ac:dyDescent="0.25">
      <c r="A352" s="157" t="s">
        <v>249</v>
      </c>
      <c r="B352" s="157"/>
      <c r="C352" s="157"/>
      <c r="D352" s="157"/>
      <c r="E352" s="15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2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2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2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2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2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2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2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2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2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2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2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25">
      <c r="A365" s="156" t="s">
        <v>260</v>
      </c>
      <c r="B365" s="156"/>
      <c r="C365" s="156"/>
      <c r="D365" s="156"/>
      <c r="E365" s="15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2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2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2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2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2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2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2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2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2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2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2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25">
      <c r="A378" s="156" t="s">
        <v>263</v>
      </c>
      <c r="B378" s="156"/>
      <c r="C378" s="156"/>
      <c r="D378" s="156"/>
      <c r="E378" s="15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 x14ac:dyDescent="0.25">
      <c r="A379" s="157" t="s">
        <v>249</v>
      </c>
      <c r="B379" s="157"/>
      <c r="C379" s="157"/>
      <c r="D379" s="157"/>
      <c r="E379" s="15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2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2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2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2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2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2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2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2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2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2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2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25">
      <c r="A392" s="156" t="s">
        <v>260</v>
      </c>
      <c r="B392" s="156"/>
      <c r="C392" s="156"/>
      <c r="D392" s="156"/>
      <c r="E392" s="15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 x14ac:dyDescent="0.2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2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2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2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2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2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2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2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2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2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2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25">
      <c r="A405" s="156" t="s">
        <v>263</v>
      </c>
      <c r="B405" s="156"/>
      <c r="C405" s="156"/>
      <c r="D405" s="156"/>
      <c r="E405" s="15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 x14ac:dyDescent="0.25">
      <c r="A406" s="157" t="s">
        <v>249</v>
      </c>
      <c r="B406" s="157"/>
      <c r="C406" s="157"/>
      <c r="D406" s="157"/>
      <c r="E406" s="15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2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2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2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2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2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2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2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2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2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2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2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25">
      <c r="A419" s="156" t="s">
        <v>260</v>
      </c>
      <c r="B419" s="156"/>
      <c r="C419" s="156"/>
      <c r="D419" s="156"/>
      <c r="E419" s="15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2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 x14ac:dyDescent="0.2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 x14ac:dyDescent="0.2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2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2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2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2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2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2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2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2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25">
      <c r="A432" s="156" t="s">
        <v>263</v>
      </c>
      <c r="B432" s="156"/>
      <c r="C432" s="156"/>
      <c r="D432" s="156"/>
      <c r="E432" s="15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 x14ac:dyDescent="0.25">
      <c r="A433" s="157" t="s">
        <v>249</v>
      </c>
      <c r="B433" s="157"/>
      <c r="C433" s="157"/>
      <c r="D433" s="157"/>
      <c r="E433" s="15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2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2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2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2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2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2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2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2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2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2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2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25">
      <c r="A446" s="156" t="s">
        <v>260</v>
      </c>
      <c r="B446" s="156"/>
      <c r="C446" s="156"/>
      <c r="D446" s="156"/>
      <c r="E446" s="15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 x14ac:dyDescent="0.2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 x14ac:dyDescent="0.2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2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2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2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 x14ac:dyDescent="0.2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 x14ac:dyDescent="0.2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 x14ac:dyDescent="0.2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2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2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2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25">
      <c r="A459" s="156" t="s">
        <v>263</v>
      </c>
      <c r="B459" s="156"/>
      <c r="C459" s="156"/>
      <c r="D459" s="156"/>
      <c r="E459" s="15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 x14ac:dyDescent="0.25">
      <c r="A460" s="157" t="s">
        <v>249</v>
      </c>
      <c r="B460" s="157"/>
      <c r="C460" s="157"/>
      <c r="D460" s="157"/>
      <c r="E460" s="15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 x14ac:dyDescent="0.2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2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2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2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2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2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2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2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2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2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2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25">
      <c r="A473" s="156" t="s">
        <v>260</v>
      </c>
      <c r="B473" s="156"/>
      <c r="C473" s="156"/>
      <c r="D473" s="156"/>
      <c r="E473" s="15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2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2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 x14ac:dyDescent="0.2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2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2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2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2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2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2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2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2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25">
      <c r="A486" s="156" t="s">
        <v>263</v>
      </c>
      <c r="B486" s="156"/>
      <c r="C486" s="156"/>
      <c r="D486" s="156"/>
      <c r="E486" s="15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 x14ac:dyDescent="0.25">
      <c r="A487" s="157" t="s">
        <v>249</v>
      </c>
      <c r="B487" s="157"/>
      <c r="C487" s="157"/>
      <c r="D487" s="157"/>
      <c r="E487" s="15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2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 x14ac:dyDescent="0.2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2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2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2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2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2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2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2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2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25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25">
      <c r="A500" s="156" t="s">
        <v>260</v>
      </c>
      <c r="B500" s="156"/>
      <c r="C500" s="156"/>
      <c r="D500" s="156"/>
      <c r="E500" s="15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25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 x14ac:dyDescent="0.25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25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25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25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25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25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25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25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25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25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25">
      <c r="A513" s="156" t="s">
        <v>263</v>
      </c>
      <c r="B513" s="156"/>
      <c r="C513" s="156"/>
      <c r="D513" s="156"/>
      <c r="E513" s="15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 x14ac:dyDescent="0.25">
      <c r="A514" s="157" t="s">
        <v>249</v>
      </c>
      <c r="B514" s="157"/>
      <c r="C514" s="157"/>
      <c r="D514" s="157"/>
      <c r="E514" s="15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/>
      <c r="M515" s="71">
        <f t="shared" ref="M515:M526" ca="1" si="111">IFERROR(IF(K515="","",IF(L515="",MOD(NOW()-K515,1),IF(L515&gt;=K515,L515-K515,L515+1-K515))),"")</f>
        <v>2.1888773146201856E-2</v>
      </c>
      <c r="N515" s="80"/>
      <c r="O515" s="81"/>
    </row>
    <row r="516" spans="1:15" ht="15" customHeight="1" x14ac:dyDescent="0.25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25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25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25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25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25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25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25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25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25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25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25">
      <c r="A527" s="156" t="s">
        <v>260</v>
      </c>
      <c r="B527" s="156"/>
      <c r="C527" s="156"/>
      <c r="D527" s="156"/>
      <c r="E527" s="156"/>
      <c r="F527" s="2">
        <f>SUM(F515:F526)</f>
        <v>147</v>
      </c>
      <c r="G527" s="2">
        <f>SUM(G515:G526)</f>
        <v>709.4</v>
      </c>
      <c r="H527" s="72"/>
      <c r="I527" s="72"/>
      <c r="J527" s="72"/>
      <c r="K527" s="72"/>
      <c r="L527" s="72"/>
      <c r="M527" s="73">
        <f ca="1">IFERROR(SUM(M515:M526),"")</f>
        <v>2.1888773146201856E-2</v>
      </c>
      <c r="N527" s="2" t="s">
        <v>261</v>
      </c>
      <c r="O527" s="74"/>
    </row>
    <row r="528" spans="1:15" ht="15" customHeight="1" x14ac:dyDescent="0.25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 x14ac:dyDescent="0.25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 x14ac:dyDescent="0.25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 x14ac:dyDescent="0.25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 x14ac:dyDescent="0.25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25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25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25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25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25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25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25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25">
      <c r="A540" s="156" t="s">
        <v>263</v>
      </c>
      <c r="B540" s="156"/>
      <c r="C540" s="156"/>
      <c r="D540" s="156"/>
      <c r="E540" s="156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 x14ac:dyDescent="0.25">
      <c r="A541" s="157" t="s">
        <v>249</v>
      </c>
      <c r="B541" s="157"/>
      <c r="C541" s="157"/>
      <c r="D541" s="157"/>
      <c r="E541" s="157"/>
      <c r="F541" s="1">
        <f>F527+F540</f>
        <v>147</v>
      </c>
      <c r="G541" s="1">
        <f>G527+G540</f>
        <v>709.4</v>
      </c>
      <c r="H541" s="76"/>
      <c r="I541" s="76"/>
      <c r="J541" s="76"/>
      <c r="K541" s="76"/>
      <c r="L541" s="76"/>
      <c r="M541" s="77">
        <f ca="1">IFERROR(M527+M540,"")</f>
        <v>2.1888773146201856E-2</v>
      </c>
      <c r="N541" s="1" t="s">
        <v>264</v>
      </c>
      <c r="O541" s="82">
        <f>IFERROR(O527+O540,"")</f>
        <v>0</v>
      </c>
    </row>
    <row r="542" spans="1:15" ht="15" customHeight="1" x14ac:dyDescent="0.25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 x14ac:dyDescent="0.25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25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25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25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25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25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25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25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25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25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25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25">
      <c r="A554" s="156" t="s">
        <v>260</v>
      </c>
      <c r="B554" s="156"/>
      <c r="C554" s="156"/>
      <c r="D554" s="156"/>
      <c r="E554" s="15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 x14ac:dyDescent="0.25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 x14ac:dyDescent="0.25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 x14ac:dyDescent="0.25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 x14ac:dyDescent="0.25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 x14ac:dyDescent="0.25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 x14ac:dyDescent="0.25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 x14ac:dyDescent="0.25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 x14ac:dyDescent="0.25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25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25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25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25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25">
      <c r="A567" s="156" t="s">
        <v>263</v>
      </c>
      <c r="B567" s="156"/>
      <c r="C567" s="156"/>
      <c r="D567" s="156"/>
      <c r="E567" s="156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 x14ac:dyDescent="0.25">
      <c r="A568" s="157" t="s">
        <v>249</v>
      </c>
      <c r="B568" s="157"/>
      <c r="C568" s="157"/>
      <c r="D568" s="157"/>
      <c r="E568" s="157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 x14ac:dyDescent="0.25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 x14ac:dyDescent="0.25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25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25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25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25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25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25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25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25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25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25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25">
      <c r="A581" s="156" t="s">
        <v>260</v>
      </c>
      <c r="B581" s="156"/>
      <c r="C581" s="156"/>
      <c r="D581" s="156"/>
      <c r="E581" s="15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 x14ac:dyDescent="0.25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25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25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25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25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25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25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25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25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25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25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25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25">
      <c r="A594" s="156" t="s">
        <v>263</v>
      </c>
      <c r="B594" s="156"/>
      <c r="C594" s="156"/>
      <c r="D594" s="156"/>
      <c r="E594" s="15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 x14ac:dyDescent="0.25">
      <c r="A595" s="157" t="s">
        <v>249</v>
      </c>
      <c r="B595" s="157"/>
      <c r="C595" s="157"/>
      <c r="D595" s="157"/>
      <c r="E595" s="15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 x14ac:dyDescent="0.2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25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25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25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25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25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25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25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25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25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25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25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25">
      <c r="A608" s="156" t="s">
        <v>260</v>
      </c>
      <c r="B608" s="156"/>
      <c r="C608" s="156"/>
      <c r="D608" s="156"/>
      <c r="E608" s="15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 x14ac:dyDescent="0.2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25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25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25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25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25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25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25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25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25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25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25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25">
      <c r="A621" s="156" t="s">
        <v>263</v>
      </c>
      <c r="B621" s="156"/>
      <c r="C621" s="156"/>
      <c r="D621" s="156"/>
      <c r="E621" s="15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 x14ac:dyDescent="0.25">
      <c r="A622" s="157" t="s">
        <v>249</v>
      </c>
      <c r="B622" s="157"/>
      <c r="C622" s="157"/>
      <c r="D622" s="157"/>
      <c r="E622" s="15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 x14ac:dyDescent="0.2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25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25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25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25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25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25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25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25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25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25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25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25">
      <c r="A635" s="156" t="s">
        <v>260</v>
      </c>
      <c r="B635" s="156"/>
      <c r="C635" s="156"/>
      <c r="D635" s="156"/>
      <c r="E635" s="15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 x14ac:dyDescent="0.2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2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2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2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2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2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2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2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2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2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2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2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25">
      <c r="A648" s="156" t="s">
        <v>263</v>
      </c>
      <c r="B648" s="156"/>
      <c r="C648" s="156"/>
      <c r="D648" s="156"/>
      <c r="E648" s="15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 x14ac:dyDescent="0.25">
      <c r="A649" s="157" t="s">
        <v>249</v>
      </c>
      <c r="B649" s="157"/>
      <c r="C649" s="157"/>
      <c r="D649" s="157"/>
      <c r="E649" s="15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 x14ac:dyDescent="0.2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2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2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2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2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2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2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2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2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2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2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2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25">
      <c r="A662" s="156" t="s">
        <v>260</v>
      </c>
      <c r="B662" s="156"/>
      <c r="C662" s="156"/>
      <c r="D662" s="156"/>
      <c r="E662" s="15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 x14ac:dyDescent="0.2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2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2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2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2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2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2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2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2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2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2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2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25">
      <c r="A675" s="156" t="s">
        <v>263</v>
      </c>
      <c r="B675" s="156"/>
      <c r="C675" s="156"/>
      <c r="D675" s="156"/>
      <c r="E675" s="15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 x14ac:dyDescent="0.25">
      <c r="A676" s="157" t="s">
        <v>249</v>
      </c>
      <c r="B676" s="157"/>
      <c r="C676" s="157"/>
      <c r="D676" s="157"/>
      <c r="E676" s="15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 x14ac:dyDescent="0.2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2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2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2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2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2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2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2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2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2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2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2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25">
      <c r="A689" s="156" t="s">
        <v>260</v>
      </c>
      <c r="B689" s="156"/>
      <c r="C689" s="156"/>
      <c r="D689" s="156"/>
      <c r="E689" s="15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 x14ac:dyDescent="0.2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2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2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2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2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2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2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2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2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2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2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2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25">
      <c r="A702" s="156" t="s">
        <v>263</v>
      </c>
      <c r="B702" s="156"/>
      <c r="C702" s="156"/>
      <c r="D702" s="156"/>
      <c r="E702" s="15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 x14ac:dyDescent="0.25">
      <c r="A703" s="157" t="s">
        <v>249</v>
      </c>
      <c r="B703" s="157"/>
      <c r="C703" s="157"/>
      <c r="D703" s="157"/>
      <c r="E703" s="15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 x14ac:dyDescent="0.2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2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2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2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2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2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2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2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2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2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2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2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25">
      <c r="A716" s="156" t="s">
        <v>260</v>
      </c>
      <c r="B716" s="156"/>
      <c r="C716" s="156"/>
      <c r="D716" s="156"/>
      <c r="E716" s="15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 x14ac:dyDescent="0.2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2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2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2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2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2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2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2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2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2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2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2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25">
      <c r="A729" s="156" t="s">
        <v>263</v>
      </c>
      <c r="B729" s="156"/>
      <c r="C729" s="156"/>
      <c r="D729" s="156"/>
      <c r="E729" s="15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 x14ac:dyDescent="0.25">
      <c r="A730" s="157" t="s">
        <v>249</v>
      </c>
      <c r="B730" s="157"/>
      <c r="C730" s="157"/>
      <c r="D730" s="157"/>
      <c r="E730" s="15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 x14ac:dyDescent="0.2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2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2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2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2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2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2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2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2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2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2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2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25">
      <c r="A743" s="156" t="s">
        <v>260</v>
      </c>
      <c r="B743" s="156"/>
      <c r="C743" s="156"/>
      <c r="D743" s="156"/>
      <c r="E743" s="15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 x14ac:dyDescent="0.2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2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2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2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2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2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2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2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2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2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2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2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25">
      <c r="A756" s="156" t="s">
        <v>263</v>
      </c>
      <c r="B756" s="156"/>
      <c r="C756" s="156"/>
      <c r="D756" s="156"/>
      <c r="E756" s="15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 x14ac:dyDescent="0.25">
      <c r="A757" s="157" t="s">
        <v>249</v>
      </c>
      <c r="B757" s="157"/>
      <c r="C757" s="157"/>
      <c r="D757" s="157"/>
      <c r="E757" s="15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 x14ac:dyDescent="0.2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2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2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2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2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2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2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2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2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2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2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2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25">
      <c r="A770" s="156" t="s">
        <v>260</v>
      </c>
      <c r="B770" s="156"/>
      <c r="C770" s="156"/>
      <c r="D770" s="156"/>
      <c r="E770" s="15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 x14ac:dyDescent="0.2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2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2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2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2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2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2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2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2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2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2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2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25">
      <c r="A783" s="156" t="s">
        <v>263</v>
      </c>
      <c r="B783" s="156"/>
      <c r="C783" s="156"/>
      <c r="D783" s="156"/>
      <c r="E783" s="15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 x14ac:dyDescent="0.25">
      <c r="A784" s="157" t="s">
        <v>249</v>
      </c>
      <c r="B784" s="157"/>
      <c r="C784" s="157"/>
      <c r="D784" s="157"/>
      <c r="E784" s="15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 x14ac:dyDescent="0.2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2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2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2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2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2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2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2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2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2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2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2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25">
      <c r="A797" s="156" t="s">
        <v>260</v>
      </c>
      <c r="B797" s="156"/>
      <c r="C797" s="156"/>
      <c r="D797" s="156"/>
      <c r="E797" s="15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 x14ac:dyDescent="0.2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2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2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2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2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2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2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2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2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2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2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2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25">
      <c r="A810" s="156" t="s">
        <v>263</v>
      </c>
      <c r="B810" s="156"/>
      <c r="C810" s="156"/>
      <c r="D810" s="156"/>
      <c r="E810" s="15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 x14ac:dyDescent="0.25">
      <c r="A811" s="157" t="s">
        <v>249</v>
      </c>
      <c r="B811" s="157"/>
      <c r="C811" s="157"/>
      <c r="D811" s="157"/>
      <c r="E811" s="15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2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2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2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2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2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2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2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2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2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2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2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25">
      <c r="A824" s="156" t="s">
        <v>260</v>
      </c>
      <c r="B824" s="156"/>
      <c r="C824" s="156"/>
      <c r="D824" s="156"/>
      <c r="E824" s="15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 x14ac:dyDescent="0.2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2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2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2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2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2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2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2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2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2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2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2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25">
      <c r="A837" s="156" t="s">
        <v>263</v>
      </c>
      <c r="B837" s="156"/>
      <c r="C837" s="156"/>
      <c r="D837" s="156"/>
      <c r="E837" s="15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 x14ac:dyDescent="0.25">
      <c r="A838" s="157" t="s">
        <v>249</v>
      </c>
      <c r="B838" s="157"/>
      <c r="C838" s="157"/>
      <c r="D838" s="157"/>
      <c r="E838" s="15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5" sqref="G525"/>
    </sheetView>
  </sheetViews>
  <sheetFormatPr defaultColWidth="8.5703125" defaultRowHeight="15" x14ac:dyDescent="0.2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25">
      <c r="A14" s="166" t="s">
        <v>260</v>
      </c>
      <c r="B14" s="166"/>
      <c r="C14" s="166"/>
      <c r="D14" s="166"/>
      <c r="E14" s="16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25">
      <c r="A27" s="166" t="s">
        <v>263</v>
      </c>
      <c r="B27" s="166"/>
      <c r="C27" s="166"/>
      <c r="D27" s="166"/>
      <c r="E27" s="16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 x14ac:dyDescent="0.25">
      <c r="A28" s="165" t="s">
        <v>249</v>
      </c>
      <c r="B28" s="165"/>
      <c r="C28" s="165"/>
      <c r="D28" s="165"/>
      <c r="E28" s="16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2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2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2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2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2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2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2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2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2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2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2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25">
      <c r="A41" s="166" t="s">
        <v>260</v>
      </c>
      <c r="B41" s="166"/>
      <c r="C41" s="166"/>
      <c r="D41" s="166"/>
      <c r="E41" s="16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0.59272210647759493</v>
      </c>
      <c r="R53" s="80" t="s">
        <v>305</v>
      </c>
      <c r="S53" s="67"/>
    </row>
    <row r="54" spans="1:20" ht="15.75" customHeight="1" x14ac:dyDescent="0.25">
      <c r="A54" s="166" t="s">
        <v>263</v>
      </c>
      <c r="B54" s="166"/>
      <c r="C54" s="166"/>
      <c r="D54" s="166"/>
      <c r="E54" s="16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0.73161099536648266</v>
      </c>
      <c r="R54" s="2" t="s">
        <v>261</v>
      </c>
      <c r="S54" s="113">
        <v>352430</v>
      </c>
      <c r="T54" s="114"/>
    </row>
    <row r="55" spans="1:20" ht="18" customHeight="1" x14ac:dyDescent="0.25">
      <c r="A55" s="165" t="s">
        <v>249</v>
      </c>
      <c r="B55" s="165"/>
      <c r="C55" s="165"/>
      <c r="D55" s="165"/>
      <c r="E55" s="16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0.81633321758870547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2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2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2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2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2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2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2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 x14ac:dyDescent="0.2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2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2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2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35">
      <c r="A68" s="166" t="s">
        <v>260</v>
      </c>
      <c r="B68" s="166"/>
      <c r="C68" s="166"/>
      <c r="D68" s="166"/>
      <c r="E68" s="16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2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2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2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2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2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2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2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 x14ac:dyDescent="0.2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2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2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2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35">
      <c r="A81" s="166" t="s">
        <v>263</v>
      </c>
      <c r="B81" s="166"/>
      <c r="C81" s="166"/>
      <c r="D81" s="166"/>
      <c r="E81" s="16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 x14ac:dyDescent="0.25">
      <c r="A82" s="165" t="s">
        <v>249</v>
      </c>
      <c r="B82" s="165"/>
      <c r="C82" s="165"/>
      <c r="D82" s="165"/>
      <c r="E82" s="16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35">
      <c r="A95" s="166" t="s">
        <v>260</v>
      </c>
      <c r="B95" s="166"/>
      <c r="C95" s="166"/>
      <c r="D95" s="166"/>
      <c r="E95" s="16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35">
      <c r="A108" s="166" t="s">
        <v>263</v>
      </c>
      <c r="B108" s="166"/>
      <c r="C108" s="166"/>
      <c r="D108" s="166"/>
      <c r="E108" s="16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 x14ac:dyDescent="0.25">
      <c r="A109" s="165" t="s">
        <v>249</v>
      </c>
      <c r="B109" s="165"/>
      <c r="C109" s="165"/>
      <c r="D109" s="165"/>
      <c r="E109" s="16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35">
      <c r="A122" s="166" t="s">
        <v>260</v>
      </c>
      <c r="B122" s="166"/>
      <c r="C122" s="166"/>
      <c r="D122" s="166"/>
      <c r="E122" s="16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35">
      <c r="A135" s="166" t="s">
        <v>263</v>
      </c>
      <c r="B135" s="166"/>
      <c r="C135" s="166"/>
      <c r="D135" s="166"/>
      <c r="E135" s="16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 x14ac:dyDescent="0.25">
      <c r="A136" s="165" t="s">
        <v>249</v>
      </c>
      <c r="B136" s="165"/>
      <c r="C136" s="165"/>
      <c r="D136" s="165"/>
      <c r="E136" s="16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35">
      <c r="A149" s="166" t="s">
        <v>260</v>
      </c>
      <c r="B149" s="166"/>
      <c r="C149" s="166"/>
      <c r="D149" s="166"/>
      <c r="E149" s="16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35">
      <c r="A162" s="166" t="s">
        <v>263</v>
      </c>
      <c r="B162" s="166"/>
      <c r="C162" s="166"/>
      <c r="D162" s="166"/>
      <c r="E162" s="16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 x14ac:dyDescent="0.25">
      <c r="A163" s="165" t="s">
        <v>249</v>
      </c>
      <c r="B163" s="165"/>
      <c r="C163" s="165"/>
      <c r="D163" s="165"/>
      <c r="E163" s="16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25">
      <c r="A176" s="166" t="s">
        <v>260</v>
      </c>
      <c r="B176" s="166"/>
      <c r="C176" s="166"/>
      <c r="D176" s="166"/>
      <c r="E176" s="16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25">
      <c r="A189" s="166" t="s">
        <v>263</v>
      </c>
      <c r="B189" s="166"/>
      <c r="C189" s="166"/>
      <c r="D189" s="166"/>
      <c r="E189" s="16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 x14ac:dyDescent="0.25">
      <c r="A190" s="165" t="s">
        <v>249</v>
      </c>
      <c r="B190" s="165"/>
      <c r="C190" s="165"/>
      <c r="D190" s="165"/>
      <c r="E190" s="16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25">
      <c r="A203" s="166" t="s">
        <v>260</v>
      </c>
      <c r="B203" s="166"/>
      <c r="C203" s="166"/>
      <c r="D203" s="166"/>
      <c r="E203" s="16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25">
      <c r="A216" s="166" t="s">
        <v>263</v>
      </c>
      <c r="B216" s="166"/>
      <c r="C216" s="166"/>
      <c r="D216" s="166"/>
      <c r="E216" s="16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 x14ac:dyDescent="0.25">
      <c r="A217" s="165" t="s">
        <v>249</v>
      </c>
      <c r="B217" s="165"/>
      <c r="C217" s="165"/>
      <c r="D217" s="165"/>
      <c r="E217" s="16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25">
      <c r="A230" s="166" t="s">
        <v>260</v>
      </c>
      <c r="B230" s="166"/>
      <c r="C230" s="166"/>
      <c r="D230" s="166"/>
      <c r="E230" s="16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25">
      <c r="A243" s="166" t="s">
        <v>263</v>
      </c>
      <c r="B243" s="166"/>
      <c r="C243" s="166"/>
      <c r="D243" s="166"/>
      <c r="E243" s="16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 x14ac:dyDescent="0.25">
      <c r="A244" s="165" t="s">
        <v>249</v>
      </c>
      <c r="B244" s="165"/>
      <c r="C244" s="165"/>
      <c r="D244" s="165"/>
      <c r="E244" s="16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25">
      <c r="A257" s="166" t="s">
        <v>260</v>
      </c>
      <c r="B257" s="166"/>
      <c r="C257" s="166"/>
      <c r="D257" s="166"/>
      <c r="E257" s="16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25">
      <c r="A270" s="166" t="s">
        <v>263</v>
      </c>
      <c r="B270" s="166"/>
      <c r="C270" s="166"/>
      <c r="D270" s="166"/>
      <c r="E270" s="16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 x14ac:dyDescent="0.25">
      <c r="A271" s="165" t="s">
        <v>249</v>
      </c>
      <c r="B271" s="165"/>
      <c r="C271" s="165"/>
      <c r="D271" s="165"/>
      <c r="E271" s="16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25">
      <c r="A284" s="166" t="s">
        <v>260</v>
      </c>
      <c r="B284" s="166"/>
      <c r="C284" s="166"/>
      <c r="D284" s="166"/>
      <c r="E284" s="16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 x14ac:dyDescent="0.2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25">
      <c r="A297" s="166" t="s">
        <v>263</v>
      </c>
      <c r="B297" s="166"/>
      <c r="C297" s="166"/>
      <c r="D297" s="166"/>
      <c r="E297" s="16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 x14ac:dyDescent="0.25">
      <c r="A298" s="165" t="s">
        <v>249</v>
      </c>
      <c r="B298" s="165"/>
      <c r="C298" s="165"/>
      <c r="D298" s="165"/>
      <c r="E298" s="16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25">
      <c r="A311" s="166" t="s">
        <v>260</v>
      </c>
      <c r="B311" s="166"/>
      <c r="C311" s="166"/>
      <c r="D311" s="166"/>
      <c r="E311" s="16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25">
      <c r="A324" s="166" t="s">
        <v>263</v>
      </c>
      <c r="B324" s="166"/>
      <c r="C324" s="166"/>
      <c r="D324" s="166"/>
      <c r="E324" s="16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 x14ac:dyDescent="0.25">
      <c r="A325" s="165" t="s">
        <v>249</v>
      </c>
      <c r="B325" s="165"/>
      <c r="C325" s="165"/>
      <c r="D325" s="165"/>
      <c r="E325" s="16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 x14ac:dyDescent="0.2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2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 x14ac:dyDescent="0.2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 x14ac:dyDescent="0.2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2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 x14ac:dyDescent="0.2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 x14ac:dyDescent="0.2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2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2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2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2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25">
      <c r="A338" s="166" t="s">
        <v>260</v>
      </c>
      <c r="B338" s="166"/>
      <c r="C338" s="166"/>
      <c r="D338" s="166"/>
      <c r="E338" s="16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25">
      <c r="A351" s="166" t="s">
        <v>263</v>
      </c>
      <c r="B351" s="166"/>
      <c r="C351" s="166"/>
      <c r="D351" s="166"/>
      <c r="E351" s="16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 x14ac:dyDescent="0.25">
      <c r="A352" s="165" t="s">
        <v>249</v>
      </c>
      <c r="B352" s="165"/>
      <c r="C352" s="165"/>
      <c r="D352" s="165"/>
      <c r="E352" s="16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25">
      <c r="A365" s="166" t="s">
        <v>260</v>
      </c>
      <c r="B365" s="166"/>
      <c r="C365" s="166"/>
      <c r="D365" s="166"/>
      <c r="E365" s="16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25">
      <c r="A378" s="166" t="s">
        <v>263</v>
      </c>
      <c r="B378" s="166"/>
      <c r="C378" s="166"/>
      <c r="D378" s="166"/>
      <c r="E378" s="16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 x14ac:dyDescent="0.25">
      <c r="A379" s="165" t="s">
        <v>249</v>
      </c>
      <c r="B379" s="165"/>
      <c r="C379" s="165"/>
      <c r="D379" s="165"/>
      <c r="E379" s="16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25">
      <c r="A392" s="166" t="s">
        <v>260</v>
      </c>
      <c r="B392" s="166"/>
      <c r="C392" s="166"/>
      <c r="D392" s="166"/>
      <c r="E392" s="16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25">
      <c r="A405" s="166" t="s">
        <v>263</v>
      </c>
      <c r="B405" s="166"/>
      <c r="C405" s="166"/>
      <c r="D405" s="166"/>
      <c r="E405" s="16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 x14ac:dyDescent="0.25">
      <c r="A406" s="165" t="s">
        <v>249</v>
      </c>
      <c r="B406" s="165"/>
      <c r="C406" s="165"/>
      <c r="D406" s="165"/>
      <c r="E406" s="16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25">
      <c r="A419" s="166" t="s">
        <v>260</v>
      </c>
      <c r="B419" s="166"/>
      <c r="C419" s="166"/>
      <c r="D419" s="166"/>
      <c r="E419" s="16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25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 x14ac:dyDescent="0.25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25">
      <c r="A446" s="166" t="s">
        <v>260</v>
      </c>
      <c r="B446" s="166"/>
      <c r="C446" s="166"/>
      <c r="D446" s="166"/>
      <c r="E446" s="16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2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2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2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2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2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 x14ac:dyDescent="0.2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 x14ac:dyDescent="0.2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2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2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2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2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25">
      <c r="A459" s="166" t="s">
        <v>263</v>
      </c>
      <c r="B459" s="166"/>
      <c r="C459" s="166"/>
      <c r="D459" s="166"/>
      <c r="E459" s="16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 x14ac:dyDescent="0.25">
      <c r="A460" s="165" t="s">
        <v>249</v>
      </c>
      <c r="B460" s="165"/>
      <c r="C460" s="165"/>
      <c r="D460" s="165"/>
      <c r="E460" s="16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25">
      <c r="A473" s="166" t="s">
        <v>260</v>
      </c>
      <c r="B473" s="166"/>
      <c r="C473" s="166"/>
      <c r="D473" s="166"/>
      <c r="E473" s="16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25">
      <c r="A486" s="166" t="s">
        <v>263</v>
      </c>
      <c r="B486" s="166"/>
      <c r="C486" s="166"/>
      <c r="D486" s="166"/>
      <c r="E486" s="16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 x14ac:dyDescent="0.25">
      <c r="A487" s="165" t="s">
        <v>249</v>
      </c>
      <c r="B487" s="165"/>
      <c r="C487" s="165"/>
      <c r="D487" s="165"/>
      <c r="E487" s="16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 x14ac:dyDescent="0.2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2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2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2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 x14ac:dyDescent="0.2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2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2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2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2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2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2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25">
      <c r="A500" s="166" t="s">
        <v>260</v>
      </c>
      <c r="B500" s="166"/>
      <c r="C500" s="166"/>
      <c r="D500" s="166"/>
      <c r="E500" s="16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25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 x14ac:dyDescent="0.25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30"/>
        <v>0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25">
      <c r="A527" s="166" t="s">
        <v>260</v>
      </c>
      <c r="B527" s="166"/>
      <c r="C527" s="166"/>
      <c r="D527" s="166"/>
      <c r="E527" s="166"/>
      <c r="F527" s="95"/>
      <c r="G527" s="96">
        <f>SUM(G515:G526)</f>
        <v>153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695.40000000000009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/>
      <c r="T527" s="99">
        <f>IFERROR(J527,"")</f>
        <v>0</v>
      </c>
    </row>
    <row r="528" spans="1:20" ht="15" customHeight="1" x14ac:dyDescent="0.2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 x14ac:dyDescent="0.25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 x14ac:dyDescent="0.25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25">
      <c r="A540" s="166" t="s">
        <v>263</v>
      </c>
      <c r="B540" s="166"/>
      <c r="C540" s="166"/>
      <c r="D540" s="166"/>
      <c r="E540" s="16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25">
      <c r="A541" s="165" t="s">
        <v>249</v>
      </c>
      <c r="B541" s="165"/>
      <c r="C541" s="165"/>
      <c r="D541" s="165"/>
      <c r="E541" s="165"/>
      <c r="F541" s="108"/>
      <c r="G541" s="109">
        <f>G527+G540</f>
        <v>153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695.40000000000009</v>
      </c>
      <c r="L541" s="76"/>
      <c r="M541" s="76"/>
      <c r="N541" s="76"/>
      <c r="O541" s="76"/>
      <c r="P541" s="76"/>
      <c r="Q541" s="77">
        <f ca="1">IFERROR(Q527+Q540,"")</f>
        <v>6.458333333333327E-2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2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25">
      <c r="A554" s="166" t="s">
        <v>260</v>
      </c>
      <c r="B554" s="166"/>
      <c r="C554" s="166"/>
      <c r="D554" s="166"/>
      <c r="E554" s="16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2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25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25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25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25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25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25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25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25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25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25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25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25">
      <c r="A567" s="166" t="s">
        <v>263</v>
      </c>
      <c r="B567" s="166"/>
      <c r="C567" s="166"/>
      <c r="D567" s="166"/>
      <c r="E567" s="16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25">
      <c r="A568" s="165" t="s">
        <v>249</v>
      </c>
      <c r="B568" s="165"/>
      <c r="C568" s="165"/>
      <c r="D568" s="165"/>
      <c r="E568" s="16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2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25">
      <c r="A581" s="166" t="s">
        <v>260</v>
      </c>
      <c r="B581" s="166"/>
      <c r="C581" s="166"/>
      <c r="D581" s="166"/>
      <c r="E581" s="16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2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2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25">
      <c r="A594" s="166" t="s">
        <v>263</v>
      </c>
      <c r="B594" s="166"/>
      <c r="C594" s="166"/>
      <c r="D594" s="166"/>
      <c r="E594" s="16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25">
      <c r="A595" s="165" t="s">
        <v>249</v>
      </c>
      <c r="B595" s="165"/>
      <c r="C595" s="165"/>
      <c r="D595" s="165"/>
      <c r="E595" s="16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25">
      <c r="A608" s="166" t="s">
        <v>260</v>
      </c>
      <c r="B608" s="166"/>
      <c r="C608" s="166"/>
      <c r="D608" s="166"/>
      <c r="E608" s="16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25">
      <c r="A621" s="166" t="s">
        <v>263</v>
      </c>
      <c r="B621" s="166"/>
      <c r="C621" s="166"/>
      <c r="D621" s="166"/>
      <c r="E621" s="16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25">
      <c r="A622" s="165" t="s">
        <v>249</v>
      </c>
      <c r="B622" s="165"/>
      <c r="C622" s="165"/>
      <c r="D622" s="165"/>
      <c r="E622" s="16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25">
      <c r="A635" s="166" t="s">
        <v>260</v>
      </c>
      <c r="B635" s="166"/>
      <c r="C635" s="166"/>
      <c r="D635" s="166"/>
      <c r="E635" s="16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25">
      <c r="A648" s="166" t="s">
        <v>263</v>
      </c>
      <c r="B648" s="166"/>
      <c r="C648" s="166"/>
      <c r="D648" s="166"/>
      <c r="E648" s="16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65" t="s">
        <v>249</v>
      </c>
      <c r="B649" s="165"/>
      <c r="C649" s="165"/>
      <c r="D649" s="165"/>
      <c r="E649" s="16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25">
      <c r="A662" s="166" t="s">
        <v>260</v>
      </c>
      <c r="B662" s="166"/>
      <c r="C662" s="166"/>
      <c r="D662" s="166"/>
      <c r="E662" s="16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25">
      <c r="A675" s="166" t="s">
        <v>263</v>
      </c>
      <c r="B675" s="166"/>
      <c r="C675" s="166"/>
      <c r="D675" s="166"/>
      <c r="E675" s="16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65" t="s">
        <v>249</v>
      </c>
      <c r="B676" s="165"/>
      <c r="C676" s="165"/>
      <c r="D676" s="165"/>
      <c r="E676" s="16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25">
      <c r="A689" s="166" t="s">
        <v>260</v>
      </c>
      <c r="B689" s="166"/>
      <c r="C689" s="166"/>
      <c r="D689" s="166"/>
      <c r="E689" s="16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25">
      <c r="A702" s="166" t="s">
        <v>263</v>
      </c>
      <c r="B702" s="166"/>
      <c r="C702" s="166"/>
      <c r="D702" s="166"/>
      <c r="E702" s="16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65" t="s">
        <v>249</v>
      </c>
      <c r="B703" s="165"/>
      <c r="C703" s="165"/>
      <c r="D703" s="165"/>
      <c r="E703" s="16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25">
      <c r="A716" s="166" t="s">
        <v>260</v>
      </c>
      <c r="B716" s="166"/>
      <c r="C716" s="166"/>
      <c r="D716" s="166"/>
      <c r="E716" s="16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25">
      <c r="A729" s="166" t="s">
        <v>263</v>
      </c>
      <c r="B729" s="166"/>
      <c r="C729" s="166"/>
      <c r="D729" s="166"/>
      <c r="E729" s="16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65" t="s">
        <v>249</v>
      </c>
      <c r="B730" s="165"/>
      <c r="C730" s="165"/>
      <c r="D730" s="165"/>
      <c r="E730" s="16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25">
      <c r="A743" s="166" t="s">
        <v>260</v>
      </c>
      <c r="B743" s="166"/>
      <c r="C743" s="166"/>
      <c r="D743" s="166"/>
      <c r="E743" s="16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25">
      <c r="A756" s="166" t="s">
        <v>263</v>
      </c>
      <c r="B756" s="166"/>
      <c r="C756" s="166"/>
      <c r="D756" s="166"/>
      <c r="E756" s="16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65" t="s">
        <v>249</v>
      </c>
      <c r="B757" s="165"/>
      <c r="C757" s="165"/>
      <c r="D757" s="165"/>
      <c r="E757" s="16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25">
      <c r="A770" s="166" t="s">
        <v>260</v>
      </c>
      <c r="B770" s="166"/>
      <c r="C770" s="166"/>
      <c r="D770" s="166"/>
      <c r="E770" s="16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25">
      <c r="A783" s="166" t="s">
        <v>263</v>
      </c>
      <c r="B783" s="166"/>
      <c r="C783" s="166"/>
      <c r="D783" s="166"/>
      <c r="E783" s="16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65" t="s">
        <v>249</v>
      </c>
      <c r="B784" s="165"/>
      <c r="C784" s="165"/>
      <c r="D784" s="165"/>
      <c r="E784" s="16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25">
      <c r="A797" s="166" t="s">
        <v>260</v>
      </c>
      <c r="B797" s="166"/>
      <c r="C797" s="166"/>
      <c r="D797" s="166"/>
      <c r="E797" s="16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25">
      <c r="A810" s="166" t="s">
        <v>263</v>
      </c>
      <c r="B810" s="166"/>
      <c r="C810" s="166"/>
      <c r="D810" s="166"/>
      <c r="E810" s="16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65" t="s">
        <v>249</v>
      </c>
      <c r="B811" s="165"/>
      <c r="C811" s="165"/>
      <c r="D811" s="165"/>
      <c r="E811" s="16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25">
      <c r="A824" s="166" t="s">
        <v>260</v>
      </c>
      <c r="B824" s="166"/>
      <c r="C824" s="166"/>
      <c r="D824" s="166"/>
      <c r="E824" s="16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25">
      <c r="A837" s="166" t="s">
        <v>263</v>
      </c>
      <c r="B837" s="166"/>
      <c r="C837" s="166"/>
      <c r="D837" s="166"/>
      <c r="E837" s="16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 x14ac:dyDescent="0.25">
      <c r="A838" s="165" t="s">
        <v>249</v>
      </c>
      <c r="B838" s="165"/>
      <c r="C838" s="165"/>
      <c r="D838" s="165"/>
      <c r="E838" s="16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5" sqref="G525"/>
    </sheetView>
  </sheetViews>
  <sheetFormatPr defaultColWidth="8.5703125" defaultRowHeight="15" x14ac:dyDescent="0.2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2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25">
      <c r="A14" s="166" t="s">
        <v>260</v>
      </c>
      <c r="B14" s="166"/>
      <c r="C14" s="166"/>
      <c r="D14" s="166"/>
      <c r="E14" s="16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25">
      <c r="A27" s="166" t="s">
        <v>263</v>
      </c>
      <c r="B27" s="166"/>
      <c r="C27" s="166"/>
      <c r="D27" s="166"/>
      <c r="E27" s="16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 x14ac:dyDescent="0.25">
      <c r="A28" s="165" t="s">
        <v>249</v>
      </c>
      <c r="B28" s="165"/>
      <c r="C28" s="165"/>
      <c r="D28" s="165"/>
      <c r="E28" s="16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25">
      <c r="A41" s="166" t="s">
        <v>260</v>
      </c>
      <c r="B41" s="166"/>
      <c r="C41" s="166"/>
      <c r="D41" s="166"/>
      <c r="E41" s="16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25">
      <c r="A54" s="166" t="s">
        <v>263</v>
      </c>
      <c r="B54" s="166"/>
      <c r="C54" s="166"/>
      <c r="D54" s="166"/>
      <c r="E54" s="16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 x14ac:dyDescent="0.25">
      <c r="A55" s="165" t="s">
        <v>249</v>
      </c>
      <c r="B55" s="165"/>
      <c r="C55" s="165"/>
      <c r="D55" s="165"/>
      <c r="E55" s="16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25">
      <c r="A68" s="166" t="s">
        <v>260</v>
      </c>
      <c r="B68" s="166"/>
      <c r="C68" s="166"/>
      <c r="D68" s="166"/>
      <c r="E68" s="16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25">
      <c r="A81" s="166" t="s">
        <v>263</v>
      </c>
      <c r="B81" s="166"/>
      <c r="C81" s="166"/>
      <c r="D81" s="166"/>
      <c r="E81" s="16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 x14ac:dyDescent="0.25">
      <c r="A82" s="165" t="s">
        <v>249</v>
      </c>
      <c r="B82" s="165"/>
      <c r="C82" s="165"/>
      <c r="D82" s="165"/>
      <c r="E82" s="16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25">
      <c r="A95" s="166" t="s">
        <v>260</v>
      </c>
      <c r="B95" s="166"/>
      <c r="C95" s="166"/>
      <c r="D95" s="166"/>
      <c r="E95" s="16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25">
      <c r="A108" s="166" t="s">
        <v>263</v>
      </c>
      <c r="B108" s="166"/>
      <c r="C108" s="166"/>
      <c r="D108" s="166"/>
      <c r="E108" s="16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 x14ac:dyDescent="0.25">
      <c r="A109" s="165" t="s">
        <v>249</v>
      </c>
      <c r="B109" s="165"/>
      <c r="C109" s="165"/>
      <c r="D109" s="165"/>
      <c r="E109" s="16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25">
      <c r="A122" s="166" t="s">
        <v>260</v>
      </c>
      <c r="B122" s="166"/>
      <c r="C122" s="166"/>
      <c r="D122" s="166"/>
      <c r="E122" s="16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25">
      <c r="A135" s="166" t="s">
        <v>263</v>
      </c>
      <c r="B135" s="166"/>
      <c r="C135" s="166"/>
      <c r="D135" s="166"/>
      <c r="E135" s="16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 x14ac:dyDescent="0.25">
      <c r="A136" s="165" t="s">
        <v>249</v>
      </c>
      <c r="B136" s="165"/>
      <c r="C136" s="165"/>
      <c r="D136" s="165"/>
      <c r="E136" s="16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66" t="s">
        <v>260</v>
      </c>
      <c r="B149" s="166"/>
      <c r="C149" s="166"/>
      <c r="D149" s="166"/>
      <c r="E149" s="16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66" t="s">
        <v>263</v>
      </c>
      <c r="B162" s="166"/>
      <c r="C162" s="166"/>
      <c r="D162" s="166"/>
      <c r="E162" s="16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 x14ac:dyDescent="0.25">
      <c r="A163" s="165" t="s">
        <v>249</v>
      </c>
      <c r="B163" s="165"/>
      <c r="C163" s="165"/>
      <c r="D163" s="165"/>
      <c r="E163" s="16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66" t="s">
        <v>260</v>
      </c>
      <c r="B176" s="166"/>
      <c r="C176" s="166"/>
      <c r="D176" s="166"/>
      <c r="E176" s="16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66" t="s">
        <v>263</v>
      </c>
      <c r="B189" s="166"/>
      <c r="C189" s="166"/>
      <c r="D189" s="166"/>
      <c r="E189" s="16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 x14ac:dyDescent="0.25">
      <c r="A190" s="165" t="s">
        <v>249</v>
      </c>
      <c r="B190" s="165"/>
      <c r="C190" s="165"/>
      <c r="D190" s="165"/>
      <c r="E190" s="16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66" t="s">
        <v>260</v>
      </c>
      <c r="B203" s="166"/>
      <c r="C203" s="166"/>
      <c r="D203" s="166"/>
      <c r="E203" s="16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25">
      <c r="A216" s="166" t="s">
        <v>263</v>
      </c>
      <c r="B216" s="166"/>
      <c r="C216" s="166"/>
      <c r="D216" s="166"/>
      <c r="E216" s="16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 x14ac:dyDescent="0.25">
      <c r="A217" s="165" t="s">
        <v>249</v>
      </c>
      <c r="B217" s="165"/>
      <c r="C217" s="165"/>
      <c r="D217" s="165"/>
      <c r="E217" s="16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25">
      <c r="A230" s="166" t="s">
        <v>260</v>
      </c>
      <c r="B230" s="166"/>
      <c r="C230" s="166"/>
      <c r="D230" s="166"/>
      <c r="E230" s="16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25">
      <c r="A243" s="166" t="s">
        <v>263</v>
      </c>
      <c r="B243" s="166"/>
      <c r="C243" s="166"/>
      <c r="D243" s="166"/>
      <c r="E243" s="16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 x14ac:dyDescent="0.25">
      <c r="A244" s="165" t="s">
        <v>249</v>
      </c>
      <c r="B244" s="165"/>
      <c r="C244" s="165"/>
      <c r="D244" s="165"/>
      <c r="E244" s="16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25">
      <c r="A257" s="166" t="s">
        <v>260</v>
      </c>
      <c r="B257" s="166"/>
      <c r="C257" s="166"/>
      <c r="D257" s="166"/>
      <c r="E257" s="16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2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2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2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2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2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2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2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25">
      <c r="A270" s="166" t="s">
        <v>263</v>
      </c>
      <c r="B270" s="166"/>
      <c r="C270" s="166"/>
      <c r="D270" s="166"/>
      <c r="E270" s="16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 x14ac:dyDescent="0.25">
      <c r="A271" s="165" t="s">
        <v>249</v>
      </c>
      <c r="B271" s="165"/>
      <c r="C271" s="165"/>
      <c r="D271" s="165"/>
      <c r="E271" s="16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2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2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2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2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2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2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2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2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2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2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2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25">
      <c r="A284" s="166" t="s">
        <v>260</v>
      </c>
      <c r="B284" s="166"/>
      <c r="C284" s="166"/>
      <c r="D284" s="166"/>
      <c r="E284" s="16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2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2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2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2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2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2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2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2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2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2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2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25">
      <c r="A297" s="166" t="s">
        <v>263</v>
      </c>
      <c r="B297" s="166"/>
      <c r="C297" s="166"/>
      <c r="D297" s="166"/>
      <c r="E297" s="16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 x14ac:dyDescent="0.25">
      <c r="A298" s="165" t="s">
        <v>249</v>
      </c>
      <c r="B298" s="165"/>
      <c r="C298" s="165"/>
      <c r="D298" s="165"/>
      <c r="E298" s="16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2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2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2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2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2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2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2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2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2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2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2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25">
      <c r="A311" s="166" t="s">
        <v>260</v>
      </c>
      <c r="B311" s="166"/>
      <c r="C311" s="166"/>
      <c r="D311" s="166"/>
      <c r="E311" s="16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2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2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2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2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2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2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2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2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2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2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2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25">
      <c r="A324" s="166" t="s">
        <v>263</v>
      </c>
      <c r="B324" s="166"/>
      <c r="C324" s="166"/>
      <c r="D324" s="166"/>
      <c r="E324" s="16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 x14ac:dyDescent="0.25">
      <c r="A325" s="165" t="s">
        <v>249</v>
      </c>
      <c r="B325" s="165"/>
      <c r="C325" s="165"/>
      <c r="D325" s="165"/>
      <c r="E325" s="16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 x14ac:dyDescent="0.2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 x14ac:dyDescent="0.2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2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 x14ac:dyDescent="0.2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2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2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2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2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2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2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2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25">
      <c r="A338" s="166" t="s">
        <v>260</v>
      </c>
      <c r="B338" s="166"/>
      <c r="C338" s="166"/>
      <c r="D338" s="166"/>
      <c r="E338" s="16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2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2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2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2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2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2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2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2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2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2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2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25">
      <c r="A351" s="166" t="s">
        <v>263</v>
      </c>
      <c r="B351" s="166"/>
      <c r="C351" s="166"/>
      <c r="D351" s="166"/>
      <c r="E351" s="16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 x14ac:dyDescent="0.25">
      <c r="A352" s="165" t="s">
        <v>249</v>
      </c>
      <c r="B352" s="165"/>
      <c r="C352" s="165"/>
      <c r="D352" s="165"/>
      <c r="E352" s="16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2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 x14ac:dyDescent="0.2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2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2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2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2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2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2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2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25">
      <c r="A365" s="166" t="s">
        <v>260</v>
      </c>
      <c r="B365" s="166"/>
      <c r="C365" s="166"/>
      <c r="D365" s="166"/>
      <c r="E365" s="16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2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2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2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2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2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2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2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2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2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2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2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25">
      <c r="A378" s="166" t="s">
        <v>263</v>
      </c>
      <c r="B378" s="166"/>
      <c r="C378" s="166"/>
      <c r="D378" s="166"/>
      <c r="E378" s="16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 x14ac:dyDescent="0.25">
      <c r="A379" s="165" t="s">
        <v>249</v>
      </c>
      <c r="B379" s="165"/>
      <c r="C379" s="165"/>
      <c r="D379" s="165"/>
      <c r="E379" s="16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2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2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2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 x14ac:dyDescent="0.2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 x14ac:dyDescent="0.2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2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2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2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2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2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2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25">
      <c r="A392" s="166" t="s">
        <v>260</v>
      </c>
      <c r="B392" s="166"/>
      <c r="C392" s="166"/>
      <c r="D392" s="166"/>
      <c r="E392" s="16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2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2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2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2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2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2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2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2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2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2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2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25">
      <c r="A405" s="166" t="s">
        <v>263</v>
      </c>
      <c r="B405" s="166"/>
      <c r="C405" s="166"/>
      <c r="D405" s="166"/>
      <c r="E405" s="16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 x14ac:dyDescent="0.25">
      <c r="A406" s="165" t="s">
        <v>249</v>
      </c>
      <c r="B406" s="165"/>
      <c r="C406" s="165"/>
      <c r="D406" s="165"/>
      <c r="E406" s="16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2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 x14ac:dyDescent="0.2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2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2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2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2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2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2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2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2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2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25">
      <c r="A419" s="166" t="s">
        <v>260</v>
      </c>
      <c r="B419" s="166"/>
      <c r="C419" s="166"/>
      <c r="D419" s="166"/>
      <c r="E419" s="16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 x14ac:dyDescent="0.2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2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2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2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2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2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2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2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2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2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2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25">
      <c r="A432" s="166" t="s">
        <v>263</v>
      </c>
      <c r="B432" s="166"/>
      <c r="C432" s="166"/>
      <c r="D432" s="166"/>
      <c r="E432" s="16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 x14ac:dyDescent="0.25">
      <c r="A433" s="165" t="s">
        <v>249</v>
      </c>
      <c r="B433" s="165"/>
      <c r="C433" s="165"/>
      <c r="D433" s="165"/>
      <c r="E433" s="16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 x14ac:dyDescent="0.2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2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 x14ac:dyDescent="0.2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2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2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2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2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2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2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2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25">
      <c r="A446" s="166" t="s">
        <v>260</v>
      </c>
      <c r="B446" s="166"/>
      <c r="C446" s="166"/>
      <c r="D446" s="166"/>
      <c r="E446" s="16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2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2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 x14ac:dyDescent="0.2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2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2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2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2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2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2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2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2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25">
      <c r="A459" s="166" t="s">
        <v>263</v>
      </c>
      <c r="B459" s="166"/>
      <c r="C459" s="166"/>
      <c r="D459" s="166"/>
      <c r="E459" s="16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 x14ac:dyDescent="0.25">
      <c r="A460" s="165" t="s">
        <v>249</v>
      </c>
      <c r="B460" s="165"/>
      <c r="C460" s="165"/>
      <c r="D460" s="165"/>
      <c r="E460" s="16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2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2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2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2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2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2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2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2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2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2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2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25">
      <c r="A473" s="166" t="s">
        <v>260</v>
      </c>
      <c r="B473" s="166"/>
      <c r="C473" s="166"/>
      <c r="D473" s="166"/>
      <c r="E473" s="16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 x14ac:dyDescent="0.2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2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2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 x14ac:dyDescent="0.2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2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2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2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2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2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2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2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25">
      <c r="A486" s="166" t="s">
        <v>263</v>
      </c>
      <c r="B486" s="166"/>
      <c r="C486" s="166"/>
      <c r="D486" s="166"/>
      <c r="E486" s="16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 x14ac:dyDescent="0.25">
      <c r="A487" s="165" t="s">
        <v>249</v>
      </c>
      <c r="B487" s="165"/>
      <c r="C487" s="165"/>
      <c r="D487" s="165"/>
      <c r="E487" s="16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2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2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2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2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2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2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2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2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2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 x14ac:dyDescent="0.2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2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25">
      <c r="A500" s="166" t="s">
        <v>260</v>
      </c>
      <c r="B500" s="166"/>
      <c r="C500" s="166"/>
      <c r="D500" s="166"/>
      <c r="E500" s="16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 x14ac:dyDescent="0.25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25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25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25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 x14ac:dyDescent="0.25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25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25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25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25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25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25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25">
      <c r="A513" s="166" t="s">
        <v>263</v>
      </c>
      <c r="B513" s="166"/>
      <c r="C513" s="166"/>
      <c r="D513" s="166"/>
      <c r="E513" s="16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 x14ac:dyDescent="0.25">
      <c r="A514" s="165" t="s">
        <v>249</v>
      </c>
      <c r="B514" s="165"/>
      <c r="C514" s="165"/>
      <c r="D514" s="165"/>
      <c r="E514" s="165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25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25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 x14ac:dyDescent="0.25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25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25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25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25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27"/>
        <v>0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25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27"/>
        <v>0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25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27"/>
        <v>0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25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25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25">
      <c r="A527" s="166" t="s">
        <v>260</v>
      </c>
      <c r="B527" s="166"/>
      <c r="C527" s="166"/>
      <c r="D527" s="166"/>
      <c r="E527" s="166"/>
      <c r="F527" s="95"/>
      <c r="G527" s="96">
        <f>SUM(G515:G526)</f>
        <v>65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289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/>
      <c r="T527" s="99">
        <f>IFERROR(J527,"")</f>
        <v>0</v>
      </c>
    </row>
    <row r="528" spans="1:20" ht="15" customHeight="1" x14ac:dyDescent="0.2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 x14ac:dyDescent="0.25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 x14ac:dyDescent="0.25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 x14ac:dyDescent="0.25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 x14ac:dyDescent="0.25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 x14ac:dyDescent="0.25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 x14ac:dyDescent="0.25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25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25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25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25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25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25">
      <c r="A540" s="166" t="s">
        <v>263</v>
      </c>
      <c r="B540" s="166"/>
      <c r="C540" s="166"/>
      <c r="D540" s="166"/>
      <c r="E540" s="16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25">
      <c r="A541" s="165" t="s">
        <v>249</v>
      </c>
      <c r="B541" s="165"/>
      <c r="C541" s="165"/>
      <c r="D541" s="165"/>
      <c r="E541" s="165"/>
      <c r="F541" s="108"/>
      <c r="G541" s="109">
        <f>G527+G540</f>
        <v>65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289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2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 x14ac:dyDescent="0.25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25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25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25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25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25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25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25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25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25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25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25">
      <c r="A554" s="166" t="s">
        <v>260</v>
      </c>
      <c r="B554" s="166"/>
      <c r="C554" s="166"/>
      <c r="D554" s="166"/>
      <c r="E554" s="16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2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25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25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25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25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25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25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25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25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25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25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25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25">
      <c r="A567" s="166" t="s">
        <v>263</v>
      </c>
      <c r="B567" s="166"/>
      <c r="C567" s="166"/>
      <c r="D567" s="166"/>
      <c r="E567" s="16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25">
      <c r="A568" s="165" t="s">
        <v>249</v>
      </c>
      <c r="B568" s="165"/>
      <c r="C568" s="165"/>
      <c r="D568" s="165"/>
      <c r="E568" s="16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2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25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25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25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25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25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25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25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25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25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25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25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25">
      <c r="A581" s="166" t="s">
        <v>260</v>
      </c>
      <c r="B581" s="166"/>
      <c r="C581" s="166"/>
      <c r="D581" s="166"/>
      <c r="E581" s="16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25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25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25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25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25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25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25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25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25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25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25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25">
      <c r="A594" s="166" t="s">
        <v>263</v>
      </c>
      <c r="B594" s="166"/>
      <c r="C594" s="166"/>
      <c r="D594" s="166"/>
      <c r="E594" s="16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25">
      <c r="A595" s="165" t="s">
        <v>249</v>
      </c>
      <c r="B595" s="165"/>
      <c r="C595" s="165"/>
      <c r="D595" s="165"/>
      <c r="E595" s="16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2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2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2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2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2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2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2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2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2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2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2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25">
      <c r="A608" s="166" t="s">
        <v>260</v>
      </c>
      <c r="B608" s="166"/>
      <c r="C608" s="166"/>
      <c r="D608" s="166"/>
      <c r="E608" s="16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2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2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2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2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2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2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2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2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2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2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2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25">
      <c r="A621" s="166" t="s">
        <v>263</v>
      </c>
      <c r="B621" s="166"/>
      <c r="C621" s="166"/>
      <c r="D621" s="166"/>
      <c r="E621" s="16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25">
      <c r="A622" s="165" t="s">
        <v>249</v>
      </c>
      <c r="B622" s="165"/>
      <c r="C622" s="165"/>
      <c r="D622" s="165"/>
      <c r="E622" s="16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2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2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2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2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2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2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2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2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2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2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2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25">
      <c r="A635" s="166" t="s">
        <v>260</v>
      </c>
      <c r="B635" s="166"/>
      <c r="C635" s="166"/>
      <c r="D635" s="166"/>
      <c r="E635" s="16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2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2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2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2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2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2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2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2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2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2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2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25">
      <c r="A648" s="166" t="s">
        <v>263</v>
      </c>
      <c r="B648" s="166"/>
      <c r="C648" s="166"/>
      <c r="D648" s="166"/>
      <c r="E648" s="16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65" t="s">
        <v>249</v>
      </c>
      <c r="B649" s="165"/>
      <c r="C649" s="165"/>
      <c r="D649" s="165"/>
      <c r="E649" s="16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2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2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2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2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2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2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2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2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2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2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2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25">
      <c r="A662" s="166" t="s">
        <v>260</v>
      </c>
      <c r="B662" s="166"/>
      <c r="C662" s="166"/>
      <c r="D662" s="166"/>
      <c r="E662" s="16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2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2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2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2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2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2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2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2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2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2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2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25">
      <c r="A675" s="166" t="s">
        <v>263</v>
      </c>
      <c r="B675" s="166"/>
      <c r="C675" s="166"/>
      <c r="D675" s="166"/>
      <c r="E675" s="16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65" t="s">
        <v>249</v>
      </c>
      <c r="B676" s="165"/>
      <c r="C676" s="165"/>
      <c r="D676" s="165"/>
      <c r="E676" s="16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2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2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2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2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2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2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2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2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2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2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2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25">
      <c r="A689" s="166" t="s">
        <v>260</v>
      </c>
      <c r="B689" s="166"/>
      <c r="C689" s="166"/>
      <c r="D689" s="166"/>
      <c r="E689" s="16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2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2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2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2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2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2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2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2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2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2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2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25">
      <c r="A702" s="166" t="s">
        <v>263</v>
      </c>
      <c r="B702" s="166"/>
      <c r="C702" s="166"/>
      <c r="D702" s="166"/>
      <c r="E702" s="16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65" t="s">
        <v>249</v>
      </c>
      <c r="B703" s="165"/>
      <c r="C703" s="165"/>
      <c r="D703" s="165"/>
      <c r="E703" s="16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2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2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2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2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2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2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2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2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2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2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2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25">
      <c r="A716" s="166" t="s">
        <v>260</v>
      </c>
      <c r="B716" s="166"/>
      <c r="C716" s="166"/>
      <c r="D716" s="166"/>
      <c r="E716" s="16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2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2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2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2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2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2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2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2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2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2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2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25">
      <c r="A729" s="166" t="s">
        <v>263</v>
      </c>
      <c r="B729" s="166"/>
      <c r="C729" s="166"/>
      <c r="D729" s="166"/>
      <c r="E729" s="16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65" t="s">
        <v>249</v>
      </c>
      <c r="B730" s="165"/>
      <c r="C730" s="165"/>
      <c r="D730" s="165"/>
      <c r="E730" s="16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2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2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2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2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2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2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2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2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2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2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2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25">
      <c r="A743" s="166" t="s">
        <v>260</v>
      </c>
      <c r="B743" s="166"/>
      <c r="C743" s="166"/>
      <c r="D743" s="166"/>
      <c r="E743" s="16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2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2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2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2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2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2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2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2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2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2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2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25">
      <c r="A756" s="166" t="s">
        <v>263</v>
      </c>
      <c r="B756" s="166"/>
      <c r="C756" s="166"/>
      <c r="D756" s="166"/>
      <c r="E756" s="16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65" t="s">
        <v>249</v>
      </c>
      <c r="B757" s="165"/>
      <c r="C757" s="165"/>
      <c r="D757" s="165"/>
      <c r="E757" s="16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2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2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2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2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2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2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2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2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2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2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2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25">
      <c r="A770" s="166" t="s">
        <v>260</v>
      </c>
      <c r="B770" s="166"/>
      <c r="C770" s="166"/>
      <c r="D770" s="166"/>
      <c r="E770" s="16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2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2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2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2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2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2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2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2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2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2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2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25">
      <c r="A783" s="166" t="s">
        <v>263</v>
      </c>
      <c r="B783" s="166"/>
      <c r="C783" s="166"/>
      <c r="D783" s="166"/>
      <c r="E783" s="16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65" t="s">
        <v>249</v>
      </c>
      <c r="B784" s="165"/>
      <c r="C784" s="165"/>
      <c r="D784" s="165"/>
      <c r="E784" s="16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2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2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2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2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2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2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2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2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2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2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2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25">
      <c r="A797" s="166" t="s">
        <v>260</v>
      </c>
      <c r="B797" s="166"/>
      <c r="C797" s="166"/>
      <c r="D797" s="166"/>
      <c r="E797" s="16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2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2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2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2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2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2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2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2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2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2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2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25">
      <c r="A810" s="166" t="s">
        <v>263</v>
      </c>
      <c r="B810" s="166"/>
      <c r="C810" s="166"/>
      <c r="D810" s="166"/>
      <c r="E810" s="16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65" t="s">
        <v>249</v>
      </c>
      <c r="B811" s="165"/>
      <c r="C811" s="165"/>
      <c r="D811" s="165"/>
      <c r="E811" s="16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2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2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2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2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2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2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2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2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2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2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2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25">
      <c r="A824" s="166" t="s">
        <v>260</v>
      </c>
      <c r="B824" s="166"/>
      <c r="C824" s="166"/>
      <c r="D824" s="166"/>
      <c r="E824" s="16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2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2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2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2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2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2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2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2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2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2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2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25">
      <c r="A837" s="166" t="s">
        <v>263</v>
      </c>
      <c r="B837" s="166"/>
      <c r="C837" s="166"/>
      <c r="D837" s="166"/>
      <c r="E837" s="16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25">
      <c r="A838" s="165" t="s">
        <v>249</v>
      </c>
      <c r="B838" s="165"/>
      <c r="C838" s="165"/>
      <c r="D838" s="165"/>
      <c r="E838" s="16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G525" sqref="G525"/>
    </sheetView>
  </sheetViews>
  <sheetFormatPr defaultColWidth="8.5703125" defaultRowHeight="15" x14ac:dyDescent="0.2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25">
      <c r="A14" s="166" t="s">
        <v>260</v>
      </c>
      <c r="B14" s="166"/>
      <c r="C14" s="166"/>
      <c r="D14" s="166"/>
      <c r="E14" s="16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25">
      <c r="A27" s="166" t="s">
        <v>263</v>
      </c>
      <c r="B27" s="166"/>
      <c r="C27" s="166"/>
      <c r="D27" s="166"/>
      <c r="E27" s="16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 x14ac:dyDescent="0.25">
      <c r="A28" s="165" t="s">
        <v>249</v>
      </c>
      <c r="B28" s="165"/>
      <c r="C28" s="165"/>
      <c r="D28" s="165"/>
      <c r="E28" s="16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25">
      <c r="A41" s="166" t="s">
        <v>260</v>
      </c>
      <c r="B41" s="166"/>
      <c r="C41" s="166"/>
      <c r="D41" s="166"/>
      <c r="E41" s="16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25">
      <c r="A54" s="166" t="s">
        <v>263</v>
      </c>
      <c r="B54" s="166"/>
      <c r="C54" s="166"/>
      <c r="D54" s="166"/>
      <c r="E54" s="16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 x14ac:dyDescent="0.25">
      <c r="A55" s="165" t="s">
        <v>249</v>
      </c>
      <c r="B55" s="165"/>
      <c r="C55" s="165"/>
      <c r="D55" s="165"/>
      <c r="E55" s="16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25">
      <c r="A68" s="166" t="s">
        <v>260</v>
      </c>
      <c r="B68" s="166"/>
      <c r="C68" s="166"/>
      <c r="D68" s="166"/>
      <c r="E68" s="16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25">
      <c r="A81" s="166" t="s">
        <v>263</v>
      </c>
      <c r="B81" s="166"/>
      <c r="C81" s="166"/>
      <c r="D81" s="166"/>
      <c r="E81" s="16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 x14ac:dyDescent="0.25">
      <c r="A82" s="165" t="s">
        <v>249</v>
      </c>
      <c r="B82" s="165"/>
      <c r="C82" s="165"/>
      <c r="D82" s="165"/>
      <c r="E82" s="16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25">
      <c r="A95" s="166" t="s">
        <v>260</v>
      </c>
      <c r="B95" s="166"/>
      <c r="C95" s="166"/>
      <c r="D95" s="166"/>
      <c r="E95" s="16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25">
      <c r="A108" s="166" t="s">
        <v>263</v>
      </c>
      <c r="B108" s="166"/>
      <c r="C108" s="166"/>
      <c r="D108" s="166"/>
      <c r="E108" s="16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 x14ac:dyDescent="0.25">
      <c r="A109" s="165" t="s">
        <v>249</v>
      </c>
      <c r="B109" s="165"/>
      <c r="C109" s="165"/>
      <c r="D109" s="165"/>
      <c r="E109" s="16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25">
      <c r="A122" s="166" t="s">
        <v>260</v>
      </c>
      <c r="B122" s="166"/>
      <c r="C122" s="166"/>
      <c r="D122" s="166"/>
      <c r="E122" s="16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2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 x14ac:dyDescent="0.2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2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2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2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2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 x14ac:dyDescent="0.2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2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2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2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2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25">
      <c r="A135" s="166" t="s">
        <v>263</v>
      </c>
      <c r="B135" s="166"/>
      <c r="C135" s="166"/>
      <c r="D135" s="166"/>
      <c r="E135" s="16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 x14ac:dyDescent="0.25">
      <c r="A136" s="165" t="s">
        <v>249</v>
      </c>
      <c r="B136" s="165"/>
      <c r="C136" s="165"/>
      <c r="D136" s="165"/>
      <c r="E136" s="16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66" t="s">
        <v>263</v>
      </c>
      <c r="B162" s="166"/>
      <c r="C162" s="166"/>
      <c r="D162" s="166"/>
      <c r="E162" s="16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 x14ac:dyDescent="0.25">
      <c r="A163" s="165" t="s">
        <v>249</v>
      </c>
      <c r="B163" s="165"/>
      <c r="C163" s="165"/>
      <c r="D163" s="165"/>
      <c r="E163" s="16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66" t="s">
        <v>260</v>
      </c>
      <c r="B176" s="166"/>
      <c r="C176" s="166"/>
      <c r="D176" s="166"/>
      <c r="E176" s="16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66" t="s">
        <v>263</v>
      </c>
      <c r="B189" s="166"/>
      <c r="C189" s="166"/>
      <c r="D189" s="166"/>
      <c r="E189" s="16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 x14ac:dyDescent="0.25">
      <c r="A190" s="165" t="s">
        <v>249</v>
      </c>
      <c r="B190" s="165"/>
      <c r="C190" s="165"/>
      <c r="D190" s="165"/>
      <c r="E190" s="16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66" t="s">
        <v>260</v>
      </c>
      <c r="B203" s="166"/>
      <c r="C203" s="166"/>
      <c r="D203" s="166"/>
      <c r="E203" s="16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25">
      <c r="A216" s="166" t="s">
        <v>263</v>
      </c>
      <c r="B216" s="166"/>
      <c r="C216" s="166"/>
      <c r="D216" s="166"/>
      <c r="E216" s="16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 x14ac:dyDescent="0.25">
      <c r="A217" s="165" t="s">
        <v>249</v>
      </c>
      <c r="B217" s="165"/>
      <c r="C217" s="165"/>
      <c r="D217" s="165"/>
      <c r="E217" s="16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25">
      <c r="A230" s="166" t="s">
        <v>260</v>
      </c>
      <c r="B230" s="166"/>
      <c r="C230" s="166"/>
      <c r="D230" s="166"/>
      <c r="E230" s="16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25">
      <c r="A243" s="166" t="s">
        <v>263</v>
      </c>
      <c r="B243" s="166"/>
      <c r="C243" s="166"/>
      <c r="D243" s="166"/>
      <c r="E243" s="16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 x14ac:dyDescent="0.25">
      <c r="A244" s="165" t="s">
        <v>249</v>
      </c>
      <c r="B244" s="165"/>
      <c r="C244" s="165"/>
      <c r="D244" s="165"/>
      <c r="E244" s="16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25">
      <c r="A257" s="166" t="s">
        <v>260</v>
      </c>
      <c r="B257" s="166"/>
      <c r="C257" s="166"/>
      <c r="D257" s="166"/>
      <c r="E257" s="16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25">
      <c r="A270" s="166" t="s">
        <v>263</v>
      </c>
      <c r="B270" s="166"/>
      <c r="C270" s="166"/>
      <c r="D270" s="166"/>
      <c r="E270" s="16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 x14ac:dyDescent="0.25">
      <c r="A271" s="165" t="s">
        <v>249</v>
      </c>
      <c r="B271" s="165"/>
      <c r="C271" s="165"/>
      <c r="D271" s="165"/>
      <c r="E271" s="16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25">
      <c r="A284" s="166" t="s">
        <v>260</v>
      </c>
      <c r="B284" s="166"/>
      <c r="C284" s="166"/>
      <c r="D284" s="166"/>
      <c r="E284" s="16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25">
      <c r="A297" s="166" t="s">
        <v>263</v>
      </c>
      <c r="B297" s="166"/>
      <c r="C297" s="166"/>
      <c r="D297" s="166"/>
      <c r="E297" s="16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 x14ac:dyDescent="0.25">
      <c r="A298" s="165" t="s">
        <v>249</v>
      </c>
      <c r="B298" s="165"/>
      <c r="C298" s="165"/>
      <c r="D298" s="165"/>
      <c r="E298" s="16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25">
      <c r="A311" s="166" t="s">
        <v>260</v>
      </c>
      <c r="B311" s="166"/>
      <c r="C311" s="166"/>
      <c r="D311" s="166"/>
      <c r="E311" s="16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25">
      <c r="A324" s="166" t="s">
        <v>263</v>
      </c>
      <c r="B324" s="166"/>
      <c r="C324" s="166"/>
      <c r="D324" s="166"/>
      <c r="E324" s="16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 x14ac:dyDescent="0.25">
      <c r="A325" s="165" t="s">
        <v>249</v>
      </c>
      <c r="B325" s="165"/>
      <c r="C325" s="165"/>
      <c r="D325" s="165"/>
      <c r="E325" s="16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2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2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2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2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2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2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2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2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2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2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2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25">
      <c r="A338" s="166" t="s">
        <v>260</v>
      </c>
      <c r="B338" s="166"/>
      <c r="C338" s="166"/>
      <c r="D338" s="166"/>
      <c r="E338" s="16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25">
      <c r="A351" s="166" t="s">
        <v>263</v>
      </c>
      <c r="B351" s="166"/>
      <c r="C351" s="166"/>
      <c r="D351" s="166"/>
      <c r="E351" s="16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 x14ac:dyDescent="0.25">
      <c r="A352" s="165" t="s">
        <v>249</v>
      </c>
      <c r="B352" s="165"/>
      <c r="C352" s="165"/>
      <c r="D352" s="165"/>
      <c r="E352" s="16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25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25">
      <c r="A378" s="166" t="s">
        <v>263</v>
      </c>
      <c r="B378" s="166"/>
      <c r="C378" s="166"/>
      <c r="D378" s="166"/>
      <c r="E378" s="16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 x14ac:dyDescent="0.25">
      <c r="A379" s="165" t="s">
        <v>249</v>
      </c>
      <c r="B379" s="165"/>
      <c r="C379" s="165"/>
      <c r="D379" s="165"/>
      <c r="E379" s="16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25">
      <c r="A392" s="166" t="s">
        <v>260</v>
      </c>
      <c r="B392" s="166"/>
      <c r="C392" s="166"/>
      <c r="D392" s="166"/>
      <c r="E392" s="16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25">
      <c r="A405" s="166" t="s">
        <v>263</v>
      </c>
      <c r="B405" s="166"/>
      <c r="C405" s="166"/>
      <c r="D405" s="166"/>
      <c r="E405" s="16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 x14ac:dyDescent="0.25">
      <c r="A406" s="165" t="s">
        <v>249</v>
      </c>
      <c r="B406" s="165"/>
      <c r="C406" s="165"/>
      <c r="D406" s="165"/>
      <c r="E406" s="16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25">
      <c r="A419" s="166" t="s">
        <v>260</v>
      </c>
      <c r="B419" s="166"/>
      <c r="C419" s="166"/>
      <c r="D419" s="166"/>
      <c r="E419" s="16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25">
      <c r="A432" s="166" t="s">
        <v>263</v>
      </c>
      <c r="B432" s="166"/>
      <c r="C432" s="166"/>
      <c r="D432" s="166"/>
      <c r="E432" s="16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 x14ac:dyDescent="0.25">
      <c r="A433" s="165" t="s">
        <v>249</v>
      </c>
      <c r="B433" s="165"/>
      <c r="C433" s="165"/>
      <c r="D433" s="165"/>
      <c r="E433" s="16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25">
      <c r="A446" s="166" t="s">
        <v>260</v>
      </c>
      <c r="B446" s="166"/>
      <c r="C446" s="166"/>
      <c r="D446" s="166"/>
      <c r="E446" s="16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 x14ac:dyDescent="0.2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2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2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2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 x14ac:dyDescent="0.2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2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2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2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2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2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2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25">
      <c r="A459" s="166" t="s">
        <v>263</v>
      </c>
      <c r="B459" s="166"/>
      <c r="C459" s="166"/>
      <c r="D459" s="166"/>
      <c r="E459" s="16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 x14ac:dyDescent="0.25">
      <c r="A460" s="165" t="s">
        <v>249</v>
      </c>
      <c r="B460" s="165"/>
      <c r="C460" s="165"/>
      <c r="D460" s="165"/>
      <c r="E460" s="16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25">
      <c r="A473" s="166" t="s">
        <v>260</v>
      </c>
      <c r="B473" s="166"/>
      <c r="C473" s="166"/>
      <c r="D473" s="166"/>
      <c r="E473" s="16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25">
      <c r="A486" s="166" t="s">
        <v>263</v>
      </c>
      <c r="B486" s="166"/>
      <c r="C486" s="166"/>
      <c r="D486" s="166"/>
      <c r="E486" s="16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 x14ac:dyDescent="0.25">
      <c r="A487" s="165" t="s">
        <v>249</v>
      </c>
      <c r="B487" s="165"/>
      <c r="C487" s="165"/>
      <c r="D487" s="165"/>
      <c r="E487" s="16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2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2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2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2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2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2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2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2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2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2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2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25">
      <c r="A500" s="166" t="s">
        <v>260</v>
      </c>
      <c r="B500" s="166"/>
      <c r="C500" s="166"/>
      <c r="D500" s="166"/>
      <c r="E500" s="16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25">
      <c r="A513" s="166" t="s">
        <v>263</v>
      </c>
      <c r="B513" s="166"/>
      <c r="C513" s="166"/>
      <c r="D513" s="166"/>
      <c r="E513" s="16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 x14ac:dyDescent="0.25">
      <c r="A514" s="165" t="s">
        <v>249</v>
      </c>
      <c r="B514" s="165"/>
      <c r="C514" s="165"/>
      <c r="D514" s="165"/>
      <c r="E514" s="165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0</v>
      </c>
      <c r="I524" s="90">
        <f>IFERROR(IF($D524="","",VLOOKUP($D524,Cadastro!$C$4:$G$7,5,FALSE())),"")</f>
        <v>0.6</v>
      </c>
      <c r="J524" s="91">
        <f t="shared" si="130"/>
        <v>0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25">
      <c r="A527" s="166" t="s">
        <v>260</v>
      </c>
      <c r="B527" s="166"/>
      <c r="C527" s="166"/>
      <c r="D527" s="166"/>
      <c r="E527" s="166"/>
      <c r="F527" s="95"/>
      <c r="G527" s="96">
        <f>SUM(G515:G526)</f>
        <v>171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771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/>
      <c r="T527" s="99">
        <f>IFERROR(J527,"")</f>
        <v>0</v>
      </c>
    </row>
    <row r="528" spans="1:20" ht="15" customHeight="1" x14ac:dyDescent="0.2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 x14ac:dyDescent="0.25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25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25">
      <c r="A540" s="166" t="s">
        <v>263</v>
      </c>
      <c r="B540" s="166"/>
      <c r="C540" s="166"/>
      <c r="D540" s="166"/>
      <c r="E540" s="16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25">
      <c r="A541" s="165" t="s">
        <v>249</v>
      </c>
      <c r="B541" s="165"/>
      <c r="C541" s="165"/>
      <c r="D541" s="165"/>
      <c r="E541" s="165"/>
      <c r="F541" s="108"/>
      <c r="G541" s="109">
        <f>G527+G540</f>
        <v>171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771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2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25">
      <c r="A554" s="166" t="s">
        <v>260</v>
      </c>
      <c r="B554" s="166"/>
      <c r="C554" s="166"/>
      <c r="D554" s="166"/>
      <c r="E554" s="16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2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25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25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25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25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25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25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25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25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25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25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25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25">
      <c r="A567" s="166" t="s">
        <v>263</v>
      </c>
      <c r="B567" s="166"/>
      <c r="C567" s="166"/>
      <c r="D567" s="166"/>
      <c r="E567" s="16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25">
      <c r="A568" s="165" t="s">
        <v>249</v>
      </c>
      <c r="B568" s="165"/>
      <c r="C568" s="165"/>
      <c r="D568" s="165"/>
      <c r="E568" s="16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2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25">
      <c r="A581" s="166" t="s">
        <v>260</v>
      </c>
      <c r="B581" s="166"/>
      <c r="C581" s="166"/>
      <c r="D581" s="166"/>
      <c r="E581" s="16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2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2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25">
      <c r="A594" s="166" t="s">
        <v>263</v>
      </c>
      <c r="B594" s="166"/>
      <c r="C594" s="166"/>
      <c r="D594" s="166"/>
      <c r="E594" s="16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25">
      <c r="A595" s="165" t="s">
        <v>249</v>
      </c>
      <c r="B595" s="165"/>
      <c r="C595" s="165"/>
      <c r="D595" s="165"/>
      <c r="E595" s="16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25">
      <c r="A608" s="166" t="s">
        <v>260</v>
      </c>
      <c r="B608" s="166"/>
      <c r="C608" s="166"/>
      <c r="D608" s="166"/>
      <c r="E608" s="16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25">
      <c r="A621" s="166" t="s">
        <v>263</v>
      </c>
      <c r="B621" s="166"/>
      <c r="C621" s="166"/>
      <c r="D621" s="166"/>
      <c r="E621" s="16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25">
      <c r="A622" s="165" t="s">
        <v>249</v>
      </c>
      <c r="B622" s="165"/>
      <c r="C622" s="165"/>
      <c r="D622" s="165"/>
      <c r="E622" s="16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25">
      <c r="A635" s="166" t="s">
        <v>260</v>
      </c>
      <c r="B635" s="166"/>
      <c r="C635" s="166"/>
      <c r="D635" s="166"/>
      <c r="E635" s="16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25">
      <c r="A648" s="166" t="s">
        <v>263</v>
      </c>
      <c r="B648" s="166"/>
      <c r="C648" s="166"/>
      <c r="D648" s="166"/>
      <c r="E648" s="16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65" t="s">
        <v>249</v>
      </c>
      <c r="B649" s="165"/>
      <c r="C649" s="165"/>
      <c r="D649" s="165"/>
      <c r="E649" s="16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25">
      <c r="A662" s="166" t="s">
        <v>260</v>
      </c>
      <c r="B662" s="166"/>
      <c r="C662" s="166"/>
      <c r="D662" s="166"/>
      <c r="E662" s="16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25">
      <c r="A675" s="166" t="s">
        <v>263</v>
      </c>
      <c r="B675" s="166"/>
      <c r="C675" s="166"/>
      <c r="D675" s="166"/>
      <c r="E675" s="16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65" t="s">
        <v>249</v>
      </c>
      <c r="B676" s="165"/>
      <c r="C676" s="165"/>
      <c r="D676" s="165"/>
      <c r="E676" s="16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25">
      <c r="A689" s="166" t="s">
        <v>260</v>
      </c>
      <c r="B689" s="166"/>
      <c r="C689" s="166"/>
      <c r="D689" s="166"/>
      <c r="E689" s="16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25">
      <c r="A702" s="166" t="s">
        <v>263</v>
      </c>
      <c r="B702" s="166"/>
      <c r="C702" s="166"/>
      <c r="D702" s="166"/>
      <c r="E702" s="16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65" t="s">
        <v>249</v>
      </c>
      <c r="B703" s="165"/>
      <c r="C703" s="165"/>
      <c r="D703" s="165"/>
      <c r="E703" s="16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25">
      <c r="A716" s="166" t="s">
        <v>260</v>
      </c>
      <c r="B716" s="166"/>
      <c r="C716" s="166"/>
      <c r="D716" s="166"/>
      <c r="E716" s="16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25">
      <c r="A729" s="166" t="s">
        <v>263</v>
      </c>
      <c r="B729" s="166"/>
      <c r="C729" s="166"/>
      <c r="D729" s="166"/>
      <c r="E729" s="16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65" t="s">
        <v>249</v>
      </c>
      <c r="B730" s="165"/>
      <c r="C730" s="165"/>
      <c r="D730" s="165"/>
      <c r="E730" s="16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25">
      <c r="A743" s="166" t="s">
        <v>260</v>
      </c>
      <c r="B743" s="166"/>
      <c r="C743" s="166"/>
      <c r="D743" s="166"/>
      <c r="E743" s="16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25">
      <c r="A756" s="166" t="s">
        <v>263</v>
      </c>
      <c r="B756" s="166"/>
      <c r="C756" s="166"/>
      <c r="D756" s="166"/>
      <c r="E756" s="16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65" t="s">
        <v>249</v>
      </c>
      <c r="B757" s="165"/>
      <c r="C757" s="165"/>
      <c r="D757" s="165"/>
      <c r="E757" s="16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25">
      <c r="A770" s="166" t="s">
        <v>260</v>
      </c>
      <c r="B770" s="166"/>
      <c r="C770" s="166"/>
      <c r="D770" s="166"/>
      <c r="E770" s="16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25">
      <c r="A783" s="166" t="s">
        <v>263</v>
      </c>
      <c r="B783" s="166"/>
      <c r="C783" s="166"/>
      <c r="D783" s="166"/>
      <c r="E783" s="16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65" t="s">
        <v>249</v>
      </c>
      <c r="B784" s="165"/>
      <c r="C784" s="165"/>
      <c r="D784" s="165"/>
      <c r="E784" s="16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25">
      <c r="A797" s="166" t="s">
        <v>260</v>
      </c>
      <c r="B797" s="166"/>
      <c r="C797" s="166"/>
      <c r="D797" s="166"/>
      <c r="E797" s="16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25">
      <c r="A810" s="166" t="s">
        <v>263</v>
      </c>
      <c r="B810" s="166"/>
      <c r="C810" s="166"/>
      <c r="D810" s="166"/>
      <c r="E810" s="16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65" t="s">
        <v>249</v>
      </c>
      <c r="B811" s="165"/>
      <c r="C811" s="165"/>
      <c r="D811" s="165"/>
      <c r="E811" s="16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25">
      <c r="A824" s="166" t="s">
        <v>260</v>
      </c>
      <c r="B824" s="166"/>
      <c r="C824" s="166"/>
      <c r="D824" s="166"/>
      <c r="E824" s="16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25">
      <c r="A837" s="166" t="s">
        <v>263</v>
      </c>
      <c r="B837" s="166"/>
      <c r="C837" s="166"/>
      <c r="D837" s="166"/>
      <c r="E837" s="16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25">
      <c r="A838" s="165" t="s">
        <v>249</v>
      </c>
      <c r="B838" s="165"/>
      <c r="C838" s="165"/>
      <c r="D838" s="165"/>
      <c r="E838" s="16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2026-08-20T21:10:23Z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