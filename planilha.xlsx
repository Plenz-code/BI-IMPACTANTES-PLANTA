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58" documentId="8_{C51EB6CB-002B-4D6B-B68F-DDEBDB4460C0}" xr6:coauthVersionLast="47" xr6:coauthVersionMax="47" xr10:uidLastSave="{1125F6D0-79FF-416D-AF12-5748B8ECE85B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<sst xmlns="http://schemas.openxmlformats.org/spreadsheetml/2006/main" count="3456" uniqueCount="285">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</sst>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26" activePane="bottomLeft" state="frozen"/>
      <selection pane="bottomLeft" activeCell="J151" sqref="J15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/>
      <c r="G151" s="34" t="str">
        <f t="shared" si="33"/>
        <v/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/>
      <c r="M151" s="35">
        <f t="shared" ca="1" si="34"/>
        <v>8.959490733104758E-4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</v>
      </c>
      <c r="G162" s="36">
        <f>SUM(G150:G161)</f>
        <v>85</v>
      </c>
      <c r="H162" s="37"/>
      <c r="I162" s="37"/>
      <c r="J162" s="37"/>
      <c r="K162" s="37"/>
      <c r="L162" s="37"/>
      <c r="M162" s="38">
        <f ca="1">IFERROR(SUM(M150:M161),"")</f>
        <v>3.4229282406643802E-2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306</v>
      </c>
      <c r="G163" s="40">
        <f>G149+G162</f>
        <v>1530</v>
      </c>
      <c r="H163" s="41"/>
      <c r="I163" s="41"/>
      <c r="J163" s="41"/>
      <c r="K163" s="41"/>
      <c r="L163" s="41"/>
      <c r="M163" s="42">
        <f ca="1">IFERROR(M149+M162,"")</f>
        <v>0.13284039351775495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F152" sqref="F1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0.75089594907331048</v>
      </c>
      <c r="N53" s="46" t="s">
        <v>253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0.88978483796219932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0.97450706018442168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255</v>
      </c>
      <c r="E83" s="59" t="s">
        <v>244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256</v>
      </c>
      <c r="M96" s="30" t="str">
        <f t="shared" ref="M96:M107" ca="1" si="22">IFERROR(IF(K96="","",IF(L96="",MOD(NOW()-K96,1),IF(L96&gt;=K96,L96-K96,L96+1-K96))),"")</f>
        <v/>
      </c>
      <c r="N96" s="46" t="s">
        <v>257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244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244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244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244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244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244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244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244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244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24</v>
      </c>
      <c r="G162" s="36">
        <f>SUM(G150:G161)</f>
        <v>100.80000000000001</v>
      </c>
      <c r="H162" s="37"/>
      <c r="I162" s="37"/>
      <c r="J162" s="37"/>
      <c r="K162" s="37"/>
      <c r="L162" s="37"/>
      <c r="M162" s="38">
        <f ca="1">IFERROR(SUM(M150:M161),"")</f>
        <v>2.9861111111111227E-2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164</v>
      </c>
      <c r="G163" s="40">
        <f>G149+G162</f>
        <v>688.8</v>
      </c>
      <c r="H163" s="41"/>
      <c r="I163" s="41"/>
      <c r="J163" s="41"/>
      <c r="K163" s="41"/>
      <c r="L163" s="41"/>
      <c r="M163" s="42">
        <f ca="1">IFERROR(M149+M162,"")</f>
        <v>0.20555555555555566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52" sqref="F1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/>
      <c r="M151" s="35">
        <f t="shared" ca="1" si="34"/>
        <v>5.0626157462829724E-3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</v>
      </c>
      <c r="G162" s="36">
        <f>SUM(G150:G161)</f>
        <v>33.6</v>
      </c>
      <c r="H162" s="37"/>
      <c r="I162" s="37"/>
      <c r="J162" s="37"/>
      <c r="K162" s="37"/>
      <c r="L162" s="37"/>
      <c r="M162" s="38">
        <f ca="1">IFERROR(SUM(M150:M161),"")</f>
        <v>2.5201504635171901E-2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41</v>
      </c>
      <c r="G163" s="40">
        <f>G149+G162</f>
        <v>172.2</v>
      </c>
      <c r="H163" s="41"/>
      <c r="I163" s="41"/>
      <c r="J163" s="41"/>
      <c r="K163" s="41"/>
      <c r="L163" s="41"/>
      <c r="M163" s="42">
        <f ca="1">IFERROR(M149+M162,"")</f>
        <v>0.17867372685739408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52" sqref="F1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>
        <v>11</v>
      </c>
      <c r="G151" s="34">
        <f t="shared" si="33"/>
        <v>46.2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21</v>
      </c>
      <c r="G162" s="36">
        <f>SUM(G150:G161)</f>
        <v>88.2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203</v>
      </c>
      <c r="G163" s="40">
        <f>G149+G162</f>
        <v>852.60000000000014</v>
      </c>
      <c r="H163" s="41"/>
      <c r="I163" s="41"/>
      <c r="J163" s="41"/>
      <c r="K163" s="63"/>
      <c r="L163" s="63"/>
      <c r="M163" s="42">
        <f ca="1">IFERROR(M149+M162,"")</f>
        <v>9.4444444444444386E-2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2026-08-07T00:56:50Z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