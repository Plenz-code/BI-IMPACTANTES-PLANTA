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175" documentId="8_{AF585B22-221D-4780-BB9C-493D365A6A02}" xr6:coauthVersionLast="47" xr6:coauthVersionMax="47" xr10:uidLastSave="{50561123-4E44-4312-83D0-2F43A56F19C2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86" i="6" l="1"/>
  <c r="G686" i="5"/>
  <c r="E689" i="4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<sst xmlns="http://schemas.openxmlformats.org/spreadsheetml/2006/main" count="10528" uniqueCount="397">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</sst>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1352990</v>
      </c>
      <c r="D29" s="11">
        <f>IFERROR('Linha 1'!O703,"")</f>
        <v>516320</v>
      </c>
      <c r="E29" s="11">
        <f>IFERROR('Linha 2'!O703,"")</f>
        <v>585300</v>
      </c>
      <c r="F29" s="11">
        <f>IFERROR('Linha 3'!O703,"")</f>
        <v>838060</v>
      </c>
      <c r="G29" s="12">
        <f t="shared" si="0"/>
        <v>1939680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77908738</v>
      </c>
      <c r="D35" s="13">
        <f>IFERROR(SUM(D4:D34),"")</f>
        <v>31275330</v>
      </c>
      <c r="E35" s="13">
        <f>IFERROR(SUM(E4:E34),"")</f>
        <v>18419530</v>
      </c>
      <c r="F35" s="13">
        <f>IFERROR(SUM(F4:F34),"")</f>
        <v>32367690</v>
      </c>
      <c r="G35" s="13">
        <f>IFERROR(SUM(G4:G34),"")</f>
        <v>82062550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F691" sqref="F69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</v>
      </c>
      <c r="G702" s="36">
        <f>SUM(G690:G701)</f>
        <v>115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321</v>
      </c>
      <c r="G703" s="40">
        <f>G689+G702</f>
        <v>1605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1352990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0.59321747684589354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0.75085636573478243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0.86057858795700459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0.57168969907070277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0.74252303240403617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0.88766192129292509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319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9.3217476845893543E-2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10.211967476845894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5</v>
      </c>
      <c r="G690" s="28">
        <f t="shared" ref="G690:G701" si="153">IF(F690="","",IF(E690="PC 17",F690*4.2,IF(E690="PC 19",F690*5,"")))</f>
        <v>21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5</v>
      </c>
      <c r="G702" s="36">
        <f>SUM(G690:G701)</f>
        <v>21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134</v>
      </c>
      <c r="G703" s="40">
        <f>G689+G702</f>
        <v>562.80000000000007</v>
      </c>
      <c r="H703" s="41"/>
      <c r="I703" s="41"/>
      <c r="J703" s="41"/>
      <c r="K703" s="41"/>
      <c r="L703" s="41"/>
      <c r="M703" s="42">
        <f ca="1">IFERROR(M689+M702,"")</f>
        <v>10.211967476845894</v>
      </c>
      <c r="N703" s="40" t="s">
        <v>236</v>
      </c>
      <c r="O703" s="83">
        <f>IFERROR(O689+O702,"")</f>
        <v>516320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68" zoomScale="50" zoomScaleNormal="50" workbookViewId="0">
      <selection activeCell="F691" sqref="F69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327</v>
      </c>
      <c r="N166" s="27" t="s">
        <v>328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</v>
      </c>
      <c r="G690" s="28">
        <f t="shared" ref="G690:G701" si="153">IF(F690="","",IF(E690="PC 17",F690*4.2,IF(E690="PC 19",F690*5,"")))</f>
        <v>8.4</v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</v>
      </c>
      <c r="G702" s="36">
        <f>SUM(G690:G701)</f>
        <v>8.4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132</v>
      </c>
      <c r="G703" s="40">
        <f>G689+G702</f>
        <v>554.40000000000009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585300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66" activePane="bottomLeft" state="frozen"/>
      <selection pane="bottomLeft" activeCell="E701" sqref="E70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353</v>
      </c>
      <c r="L58" s="29">
        <v>0.54097222222222219</v>
      </c>
      <c r="M58" s="30" t="str">
        <f t="shared" ca="1" si="13"/>
        <v/>
      </c>
      <c r="N58" s="27" t="s">
        <v>354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0.58349525462836027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0.7828008101839159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1.1501619212950269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257</v>
      </c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257</v>
      </c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199</v>
      </c>
      <c r="G703" s="40">
        <f>G689+G702</f>
        <v>764.4</v>
      </c>
      <c r="H703" s="41"/>
      <c r="I703" s="41"/>
      <c r="J703" s="41"/>
      <c r="K703" s="63"/>
      <c r="L703" s="63"/>
      <c r="M703" s="42">
        <f ca="1">IFERROR(M689+M702,"")</f>
        <v>9.0972222222222232E-2</v>
      </c>
      <c r="N703" s="40" t="s">
        <v>236</v>
      </c>
      <c r="O703" s="48">
        <f>IFERROR(O689+O702,"")</f>
        <v>838060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2026-07-26T23:59:34Z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