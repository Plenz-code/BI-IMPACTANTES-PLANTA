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16" documentId="8_{C51EB6CB-002B-4D6B-B68F-DDEBDB4460C0}" xr6:coauthVersionLast="47" xr6:coauthVersionMax="47" xr10:uidLastSave="{6116BAA6-6089-4B45-824C-1560F741C9AC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<sst xmlns="http://schemas.openxmlformats.org/spreadsheetml/2006/main" count="5690" uniqueCount="339">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</sst>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N300" sqref="N30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1.0802199074532837E-2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422</v>
      </c>
      <c r="G311" s="90">
        <f>SUM(G299:G310)</f>
        <v>2110</v>
      </c>
      <c r="H311" s="37"/>
      <c r="I311" s="37"/>
      <c r="J311" s="37"/>
      <c r="K311" s="37"/>
      <c r="L311" s="37"/>
      <c r="M311" s="38">
        <f ca="1">IFERROR(SUM(M299:M310),"")</f>
        <v>2.6079976852310616E-2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422</v>
      </c>
      <c r="G325" s="40">
        <f>G311+G324</f>
        <v>2110</v>
      </c>
      <c r="H325" s="41"/>
      <c r="I325" s="41"/>
      <c r="J325" s="41"/>
      <c r="K325" s="41"/>
      <c r="L325" s="41"/>
      <c r="M325" s="42">
        <f ca="1">IFERROR(M311+M324,"")</f>
        <v>2.6079976852310616E-2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F309" sqref="F30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0.60663553240738111</v>
      </c>
      <c r="N53" s="46" t="s">
        <v>268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0.74552442129626995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0.83024664351849231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270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271</v>
      </c>
      <c r="M96" s="30" t="str">
        <f t="shared" ref="M96:M107" ca="1" si="22">IFERROR(IF(K96="","",IF(L96="",MOD(NOW()-K96,1),IF(L96&gt;=K96,L96-K96,L96+1-K96))),"")</f>
        <v/>
      </c>
      <c r="N96" s="46" t="s">
        <v>272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275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269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284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285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286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287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288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289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160</v>
      </c>
      <c r="G311" s="36">
        <f>SUM(G299:G310)</f>
        <v>672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160</v>
      </c>
      <c r="G325" s="40">
        <f>G311+G324</f>
        <v>672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72" zoomScale="68" zoomScaleNormal="68" workbookViewId="0">
      <selection activeCell="K303" sqref="K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269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0.53371886574313976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0.59552442129869532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0.65663553240980654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306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>
        <v>0.72777777777777775</v>
      </c>
      <c r="L302" s="29"/>
      <c r="M302" s="30">
        <f t="shared" ca="1" si="67"/>
        <v>3.8553241029148921E-4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111</v>
      </c>
      <c r="G311" s="36">
        <f>SUM(G299:G310)</f>
        <v>466.2</v>
      </c>
      <c r="H311" s="37"/>
      <c r="I311" s="37"/>
      <c r="J311" s="37"/>
      <c r="K311" s="37"/>
      <c r="L311" s="37"/>
      <c r="M311" s="38">
        <f ca="1">IFERROR(SUM(M299:M310),"")</f>
        <v>2.1913310188069357E-2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111</v>
      </c>
      <c r="G325" s="40">
        <f>G311+G324</f>
        <v>466.2</v>
      </c>
      <c r="H325" s="41"/>
      <c r="I325" s="41"/>
      <c r="J325" s="41"/>
      <c r="K325" s="41"/>
      <c r="L325" s="41"/>
      <c r="M325" s="42">
        <f ca="1">IFERROR(M311+M324,"")</f>
        <v>2.1913310188069357E-2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L302" sqref="L30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297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332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333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334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335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336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337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338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168</v>
      </c>
      <c r="G311" s="36">
        <f>SUM(G299:G310)</f>
        <v>705.6</v>
      </c>
      <c r="H311" s="37"/>
      <c r="I311" s="37"/>
      <c r="J311" s="37"/>
      <c r="K311" s="61"/>
      <c r="L311" s="61"/>
      <c r="M311" s="38">
        <f ca="1">IFERROR(SUM(M299:M310),"")</f>
        <v>6.8750000000000033E-2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705.6</v>
      </c>
      <c r="H325" s="41"/>
      <c r="I325" s="41"/>
      <c r="J325" s="41"/>
      <c r="K325" s="63"/>
      <c r="L325" s="63"/>
      <c r="M325" s="42">
        <f ca="1">IFERROR(M311+M324,"")</f>
        <v>6.8750000000000033E-2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2026-08-12T21:30:33Z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