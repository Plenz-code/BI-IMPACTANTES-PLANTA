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941" documentId="8_{AF585B22-221D-4780-BB9C-493D365A6A02}" xr6:coauthVersionLast="47" xr6:coauthVersionMax="47" xr10:uidLastSave="{1DDA0829-C748-4421-B96D-EBCA0EC5626A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<sst xmlns="http://schemas.openxmlformats.org/spreadsheetml/2006/main" count="3766" uniqueCount="268">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</sst>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7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97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97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97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97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97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97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97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97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97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97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97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97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97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97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97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97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97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97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97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97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97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97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97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97"/>
      <c r="I52" s="16"/>
      <c r="J52" s="16"/>
      <c r="K52" s="16" t="s">
        <v>191</v>
      </c>
      <c r="L52" s="16"/>
      <c r="M52" s="16"/>
    </row>
    <row r="53" spans="1:13" ht="36" customHeight="1">
      <c r="H53" s="97"/>
      <c r="I53" s="17"/>
      <c r="J53" s="17"/>
      <c r="K53" s="17" t="s">
        <v>192</v>
      </c>
      <c r="L53" s="17"/>
      <c r="M53" s="17"/>
    </row>
    <row r="54" spans="1:13" ht="15" customHeight="1">
      <c r="H54" s="97"/>
      <c r="I54" s="16"/>
      <c r="J54" s="16"/>
      <c r="K54" s="16" t="s">
        <v>193</v>
      </c>
      <c r="L54" s="16"/>
      <c r="M54" s="16"/>
    </row>
    <row r="55" spans="1:13" ht="15" customHeight="1">
      <c r="H55" s="97"/>
      <c r="I55" s="17"/>
      <c r="J55" s="17"/>
      <c r="K55" s="17" t="s">
        <v>194</v>
      </c>
      <c r="L55" s="17"/>
      <c r="M55" s="17"/>
    </row>
    <row r="56" spans="1:13" ht="15" customHeight="1">
      <c r="H56" s="97"/>
      <c r="I56" s="16"/>
      <c r="J56" s="16"/>
      <c r="K56" s="16" t="s">
        <v>195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196</v>
      </c>
      <c r="L58" s="16"/>
      <c r="M58" s="16"/>
    </row>
    <row r="59" spans="1:13" ht="15" customHeight="1">
      <c r="H59" s="97"/>
      <c r="I59" s="17"/>
      <c r="J59" s="17"/>
      <c r="K59" s="17" t="s">
        <v>197</v>
      </c>
      <c r="L59" s="17"/>
      <c r="M59" s="17"/>
    </row>
    <row r="60" spans="1:13" ht="15" customHeight="1">
      <c r="H60" s="97"/>
      <c r="I60" s="16"/>
      <c r="J60" s="16"/>
      <c r="K60" s="99" t="s">
        <v>104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88" activePane="bottomLeft" state="frozen"/>
      <selection pane="bottomLeft" activeCell="J204" sqref="J20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18</v>
      </c>
      <c r="I204" s="26"/>
      <c r="J204" s="26" t="s">
        <v>193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109.2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169</v>
      </c>
      <c r="G216" s="36">
        <f>SUM(G204:G215)</f>
        <v>824.2</v>
      </c>
      <c r="H216" s="37"/>
      <c r="I216" s="37"/>
      <c r="J216" s="37"/>
      <c r="K216" s="37"/>
      <c r="L216" s="37"/>
      <c r="M216" s="38">
        <f ca="1">IFERROR(SUM(M204:M215),"")</f>
        <v>2.1527777777777812E-2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499</v>
      </c>
      <c r="G217" s="40">
        <f>G203+G216</f>
        <v>2474.1999999999998</v>
      </c>
      <c r="H217" s="41"/>
      <c r="I217" s="41"/>
      <c r="J217" s="41"/>
      <c r="K217" s="41"/>
      <c r="L217" s="41"/>
      <c r="M217" s="42">
        <f ca="1">IFERROR(M203+M216,"")</f>
        <v>4.5138888888888951E-2</v>
      </c>
      <c r="N217" s="40" t="s">
        <v>215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1" activePane="bottomLeft" state="frozen"/>
      <selection pane="bottomLeft" activeCell="J205" sqref="J20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29.400000000000002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/>
      <c r="M205" s="35">
        <f t="shared" ca="1" si="46"/>
        <v>1.1170949073857628E-2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95</v>
      </c>
      <c r="G216" s="36">
        <f>SUM(G204:G215)</f>
        <v>399.00000000000006</v>
      </c>
      <c r="H216" s="37"/>
      <c r="I216" s="37"/>
      <c r="J216" s="37"/>
      <c r="K216" s="37"/>
      <c r="L216" s="37"/>
      <c r="M216" s="38">
        <f ca="1">IFERROR(SUM(M204:M215),"")</f>
        <v>4.5893171296079838E-2</v>
      </c>
      <c r="N216" s="36" t="s">
        <v>212</v>
      </c>
      <c r="O216" s="78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95</v>
      </c>
      <c r="G217" s="40">
        <f>G203+G216</f>
        <v>399.00000000000006</v>
      </c>
      <c r="H217" s="41"/>
      <c r="I217" s="41"/>
      <c r="J217" s="41"/>
      <c r="K217" s="41"/>
      <c r="L217" s="41"/>
      <c r="M217" s="42">
        <f ca="1">IFERROR(M203+M216,"")</f>
        <v>4.5893171296079838E-2</v>
      </c>
      <c r="N217" s="40" t="s">
        <v>215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F209" sqref="F2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245</v>
      </c>
      <c r="N166" s="27" t="s">
        <v>246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54.6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50</v>
      </c>
      <c r="G216" s="36">
        <f>SUM(G204:G215)</f>
        <v>210.00000000000003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212</v>
      </c>
      <c r="O216" s="39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140</v>
      </c>
      <c r="G217" s="40">
        <f>G203+G216</f>
        <v>588</v>
      </c>
      <c r="H217" s="41"/>
      <c r="I217" s="41"/>
      <c r="J217" s="41"/>
      <c r="K217" s="41"/>
      <c r="L217" s="41"/>
      <c r="M217" s="42">
        <f ca="1">IFERROR(M203+M216,"")</f>
        <v>0.19097222222222227</v>
      </c>
      <c r="N217" s="40" t="s">
        <v>215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03" activePane="bottomLeft" state="frozen"/>
      <selection pane="bottomLeft" activeCell="N207" sqref="N20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252</v>
      </c>
      <c r="L58" s="29">
        <v>0.54097222222222219</v>
      </c>
      <c r="M58" s="30" t="str">
        <f t="shared" ca="1" si="13"/>
        <v/>
      </c>
      <c r="N58" s="27" t="s">
        <v>253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0.80005983796581859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0.99936539352137421</v>
      </c>
      <c r="N135" s="36" t="s">
        <v>212</v>
      </c>
      <c r="O135" s="39">
        <v>729290</v>
      </c>
    </row>
    <row r="136" spans="1:18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1.3667265046324852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50.400000000000006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83</v>
      </c>
      <c r="G216" s="36">
        <f>SUM(G204:G215)</f>
        <v>348.6</v>
      </c>
      <c r="H216" s="37"/>
      <c r="I216" s="37"/>
      <c r="J216" s="37"/>
      <c r="K216" s="61"/>
      <c r="L216" s="61"/>
      <c r="M216" s="38">
        <f ca="1">IFERROR(SUM(M204:M215),"")</f>
        <v>5.1388888888888963E-2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233</v>
      </c>
      <c r="G217" s="40">
        <f>G203+G216</f>
        <v>978.6</v>
      </c>
      <c r="H217" s="41"/>
      <c r="I217" s="41"/>
      <c r="J217" s="41"/>
      <c r="K217" s="63"/>
      <c r="L217" s="63"/>
      <c r="M217" s="42">
        <f ca="1">IFERROR(M203+M216,"")</f>
        <v>0.24861111111111114</v>
      </c>
      <c r="N217" s="40" t="s">
        <v>215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2026-07-09T05:11:21Z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