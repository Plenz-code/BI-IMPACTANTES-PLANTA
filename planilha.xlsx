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81" documentId="13_ncr:1_{0A10D8D4-8450-4366-8075-B53B08E6B7EA}" xr6:coauthVersionLast="47" xr6:coauthVersionMax="47" xr10:uidLastSave="{A97CBFEE-9932-4F9D-80D4-34AE4849F1E4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4" i="6"/>
  <c r="J424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4" i="5"/>
  <c r="J424" i="5" s="1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4" i="4"/>
  <c r="J424" i="4" s="1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22" i="6" l="1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<sst xmlns="http://schemas.openxmlformats.org/spreadsheetml/2006/main" count="7322" uniqueCount="359">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</sst>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F423" sqref="F423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75</v>
      </c>
      <c r="G432" s="36">
        <f>SUM(G420:G431)</f>
        <v>375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285</v>
      </c>
      <c r="G433" s="40">
        <f>G419+G432</f>
        <v>1425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4" activePane="bottomLeft" state="frozen"/>
      <selection pane="bottomLeft" activeCell="N422" sqref="N422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0.87353101851476822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1.0124199074036571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1.0971421296258794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305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/>
      <c r="Q422" s="30">
        <f t="shared" ca="1" si="104"/>
        <v>2.0032407410326414E-3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50.400000000000006</v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60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252.00000000000003</v>
      </c>
      <c r="L432" s="37"/>
      <c r="M432" s="37"/>
      <c r="N432" s="37"/>
      <c r="O432" s="37"/>
      <c r="P432" s="37"/>
      <c r="Q432" s="38">
        <f ca="1">IFERROR(SUM(Q420:Q431),"")</f>
        <v>4.3669907407699382E-2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207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869.40000000000009</v>
      </c>
      <c r="L433" s="41"/>
      <c r="M433" s="41"/>
      <c r="N433" s="41"/>
      <c r="O433" s="41"/>
      <c r="P433" s="41"/>
      <c r="Q433" s="42">
        <f ca="1">IFERROR(Q419+Q432,"")</f>
        <v>0.13464212962992161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88" activePane="bottomLeft" state="frozen"/>
      <selection pane="bottomLeft" activeCell="N422" sqref="N422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306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307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306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306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308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309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310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311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312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313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314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315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316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317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318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319</v>
      </c>
      <c r="Q222" s="30" t="str">
        <f t="shared" ca="1" si="49"/>
        <v/>
      </c>
      <c r="R222" s="27" t="s">
        <v>320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321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322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323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324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325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0"/>
        <v>0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0"/>
        <v>0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/>
      <c r="Q422" s="30">
        <f t="shared" ca="1" si="102"/>
        <v>2.0032407410326414E-3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0"/>
        <v>0</v>
      </c>
      <c r="K423" s="34">
        <f t="shared" si="101"/>
        <v>8.4</v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13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54.6</v>
      </c>
      <c r="L432" s="37"/>
      <c r="M432" s="37"/>
      <c r="N432" s="37"/>
      <c r="O432" s="37"/>
      <c r="P432" s="37"/>
      <c r="Q432" s="38">
        <f ca="1">IFERROR(SUM(Q420:Q431),"")</f>
        <v>6.7975462963254851E-2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134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562.80000000000007</v>
      </c>
      <c r="L433" s="41"/>
      <c r="M433" s="41"/>
      <c r="N433" s="41"/>
      <c r="O433" s="41"/>
      <c r="P433" s="41"/>
      <c r="Q433" s="42">
        <f ca="1">IFERROR(Q419+Q432,"")</f>
        <v>0.14089212962992159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O429" sqref="O429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326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306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327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328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329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330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331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332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306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306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333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334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306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335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336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337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338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339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340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341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342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343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344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345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346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347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348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351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352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353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354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355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356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357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0</v>
      </c>
      <c r="I421" s="135">
        <f>IFERROR(IF($D421="","",VLOOKUP($D421,Cadastro!$C$4:$G$7,5,FALSE)),"")</f>
        <v>0.6</v>
      </c>
      <c r="J421" s="136">
        <f t="shared" si="102"/>
        <v>0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0</v>
      </c>
      <c r="I422" s="135">
        <f>IFERROR(IF($D422="","",VLOOKUP($D422,Cadastro!$C$4:$G$7,5,FALSE)),"")</f>
        <v>0.6</v>
      </c>
      <c r="J422" s="136">
        <f t="shared" si="102"/>
        <v>0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0</v>
      </c>
      <c r="I423" s="135">
        <f>IFERROR(IF($D423="","",VLOOKUP($D423,Cadastro!$C$4:$G$7,5,FALSE)),"")</f>
        <v>0.6</v>
      </c>
      <c r="J423" s="136">
        <f t="shared" si="102"/>
        <v>0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358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74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310.8</v>
      </c>
      <c r="L432" s="37"/>
      <c r="M432" s="37"/>
      <c r="N432" s="37"/>
      <c r="O432" s="61"/>
      <c r="P432" s="61"/>
      <c r="Q432" s="38">
        <f ca="1">IFERROR(SUM(Q420:Q431),"")</f>
        <v>5.2777777777777812E-2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216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907.2</v>
      </c>
      <c r="L433" s="41"/>
      <c r="M433" s="41"/>
      <c r="N433" s="41"/>
      <c r="O433" s="63"/>
      <c r="P433" s="63"/>
      <c r="Q433" s="42">
        <f ca="1">IFERROR(Q419+Q432,"")</f>
        <v>0.16805555555555562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2026-08-17T03:53:18Z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