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545" documentId="8_{C51EB6CB-002B-4D6B-B68F-DDEBDB4460C0}" xr6:coauthVersionLast="47" xr6:coauthVersionMax="47" xr10:uidLastSave="{5EC2BB74-5E8B-440D-9FF1-FADA9605D871}"/>
  <bookViews>
    <workbookView xWindow="-108" yWindow="-108" windowWidth="23256" windowHeight="12456" tabRatio="500" firstSheet="4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4" i="3" l="1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6" i="1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<sst xmlns="http://schemas.openxmlformats.org/spreadsheetml/2006/main" count="2229" uniqueCount="265">
  <si>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</si>
  <si>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</si>
  <si>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</si>
  <si>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</si>
  <si>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</si>
  <si>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</si>
  <si>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</si>
  <si>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</si>
  <si>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</si>
  <si>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</si>
  <si>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</si>
  <si>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</si>
  <si>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</si>
  <si>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</si>
  <si>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</si>
  <si>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</si>
  <si>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</si>
  <si>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</si>
  <si>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</si>
  <si>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</si>
  <si>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</si>
  <si>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</si>
  <si>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</si>
  <si>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</si>
  <si>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</si>
  <si>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</si>
  <si>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</si>
  <si>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</si>
  <si>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</si>
  <si>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</si>
  <si>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</si>
  <si>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</si>
  <si>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</si>
  <si>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</si>
  <si>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</si>
  <si>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</si>
  <si>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</si>
  <si>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</si>
  <si>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</si>
  <si>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</si>
  <si>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</si>
  <si>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</si>
  <si>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</si>
  <si>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</si>
  <si>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</si>
  <si>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</si>
  <si>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</si>
  <si>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</si>
  <si>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</si>
  <si>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</si>
  <si>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</si>
  <si>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</si>
  <si>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</si>
  <si>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</si>
  <si>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</si>
  <si>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</si>
  <si>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</si>
  <si>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</si>
  <si>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</si>
  <si>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</si>
  <si>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</si>
  <si>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</si>
  <si>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</si>
  <si>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</si>
  <si>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</si>
  <si>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</si>
  <si>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</si>
  <si>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</si>
  <si>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</si>
  <si>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</si>
  <si>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</si>
  <si>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</si>
  <si>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</si>
  <si>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</si>
  <si>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</si>
  <si>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</si>
  <si>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</si>
  <si>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</si>
  <si>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</si>
  <si>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</si>
  <si>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</si>
  <si>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</si>
  <si>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</si>
  <si>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</si>
  <si>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</si>
  <si>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</si>
  <si>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</si>
  <si>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</si>
  <si>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</si>
  <si>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</si>
  <si>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</si>
  <si>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</si>
  <si>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</si>
  <si>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</si>
  <si>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</si>
  <si>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</si>
  <si>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</si>
  <si>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</si>
  <si>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</si>
  <si>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</si>
  <si>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</si>
  <si>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</si>
  <si>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</si>
  <si>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</si>
  <si>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</si>
  <si>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</si>
  <si>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</si>
  <si>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</si>
  <si>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</si>
  <si>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</si>
  <si>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</si>
  <si>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</si>
  <si>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</si>
  <si>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</si>
  <si>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</si>
  <si>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</si>
  <si>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</si>
  <si>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</si>
  <si>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</si>
  <si>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</si>
  <si>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</si>
  <si>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</si>
  <si>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</si>
  <si>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</si>
  <si>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</si>
  <si>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</si>
  <si>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</si>
  <si>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</si>
  <si>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</si>
  <si>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</si>
  <si>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</si>
  <si>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</si>
  <si>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</si>
  <si>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</si>
  <si>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</si>
  <si>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</si>
  <si>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</si>
  <si>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</si>
  <si>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</si>
  <si>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</si>
  <si>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</si>
  <si>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</si>
  <si>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</si>
  <si>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</si>
  <si>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</si>
  <si>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</si>
  <si>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</si>
  <si>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</si>
  <si>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</si>
  <si>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</si>
  <si>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</si>
  <si>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</si>
  <si>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</si>
  <si>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</si>
  <si>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</si>
  <si>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</si>
  <si>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</si>
  <si>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</si>
  <si>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</si>
  <si>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</si>
  <si>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</si>
  <si>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</si>
  <si>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</si>
  <si>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</si>
  <si>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</si>
  <si>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</si>
  <si>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</si>
  <si>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</si>
  <si>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</si>
  <si>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</si>
  <si>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</si>
  <si>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</si>
  <si>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</si>
  <si>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</si>
  <si>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</si>
  <si>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</si>
  <si>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</si>
  <si>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</si>
  <si>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</si>
  <si>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</si>
  <si>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</si>
  <si>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</si>
  <si>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</si>
  <si>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</si>
  <si>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</si>
  <si>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</si>
  <si>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</si>
  <si>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</si>
  <si>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</si>
  <si>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</si>
  <si>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</si>
  <si>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</si>
  <si>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</si>
  <si>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</si>
  <si>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</si>
  <si>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</si>
  <si>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</si>
  <si>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</si>
  <si>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</si>
  <si>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</si>
  <si>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</si>
  <si>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</si>
  <si>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</si>
  <si>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</si>
  <si>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</si>
  <si>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</si>
  <si>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</si>
  <si>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</si>
  <si>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</si>
  <si>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</si>
  <si>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</si>
  <si>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</si>
  <si>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</si>
  <si>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</si>
  <si>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</si>
  <si>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</si>
  <si>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</si>
  <si>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</si>
  <si>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</si>
  <si>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</si>
  <si>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</si>
  <si>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</si>
  <si>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</si>
  <si>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</si>
  <si>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</si>
  <si>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</si>
  <si>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</si>
  <si>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</si>
  <si>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</si>
  <si>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</si>
  <si>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</si>
  <si>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</si>
  <si>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</si>
  <si>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</si>
  <si>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</si>
  <si>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</si>
  <si>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PC 24</t>
  </si>
  <si>
    <t>PC 25</t>
  </si>
  <si>
    <t>PC 26</t>
  </si>
  <si>
    <t>PC 27</t>
  </si>
  <si>
    <t>PC 28</t>
  </si>
  <si>
    <t>PC 29</t>
  </si>
  <si>
    <t>troca dos pinos ,caiu 1 faca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</si>
  <si>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</si>
  <si>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</si>
  <si>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</si>
  <si>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</si>
  <si>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</si>
  <si>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</si>
  <si>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</si>
  <si>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</si>
  <si>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</si>
  <si>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</si>
  <si>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solda no queixo</t>
  </si>
  <si>
    <t>sem material no estoque</t>
  </si>
  <si>
    <t>troca de martelo</t>
  </si>
  <si>
    <t>bomba 01 parada pra  manutencao eletrica</t>
  </si>
  <si>
    <t>troca de martelo,adicinado 4 grelha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</si>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</sst>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0" sqref="G20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2102950</v>
      </c>
      <c r="D6" s="8">
        <f>IFERROR('Linha 1'!O82,"")</f>
        <v>565230</v>
      </c>
      <c r="E6" s="8">
        <f>IFERROR('Linha 2'!O82,"")</f>
        <v>221380</v>
      </c>
      <c r="F6" s="8">
        <f>IFERROR('Linha 3'!O82,"")</f>
        <v>477090</v>
      </c>
      <c r="G6" s="9">
        <f t="shared" si="0"/>
        <v>1263700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6231495</v>
      </c>
      <c r="D35" s="13">
        <f>IFERROR(SUM(D4:D34),"")</f>
        <v>2259870</v>
      </c>
      <c r="E35" s="13">
        <f>IFERROR(SUM(E4:E34),"")</f>
        <v>1422960</v>
      </c>
      <c r="F35" s="13">
        <f>IFERROR(SUM(F4:F34),"")</f>
        <v>2649260</v>
      </c>
      <c r="G35" s="13">
        <f>IFERROR(SUM(G4:G34),"")</f>
        <v>6332090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7" sqref="M5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204</v>
      </c>
      <c r="L58" s="16"/>
      <c r="M58" s="16"/>
    </row>
    <row r="59" spans="1:13" ht="15" customHeight="1">
      <c r="H59" s="110"/>
      <c r="I59" s="17"/>
      <c r="J59" s="17"/>
      <c r="K59" s="17" t="s">
        <v>205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206</v>
      </c>
      <c r="L61" s="17"/>
      <c r="M61" s="17"/>
    </row>
    <row r="62" spans="1:13" ht="15" customHeight="1">
      <c r="H62" s="110"/>
      <c r="I62" s="16"/>
      <c r="J62" s="16"/>
      <c r="K62" s="16" t="s">
        <v>207</v>
      </c>
      <c r="L62" s="16"/>
      <c r="M62" s="16"/>
    </row>
    <row r="63" spans="1:13" ht="15" customHeight="1">
      <c r="H63" s="110"/>
      <c r="I63" s="17"/>
      <c r="J63" s="17"/>
      <c r="K63" s="17" t="s">
        <v>208</v>
      </c>
      <c r="L63" s="17"/>
      <c r="M63" s="17"/>
    </row>
    <row r="64" spans="1:13" ht="15" customHeight="1">
      <c r="H64" s="110"/>
      <c r="I64" s="16"/>
      <c r="J64" s="16"/>
      <c r="K64" s="16" t="s">
        <v>209</v>
      </c>
      <c r="L64" s="16"/>
      <c r="M64" s="16"/>
    </row>
    <row r="65" spans="8:13" ht="15" customHeight="1">
      <c r="H65" s="110"/>
      <c r="I65" s="17"/>
      <c r="J65" s="17"/>
      <c r="K65" s="17" t="s">
        <v>210</v>
      </c>
      <c r="L65" s="17"/>
      <c r="M65" s="17"/>
    </row>
    <row r="66" spans="8:13" ht="15" customHeight="1">
      <c r="H66" s="110"/>
      <c r="I66" s="16"/>
      <c r="J66" s="16"/>
      <c r="K66" s="16" t="s">
        <v>211</v>
      </c>
      <c r="L66" s="16"/>
      <c r="M66" s="16"/>
    </row>
    <row r="67" spans="8:13" ht="15" customHeight="1">
      <c r="H67" s="110"/>
      <c r="I67" s="17"/>
      <c r="J67" s="17"/>
      <c r="K67" s="17" t="s">
        <v>212</v>
      </c>
      <c r="L67" s="17"/>
      <c r="M67" s="17"/>
    </row>
    <row r="68" spans="8:13" ht="15" customHeight="1">
      <c r="H68" s="110"/>
      <c r="I68" s="16"/>
      <c r="J68" s="16"/>
      <c r="K68" s="16" t="s">
        <v>213</v>
      </c>
      <c r="L68" s="16"/>
      <c r="M68" s="16"/>
    </row>
    <row r="69" spans="8:13" ht="15" customHeight="1">
      <c r="H69" s="110"/>
      <c r="I69" s="17"/>
      <c r="J69" s="17"/>
      <c r="K69" s="17" t="s">
        <v>214</v>
      </c>
      <c r="L69" s="17"/>
      <c r="M69" s="17"/>
    </row>
    <row r="70" spans="8:13" ht="15" customHeight="1">
      <c r="H70" s="110"/>
      <c r="I70" s="16"/>
      <c r="J70" s="16"/>
      <c r="K70" s="16" t="s">
        <v>215</v>
      </c>
      <c r="L70" s="16"/>
      <c r="M70" s="16"/>
    </row>
    <row r="71" spans="8:13" ht="15" customHeight="1">
      <c r="H71" s="110"/>
      <c r="I71" s="17"/>
      <c r="J71" s="17"/>
      <c r="K71" s="17" t="s">
        <v>216</v>
      </c>
      <c r="L71" s="17"/>
      <c r="M71" s="17"/>
    </row>
    <row r="72" spans="8:13" ht="15" customHeight="1">
      <c r="H72" s="110"/>
      <c r="I72" s="16"/>
      <c r="J72" s="16"/>
      <c r="K72" s="16" t="s">
        <v>217</v>
      </c>
      <c r="L72" s="16"/>
      <c r="M72" s="16"/>
    </row>
    <row r="73" spans="8:13" ht="15" customHeight="1">
      <c r="H73" s="110"/>
      <c r="I73" s="17"/>
      <c r="J73" s="17"/>
      <c r="K73" s="17"/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54" activePane="bottomLeft" state="frozen"/>
      <selection pane="bottomLeft" activeCell="E70" sqref="E70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228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228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228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228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228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228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228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228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228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228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228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228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230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228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228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228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231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228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228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228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228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228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228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228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230</v>
      </c>
      <c r="O27" s="39">
        <v>997910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234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228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228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235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228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231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228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228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228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236</v>
      </c>
      <c r="F35" s="27">
        <v>55</v>
      </c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237</v>
      </c>
      <c r="F36" s="27">
        <v>38</v>
      </c>
      <c r="G36" s="34" t="str">
        <f>IF(F36="","",IF(E36="PC 17",F36*4.2,IF(E36="PC 19",F36*5,IF(E36="CB",F36*35,""))))</f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238</v>
      </c>
      <c r="F37" s="27">
        <v>21</v>
      </c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239</v>
      </c>
      <c r="F38" s="27">
        <v>0</v>
      </c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240</v>
      </c>
      <c r="F39" s="27">
        <v>0</v>
      </c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241</v>
      </c>
      <c r="F40" s="27">
        <v>0</v>
      </c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695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230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228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228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228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228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228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228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228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230</v>
      </c>
      <c r="O54" s="39">
        <v>981310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1555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234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228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153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228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228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228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228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228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228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228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228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228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228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228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230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243</v>
      </c>
      <c r="F69" s="27">
        <v>14</v>
      </c>
      <c r="G69" s="34">
        <f t="shared" ref="G69:G80" si="15">IF(F69="","",IF(E69="PC 17",F69*4.2,IF(E69="PC 19",F69*5,IF(E69="CB",F69*35,""))))</f>
        <v>58.800000000000004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30</v>
      </c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30</v>
      </c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14</v>
      </c>
      <c r="G81" s="36">
        <f>SUM(G69:G80)</f>
        <v>58.800000000000004</v>
      </c>
      <c r="H81" s="37"/>
      <c r="I81" s="37"/>
      <c r="J81" s="37"/>
      <c r="K81" s="37"/>
      <c r="L81" s="37"/>
      <c r="M81" s="38">
        <f ca="1">IFERROR(SUM(M69:M80),"")</f>
        <v>1.6666666666666718E-2</v>
      </c>
      <c r="N81" s="36" t="s">
        <v>230</v>
      </c>
      <c r="O81" s="39"/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389</v>
      </c>
      <c r="G82" s="40">
        <f>G68+G81</f>
        <v>1933.8</v>
      </c>
      <c r="H82" s="41"/>
      <c r="I82" s="41"/>
      <c r="J82" s="41"/>
      <c r="K82" s="41"/>
      <c r="L82" s="41"/>
      <c r="M82" s="42">
        <f ca="1">IFERROR(M68+M81,"")</f>
        <v>4.9305555555555713E-2</v>
      </c>
      <c r="N82" s="40" t="s">
        <v>234</v>
      </c>
      <c r="O82" s="43">
        <f>IFERROR(O68+O81,"")</f>
        <v>2102950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234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4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12" t="s">
        <v>233</v>
      </c>
      <c r="B811" s="113"/>
      <c r="C811" s="113"/>
      <c r="D811" s="113"/>
      <c r="E811" s="114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50" zoomScaleNormal="50" workbookViewId="0">
      <pane ySplit="1" topLeftCell="A53" activePane="bottomLeft" state="frozen"/>
      <selection pane="bottomLeft" activeCell="H71" sqref="H7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244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243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243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243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245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243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246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243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243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243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243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243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243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243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230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243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243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243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243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243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247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243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248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243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243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243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243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243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243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230</v>
      </c>
      <c r="O27" s="77">
        <v>549860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234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243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243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243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243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243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243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243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243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243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243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243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243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230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243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243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243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243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243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243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243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249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243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250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243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243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243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251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243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127</v>
      </c>
      <c r="K53" s="29">
        <v>0.12152777777777778</v>
      </c>
      <c r="L53" s="29"/>
      <c r="M53" s="30">
        <f t="shared" ca="1" si="11"/>
        <v>0.73860057869751472</v>
      </c>
      <c r="N53" s="46" t="s">
        <v>252</v>
      </c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0.87748946758640356</v>
      </c>
      <c r="N54" s="36" t="s">
        <v>230</v>
      </c>
      <c r="O54" s="84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0.96221168980862593</v>
      </c>
      <c r="N55" s="40" t="s">
        <v>234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243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243</v>
      </c>
      <c r="F57" s="27">
        <v>17</v>
      </c>
      <c r="G57" s="34">
        <f t="shared" si="12"/>
        <v>71.400000000000006</v>
      </c>
      <c r="H57" s="33" t="s">
        <v>20</v>
      </c>
      <c r="I57" s="33" t="s">
        <v>120</v>
      </c>
      <c r="J57" s="81" t="s">
        <v>113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243</v>
      </c>
      <c r="F58" s="27">
        <v>10</v>
      </c>
      <c r="G58" s="28">
        <f t="shared" si="12"/>
        <v>42</v>
      </c>
      <c r="H58" s="26" t="s">
        <v>20</v>
      </c>
      <c r="I58" s="80" t="s">
        <v>120</v>
      </c>
      <c r="J58" s="26" t="s">
        <v>113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243</v>
      </c>
      <c r="F59" s="27">
        <v>10</v>
      </c>
      <c r="G59" s="34">
        <f t="shared" si="12"/>
        <v>42</v>
      </c>
      <c r="H59" s="33" t="s">
        <v>20</v>
      </c>
      <c r="I59" s="33" t="s">
        <v>120</v>
      </c>
      <c r="J59" s="33" t="s">
        <v>113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243</v>
      </c>
      <c r="F60" s="27">
        <v>6</v>
      </c>
      <c r="G60" s="28">
        <f t="shared" si="12"/>
        <v>25.200000000000003</v>
      </c>
      <c r="H60" s="26" t="s">
        <v>20</v>
      </c>
      <c r="I60" s="26" t="s">
        <v>120</v>
      </c>
      <c r="J60" s="26" t="s">
        <v>113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243</v>
      </c>
      <c r="F61" s="27">
        <v>14</v>
      </c>
      <c r="G61" s="34">
        <f t="shared" si="12"/>
        <v>58.800000000000004</v>
      </c>
      <c r="H61" s="33" t="s">
        <v>20</v>
      </c>
      <c r="I61" s="33" t="s">
        <v>120</v>
      </c>
      <c r="J61" s="33" t="s">
        <v>113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243</v>
      </c>
      <c r="F62" s="27">
        <v>19</v>
      </c>
      <c r="G62" s="28">
        <f t="shared" si="12"/>
        <v>79.8</v>
      </c>
      <c r="H62" s="26" t="s">
        <v>20</v>
      </c>
      <c r="I62" s="26" t="s">
        <v>120</v>
      </c>
      <c r="J62" s="26" t="s">
        <v>113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243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244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243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243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243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243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230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243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146</v>
      </c>
      <c r="J69" s="26" t="s">
        <v>182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243</v>
      </c>
      <c r="F70" s="27"/>
      <c r="G70" s="28" t="str">
        <f t="shared" si="15"/>
        <v/>
      </c>
      <c r="H70" s="26" t="s">
        <v>17</v>
      </c>
      <c r="I70" s="26" t="s">
        <v>132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243</v>
      </c>
      <c r="F71" s="27"/>
      <c r="G71" s="34" t="str">
        <f t="shared" si="15"/>
        <v/>
      </c>
      <c r="H71" s="33" t="s">
        <v>20</v>
      </c>
      <c r="I71" s="33"/>
      <c r="J71" s="33"/>
      <c r="K71" s="29">
        <v>0.85277777777777775</v>
      </c>
      <c r="L71" s="29"/>
      <c r="M71" s="30">
        <f t="shared" ca="1" si="17"/>
        <v>7.3505787004251033E-3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243</v>
      </c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7"/>
        <v/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243</v>
      </c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7"/>
        <v/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7"/>
        <v/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7"/>
        <v/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7"/>
        <v/>
      </c>
      <c r="N76" s="46"/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30</v>
      </c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30</v>
      </c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21</v>
      </c>
      <c r="G81" s="36">
        <f>SUM(G69:G80)</f>
        <v>88.2</v>
      </c>
      <c r="H81" s="37"/>
      <c r="I81" s="37"/>
      <c r="J81" s="37"/>
      <c r="K81" s="37"/>
      <c r="L81" s="37"/>
      <c r="M81" s="38">
        <f ca="1">IFERROR(SUM(M69:M80),"")</f>
        <v>8.7394675893140983E-3</v>
      </c>
      <c r="N81" s="36" t="s">
        <v>230</v>
      </c>
      <c r="O81" s="54"/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157</v>
      </c>
      <c r="G82" s="40">
        <f>G68+G81</f>
        <v>659.40000000000009</v>
      </c>
      <c r="H82" s="41"/>
      <c r="I82" s="41"/>
      <c r="J82" s="41"/>
      <c r="K82" s="41"/>
      <c r="L82" s="41"/>
      <c r="M82" s="42">
        <f ca="1">IFERROR(M68+M81,"")</f>
        <v>0.1247116898115363</v>
      </c>
      <c r="N82" s="40" t="s">
        <v>234</v>
      </c>
      <c r="O82" s="82">
        <f>IFERROR(O68+O81,"")</f>
        <v>565230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230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54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234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54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5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77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77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229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77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77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77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77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77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77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77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77"/>
    </row>
    <row r="433" spans="1:15" ht="18" customHeight="1">
      <c r="A433" s="92" t="s">
        <v>233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77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77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77"/>
    </row>
    <row r="514" spans="1:15" ht="18" customHeight="1">
      <c r="A514" s="92" t="s">
        <v>233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77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77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77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77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77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77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77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77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84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D84:D900 D2:D13 D15:D26 E432:E433 E513:E514 D29:D82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48" zoomScale="50" zoomScaleNormal="50" workbookViewId="0">
      <selection activeCell="E70" sqref="E7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243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243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243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243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243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243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243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243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243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243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243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230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243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253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243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243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243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247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243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254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243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243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243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243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243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243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243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232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230</v>
      </c>
      <c r="O27" s="39">
        <v>358000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234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243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243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243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243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243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243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243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243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243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243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243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230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243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255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243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253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243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243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243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243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243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243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243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253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243</v>
      </c>
      <c r="F51" s="27">
        <v>0</v>
      </c>
      <c r="G51" s="28">
        <f t="shared" si="9"/>
        <v>0</v>
      </c>
      <c r="H51" s="33" t="s">
        <v>20</v>
      </c>
      <c r="I51" s="33" t="s">
        <v>154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243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243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131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230</v>
      </c>
      <c r="O54" s="39">
        <v>279980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234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243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120</v>
      </c>
      <c r="J56" s="26" t="s">
        <v>113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243</v>
      </c>
      <c r="F57" s="27">
        <v>4</v>
      </c>
      <c r="G57" s="34">
        <f t="shared" si="12"/>
        <v>16.8</v>
      </c>
      <c r="H57" s="33" t="s">
        <v>20</v>
      </c>
      <c r="I57" s="33" t="s">
        <v>120</v>
      </c>
      <c r="J57" s="26" t="s">
        <v>113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243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243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243</v>
      </c>
      <c r="F60" s="27">
        <v>5</v>
      </c>
      <c r="G60" s="28">
        <f t="shared" si="12"/>
        <v>21</v>
      </c>
      <c r="H60" s="26" t="s">
        <v>20</v>
      </c>
      <c r="I60" s="26" t="s">
        <v>120</v>
      </c>
      <c r="J60" s="26" t="s">
        <v>113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243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243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127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256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243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243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243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243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243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230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243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257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/>
      <c r="F70" s="27"/>
      <c r="G70" s="28" t="str">
        <f t="shared" si="15"/>
        <v/>
      </c>
      <c r="H70" s="26" t="s">
        <v>20</v>
      </c>
      <c r="I70" s="26" t="s">
        <v>146</v>
      </c>
      <c r="J70" s="26" t="s">
        <v>182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30</v>
      </c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30</v>
      </c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6</v>
      </c>
      <c r="G81" s="36">
        <f>SUM(G69:G80)</f>
        <v>25.200000000000003</v>
      </c>
      <c r="H81" s="37"/>
      <c r="I81" s="37"/>
      <c r="J81" s="37"/>
      <c r="K81" s="37"/>
      <c r="L81" s="37"/>
      <c r="M81" s="38">
        <f ca="1">IFERROR(SUM(M69:M80),"")</f>
        <v>2.1527777777777812E-2</v>
      </c>
      <c r="N81" s="36" t="s">
        <v>230</v>
      </c>
      <c r="O81" s="39"/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56</v>
      </c>
      <c r="G82" s="40">
        <f>G68+G81</f>
        <v>235.2</v>
      </c>
      <c r="H82" s="41"/>
      <c r="I82" s="41"/>
      <c r="J82" s="41"/>
      <c r="K82" s="41"/>
      <c r="L82" s="41"/>
      <c r="M82" s="42">
        <f ca="1">IFERROR(M68+M81,"")</f>
        <v>0.10486111111111124</v>
      </c>
      <c r="N82" s="40" t="s">
        <v>234</v>
      </c>
      <c r="O82" s="43">
        <f>IFERROR(O68+O81,"")</f>
        <v>221380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234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39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52" activePane="bottomLeft" state="frozen"/>
      <selection pane="bottomLeft" activeCell="L70" sqref="L70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243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243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243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243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243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243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243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243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243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243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243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230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243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243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258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243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250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243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253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243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259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243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243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243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260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243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243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243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243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230</v>
      </c>
      <c r="O27" s="39">
        <v>491520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234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243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243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243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243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243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243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243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243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243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243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243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229</v>
      </c>
      <c r="B41" s="101"/>
      <c r="C41" s="101"/>
      <c r="D41" s="101"/>
      <c r="E41" s="102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230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243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243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243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243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261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243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243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243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243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243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243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243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230</v>
      </c>
      <c r="O54" s="39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234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243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243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243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203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243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262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243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127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263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243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243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243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243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243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243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243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230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243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213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264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243</v>
      </c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243</v>
      </c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243</v>
      </c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243</v>
      </c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243</v>
      </c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243</v>
      </c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243</v>
      </c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243</v>
      </c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243</v>
      </c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30</v>
      </c>
      <c r="E79" s="62" t="s">
        <v>243</v>
      </c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30</v>
      </c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7</v>
      </c>
      <c r="G81" s="36">
        <f>SUM(G69:G80)</f>
        <v>29.400000000000002</v>
      </c>
      <c r="H81" s="37"/>
      <c r="I81" s="37"/>
      <c r="J81" s="37"/>
      <c r="K81" s="61"/>
      <c r="L81" s="61"/>
      <c r="M81" s="38">
        <f ca="1">IFERROR(SUM(M69:M80),"")</f>
        <v>4.9305555555555602E-2</v>
      </c>
      <c r="N81" s="36" t="s">
        <v>230</v>
      </c>
      <c r="O81" s="39"/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122</v>
      </c>
      <c r="G82" s="40">
        <f>G68+G81</f>
        <v>512.4</v>
      </c>
      <c r="H82" s="41"/>
      <c r="I82" s="41"/>
      <c r="J82" s="41"/>
      <c r="K82" s="63"/>
      <c r="L82" s="63"/>
      <c r="M82" s="42">
        <f ca="1">IFERROR(M68+M81,"")</f>
        <v>0.19444444444444459</v>
      </c>
      <c r="N82" s="40" t="s">
        <v>234</v>
      </c>
      <c r="O82" s="48">
        <f>IFERROR(O68+O81,"")</f>
        <v>477090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234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230</v>
      </c>
      <c r="O135" s="39"/>
    </row>
    <row r="136" spans="1:18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234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229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229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230</v>
      </c>
      <c r="O432" s="39"/>
    </row>
    <row r="433" spans="1:17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230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234</v>
      </c>
      <c r="O838" s="48">
        <f>IFERROR(O824+O837,"")</f>
        <v>0</v>
      </c>
    </row>
  </sheetData>
  <mergeCells count="92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92:E392"/>
    <mergeCell ref="A311:E311"/>
    <mergeCell ref="A324:E324"/>
    <mergeCell ref="A325:E325"/>
    <mergeCell ref="A338:E338"/>
    <mergeCell ref="A351:E351"/>
    <mergeCell ref="A297:E297"/>
    <mergeCell ref="A298:E298"/>
    <mergeCell ref="A352:E352"/>
    <mergeCell ref="A378:E378"/>
    <mergeCell ref="A379:E379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42:E325 E29:E40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2026-08-04T00:38:41Z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