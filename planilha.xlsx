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117" documentId="13_ncr:1_{0A10D8D4-8450-4366-8075-B53B08E6B7EA}" xr6:coauthVersionLast="47" xr6:coauthVersionMax="47" xr10:uidLastSave="{83B23234-3AA4-47D9-9B3F-8BB869756EF8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8" i="5"/>
  <c r="J408" i="5" s="1"/>
  <c r="H409" i="5"/>
  <c r="J409" i="5" s="1"/>
  <c r="H410" i="5"/>
  <c r="J410" i="5" s="1"/>
  <c r="H411" i="5"/>
  <c r="J411" i="5" s="1"/>
  <c r="H412" i="5"/>
  <c r="J412" i="5" s="1"/>
  <c r="H413" i="5"/>
  <c r="J413" i="5" s="1"/>
  <c r="H414" i="5"/>
  <c r="J414" i="5" s="1"/>
  <c r="H415" i="5"/>
  <c r="J415" i="5" s="1"/>
  <c r="H416" i="5"/>
  <c r="J416" i="5" s="1"/>
  <c r="H417" i="5"/>
  <c r="J417" i="5" s="1"/>
  <c r="H418" i="5"/>
  <c r="J418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8" i="4"/>
  <c r="J408" i="4" s="1"/>
  <c r="H409" i="4"/>
  <c r="J409" i="4" s="1"/>
  <c r="H410" i="4"/>
  <c r="J410" i="4" s="1"/>
  <c r="H411" i="4"/>
  <c r="J411" i="4" s="1"/>
  <c r="H412" i="4"/>
  <c r="J412" i="4" s="1"/>
  <c r="H413" i="4"/>
  <c r="J413" i="4" s="1"/>
  <c r="H414" i="4"/>
  <c r="J414" i="4" s="1"/>
  <c r="H415" i="4"/>
  <c r="J415" i="4" s="1"/>
  <c r="H416" i="4"/>
  <c r="J416" i="4" s="1"/>
  <c r="H417" i="4"/>
  <c r="J417" i="4" s="1"/>
  <c r="H418" i="4"/>
  <c r="J41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H407" i="6" s="1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H407" i="5" s="1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H407" i="4" s="1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07" i="6" l="1"/>
  <c r="J419" i="6" s="1"/>
  <c r="H419" i="6"/>
  <c r="H433" i="6" s="1"/>
  <c r="J407" i="5"/>
  <c r="J419" i="5" s="1"/>
  <c r="H419" i="5"/>
  <c r="H433" i="5" s="1"/>
  <c r="J407" i="4"/>
  <c r="J419" i="4" s="1"/>
  <c r="H419" i="4"/>
  <c r="H433" i="4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33" i="6" l="1"/>
  <c r="T433" i="6" s="1"/>
  <c r="T419" i="6"/>
  <c r="T419" i="5"/>
  <c r="J433" i="5"/>
  <c r="T433" i="5" s="1"/>
  <c r="T419" i="4"/>
  <c r="J433" i="4"/>
  <c r="T433" i="4" s="1"/>
  <c r="H19" i="1" s="1"/>
  <c r="J19" i="1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<sst xmlns="http://schemas.openxmlformats.org/spreadsheetml/2006/main" count="7098" uniqueCount="354">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</sst>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>
      <selection activeCell="P76" sqref="P7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pane="bottomLeft" activeCell="F408" sqref="F40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40</v>
      </c>
      <c r="G419" s="36">
        <f>SUM(G407:G418)</f>
        <v>200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40</v>
      </c>
      <c r="G433" s="40">
        <f>G419+G432</f>
        <v>200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92" activePane="bottomLeft" state="frozen"/>
      <selection pane="bottomLeft" activeCell="D416" sqref="D41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0.2149584490689449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0.3538473379578338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0.43856956018005611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2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8.4</v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29</v>
      </c>
      <c r="E412" s="109" t="s">
        <v>259</v>
      </c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29</v>
      </c>
      <c r="E417" s="109" t="s">
        <v>259</v>
      </c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29</v>
      </c>
      <c r="E418" s="109" t="s">
        <v>259</v>
      </c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2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8.4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8.4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 t="s">
        <v>259</v>
      </c>
      <c r="F407" s="140">
        <f>IFERROR(IF($D407="","",VLOOKUP($D407,Cadastro!$C$4:$E$7,3,FALSE)),"")</f>
        <v>0.35</v>
      </c>
      <c r="G407" s="105">
        <v>3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0</v>
      </c>
      <c r="K407" s="34">
        <f t="shared" ref="K407:K418" si="97">IF(G407="","",IF(E407="PC 17",G407*4.2,IF(E407="PC 19",G407*5,IF(E407="CB",G407*24,""))))</f>
        <v>12.600000000000001</v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29</v>
      </c>
      <c r="E408" s="109" t="s">
        <v>259</v>
      </c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29</v>
      </c>
      <c r="E409" s="109" t="s">
        <v>259</v>
      </c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29</v>
      </c>
      <c r="E410" s="109" t="s">
        <v>259</v>
      </c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29</v>
      </c>
      <c r="E411" s="109" t="s">
        <v>259</v>
      </c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29</v>
      </c>
      <c r="E412" s="109" t="s">
        <v>259</v>
      </c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29</v>
      </c>
      <c r="E413" s="109" t="s">
        <v>259</v>
      </c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29</v>
      </c>
      <c r="E414" s="109" t="s">
        <v>259</v>
      </c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29</v>
      </c>
      <c r="E415" s="109" t="s">
        <v>259</v>
      </c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29</v>
      </c>
      <c r="E416" s="109" t="s">
        <v>259</v>
      </c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29</v>
      </c>
      <c r="E417" s="109" t="s">
        <v>259</v>
      </c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29</v>
      </c>
      <c r="E418" s="109" t="s">
        <v>259</v>
      </c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3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12.600000000000001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12.600000000000001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0.70870844907040009</v>
      </c>
      <c r="R385" s="27" t="s">
        <v>352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0.77329178240373331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0.83301400462595554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 t="s">
        <v>259</v>
      </c>
      <c r="F407" s="140">
        <f>IFERROR(IF($D407="","",VLOOKUP($D407,Cadastro!$C$4:$E$7,3,FALSE)),"")</f>
        <v>0.35</v>
      </c>
      <c r="G407" s="105">
        <v>4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16.8</v>
      </c>
      <c r="L407" s="33" t="s">
        <v>25</v>
      </c>
      <c r="M407" s="33"/>
      <c r="N407" s="33" t="s">
        <v>232</v>
      </c>
      <c r="O407" s="29">
        <v>0.32777777777777778</v>
      </c>
      <c r="P407" s="29"/>
      <c r="Q407" s="35">
        <f t="shared" ref="Q407:Q418" ca="1" si="100">IFERROR(IF(O407="","",IF(P407="",MOD(NOW()-O407,1),IF(P407&gt;=O407,P407-O407,P407+1-O407))),"")</f>
        <v>8.7084490733104758E-3</v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29</v>
      </c>
      <c r="E408" s="109" t="s">
        <v>259</v>
      </c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29</v>
      </c>
      <c r="E409" s="109" t="s">
        <v>259</v>
      </c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29</v>
      </c>
      <c r="E410" s="109" t="s">
        <v>259</v>
      </c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29</v>
      </c>
      <c r="E411" s="109" t="s">
        <v>259</v>
      </c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29</v>
      </c>
      <c r="E412" s="109" t="s">
        <v>259</v>
      </c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29</v>
      </c>
      <c r="E413" s="109" t="s">
        <v>259</v>
      </c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29</v>
      </c>
      <c r="E414" s="109" t="s">
        <v>259</v>
      </c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29</v>
      </c>
      <c r="E415" s="109" t="s">
        <v>259</v>
      </c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29</v>
      </c>
      <c r="E416" s="109" t="s">
        <v>259</v>
      </c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29</v>
      </c>
      <c r="E417" s="109" t="s">
        <v>259</v>
      </c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29</v>
      </c>
      <c r="E418" s="109" t="s">
        <v>259</v>
      </c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4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16.8</v>
      </c>
      <c r="L419" s="37"/>
      <c r="M419" s="37"/>
      <c r="N419" s="37"/>
      <c r="O419" s="61"/>
      <c r="P419" s="61"/>
      <c r="Q419" s="38">
        <f ca="1">IFERROR(SUM(Q407:Q418),"")</f>
        <v>8.7084490733104758E-3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4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16.8</v>
      </c>
      <c r="L433" s="41"/>
      <c r="M433" s="41"/>
      <c r="N433" s="41"/>
      <c r="O433" s="63"/>
      <c r="P433" s="63"/>
      <c r="Q433" s="42">
        <f ca="1">IFERROR(Q419+Q432,"")</f>
        <v>8.7084490733104758E-3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2026-08-16T12:04:34Z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