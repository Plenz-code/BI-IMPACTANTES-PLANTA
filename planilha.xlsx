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48" documentId="8_{AF585B22-221D-4780-BB9C-493D365A6A02}" xr6:coauthVersionLast="47" xr6:coauthVersionMax="47" xr10:uidLastSave="{2183A96B-F9DD-4E3E-B335-3663ADACE1B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<sst xmlns="http://schemas.openxmlformats.org/spreadsheetml/2006/main" count="2690" uniqueCount="237">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</sst>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00" activePane="bottomLeft" state="frozen"/>
      <selection pane="bottomLeft" activeCell="I123" sqref="I1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/>
      <c r="K123" s="29">
        <v>0.875</v>
      </c>
      <c r="L123" s="29"/>
      <c r="M123" s="35">
        <f t="shared" ref="M123:M134" ca="1" si="28">IFERROR(IF(K123="","",IF(L123="",MOD(NOW()-K123,1),IF(L123&gt;=K123,L123-K123,L123+1-K123))),"")</f>
        <v>1.9634953707281966E-2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1.9634953707281966E-2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3.3523842596170861E-2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J125" sqref="J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28</v>
      </c>
      <c r="G124" s="28">
        <f t="shared" si="27"/>
        <v>140</v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42</v>
      </c>
      <c r="G135" s="36">
        <f>SUM(G123:G134)</f>
        <v>210</v>
      </c>
      <c r="H135" s="37"/>
      <c r="I135" s="37"/>
      <c r="J135" s="37"/>
      <c r="K135" s="37"/>
      <c r="L135" s="37"/>
      <c r="M135" s="38">
        <f ca="1">IFERROR(SUM(M123:M134),"")</f>
        <v>1.3888888888888951E-2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177</v>
      </c>
      <c r="G136" s="40">
        <f>G122+G135</f>
        <v>777</v>
      </c>
      <c r="H136" s="41"/>
      <c r="I136" s="41"/>
      <c r="J136" s="41"/>
      <c r="K136" s="41"/>
      <c r="L136" s="41"/>
      <c r="M136" s="42">
        <f ca="1">IFERROR(M122+M135,"")</f>
        <v>0.15555555555555561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20</v>
      </c>
      <c r="G135" s="36">
        <f>SUM(G123:G134)</f>
        <v>100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27</v>
      </c>
      <c r="G136" s="40">
        <f>G122+G135</f>
        <v>129.4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H124" sqref="H1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229</v>
      </c>
      <c r="L58" s="29">
        <v>0.54097222222222219</v>
      </c>
      <c r="M58" s="30" t="str">
        <f t="shared" ca="1" si="13"/>
        <v/>
      </c>
      <c r="N58" s="27" t="s">
        <v>230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14</v>
      </c>
      <c r="G124" s="28">
        <f t="shared" si="27"/>
        <v>70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19</v>
      </c>
      <c r="G135" s="36">
        <f>SUM(G123:G134)</f>
        <v>95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73</v>
      </c>
      <c r="G136" s="40">
        <f>G122+G135</f>
        <v>321.8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2026-07-06T01:28:36Z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