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943" documentId="13_ncr:1_{A6DBCFB4-28D9-4249-9038-216934055CA6}" xr6:coauthVersionLast="47" xr6:coauthVersionMax="47" xr10:uidLastSave="{36E12DA9-5D73-4F42-8032-E29AE83D07FD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<sst xmlns="http://schemas.openxmlformats.org/spreadsheetml/2006/main" count="10844" uniqueCount="442">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</sst>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1" sqref="G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88225050</v>
      </c>
      <c r="D35" s="30">
        <f t="shared" si="2"/>
        <v>27924670</v>
      </c>
      <c r="E35" s="30">
        <f t="shared" si="2"/>
        <v>15888570</v>
      </c>
      <c r="F35" s="30">
        <f t="shared" si="2"/>
        <v>37613570</v>
      </c>
      <c r="G35" s="30">
        <f t="shared" si="2"/>
        <v>81426810</v>
      </c>
      <c r="H35" s="31">
        <f t="shared" si="2"/>
        <v>8678.4145946384142</v>
      </c>
      <c r="I35" s="31">
        <f t="shared" si="2"/>
        <v>4967.05</v>
      </c>
      <c r="J35" s="32">
        <f>I35/H35</f>
        <v>0.5723453225049514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 t="s">
        <v>226</v>
      </c>
    </row>
    <row r="61" spans="1:18" ht="15" customHeight="1">
      <c r="M61" s="165"/>
      <c r="N61" s="40"/>
      <c r="O61" s="40"/>
      <c r="P61" s="40" t="s">
        <v>227</v>
      </c>
      <c r="Q61" s="40"/>
      <c r="R61" s="40"/>
    </row>
    <row r="62" spans="1:18" ht="15" customHeight="1">
      <c r="M62" s="165"/>
      <c r="N62" s="37"/>
      <c r="O62" s="37"/>
      <c r="P62" s="37" t="s">
        <v>228</v>
      </c>
      <c r="Q62" s="37"/>
      <c r="R62" s="37"/>
    </row>
    <row r="63" spans="1:18" ht="15" customHeight="1">
      <c r="M63" s="165"/>
      <c r="N63" s="40"/>
      <c r="O63" s="40"/>
      <c r="P63" s="40" t="s">
        <v>229</v>
      </c>
      <c r="Q63" s="40"/>
      <c r="R63" s="40"/>
    </row>
    <row r="64" spans="1:18" ht="15" customHeight="1">
      <c r="M64" s="165"/>
      <c r="N64" s="37"/>
      <c r="O64" s="37"/>
      <c r="P64" s="37" t="s">
        <v>230</v>
      </c>
      <c r="Q64" s="37"/>
      <c r="R64" s="37"/>
    </row>
    <row r="65" spans="13:18" ht="15" customHeight="1">
      <c r="M65" s="165"/>
      <c r="N65" s="40"/>
      <c r="O65" s="40"/>
      <c r="P65" s="40" t="s">
        <v>231</v>
      </c>
      <c r="Q65" s="40"/>
      <c r="R65" s="40"/>
    </row>
    <row r="66" spans="13:18" ht="15" customHeight="1">
      <c r="M66" s="165"/>
      <c r="N66" s="37"/>
      <c r="O66" s="37"/>
      <c r="P66" s="37" t="s">
        <v>232</v>
      </c>
      <c r="Q66" s="37"/>
      <c r="R66" s="37"/>
    </row>
    <row r="67" spans="13:18" ht="15" customHeight="1">
      <c r="M67" s="165"/>
      <c r="N67" s="40"/>
      <c r="O67" s="40"/>
      <c r="P67" s="40" t="s">
        <v>233</v>
      </c>
      <c r="Q67" s="40"/>
      <c r="R67" s="40"/>
    </row>
    <row r="68" spans="13:18" ht="15" customHeight="1">
      <c r="M68" s="165"/>
      <c r="N68" s="37"/>
      <c r="O68" s="37"/>
      <c r="P68" s="37" t="s">
        <v>234</v>
      </c>
      <c r="Q68" s="37"/>
      <c r="R68" s="37"/>
    </row>
    <row r="69" spans="13:18" ht="15" customHeight="1">
      <c r="M69" s="165"/>
      <c r="N69" s="40"/>
      <c r="O69" s="40"/>
      <c r="P69" s="40" t="s">
        <v>235</v>
      </c>
      <c r="Q69" s="40"/>
      <c r="R69" s="40"/>
    </row>
    <row r="70" spans="13:18" ht="15" customHeight="1">
      <c r="M70" s="165"/>
      <c r="N70" s="37"/>
      <c r="O70" s="37"/>
      <c r="P70" s="37" t="s">
        <v>236</v>
      </c>
      <c r="Q70" s="37"/>
      <c r="R70" s="37"/>
    </row>
    <row r="71" spans="13:18" ht="15" customHeight="1">
      <c r="M71" s="165"/>
      <c r="N71" s="40"/>
      <c r="O71" s="40"/>
      <c r="P71" s="40" t="s">
        <v>237</v>
      </c>
      <c r="Q71" s="40"/>
      <c r="R71" s="40"/>
    </row>
    <row r="72" spans="13:18" ht="15" customHeight="1">
      <c r="M72" s="165"/>
      <c r="N72" s="37"/>
      <c r="O72" s="37"/>
      <c r="P72" s="37" t="s">
        <v>238</v>
      </c>
      <c r="Q72" s="37"/>
      <c r="R72" s="37"/>
    </row>
    <row r="73" spans="13:18" ht="15" customHeight="1">
      <c r="M73" s="165"/>
      <c r="N73" s="40"/>
      <c r="O73" s="40"/>
      <c r="P73" s="40" t="s">
        <v>239</v>
      </c>
      <c r="Q73" s="40"/>
      <c r="R73" s="40"/>
    </row>
    <row r="74" spans="13:18" ht="15" customHeight="1">
      <c r="M74" s="165"/>
      <c r="N74" s="37"/>
      <c r="O74" s="37"/>
      <c r="P74" s="37" t="s">
        <v>240</v>
      </c>
      <c r="Q74" s="37"/>
      <c r="R74" s="37"/>
    </row>
    <row r="75" spans="13:18" ht="15" customHeight="1">
      <c r="M75" s="165"/>
      <c r="N75" s="40"/>
      <c r="O75" s="40"/>
      <c r="P75" s="40" t="s">
        <v>241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242</v>
      </c>
      <c r="C1" s="138" t="s">
        <v>243</v>
      </c>
      <c r="D1" s="138" t="s">
        <v>19</v>
      </c>
      <c r="E1" s="138" t="s">
        <v>244</v>
      </c>
      <c r="F1" s="138" t="s">
        <v>245</v>
      </c>
      <c r="G1" s="138" t="s">
        <v>246</v>
      </c>
      <c r="H1" s="138" t="s">
        <v>247</v>
      </c>
      <c r="I1" s="138" t="s">
        <v>248</v>
      </c>
      <c r="J1" s="138" t="s">
        <v>249</v>
      </c>
      <c r="K1" s="138" t="s">
        <v>250</v>
      </c>
    </row>
    <row r="2" spans="1:11" ht="15.75" customHeight="1">
      <c r="A2" s="139">
        <v>46235</v>
      </c>
      <c r="B2" s="140" t="s">
        <v>251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252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253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251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252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253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251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252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253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251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252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253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251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252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253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251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252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253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251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252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253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251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252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253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251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252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253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251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252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253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251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252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253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251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252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253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251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252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253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251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252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253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251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252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253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251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252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253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251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252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253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251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252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253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251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252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253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251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252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253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251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252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253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251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252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253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251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252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253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251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252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253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251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252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253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251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252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253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251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252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253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251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252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253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251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252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253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251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252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253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251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252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253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5" activePane="bottomLeft" state="frozen"/>
      <selection pane="bottomLeft" activeCell="F654" sqref="F654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57" t="s">
        <v>256</v>
      </c>
      <c r="G1" s="57" t="s">
        <v>257</v>
      </c>
      <c r="H1" s="57" t="s">
        <v>23</v>
      </c>
      <c r="I1" s="57" t="s">
        <v>24</v>
      </c>
      <c r="J1" s="57" t="s">
        <v>258</v>
      </c>
      <c r="K1" s="57" t="s">
        <v>259</v>
      </c>
      <c r="L1" s="57" t="s">
        <v>260</v>
      </c>
      <c r="M1" s="58" t="s">
        <v>261</v>
      </c>
      <c r="N1" s="57" t="s">
        <v>250</v>
      </c>
      <c r="O1" s="57" t="s">
        <v>262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263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263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263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263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263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263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263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263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263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263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263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263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264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265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263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263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263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266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263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263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263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263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263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263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263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263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263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267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265</v>
      </c>
      <c r="O27" s="74">
        <v>997910</v>
      </c>
    </row>
    <row r="28" spans="1:15" ht="18" customHeight="1">
      <c r="A28" s="169" t="s">
        <v>253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263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263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269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263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266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263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263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263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263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263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263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263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263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263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264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265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263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270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263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263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263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263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263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263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263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263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263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263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267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265</v>
      </c>
      <c r="O54" s="74">
        <v>981310</v>
      </c>
    </row>
    <row r="55" spans="1:15" ht="18" customHeight="1">
      <c r="A55" s="169" t="s">
        <v>253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263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263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263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263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263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263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263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263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263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263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263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263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264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265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263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263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271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263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263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263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263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263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263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263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263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263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263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267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265</v>
      </c>
      <c r="O81" s="74">
        <v>1547910</v>
      </c>
    </row>
    <row r="82" spans="1:15" ht="18" customHeight="1">
      <c r="A82" s="169" t="s">
        <v>253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263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263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263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272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263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263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263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263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263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263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263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263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263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264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265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263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263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263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263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263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263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273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263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263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263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263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263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263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267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265</v>
      </c>
      <c r="O108" s="74">
        <v>3156240</v>
      </c>
    </row>
    <row r="109" spans="1:15" ht="18" customHeight="1">
      <c r="A109" s="169" t="s">
        <v>253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263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263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263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263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263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263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263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263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263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263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263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263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264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265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263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263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263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263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263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263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263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263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263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263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263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263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267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265</v>
      </c>
      <c r="O135" s="74">
        <v>2875180</v>
      </c>
    </row>
    <row r="136" spans="1:15" ht="18" customHeight="1">
      <c r="A136" s="169" t="s">
        <v>253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263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274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263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263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263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263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263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263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263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263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263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263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263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264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265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263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263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275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263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263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263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263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263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263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263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263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263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263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267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265</v>
      </c>
      <c r="O162" s="79">
        <v>842000</v>
      </c>
    </row>
    <row r="163" spans="1:15" ht="18" customHeight="1">
      <c r="A163" s="169" t="s">
        <v>253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263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240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276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263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263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263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263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263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263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263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263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263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263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263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264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265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263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277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263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263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263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263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263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263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263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278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263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263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263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267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265</v>
      </c>
      <c r="O189" s="74">
        <v>1901630</v>
      </c>
    </row>
    <row r="190" spans="1:15" ht="18" customHeight="1">
      <c r="A190" s="169" t="s">
        <v>253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263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263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263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279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263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263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263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263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263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263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263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263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263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264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265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263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263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263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263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263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263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263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263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263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263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263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263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267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265</v>
      </c>
      <c r="O216" s="74">
        <v>1852295</v>
      </c>
    </row>
    <row r="217" spans="1:15" ht="18" customHeight="1">
      <c r="A217" s="169" t="s">
        <v>253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268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263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263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263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280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263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263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263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263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263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263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263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263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263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264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265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263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263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263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281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281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281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281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281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281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281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281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281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267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265</v>
      </c>
      <c r="O243" s="74">
        <v>991010</v>
      </c>
    </row>
    <row r="244" spans="1:15" ht="18" customHeight="1">
      <c r="A244" s="169" t="s">
        <v>253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268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263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263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263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263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263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282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263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263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263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263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263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263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263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264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265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283</v>
      </c>
      <c r="E258" s="75" t="s">
        <v>263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283</v>
      </c>
      <c r="E259" s="75" t="s">
        <v>263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283</v>
      </c>
      <c r="E260" s="75" t="s">
        <v>263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283</v>
      </c>
      <c r="E261" s="75" t="s">
        <v>263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283</v>
      </c>
      <c r="E262" s="75" t="s">
        <v>263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283</v>
      </c>
      <c r="E263" s="75" t="s">
        <v>263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283</v>
      </c>
      <c r="E264" s="75" t="s">
        <v>263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283</v>
      </c>
      <c r="E265" s="75" t="s">
        <v>263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283</v>
      </c>
      <c r="E266" s="75" t="s">
        <v>263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283</v>
      </c>
      <c r="E267" s="75" t="s">
        <v>263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283</v>
      </c>
      <c r="E268" s="75" t="s">
        <v>263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283</v>
      </c>
      <c r="E269" s="75" t="s">
        <v>263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267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265</v>
      </c>
      <c r="O270" s="74">
        <v>1544700</v>
      </c>
    </row>
    <row r="271" spans="1:15" ht="18" customHeight="1">
      <c r="A271" s="169" t="s">
        <v>253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268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283</v>
      </c>
      <c r="E272" s="62" t="s">
        <v>263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283</v>
      </c>
      <c r="E273" s="62" t="s">
        <v>263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283</v>
      </c>
      <c r="E274" s="62" t="s">
        <v>263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283</v>
      </c>
      <c r="E275" s="62" t="s">
        <v>263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283</v>
      </c>
      <c r="E276" s="62" t="s">
        <v>263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283</v>
      </c>
      <c r="E277" s="62" t="s">
        <v>263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284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283</v>
      </c>
      <c r="E278" s="62" t="s">
        <v>263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283</v>
      </c>
      <c r="E279" s="62" t="s">
        <v>263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283</v>
      </c>
      <c r="E280" s="62" t="s">
        <v>263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283</v>
      </c>
      <c r="E281" s="62" t="s">
        <v>263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283</v>
      </c>
      <c r="E282" s="62" t="s">
        <v>263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283</v>
      </c>
      <c r="E283" s="62" t="s">
        <v>263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264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265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283</v>
      </c>
      <c r="E285" s="75" t="s">
        <v>278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283</v>
      </c>
      <c r="E286" s="75" t="s">
        <v>278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283</v>
      </c>
      <c r="E287" s="75" t="s">
        <v>278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283</v>
      </c>
      <c r="E288" s="75" t="s">
        <v>278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283</v>
      </c>
      <c r="E289" s="75" t="s">
        <v>278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283</v>
      </c>
      <c r="E290" s="75" t="s">
        <v>278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283</v>
      </c>
      <c r="E291" s="75" t="s">
        <v>278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283</v>
      </c>
      <c r="E292" s="75" t="s">
        <v>278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283</v>
      </c>
      <c r="E293" s="75" t="s">
        <v>278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283</v>
      </c>
      <c r="E294" s="75" t="s">
        <v>278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283</v>
      </c>
      <c r="E295" s="75" t="s">
        <v>278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283</v>
      </c>
      <c r="E296" s="75" t="s">
        <v>278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267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265</v>
      </c>
      <c r="O297" s="74">
        <v>1715230</v>
      </c>
    </row>
    <row r="298" spans="1:15" ht="18" customHeight="1">
      <c r="A298" s="169" t="s">
        <v>253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268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263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240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263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263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263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285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263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263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263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263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263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263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263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263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264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265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263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263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263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263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263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263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263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263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263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263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263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263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267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265</v>
      </c>
      <c r="O324" s="74">
        <v>2216340</v>
      </c>
    </row>
    <row r="325" spans="1:15" ht="18" customHeight="1">
      <c r="A325" s="169" t="s">
        <v>253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268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286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263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263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263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287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263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263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263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263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264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265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263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263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263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263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263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263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263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263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263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263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263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263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267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265</v>
      </c>
      <c r="O351" s="74">
        <v>2154990</v>
      </c>
    </row>
    <row r="352" spans="1:15" ht="18" customHeight="1">
      <c r="A352" s="169" t="s">
        <v>253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268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263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263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263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263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263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263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278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263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263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263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263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263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264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265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263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263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263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263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263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263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263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263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263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263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263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263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267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265</v>
      </c>
      <c r="O378" s="74">
        <v>2614830</v>
      </c>
    </row>
    <row r="379" spans="1:15" ht="18" customHeight="1">
      <c r="A379" s="169" t="s">
        <v>253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268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263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263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263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263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263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263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263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263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263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263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263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263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264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265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263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288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263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263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263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263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263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263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263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263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263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263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263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267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265</v>
      </c>
      <c r="O405" s="74">
        <v>2612000</v>
      </c>
    </row>
    <row r="406" spans="1:15" ht="18" customHeight="1">
      <c r="A406" s="169" t="s">
        <v>253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268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263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263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263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263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263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263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263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263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263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263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263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263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264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265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263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234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263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289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263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289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263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263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263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263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263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263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263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263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263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267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265</v>
      </c>
      <c r="O432" s="74">
        <v>2266710</v>
      </c>
    </row>
    <row r="433" spans="1:15" ht="18" customHeight="1">
      <c r="A433" s="169" t="s">
        <v>253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268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263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263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263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263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263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263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263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263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263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263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263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263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264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265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263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290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263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291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263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263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263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263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292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263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293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263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294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263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263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263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263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267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265</v>
      </c>
      <c r="O459" s="74">
        <v>2361680</v>
      </c>
    </row>
    <row r="460" spans="1:15" ht="18" customHeight="1">
      <c r="A460" s="169" t="s">
        <v>253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268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263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295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263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263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263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263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263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263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263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263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263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263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263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264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265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263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263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263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296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263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263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263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263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263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263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263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263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263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267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265</v>
      </c>
      <c r="O486" s="74">
        <v>1798670</v>
      </c>
    </row>
    <row r="487" spans="1:15" ht="18" customHeight="1">
      <c r="A487" s="169" t="s">
        <v>253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268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263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263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297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263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263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263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263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263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263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263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263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263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263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264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265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263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263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298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263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263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263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263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263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263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263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263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263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278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267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265</v>
      </c>
      <c r="O513" s="74">
        <v>2435830</v>
      </c>
    </row>
    <row r="514" spans="1:15" ht="18" customHeight="1">
      <c r="A514" s="169" t="s">
        <v>253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268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263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263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263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263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263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278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278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278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278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278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278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278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264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265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263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299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263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263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263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263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263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263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263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263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263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263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263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267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265</v>
      </c>
      <c r="O540" s="74">
        <v>667100</v>
      </c>
    </row>
    <row r="541" spans="1:15" ht="18" customHeight="1">
      <c r="A541" s="169" t="s">
        <v>253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268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300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264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265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263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300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263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266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263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301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263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263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302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263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263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303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263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263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263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263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263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267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265</v>
      </c>
      <c r="O567" s="74">
        <v>1031030</v>
      </c>
    </row>
    <row r="568" spans="1:15" ht="18" customHeight="1">
      <c r="A568" s="169" t="s">
        <v>253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268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263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263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263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304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263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263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263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263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263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263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263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263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263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264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265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263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305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263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306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263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263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263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263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263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263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263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263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263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263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267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265</v>
      </c>
      <c r="O594" s="74">
        <v>2100270</v>
      </c>
    </row>
    <row r="595" spans="1:15" ht="18" customHeight="1">
      <c r="A595" s="169" t="s">
        <v>253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268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263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263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263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263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263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263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263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263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263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263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263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263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264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265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263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263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307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263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263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263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263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263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263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263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263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263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263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267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265</v>
      </c>
      <c r="O621" s="74">
        <v>2354670</v>
      </c>
    </row>
    <row r="622" spans="1:15" ht="18" customHeight="1">
      <c r="A622" s="169" t="s">
        <v>253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268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263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263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263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263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263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263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263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263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263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263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263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263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264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265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263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308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263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263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263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263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263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263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263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263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263</v>
      </c>
      <c r="F645" s="63">
        <v>60</v>
      </c>
      <c r="G645" s="69">
        <f t="shared" si="137"/>
        <v>300</v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263</v>
      </c>
      <c r="F646" s="63">
        <v>50</v>
      </c>
      <c r="G646" s="64">
        <f t="shared" si="137"/>
        <v>250</v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263</v>
      </c>
      <c r="F647" s="63">
        <v>20</v>
      </c>
      <c r="G647" s="69">
        <f t="shared" si="137"/>
        <v>100</v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267</v>
      </c>
      <c r="B648" s="168"/>
      <c r="C648" s="168"/>
      <c r="D648" s="168"/>
      <c r="E648" s="168"/>
      <c r="F648" s="2">
        <f>SUM(F636:F647)</f>
        <v>441</v>
      </c>
      <c r="G648" s="2">
        <f>SUM(G636:G647)</f>
        <v>2205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265</v>
      </c>
      <c r="O648" s="74">
        <v>2128400</v>
      </c>
    </row>
    <row r="649" spans="1:15" ht="18" customHeight="1">
      <c r="A649" s="169" t="s">
        <v>253</v>
      </c>
      <c r="B649" s="169"/>
      <c r="C649" s="169"/>
      <c r="D649" s="169"/>
      <c r="E649" s="169"/>
      <c r="F649" s="1">
        <f>F635+F648</f>
        <v>847</v>
      </c>
      <c r="G649" s="1">
        <f>G635+G648</f>
        <v>4235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268</v>
      </c>
      <c r="O649" s="82">
        <f>IFERROR(O635+O648,"")</f>
        <v>4902940</v>
      </c>
    </row>
    <row r="650" spans="1:15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62" t="s">
        <v>263</v>
      </c>
      <c r="F650" s="63">
        <v>52</v>
      </c>
      <c r="G650" s="64">
        <f t="shared" ref="G650:G661" si="140">IF(F650="","",IF(E650="PC 17",F650*4.2,IF(E650="PC 19",F650*5,IF(E650="CB",F650*35,""))))</f>
        <v>260</v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 t="s">
        <v>30</v>
      </c>
      <c r="D651" s="62" t="s">
        <v>31</v>
      </c>
      <c r="E651" s="62" t="s">
        <v>263</v>
      </c>
      <c r="F651" s="63">
        <v>37</v>
      </c>
      <c r="G651" s="69">
        <f t="shared" si="140"/>
        <v>185</v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 t="s">
        <v>30</v>
      </c>
      <c r="D652" s="62" t="s">
        <v>31</v>
      </c>
      <c r="E652" s="62" t="s">
        <v>263</v>
      </c>
      <c r="F652" s="63">
        <v>36</v>
      </c>
      <c r="G652" s="69">
        <f t="shared" si="140"/>
        <v>180</v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 t="s">
        <v>30</v>
      </c>
      <c r="D653" s="62" t="s">
        <v>31</v>
      </c>
      <c r="E653" s="62" t="s">
        <v>263</v>
      </c>
      <c r="F653" s="63">
        <v>33</v>
      </c>
      <c r="G653" s="69">
        <f t="shared" si="140"/>
        <v>165</v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 t="s">
        <v>30</v>
      </c>
      <c r="D654" s="62" t="s">
        <v>31</v>
      </c>
      <c r="E654" s="62" t="s">
        <v>263</v>
      </c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 t="s">
        <v>30</v>
      </c>
      <c r="D655" s="62" t="s">
        <v>31</v>
      </c>
      <c r="E655" s="62" t="s">
        <v>263</v>
      </c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 t="s">
        <v>30</v>
      </c>
      <c r="D656" s="62" t="s">
        <v>31</v>
      </c>
      <c r="E656" s="62" t="s">
        <v>263</v>
      </c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 t="s">
        <v>30</v>
      </c>
      <c r="D657" s="62" t="s">
        <v>31</v>
      </c>
      <c r="E657" s="62" t="s">
        <v>263</v>
      </c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 t="s">
        <v>30</v>
      </c>
      <c r="D658" s="62" t="s">
        <v>31</v>
      </c>
      <c r="E658" s="62" t="s">
        <v>263</v>
      </c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 t="s">
        <v>30</v>
      </c>
      <c r="D659" s="62" t="s">
        <v>31</v>
      </c>
      <c r="E659" s="62" t="s">
        <v>263</v>
      </c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 t="s">
        <v>30</v>
      </c>
      <c r="D660" s="62" t="s">
        <v>31</v>
      </c>
      <c r="E660" s="62" t="s">
        <v>263</v>
      </c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 t="s">
        <v>30</v>
      </c>
      <c r="D661" s="62" t="s">
        <v>31</v>
      </c>
      <c r="E661" s="62" t="s">
        <v>263</v>
      </c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264</v>
      </c>
      <c r="B662" s="168"/>
      <c r="C662" s="168"/>
      <c r="D662" s="168"/>
      <c r="E662" s="168"/>
      <c r="F662" s="2">
        <f>SUM(F650:F661)</f>
        <v>158</v>
      </c>
      <c r="G662" s="2">
        <f>SUM(G650:G661)</f>
        <v>790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265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267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265</v>
      </c>
      <c r="O675" s="74"/>
    </row>
    <row r="676" spans="1:15" ht="18" customHeight="1">
      <c r="A676" s="169" t="s">
        <v>253</v>
      </c>
      <c r="B676" s="169"/>
      <c r="C676" s="169"/>
      <c r="D676" s="169"/>
      <c r="E676" s="169"/>
      <c r="F676" s="1">
        <f>F662+F675</f>
        <v>158</v>
      </c>
      <c r="G676" s="1">
        <f>G662+G675</f>
        <v>790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268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264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265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267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265</v>
      </c>
      <c r="O702" s="74"/>
    </row>
    <row r="703" spans="1:15" ht="18" customHeight="1">
      <c r="A703" s="169" t="s">
        <v>253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268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264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265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267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265</v>
      </c>
      <c r="O729" s="74"/>
    </row>
    <row r="730" spans="1:15" ht="18" customHeight="1">
      <c r="A730" s="169" t="s">
        <v>253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268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264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265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267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265</v>
      </c>
      <c r="O756" s="74"/>
    </row>
    <row r="757" spans="1:15" ht="18" customHeight="1">
      <c r="A757" s="169" t="s">
        <v>253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268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264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265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267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265</v>
      </c>
      <c r="O783" s="74"/>
    </row>
    <row r="784" spans="1:15" ht="18" customHeight="1">
      <c r="A784" s="169" t="s">
        <v>253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268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264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265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267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265</v>
      </c>
      <c r="O810" s="74"/>
    </row>
    <row r="811" spans="1:15" ht="18" customHeight="1">
      <c r="A811" s="169" t="s">
        <v>253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264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265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267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265</v>
      </c>
      <c r="O837" s="74"/>
    </row>
    <row r="838" spans="1:15" ht="18" customHeight="1">
      <c r="A838" s="169" t="s">
        <v>253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N650" sqref="N650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311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312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313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265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278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278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278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278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278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315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278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278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278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278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278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278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265</v>
      </c>
      <c r="S27" s="74">
        <v>549860</v>
      </c>
      <c r="T27" s="99"/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265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316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317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318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0.3807741898126551</v>
      </c>
      <c r="R53" s="80" t="s">
        <v>319</v>
      </c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0.51966307870154282</v>
      </c>
      <c r="R54" s="2" t="s">
        <v>265</v>
      </c>
      <c r="S54" s="113">
        <v>352430</v>
      </c>
      <c r="T54" s="114"/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0.60438530092376563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311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265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320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278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265</v>
      </c>
      <c r="S81" s="115">
        <v>634210</v>
      </c>
      <c r="T81" s="116"/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278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227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265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321</v>
      </c>
      <c r="Q96" s="66" t="str">
        <f t="shared" ref="Q96:Q107" ca="1" si="22">IFERROR(IF(O96="","",IF(P96="",MOD(NOW()-O96,1),IF(P96&gt;=O96,P96-O96,P96+1-O96))),"")</f>
        <v/>
      </c>
      <c r="R96" s="80" t="s">
        <v>322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266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323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324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266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265</v>
      </c>
      <c r="S108" s="115">
        <v>456830</v>
      </c>
      <c r="T108" s="116"/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325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265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265</v>
      </c>
      <c r="S135" s="115">
        <v>756720</v>
      </c>
      <c r="T135" s="116"/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326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327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328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265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329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265</v>
      </c>
      <c r="S162" s="115">
        <v>501750</v>
      </c>
      <c r="T162" s="116"/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278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278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278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278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278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278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278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278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278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278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265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278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278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330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278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331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278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265</v>
      </c>
      <c r="S189" s="74">
        <v>362530</v>
      </c>
      <c r="T189" s="99"/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332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325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265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265</v>
      </c>
      <c r="S216" s="74">
        <v>609740</v>
      </c>
      <c r="T216" s="99"/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268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320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266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333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334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335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265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266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265</v>
      </c>
      <c r="S243" s="74">
        <v>825930</v>
      </c>
      <c r="T243" s="99"/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268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265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278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278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278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278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278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278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278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278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278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278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278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278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732130</v>
      </c>
      <c r="T270" s="99"/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268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278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278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278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278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263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278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263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263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278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278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263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263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263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263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263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990260</v>
      </c>
      <c r="T297" s="99"/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278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278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278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278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278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278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278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278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278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278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278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278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265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278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278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278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278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278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278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278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278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278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278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265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268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336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337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338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339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340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265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332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327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265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268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320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265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341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265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268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278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278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342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265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343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265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268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265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344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267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265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253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268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345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278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265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263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346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347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265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268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348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265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349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350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265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268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327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295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265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267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265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253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268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265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351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352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265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268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265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353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278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265</v>
      </c>
      <c r="S567" s="74">
        <v>0</v>
      </c>
      <c r="T567" s="99">
        <f>IFERROR(J567,"")</f>
        <v>0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268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278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265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354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263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265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268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265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355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278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265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268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327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265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73.371125827814566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15.407936423841058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50.442649006622517</v>
      </c>
      <c r="I637" s="90">
        <f>IFERROR(IF($D637="","",VLOOKUP($D637,Cadastro!$C$4:$G$7,5,FALSE())),"")</f>
        <v>0.6</v>
      </c>
      <c r="J637" s="91">
        <f t="shared" si="166"/>
        <v>10.592956291390726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45.856953642384106</v>
      </c>
      <c r="I638" s="90">
        <f>IFERROR(IF($D638="","",VLOOKUP($D638,Cadastro!$C$4:$G$7,5,FALSE())),"")</f>
        <v>0.6</v>
      </c>
      <c r="J638" s="91">
        <f t="shared" si="166"/>
        <v>9.6299602649006619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45.856953642384106</v>
      </c>
      <c r="I639" s="90">
        <f>IFERROR(IF($D639="","",VLOOKUP($D639,Cadastro!$C$4:$G$7,5,FALSE())),"")</f>
        <v>0.6</v>
      </c>
      <c r="J639" s="91">
        <f t="shared" si="166"/>
        <v>9.6299602649006619</v>
      </c>
      <c r="K639" s="69">
        <f t="shared" si="167"/>
        <v>42</v>
      </c>
      <c r="L639" s="70" t="s">
        <v>29</v>
      </c>
      <c r="M639" s="70" t="s">
        <v>48</v>
      </c>
      <c r="N639" s="70" t="s">
        <v>45</v>
      </c>
      <c r="O639" s="65">
        <v>0.19930555555555557</v>
      </c>
      <c r="P639" s="65">
        <v>0.20833333333333334</v>
      </c>
      <c r="Q639" s="71">
        <f t="shared" ca="1" si="168"/>
        <v>9.0277777777777735E-3</v>
      </c>
      <c r="R639" s="80" t="s">
        <v>356</v>
      </c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91.713907284768212</v>
      </c>
      <c r="I640" s="90">
        <f>IFERROR(IF($D640="","",VLOOKUP($D640,Cadastro!$C$4:$G$7,5,FALSE())),"")</f>
        <v>0.6</v>
      </c>
      <c r="J640" s="91">
        <f t="shared" si="166"/>
        <v>19.259920529801324</v>
      </c>
      <c r="K640" s="64">
        <f t="shared" si="167"/>
        <v>84</v>
      </c>
      <c r="L640" s="61" t="s">
        <v>29</v>
      </c>
      <c r="M640" s="61"/>
      <c r="N640" s="61" t="s">
        <v>226</v>
      </c>
      <c r="O640" s="65">
        <v>0.25</v>
      </c>
      <c r="P640" s="65">
        <v>0.29166666666666669</v>
      </c>
      <c r="Q640" s="66">
        <f t="shared" ca="1" si="168"/>
        <v>4.1666666666666685E-2</v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68.785430463576162</v>
      </c>
      <c r="I641" s="90">
        <f>IFERROR(IF($D641="","",VLOOKUP($D641,Cadastro!$C$4:$G$7,5,FALSE())),"")</f>
        <v>0.6</v>
      </c>
      <c r="J641" s="91">
        <f t="shared" si="166"/>
        <v>14.444940397350992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59.61403973509934</v>
      </c>
      <c r="I642" s="90">
        <f>IFERROR(IF($D642="","",VLOOKUP($D642,Cadastro!$C$4:$G$7,5,FALSE())),"")</f>
        <v>0.6</v>
      </c>
      <c r="J642" s="91">
        <f t="shared" si="166"/>
        <v>12.518948344370859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77.956821192052985</v>
      </c>
      <c r="I643" s="90">
        <f>IFERROR(IF($D643="","",VLOOKUP($D643,Cadastro!$C$4:$G$7,5,FALSE())),"")</f>
        <v>0.6</v>
      </c>
      <c r="J643" s="91">
        <f t="shared" si="166"/>
        <v>16.370932450331125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68.785430463576162</v>
      </c>
      <c r="I644" s="90">
        <f>IFERROR(IF($D644="","",VLOOKUP($D644,Cadastro!$C$4:$G$7,5,FALSE())),"")</f>
        <v>0.6</v>
      </c>
      <c r="J644" s="91">
        <f t="shared" si="166"/>
        <v>14.444940397350992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19</v>
      </c>
      <c r="H645" s="88">
        <f>IFERROR(IF($G645="","",$G645*$S$648/$G$648/Cadastro!$E$33),"")</f>
        <v>87.128211920529807</v>
      </c>
      <c r="I645" s="90">
        <f>IFERROR(IF($D645="","",VLOOKUP($D645,Cadastro!$C$4:$G$7,5,FALSE())),"")</f>
        <v>0.6</v>
      </c>
      <c r="J645" s="91">
        <f t="shared" si="166"/>
        <v>18.296924503311256</v>
      </c>
      <c r="K645" s="69">
        <f t="shared" si="167"/>
        <v>79.8</v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5</v>
      </c>
      <c r="H646" s="88">
        <f>IFERROR(IF($G646="","",$G646*$S$648/$G$648/Cadastro!$E$33),"")</f>
        <v>22.928476821192053</v>
      </c>
      <c r="I646" s="90">
        <f>IFERROR(IF($D646="","",VLOOKUP($D646,Cadastro!$C$4:$G$7,5,FALSE())),"")</f>
        <v>0.6</v>
      </c>
      <c r="J646" s="91">
        <f t="shared" si="166"/>
        <v>4.814980132450331</v>
      </c>
      <c r="K646" s="64">
        <f t="shared" si="167"/>
        <v>21</v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151</v>
      </c>
      <c r="H648" s="105">
        <f>IFERROR(SUM(H636:H647),"")</f>
        <v>692.43999999999994</v>
      </c>
      <c r="I648" s="106"/>
      <c r="J648" s="107">
        <f>IFERROR(SUM(J636:J647),"")</f>
        <v>145.41239999999996</v>
      </c>
      <c r="K648" s="2">
        <f>SUM(K636:K647)</f>
        <v>643</v>
      </c>
      <c r="L648" s="72"/>
      <c r="M648" s="72"/>
      <c r="N648" s="72"/>
      <c r="O648" s="72"/>
      <c r="P648" s="72"/>
      <c r="Q648" s="73">
        <f ca="1">IFERROR(SUM(Q636:Q647),"")</f>
        <v>0.10555555555555554</v>
      </c>
      <c r="R648" s="2" t="s">
        <v>265</v>
      </c>
      <c r="S648" s="74">
        <v>692440</v>
      </c>
      <c r="T648" s="99">
        <f>IFERROR(J648,"")</f>
        <v>145.41239999999996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313</v>
      </c>
      <c r="H649" s="108">
        <f>IFERROR(H635+H648,"")</f>
        <v>1324.22</v>
      </c>
      <c r="I649" s="110"/>
      <c r="J649" s="111">
        <f>IFERROR(J635+J648,"")</f>
        <v>278.08619999999996</v>
      </c>
      <c r="K649" s="1">
        <f>K635+K648</f>
        <v>1323.4</v>
      </c>
      <c r="L649" s="76"/>
      <c r="M649" s="76"/>
      <c r="N649" s="76"/>
      <c r="O649" s="76"/>
      <c r="P649" s="76"/>
      <c r="Q649" s="77">
        <f ca="1">IFERROR(Q635+Q648,"")</f>
        <v>0.17638888888888901</v>
      </c>
      <c r="R649" s="1" t="s">
        <v>268</v>
      </c>
      <c r="S649" s="82">
        <f>S635+S648</f>
        <v>1324220</v>
      </c>
      <c r="T649" s="118">
        <f>IFERROR(J649,"")</f>
        <v>278.08619999999996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72">IFERROR(IF(O650="","",IF(P650="",MOD(NOW()-O650,1),IF(P650&gt;=O650,P650-O650,P650+1-O650))),"")</f>
        <v>0.21063530092942528</v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0.21063530092942528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0.21063530092942528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113"/>
      <c r="T837" s="114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O651" sqref="O651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265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278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314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278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278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265</v>
      </c>
      <c r="S27" s="74">
        <v>358000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278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278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278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278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278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278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278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278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278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278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278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265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320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265</v>
      </c>
      <c r="S54" s="74">
        <v>279980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278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278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278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278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278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278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278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278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278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278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265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360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265</v>
      </c>
      <c r="S81" s="74">
        <v>185920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361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265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265</v>
      </c>
      <c r="S108" s="74">
        <v>434370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265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265</v>
      </c>
      <c r="S135" s="74">
        <v>416350</v>
      </c>
      <c r="T135" s="99">
        <f>IFERROR(J135,"")</f>
        <v>0</v>
      </c>
    </row>
    <row r="136" spans="1:20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328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264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265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320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265</v>
      </c>
      <c r="S162" s="74">
        <v>169760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265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331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331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265</v>
      </c>
      <c r="S189" s="74">
        <v>72220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265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265</v>
      </c>
      <c r="S216" s="74">
        <v>148720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268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370</v>
      </c>
      <c r="Q222" s="66" t="str">
        <f t="shared" ca="1" si="49"/>
        <v/>
      </c>
      <c r="R222" s="63" t="s">
        <v>371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265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265</v>
      </c>
      <c r="S243" s="74">
        <v>352720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268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263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263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265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278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278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278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278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278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278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278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278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278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278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278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278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265</v>
      </c>
      <c r="S270" s="74">
        <v>327900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268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263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265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265</v>
      </c>
      <c r="S297" s="74">
        <v>462190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268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265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265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268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338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339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263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278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265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265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268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320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264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265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265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268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342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265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265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268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265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265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268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278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265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265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268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265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320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265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268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278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265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380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381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278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265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268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265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278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263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320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265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268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265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320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263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263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265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268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320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265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380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263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265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268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320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265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377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386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386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386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265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268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229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362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265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46.211846153846153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9.7044876923076906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50.412923076923079</v>
      </c>
      <c r="I637" s="90">
        <f>IFERROR(IF($D637="","",VLOOKUP($D637,Cadastro!$C$4:$G$7,5,FALSE())),"")</f>
        <v>0.6</v>
      </c>
      <c r="J637" s="91">
        <f t="shared" si="163"/>
        <v>10.586713846153845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12.60323076923077</v>
      </c>
      <c r="I638" s="90">
        <f>IFERROR(IF($D638="","",VLOOKUP($D638,Cadastro!$C$4:$G$7,5,FALSE())),"")</f>
        <v>0.6</v>
      </c>
      <c r="J638" s="91">
        <f t="shared" si="163"/>
        <v>2.6466784615384613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58.815076923076923</v>
      </c>
      <c r="I639" s="90">
        <f>IFERROR(IF($D639="","",VLOOKUP($D639,Cadastro!$C$4:$G$7,5,FALSE())),"")</f>
        <v>0.6</v>
      </c>
      <c r="J639" s="91">
        <f t="shared" si="163"/>
        <v>12.351166153846153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387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25.206461538461539</v>
      </c>
      <c r="I640" s="90">
        <f>IFERROR(IF($D640="","",VLOOKUP($D640,Cadastro!$C$4:$G$7,5,FALSE())),"")</f>
        <v>0.6</v>
      </c>
      <c r="J640" s="91">
        <f t="shared" si="163"/>
        <v>5.2933569230769226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21.005384615384617</v>
      </c>
      <c r="I641" s="90">
        <f>IFERROR(IF($D641="","",VLOOKUP($D641,Cadastro!$C$4:$G$7,5,FALSE())),"")</f>
        <v>0.6</v>
      </c>
      <c r="J641" s="91">
        <f t="shared" si="163"/>
        <v>4.4111307692307689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 t="s">
        <v>29</v>
      </c>
      <c r="M642" s="61" t="s">
        <v>56</v>
      </c>
      <c r="N642" s="61" t="s">
        <v>37</v>
      </c>
      <c r="O642" s="65">
        <v>0.1875</v>
      </c>
      <c r="P642" s="65">
        <v>0.20833333333333334</v>
      </c>
      <c r="Q642" s="66">
        <f t="shared" ca="1" si="165"/>
        <v>2.0833333333333343E-2</v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21.005384615384617</v>
      </c>
      <c r="I643" s="90">
        <f>IFERROR(IF($D643="","",VLOOKUP($D643,Cadastro!$C$4:$G$7,5,FALSE())),"")</f>
        <v>0.6</v>
      </c>
      <c r="J643" s="91">
        <f t="shared" si="163"/>
        <v>4.4111307692307689</v>
      </c>
      <c r="K643" s="69">
        <f t="shared" si="164"/>
        <v>21</v>
      </c>
      <c r="L643" s="70" t="s">
        <v>27</v>
      </c>
      <c r="M643" s="70" t="s">
        <v>56</v>
      </c>
      <c r="N643" s="70" t="s">
        <v>43</v>
      </c>
      <c r="O643" s="65">
        <v>0.19791666666666666</v>
      </c>
      <c r="P643" s="65">
        <v>0.29166666666666669</v>
      </c>
      <c r="Q643" s="71">
        <f t="shared" ca="1" si="165"/>
        <v>9.3750000000000028E-2</v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12.60323076923077</v>
      </c>
      <c r="I644" s="90">
        <f>IFERROR(IF($D644="","",VLOOKUP($D644,Cadastro!$C$4:$G$7,5,FALSE())),"")</f>
        <v>0.6</v>
      </c>
      <c r="J644" s="91">
        <f t="shared" si="163"/>
        <v>2.6466784615384613</v>
      </c>
      <c r="K644" s="64">
        <f t="shared" si="164"/>
        <v>12.600000000000001</v>
      </c>
      <c r="L644" s="61" t="s">
        <v>29</v>
      </c>
      <c r="M644" s="61"/>
      <c r="N644" s="61" t="s">
        <v>226</v>
      </c>
      <c r="O644" s="65">
        <v>0.25</v>
      </c>
      <c r="P644" s="65">
        <v>0.29166666666666669</v>
      </c>
      <c r="Q644" s="66">
        <f t="shared" ca="1" si="165"/>
        <v>4.1666666666666685E-2</v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6</v>
      </c>
      <c r="H645" s="88">
        <f>IFERROR(IF($G645="","",$G645*$S$648/$G$648/Cadastro!$E$33),"")</f>
        <v>25.206461538461539</v>
      </c>
      <c r="I645" s="90">
        <f>IFERROR(IF($D645="","",VLOOKUP($D645,Cadastro!$C$4:$G$7,5,FALSE())),"")</f>
        <v>0.6</v>
      </c>
      <c r="J645" s="91">
        <f t="shared" si="163"/>
        <v>5.2933569230769226</v>
      </c>
      <c r="K645" s="69">
        <f t="shared" si="164"/>
        <v>25.200000000000003</v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0</v>
      </c>
      <c r="H646" s="88">
        <f>IFERROR(IF($G646="","",$G646*$S$648/$G$648/Cadastro!$E$33),"")</f>
        <v>0</v>
      </c>
      <c r="I646" s="90">
        <f>IFERROR(IF($D646="","",VLOOKUP($D646,Cadastro!$C$4:$G$7,5,FALSE())),"")</f>
        <v>0.6</v>
      </c>
      <c r="J646" s="91">
        <f t="shared" si="163"/>
        <v>0</v>
      </c>
      <c r="K646" s="64">
        <f t="shared" si="164"/>
        <v>0</v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3"/>
        <v>0</v>
      </c>
      <c r="K647" s="69">
        <f t="shared" si="164"/>
        <v>0</v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65</v>
      </c>
      <c r="H648" s="105">
        <f>IFERROR(SUM(H636:H647),"")</f>
        <v>273.07000000000005</v>
      </c>
      <c r="I648" s="106"/>
      <c r="J648" s="107">
        <f>IFERROR(SUM(J636:J647),"")</f>
        <v>57.344699999999989</v>
      </c>
      <c r="K648" s="2">
        <f>SUM(K636:K647)</f>
        <v>282.60000000000002</v>
      </c>
      <c r="L648" s="72"/>
      <c r="M648" s="72"/>
      <c r="N648" s="72"/>
      <c r="O648" s="72"/>
      <c r="P648" s="72"/>
      <c r="Q648" s="73">
        <f ca="1">IFERROR(SUM(Q636:Q647),"")</f>
        <v>0.22986111111111118</v>
      </c>
      <c r="R648" s="2" t="s">
        <v>265</v>
      </c>
      <c r="S648" s="74">
        <v>273070</v>
      </c>
      <c r="T648" s="99">
        <f>IFERROR(J648,"")</f>
        <v>57.344699999999989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137</v>
      </c>
      <c r="H649" s="108">
        <f>IFERROR(H635+H648,"")</f>
        <v>563.95000000000005</v>
      </c>
      <c r="I649" s="110"/>
      <c r="J649" s="111">
        <f>IFERROR(J635+J648,"")</f>
        <v>118.42949999999998</v>
      </c>
      <c r="K649" s="1">
        <f>K635+K648</f>
        <v>585</v>
      </c>
      <c r="L649" s="76"/>
      <c r="M649" s="76"/>
      <c r="N649" s="76"/>
      <c r="O649" s="76"/>
      <c r="P649" s="76"/>
      <c r="Q649" s="77">
        <f ca="1">IFERROR(Q635+Q648,"")</f>
        <v>0.28333333333333338</v>
      </c>
      <c r="R649" s="1" t="s">
        <v>268</v>
      </c>
      <c r="S649" s="82">
        <f>IFERROR(S635+S648,"")</f>
        <v>563950</v>
      </c>
      <c r="T649" s="118">
        <f>IFERROR(J649,"")</f>
        <v>118.42949999999998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/>
      <c r="Q650" s="66">
        <f t="shared" ref="Q650:Q661" ca="1" si="169">IFERROR(IF(O650="","",IF(P650="",MOD(NOW()-O650,1),IF(P650&gt;=O650,P650-O650,P650+1-O650))),"")</f>
        <v>0.21063530092942528</v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0.21063530092942528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0.21063530092942528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P651" sqref="P651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254</v>
      </c>
      <c r="C1" s="57" t="s">
        <v>19</v>
      </c>
      <c r="D1" s="56" t="s">
        <v>20</v>
      </c>
      <c r="E1" s="56" t="s">
        <v>255</v>
      </c>
      <c r="F1" s="86" t="s">
        <v>21</v>
      </c>
      <c r="G1" s="57" t="s">
        <v>256</v>
      </c>
      <c r="H1" s="86" t="s">
        <v>309</v>
      </c>
      <c r="I1" s="86" t="s">
        <v>22</v>
      </c>
      <c r="J1" s="86" t="s">
        <v>310</v>
      </c>
      <c r="K1" s="57" t="s">
        <v>257</v>
      </c>
      <c r="L1" s="57" t="s">
        <v>23</v>
      </c>
      <c r="M1" s="57" t="s">
        <v>24</v>
      </c>
      <c r="N1" s="57" t="s">
        <v>258</v>
      </c>
      <c r="O1" s="57" t="s">
        <v>259</v>
      </c>
      <c r="P1" s="57" t="s">
        <v>260</v>
      </c>
      <c r="Q1" s="58" t="s">
        <v>261</v>
      </c>
      <c r="R1" s="57" t="s">
        <v>250</v>
      </c>
      <c r="S1" s="57" t="s">
        <v>262</v>
      </c>
      <c r="T1" s="57" t="s">
        <v>310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278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278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278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278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278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278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278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278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278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278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278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278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264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265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278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278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388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278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317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278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278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389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278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278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278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390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278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278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278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278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267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265</v>
      </c>
      <c r="S27" s="74">
        <v>491520</v>
      </c>
      <c r="T27" s="99">
        <f>IFERROR(J27,"")</f>
        <v>0</v>
      </c>
    </row>
    <row r="28" spans="1:20" ht="18" customHeight="1">
      <c r="A28" s="159" t="s">
        <v>253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268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278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278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278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278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278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278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278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278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278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278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278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278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264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265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278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278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278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278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391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278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278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278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278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278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278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278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278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267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265</v>
      </c>
      <c r="S54" s="74">
        <v>352430</v>
      </c>
      <c r="T54" s="99">
        <f>IFERROR(J54,"")</f>
        <v>0</v>
      </c>
    </row>
    <row r="55" spans="1:20" ht="18" customHeight="1">
      <c r="A55" s="159" t="s">
        <v>253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268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278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278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278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278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392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278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393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278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278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278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278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278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278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278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264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265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278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234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394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278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278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278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278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278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278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278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278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278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278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267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265</v>
      </c>
      <c r="S81" s="74">
        <v>612410</v>
      </c>
      <c r="T81" s="99">
        <f>IFERROR(J81,"")</f>
        <v>0</v>
      </c>
    </row>
    <row r="82" spans="1:20" ht="18" customHeight="1">
      <c r="A82" s="159" t="s">
        <v>253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268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278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278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278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278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278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278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278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278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278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278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278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278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264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265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278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278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278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278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278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278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278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278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278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278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278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278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267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265</v>
      </c>
      <c r="S108" s="74">
        <v>956070</v>
      </c>
      <c r="T108" s="99">
        <f>IFERROR(J108,"")</f>
        <v>0</v>
      </c>
    </row>
    <row r="109" spans="1:20" ht="18" customHeight="1">
      <c r="A109" s="159" t="s">
        <v>253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268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278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278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234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278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239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278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239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278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395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278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278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278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278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278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278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278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264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265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278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278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396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278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278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278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320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278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278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278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278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278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278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278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267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265</v>
      </c>
      <c r="S135" s="74">
        <v>912240</v>
      </c>
      <c r="T135" s="99">
        <f>IFERROR(J135,"")</f>
        <v>0</v>
      </c>
    </row>
    <row r="136" spans="1:22" ht="18" customHeight="1">
      <c r="A136" s="159" t="s">
        <v>253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268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278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278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397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278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398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278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278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278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278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278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278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278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328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278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278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264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265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278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399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278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400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278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278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278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278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278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278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278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278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278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278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267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265</v>
      </c>
      <c r="S162" s="74">
        <v>573230</v>
      </c>
      <c r="T162" s="99">
        <f>IFERROR(J162,"")</f>
        <v>0</v>
      </c>
    </row>
    <row r="163" spans="1:20" ht="18" customHeight="1">
      <c r="A163" s="159" t="s">
        <v>253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278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278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278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278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278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278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278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401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278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278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278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278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278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264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265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278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402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278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278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278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278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278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278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278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278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278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278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278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267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265</v>
      </c>
      <c r="S189" s="74">
        <v>692750</v>
      </c>
      <c r="T189" s="99">
        <f>IFERROR(J189,"")</f>
        <v>0</v>
      </c>
    </row>
    <row r="190" spans="1:20" ht="18" customHeight="1">
      <c r="A190" s="159" t="s">
        <v>253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278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278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403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278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278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278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278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278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278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278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278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278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278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264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265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278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404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278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405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278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406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278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278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278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278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278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278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278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278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278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267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265</v>
      </c>
      <c r="S216" s="74">
        <v>607180</v>
      </c>
      <c r="T216" s="99">
        <f>IFERROR(J216,"")</f>
        <v>0</v>
      </c>
    </row>
    <row r="217" spans="1:20" ht="18" customHeight="1">
      <c r="A217" s="159" t="s">
        <v>253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268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278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278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278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407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278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408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263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278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278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278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278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278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278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278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264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265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278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409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263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410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278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263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263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263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263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263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263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263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263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263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267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265</v>
      </c>
      <c r="S243" s="74">
        <v>795250</v>
      </c>
      <c r="T243" s="99">
        <f>IFERROR(J243,"")</f>
        <v>0</v>
      </c>
    </row>
    <row r="244" spans="1:20" ht="18" customHeight="1">
      <c r="A244" s="159" t="s">
        <v>253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268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263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263</v>
      </c>
      <c r="F246" s="88"/>
      <c r="G246" s="63" t="s">
        <v>288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263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263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278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411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278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278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278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278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278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278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278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264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265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278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278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278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278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278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278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278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278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278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278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278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278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267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265</v>
      </c>
      <c r="S270" s="74">
        <v>683360</v>
      </c>
      <c r="T270" s="99">
        <f>IFERROR(J270,"")</f>
        <v>0</v>
      </c>
    </row>
    <row r="271" spans="1:20" ht="18" customHeight="1">
      <c r="A271" s="159" t="s">
        <v>253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268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278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278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278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278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278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278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278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278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278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278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278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278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264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265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263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263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278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263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263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263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263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263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263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263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263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263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267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265</v>
      </c>
      <c r="S297" s="74">
        <v>904710</v>
      </c>
      <c r="T297" s="99">
        <f>IFERROR(J297,"")</f>
        <v>0</v>
      </c>
    </row>
    <row r="298" spans="1:20" ht="18" customHeight="1">
      <c r="A298" s="159" t="s">
        <v>253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268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278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278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278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278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278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278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278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278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278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278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278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278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264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265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278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278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278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278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278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278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278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278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278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278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278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278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267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265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253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268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263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263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263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263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278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263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278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278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278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278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278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278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264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265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278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278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278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278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278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278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278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278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412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278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413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278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278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278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267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265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253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268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278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278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278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278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414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278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278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415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278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278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278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278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278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278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264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265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278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278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278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278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278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278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278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416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278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278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278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278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278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267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265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253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268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278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278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278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278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278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342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278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417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278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278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278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278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278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278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264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265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278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234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278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418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278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278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278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278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278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278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278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278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278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278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267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265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253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268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278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241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419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278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278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278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278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278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278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278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278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278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278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278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264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265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278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278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278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278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420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278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278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278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278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278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278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278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278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267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265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253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268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278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278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278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278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278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278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278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278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278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278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278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278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264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265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278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421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278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278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278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278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415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278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278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278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278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278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278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278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267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265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253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268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278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278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278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278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278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278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278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278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278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278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278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278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264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265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278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278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278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422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278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278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278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278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278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278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278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278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278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267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265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253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268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278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278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278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278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263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278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278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278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278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278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278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278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264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265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278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278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278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278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423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278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278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278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278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278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278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278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278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267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265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253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268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278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278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278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278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278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278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263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263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263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263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263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263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264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265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278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263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278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278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278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278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278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278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278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278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278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278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267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265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253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268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278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278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278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278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278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278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424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278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278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278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278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278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425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278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264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265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278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426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263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427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278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278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278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278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428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278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429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278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430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278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278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431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278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414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278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267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265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253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268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278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278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278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415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278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263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432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278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278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278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278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278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278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278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264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265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278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278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433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278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434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278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278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278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379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278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278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278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278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278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278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267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265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253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268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278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435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278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278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278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278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278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278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278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278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278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278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278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264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265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278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379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278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414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278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278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436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278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431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278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278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278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278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278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278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263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267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265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253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268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278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278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437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278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278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278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278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278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278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278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278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278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278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264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265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278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60.023797468354431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12.604997468354428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263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69.258227848101257</v>
      </c>
      <c r="I637" s="90">
        <f>IFERROR(IF($D637="","",VLOOKUP($D637,Cadastro!$C$4:$G$7,5,FALSE())),"")</f>
        <v>0.6</v>
      </c>
      <c r="J637" s="91">
        <f t="shared" si="166"/>
        <v>14.544227848101261</v>
      </c>
      <c r="K637" s="69">
        <f t="shared" si="167"/>
        <v>75</v>
      </c>
      <c r="L637" s="70" t="s">
        <v>27</v>
      </c>
      <c r="M637" s="70" t="s">
        <v>66</v>
      </c>
      <c r="N637" s="70" t="s">
        <v>240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438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278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83.109873417721516</v>
      </c>
      <c r="I638" s="90">
        <f>IFERROR(IF($D638="","",VLOOKUP($D638,Cadastro!$C$4:$G$7,5,FALSE())),"")</f>
        <v>0.6</v>
      </c>
      <c r="J638" s="91">
        <f t="shared" si="166"/>
        <v>17.453073417721516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439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278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129.2820253164557</v>
      </c>
      <c r="I639" s="90">
        <f>IFERROR(IF($D639="","",VLOOKUP($D639,Cadastro!$C$4:$G$7,5,FALSE())),"")</f>
        <v>0.6</v>
      </c>
      <c r="J639" s="91">
        <f t="shared" si="166"/>
        <v>27.149225316455695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278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120.04759493670886</v>
      </c>
      <c r="I640" s="90">
        <f>IFERROR(IF($D640="","",VLOOKUP($D640,Cadastro!$C$4:$G$7,5,FALSE())),"")</f>
        <v>0.6</v>
      </c>
      <c r="J640" s="91">
        <f t="shared" si="166"/>
        <v>25.209994936708856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>
        <v>0.19930555555555557</v>
      </c>
      <c r="Q640" s="66">
        <f t="shared" ca="1" si="168"/>
        <v>7.9861111111111119E-2</v>
      </c>
      <c r="R640" s="63" t="s">
        <v>440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278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92.344303797468356</v>
      </c>
      <c r="I641" s="90">
        <f>IFERROR(IF($D641="","",VLOOKUP($D641,Cadastro!$C$4:$G$7,5,FALSE())),"")</f>
        <v>0.6</v>
      </c>
      <c r="J641" s="91">
        <f t="shared" si="166"/>
        <v>19.392303797468355</v>
      </c>
      <c r="K641" s="69">
        <f t="shared" si="167"/>
        <v>84</v>
      </c>
      <c r="L641" s="70" t="s">
        <v>29</v>
      </c>
      <c r="M641" s="70"/>
      <c r="N641" s="70" t="s">
        <v>226</v>
      </c>
      <c r="O641" s="65">
        <v>0.25</v>
      </c>
      <c r="P641" s="65">
        <v>0.29166666666666669</v>
      </c>
      <c r="Q641" s="71">
        <f t="shared" ca="1" si="168"/>
        <v>4.1666666666666685E-2</v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278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13.851645569620255</v>
      </c>
      <c r="I642" s="90">
        <f>IFERROR(IF($D642="","",VLOOKUP($D642,Cadastro!$C$4:$G$7,5,FALSE())),"")</f>
        <v>0.6</v>
      </c>
      <c r="J642" s="91">
        <f t="shared" si="166"/>
        <v>2.9088455696202531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278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23.086075949367089</v>
      </c>
      <c r="I643" s="90">
        <f>IFERROR(IF($D643="","",VLOOKUP($D643,Cadastro!$C$4:$G$7,5,FALSE())),"")</f>
        <v>0.6</v>
      </c>
      <c r="J643" s="91">
        <f t="shared" si="166"/>
        <v>4.8480759493670886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278</v>
      </c>
      <c r="F644" s="88">
        <f>IFERROR(IF($D644="","",VLOOKUP($D644,Cadastro!$C$4:$E$7,3,FALSE())),"")</f>
        <v>0.35</v>
      </c>
      <c r="G644" s="89">
        <v>5</v>
      </c>
      <c r="H644" s="88">
        <f>IFERROR(IF($G644="","",$G644*$S$648/$G$648/Cadastro!$E$33),"")</f>
        <v>23.086075949367089</v>
      </c>
      <c r="I644" s="90">
        <f>IFERROR(IF($D644="","",VLOOKUP($D644,Cadastro!$C$4:$G$7,5,FALSE())),"")</f>
        <v>0.6</v>
      </c>
      <c r="J644" s="91">
        <f t="shared" si="166"/>
        <v>4.8480759493670886</v>
      </c>
      <c r="K644" s="64">
        <f t="shared" si="167"/>
        <v>21</v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278</v>
      </c>
      <c r="F645" s="88">
        <f>IFERROR(IF($D645="","",VLOOKUP($D645,Cadastro!$C$4:$E$7,3,FALSE())),"")</f>
        <v>0.35</v>
      </c>
      <c r="G645" s="89">
        <v>0</v>
      </c>
      <c r="H645" s="88">
        <f>IFERROR(IF($G645="","",$G645*$S$648/$G$648/Cadastro!$E$33),"")</f>
        <v>0</v>
      </c>
      <c r="I645" s="90">
        <f>IFERROR(IF($D645="","",VLOOKUP($D645,Cadastro!$C$4:$G$7,5,FALSE())),"")</f>
        <v>0.6</v>
      </c>
      <c r="J645" s="91">
        <f t="shared" si="166"/>
        <v>0</v>
      </c>
      <c r="K645" s="69">
        <f t="shared" si="167"/>
        <v>0</v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278</v>
      </c>
      <c r="F646" s="88">
        <f>IFERROR(IF($D646="","",VLOOKUP($D646,Cadastro!$C$4:$E$7,3,FALSE())),"")</f>
        <v>0.35</v>
      </c>
      <c r="G646" s="89">
        <v>25</v>
      </c>
      <c r="H646" s="88">
        <f>IFERROR(IF($G646="","",$G646*$S$648/$G$648/Cadastro!$E$33),"")</f>
        <v>115.43037974683544</v>
      </c>
      <c r="I646" s="90">
        <f>IFERROR(IF($D646="","",VLOOKUP($D646,Cadastro!$C$4:$G$7,5,FALSE())),"")</f>
        <v>0.6</v>
      </c>
      <c r="J646" s="91">
        <f t="shared" si="166"/>
        <v>24.24037974683544</v>
      </c>
      <c r="K646" s="64">
        <f t="shared" si="167"/>
        <v>105</v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278</v>
      </c>
      <c r="F647" s="92">
        <f>IFERROR(IF($D647="","",VLOOKUP($D647,Cadastro!$C$4:$E$7,3,FALSE())),"")</f>
        <v>0.35</v>
      </c>
      <c r="G647" s="89">
        <v>0</v>
      </c>
      <c r="H647" s="92">
        <f>IFERROR(IF($G647="","",$G647*$S$648/$G$648/Cadastro!$E$33),"")</f>
        <v>0</v>
      </c>
      <c r="I647" s="93">
        <f>IFERROR(IF($D647="","",VLOOKUP($D647,Cadastro!$C$4:$G$7,5,FALSE())),"")</f>
        <v>0.6</v>
      </c>
      <c r="J647" s="94">
        <f t="shared" si="166"/>
        <v>0</v>
      </c>
      <c r="K647" s="69">
        <f t="shared" si="167"/>
        <v>0</v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267</v>
      </c>
      <c r="B648" s="160"/>
      <c r="C648" s="160"/>
      <c r="D648" s="160"/>
      <c r="E648" s="160"/>
      <c r="F648" s="105"/>
      <c r="G648" s="96">
        <f>SUM(G636:G647)</f>
        <v>158</v>
      </c>
      <c r="H648" s="105">
        <f>IFERROR(SUM(H636:H647),"")</f>
        <v>729.5200000000001</v>
      </c>
      <c r="I648" s="106"/>
      <c r="J648" s="107">
        <f>IFERROR(SUM(J636:J647),"")</f>
        <v>153.19919999999999</v>
      </c>
      <c r="K648" s="2">
        <f>SUM(K636:K647)</f>
        <v>675.6</v>
      </c>
      <c r="L648" s="72"/>
      <c r="M648" s="72"/>
      <c r="N648" s="72"/>
      <c r="O648" s="134"/>
      <c r="P648" s="134"/>
      <c r="Q648" s="73">
        <f ca="1">IFERROR(SUM(Q636:Q647),"")</f>
        <v>0.24305555555555558</v>
      </c>
      <c r="R648" s="2" t="s">
        <v>265</v>
      </c>
      <c r="S648" s="74">
        <v>729520</v>
      </c>
      <c r="T648" s="99">
        <f>IFERROR(J648,"")</f>
        <v>153.19919999999999</v>
      </c>
    </row>
    <row r="649" spans="1:20" ht="18" customHeight="1">
      <c r="A649" s="159" t="s">
        <v>253</v>
      </c>
      <c r="B649" s="159"/>
      <c r="C649" s="159"/>
      <c r="D649" s="159"/>
      <c r="E649" s="159"/>
      <c r="F649" s="108"/>
      <c r="G649" s="109">
        <f>G635+G648</f>
        <v>399</v>
      </c>
      <c r="H649" s="108">
        <f>IFERROR(H635+H648,"")</f>
        <v>1773.62</v>
      </c>
      <c r="I649" s="110"/>
      <c r="J649" s="111">
        <f>IFERROR(J635+J648,"")</f>
        <v>372.46019999999999</v>
      </c>
      <c r="K649" s="1">
        <f>K635+K648</f>
        <v>1687.8000000000002</v>
      </c>
      <c r="L649" s="76"/>
      <c r="M649" s="76"/>
      <c r="N649" s="76"/>
      <c r="O649" s="135"/>
      <c r="P649" s="135"/>
      <c r="Q649" s="77">
        <f ca="1">IFERROR(Q635+Q648,"")</f>
        <v>0.3125</v>
      </c>
      <c r="R649" s="1" t="s">
        <v>268</v>
      </c>
      <c r="S649" s="82">
        <f>IFERROR(S635+S648,"")</f>
        <v>1773620</v>
      </c>
      <c r="T649" s="118">
        <f>IFERROR(J649,"")</f>
        <v>372.46019999999999</v>
      </c>
    </row>
    <row r="650" spans="1:20" ht="15" customHeight="1">
      <c r="A650" s="59">
        <v>46259</v>
      </c>
      <c r="B650" s="60">
        <v>0.33333333333333298</v>
      </c>
      <c r="C650" s="61" t="s">
        <v>30</v>
      </c>
      <c r="D650" s="62" t="s">
        <v>31</v>
      </c>
      <c r="E650" s="87" t="s">
        <v>278</v>
      </c>
      <c r="F650" s="101">
        <f>IFERROR(IF($D650="","",VLOOKUP($D650,Cadastro!$C$4:$E$7,3,FALSE())),"")</f>
        <v>0.35</v>
      </c>
      <c r="G650" s="89"/>
      <c r="H650" s="101" t="str">
        <f>IFERROR(IF($G650="","",$G650*$S$662/$G$662/Cadastro!$E$33),"")</f>
        <v/>
      </c>
      <c r="I650" s="102">
        <f>IFERROR(IF($D650="","",VLOOKUP($D650,Cadastro!$C$4:$G$7,5,FALSE())),"")</f>
        <v>0.6</v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 t="s">
        <v>29</v>
      </c>
      <c r="M650" s="61"/>
      <c r="N650" s="61" t="s">
        <v>226</v>
      </c>
      <c r="O650" s="65">
        <v>0.29166666666666669</v>
      </c>
      <c r="P650" s="65">
        <v>0.5</v>
      </c>
      <c r="Q650" s="66">
        <f t="shared" ref="Q650:Q661" ca="1" si="172">IFERROR(IF(O650="","",IF(P650="",MOD(NOW()-O650,1),IF(P650&gt;=O650,P650-O650,P650+1-O650))),"")</f>
        <v>0.20833333333333331</v>
      </c>
      <c r="R650" s="63" t="s">
        <v>441</v>
      </c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 t="s">
        <v>30</v>
      </c>
      <c r="D651" s="62" t="s">
        <v>31</v>
      </c>
      <c r="E651" s="87" t="s">
        <v>278</v>
      </c>
      <c r="F651" s="88">
        <f>IFERROR(IF($D651="","",VLOOKUP($D651,Cadastro!$C$4:$E$7,3,FALSE())),"")</f>
        <v>0.35</v>
      </c>
      <c r="G651" s="89"/>
      <c r="H651" s="88" t="str">
        <f>IFERROR(IF($G651="","",$G651*$S$662/$G$662/Cadastro!$E$33),"")</f>
        <v/>
      </c>
      <c r="I651" s="90">
        <f>IFERROR(IF($D651="","",VLOOKUP($D651,Cadastro!$C$4:$G$7,5,FALSE())),"")</f>
        <v>0.6</v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 t="s">
        <v>30</v>
      </c>
      <c r="D652" s="62" t="s">
        <v>31</v>
      </c>
      <c r="E652" s="87" t="s">
        <v>278</v>
      </c>
      <c r="F652" s="88">
        <f>IFERROR(IF($D652="","",VLOOKUP($D652,Cadastro!$C$4:$E$7,3,FALSE())),"")</f>
        <v>0.35</v>
      </c>
      <c r="G652" s="89"/>
      <c r="H652" s="88" t="str">
        <f>IFERROR(IF($G652="","",$G652*$S$662/$G$662/Cadastro!$E$33),"")</f>
        <v/>
      </c>
      <c r="I652" s="90">
        <f>IFERROR(IF($D652="","",VLOOKUP($D652,Cadastro!$C$4:$G$7,5,FALSE())),"")</f>
        <v>0.6</v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 t="s">
        <v>30</v>
      </c>
      <c r="D653" s="62" t="s">
        <v>31</v>
      </c>
      <c r="E653" s="87" t="s">
        <v>278</v>
      </c>
      <c r="F653" s="88">
        <f>IFERROR(IF($D653="","",VLOOKUP($D653,Cadastro!$C$4:$E$7,3,FALSE())),"")</f>
        <v>0.35</v>
      </c>
      <c r="G653" s="89"/>
      <c r="H653" s="88" t="str">
        <f>IFERROR(IF($G653="","",$G653*$S$662/$G$662/Cadastro!$E$33),"")</f>
        <v/>
      </c>
      <c r="I653" s="90">
        <f>IFERROR(IF($D653="","",VLOOKUP($D653,Cadastro!$C$4:$G$7,5,FALSE())),"")</f>
        <v>0.6</v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 t="s">
        <v>30</v>
      </c>
      <c r="D654" s="62" t="s">
        <v>31</v>
      </c>
      <c r="E654" s="87" t="s">
        <v>278</v>
      </c>
      <c r="F654" s="88">
        <f>IFERROR(IF($D654="","",VLOOKUP($D654,Cadastro!$C$4:$E$7,3,FALSE())),"")</f>
        <v>0.35</v>
      </c>
      <c r="G654" s="89"/>
      <c r="H654" s="88" t="str">
        <f>IFERROR(IF($G654="","",$G654*$S$662/$G$662/Cadastro!$E$33),"")</f>
        <v/>
      </c>
      <c r="I654" s="90">
        <f>IFERROR(IF($D654="","",VLOOKUP($D654,Cadastro!$C$4:$G$7,5,FALSE())),"")</f>
        <v>0.6</v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 t="s">
        <v>30</v>
      </c>
      <c r="D655" s="62" t="s">
        <v>31</v>
      </c>
      <c r="E655" s="87" t="s">
        <v>278</v>
      </c>
      <c r="F655" s="88">
        <f>IFERROR(IF($D655="","",VLOOKUP($D655,Cadastro!$C$4:$E$7,3,FALSE())),"")</f>
        <v>0.35</v>
      </c>
      <c r="G655" s="89"/>
      <c r="H655" s="88" t="str">
        <f>IFERROR(IF($G655="","",$G655*$S$662/$G$662/Cadastro!$E$33),"")</f>
        <v/>
      </c>
      <c r="I655" s="90">
        <f>IFERROR(IF($D655="","",VLOOKUP($D655,Cadastro!$C$4:$G$7,5,FALSE())),"")</f>
        <v>0.6</v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 t="s">
        <v>30</v>
      </c>
      <c r="D656" s="62" t="s">
        <v>31</v>
      </c>
      <c r="E656" s="87" t="s">
        <v>278</v>
      </c>
      <c r="F656" s="88">
        <f>IFERROR(IF($D656="","",VLOOKUP($D656,Cadastro!$C$4:$E$7,3,FALSE())),"")</f>
        <v>0.35</v>
      </c>
      <c r="G656" s="89"/>
      <c r="H656" s="88" t="str">
        <f>IFERROR(IF($G656="","",$G656*$S$662/$G$662/Cadastro!$E$33),"")</f>
        <v/>
      </c>
      <c r="I656" s="90">
        <f>IFERROR(IF($D656="","",VLOOKUP($D656,Cadastro!$C$4:$G$7,5,FALSE())),"")</f>
        <v>0.6</v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 t="s">
        <v>30</v>
      </c>
      <c r="D657" s="62" t="s">
        <v>31</v>
      </c>
      <c r="E657" s="87" t="s">
        <v>278</v>
      </c>
      <c r="F657" s="88">
        <f>IFERROR(IF($D657="","",VLOOKUP($D657,Cadastro!$C$4:$E$7,3,FALSE())),"")</f>
        <v>0.35</v>
      </c>
      <c r="G657" s="89"/>
      <c r="H657" s="88" t="str">
        <f>IFERROR(IF($G657="","",$G657*$S$662/$G$662/Cadastro!$E$33),"")</f>
        <v/>
      </c>
      <c r="I657" s="90">
        <f>IFERROR(IF($D657="","",VLOOKUP($D657,Cadastro!$C$4:$G$7,5,FALSE())),"")</f>
        <v>0.6</v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 t="s">
        <v>30</v>
      </c>
      <c r="D658" s="62" t="s">
        <v>31</v>
      </c>
      <c r="E658" s="87" t="s">
        <v>278</v>
      </c>
      <c r="F658" s="88">
        <f>IFERROR(IF($D658="","",VLOOKUP($D658,Cadastro!$C$4:$E$7,3,FALSE())),"")</f>
        <v>0.35</v>
      </c>
      <c r="G658" s="89"/>
      <c r="H658" s="88" t="str">
        <f>IFERROR(IF($G658="","",$G658*$S$662/$G$662/Cadastro!$E$33),"")</f>
        <v/>
      </c>
      <c r="I658" s="90">
        <f>IFERROR(IF($D658="","",VLOOKUP($D658,Cadastro!$C$4:$G$7,5,FALSE())),"")</f>
        <v>0.6</v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 t="s">
        <v>30</v>
      </c>
      <c r="D659" s="62" t="s">
        <v>31</v>
      </c>
      <c r="E659" s="87" t="s">
        <v>278</v>
      </c>
      <c r="F659" s="88">
        <f>IFERROR(IF($D659="","",VLOOKUP($D659,Cadastro!$C$4:$E$7,3,FALSE())),"")</f>
        <v>0.35</v>
      </c>
      <c r="G659" s="89"/>
      <c r="H659" s="88" t="str">
        <f>IFERROR(IF($G659="","",$G659*$S$662/$G$662/Cadastro!$E$33),"")</f>
        <v/>
      </c>
      <c r="I659" s="90">
        <f>IFERROR(IF($D659="","",VLOOKUP($D659,Cadastro!$C$4:$G$7,5,FALSE())),"")</f>
        <v>0.6</v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 t="s">
        <v>30</v>
      </c>
      <c r="D660" s="62" t="s">
        <v>31</v>
      </c>
      <c r="E660" s="87" t="s">
        <v>278</v>
      </c>
      <c r="F660" s="88">
        <f>IFERROR(IF($D660="","",VLOOKUP($D660,Cadastro!$C$4:$E$7,3,FALSE())),"")</f>
        <v>0.35</v>
      </c>
      <c r="G660" s="89"/>
      <c r="H660" s="88" t="str">
        <f>IFERROR(IF($G660="","",$G660*$S$662/$G$662/Cadastro!$E$33),"")</f>
        <v/>
      </c>
      <c r="I660" s="90">
        <f>IFERROR(IF($D660="","",VLOOKUP($D660,Cadastro!$C$4:$G$7,5,FALSE())),"")</f>
        <v>0.6</v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 t="s">
        <v>30</v>
      </c>
      <c r="D661" s="62" t="s">
        <v>31</v>
      </c>
      <c r="E661" s="87" t="s">
        <v>278</v>
      </c>
      <c r="F661" s="92">
        <f>IFERROR(IF($D661="","",VLOOKUP($D661,Cadastro!$C$4:$E$7,3,FALSE())),"")</f>
        <v>0.35</v>
      </c>
      <c r="G661" s="89"/>
      <c r="H661" s="92" t="str">
        <f>IFERROR(IF($G661="","",$G661*$S$662/$G$662/Cadastro!$E$33),"")</f>
        <v/>
      </c>
      <c r="I661" s="93">
        <f>IFERROR(IF($D661="","",VLOOKUP($D661,Cadastro!$C$4:$G$7,5,FALSE())),"")</f>
        <v>0.6</v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264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0.20833333333333331</v>
      </c>
      <c r="R662" s="2" t="s">
        <v>265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267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265</v>
      </c>
      <c r="S675" s="74"/>
      <c r="T675" s="99">
        <f>IFERROR(J675,"")</f>
        <v>0</v>
      </c>
    </row>
    <row r="676" spans="1:20" ht="18" customHeight="1">
      <c r="A676" s="159" t="s">
        <v>253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0.20833333333333331</v>
      </c>
      <c r="R676" s="1" t="s">
        <v>268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264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265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267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265</v>
      </c>
      <c r="S702" s="74"/>
      <c r="T702" s="99">
        <f>IFERROR(J702,"")</f>
        <v>0</v>
      </c>
    </row>
    <row r="703" spans="1:20" ht="18" customHeight="1">
      <c r="A703" s="159" t="s">
        <v>253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268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264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265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267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265</v>
      </c>
      <c r="S729" s="74"/>
      <c r="T729" s="99">
        <f>IFERROR(J729,"")</f>
        <v>0</v>
      </c>
    </row>
    <row r="730" spans="1:20" ht="18" customHeight="1">
      <c r="A730" s="159" t="s">
        <v>253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268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264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265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267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265</v>
      </c>
      <c r="S756" s="74"/>
      <c r="T756" s="99">
        <f>IFERROR(J756,"")</f>
        <v>0</v>
      </c>
    </row>
    <row r="757" spans="1:20" ht="18" customHeight="1">
      <c r="A757" s="159" t="s">
        <v>253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268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264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265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267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265</v>
      </c>
      <c r="S783" s="74"/>
      <c r="T783" s="99">
        <f>IFERROR(J783,"")</f>
        <v>0</v>
      </c>
    </row>
    <row r="784" spans="1:20" ht="18" customHeight="1">
      <c r="A784" s="159" t="s">
        <v>253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268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264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265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267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265</v>
      </c>
      <c r="S810" s="74"/>
      <c r="T810" s="99">
        <f>IFERROR(J810,"")</f>
        <v>0</v>
      </c>
    </row>
    <row r="811" spans="1:20" ht="18" customHeight="1">
      <c r="A811" s="159" t="s">
        <v>253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264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265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267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265</v>
      </c>
      <c r="S837" s="74"/>
      <c r="T837" s="99">
        <f>IFERROR(J837,"")</f>
        <v>0</v>
      </c>
    </row>
    <row r="838" spans="1:20" ht="18" customHeight="1">
      <c r="A838" s="159" t="s">
        <v>253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268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2026-08-25T16:05:21Z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