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85" documentId="8_{AF585B22-221D-4780-BB9C-493D365A6A02}" xr6:coauthVersionLast="47" xr6:coauthVersionMax="47" xr10:uidLastSave="{403D07E4-C92B-46D9-8DFA-82100A71365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<sst xmlns="http://schemas.openxmlformats.org/spreadsheetml/2006/main" count="6307" uniqueCount="318">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</sst>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/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F381" sqref="F3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216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220</v>
      </c>
      <c r="O27" s="39">
        <v>1183060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220</v>
      </c>
      <c r="O54" s="39">
        <v>959290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220</v>
      </c>
      <c r="O81" s="39">
        <v>878050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220</v>
      </c>
      <c r="O108" s="39">
        <v>1700000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220</v>
      </c>
      <c r="O135" s="39">
        <v>862330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220</v>
      </c>
      <c r="O162" s="44">
        <v>1546080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220</v>
      </c>
      <c r="O189" s="39">
        <v>2355810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220</v>
      </c>
      <c r="O216" s="45">
        <v>2013260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220</v>
      </c>
      <c r="O243" s="39">
        <v>1545480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220</v>
      </c>
      <c r="O270" s="39">
        <v>1182690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231</v>
      </c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220</v>
      </c>
      <c r="O297" s="39">
        <v>1843460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220</v>
      </c>
      <c r="O324" s="39">
        <v>1940000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220</v>
      </c>
      <c r="O351" s="39">
        <v>701874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220</v>
      </c>
      <c r="O378" s="39">
        <v>1088710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217</v>
      </c>
      <c r="F380" s="27">
        <v>25</v>
      </c>
      <c r="G380" s="28">
        <f t="shared" ref="G380:G391" si="84">IF(F380="","",IF(E380="PC 17",F380*4.2,IF(E380="PC 19",F380*5,"")))</f>
        <v>125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217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25</v>
      </c>
      <c r="G392" s="36">
        <f>SUM(G380:G391)</f>
        <v>125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25</v>
      </c>
      <c r="G406" s="40">
        <f>G392+G405</f>
        <v>125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59" t="s">
        <v>217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J380" sqref="J3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220</v>
      </c>
      <c r="O27" s="78">
        <v>393200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85">
        <v>276360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220</v>
      </c>
      <c r="O81" s="54">
        <v>787860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220</v>
      </c>
      <c r="O108" s="54">
        <v>1087080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220</v>
      </c>
      <c r="O135" s="54">
        <v>794480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220</v>
      </c>
      <c r="O162" s="54">
        <v>882280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220</v>
      </c>
      <c r="O189" s="78"/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220</v>
      </c>
      <c r="O216" s="78">
        <v>648410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220</v>
      </c>
      <c r="O243" s="78">
        <v>849060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220</v>
      </c>
      <c r="O270" s="78">
        <v>625070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220</v>
      </c>
      <c r="O297" s="78">
        <v>761660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220</v>
      </c>
      <c r="O324" s="78">
        <v>524410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220</v>
      </c>
      <c r="O351" s="78">
        <v>598420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9.3842013884568587E-2</v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0.25148090277345747</v>
      </c>
      <c r="N378" s="36" t="s">
        <v>220</v>
      </c>
      <c r="O378" s="78">
        <v>511980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0.36120312499567964</v>
      </c>
      <c r="N379" s="40" t="s">
        <v>223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237</v>
      </c>
      <c r="F380" s="27"/>
      <c r="G380" s="28" t="str">
        <f t="shared" ref="G380:G391" si="84">IF(F380="","",IF(E380="PC 17",F380*4.2,IF(E380="PC 19",F380*5,"")))</f>
        <v/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/>
      <c r="M380" s="30">
        <f t="shared" ref="M380:M391" ca="1" si="85">IFERROR(IF(K380="","",IF(L380="",MOD(NOW()-K380,1),IF(L380&gt;=K380,L380-K380,L380+1-K380))),"")</f>
        <v>3.4814236110833008E-2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237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3.4814236110833008E-2</v>
      </c>
      <c r="N392" s="36" t="s">
        <v>220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78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3.4814236110833008E-2</v>
      </c>
      <c r="N406" s="40" t="s">
        <v>223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78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78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78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78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78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78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78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78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78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78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78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78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D380" sqref="D380:D3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220</v>
      </c>
      <c r="O27" s="39">
        <v>308500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39">
        <v>124290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220</v>
      </c>
      <c r="O81" s="39">
        <v>396340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220</v>
      </c>
      <c r="O108" s="39">
        <v>41230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220</v>
      </c>
      <c r="O135" s="39">
        <v>381250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251</v>
      </c>
      <c r="K141" s="29">
        <v>0.71597222222222223</v>
      </c>
      <c r="L141" s="29" t="s">
        <v>275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220</v>
      </c>
      <c r="O162" s="39">
        <v>337120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277</v>
      </c>
      <c r="N166" s="27" t="s">
        <v>278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220</v>
      </c>
      <c r="O189" s="39">
        <v>747210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220</v>
      </c>
      <c r="O216" s="39">
        <v>468430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220</v>
      </c>
      <c r="O243" s="39">
        <v>575930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220</v>
      </c>
      <c r="O270" s="39">
        <v>483510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220</v>
      </c>
      <c r="O297" s="39">
        <v>487980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220</v>
      </c>
      <c r="O324" s="39">
        <v>609460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220</v>
      </c>
      <c r="O351" s="39">
        <v>437940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220</v>
      </c>
      <c r="O378" s="39">
        <v>473310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237</v>
      </c>
      <c r="F380" s="27"/>
      <c r="G380" s="28" t="str">
        <f t="shared" ref="G380:G391" si="84">IF(F380="","",IF(E380="PC 17",F380*4.2,IF(E380="PC 19",F380*5,"")))</f>
        <v/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237</v>
      </c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237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I380" sqref="I3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220</v>
      </c>
      <c r="O27" s="39">
        <v>202230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220</v>
      </c>
      <c r="O54" s="39">
        <v>473910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292</v>
      </c>
      <c r="L58" s="29">
        <v>0.54097222222222219</v>
      </c>
      <c r="M58" s="30" t="str">
        <f t="shared" ca="1" si="13"/>
        <v/>
      </c>
      <c r="N58" s="27" t="s">
        <v>293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220</v>
      </c>
      <c r="O81" s="39">
        <v>565120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220</v>
      </c>
      <c r="O108" s="39">
        <v>558590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8.4119791667035315E-2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0.28342534722259094</v>
      </c>
      <c r="N135" s="36" t="s">
        <v>220</v>
      </c>
      <c r="O135" s="39">
        <v>729290</v>
      </c>
    </row>
    <row r="136" spans="1:18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0.65078645833370197</v>
      </c>
      <c r="N136" s="40" t="s">
        <v>223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220</v>
      </c>
      <c r="O162" s="39">
        <v>697320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220</v>
      </c>
      <c r="O189" s="39">
        <v>973580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220</v>
      </c>
      <c r="O216" s="45">
        <v>1060630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220</v>
      </c>
      <c r="O243" s="39">
        <v>982340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220</v>
      </c>
      <c r="O270" s="39">
        <v>1208450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220</v>
      </c>
      <c r="O297" s="39">
        <v>1049090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220</v>
      </c>
      <c r="O324" s="39">
        <v>1063720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219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220</v>
      </c>
      <c r="O351" s="39">
        <v>696140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220</v>
      </c>
      <c r="O378" s="39">
        <v>704750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 t="s">
        <v>52</v>
      </c>
      <c r="J380" s="26"/>
      <c r="K380" s="29">
        <v>0.32291666666666669</v>
      </c>
      <c r="L380" s="29"/>
      <c r="M380" s="30">
        <f t="shared" ref="M380:M391" ca="1" si="85">IFERROR(IF(K380="","",IF(L380="",MOD(NOW()-K380,1),IF(L380&gt;=K380,L380-K380,L380+1-K380))),"")</f>
        <v>1.0508680556085892E-2</v>
      </c>
      <c r="N380" s="27" t="s">
        <v>317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1.0508680556085892E-2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1.0508680556085892E-2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220</v>
      </c>
      <c r="O432" s="39"/>
    </row>
    <row r="433" spans="1:17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2026-07-15T12:02:12Z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