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401" documentId="8_{C51EB6CB-002B-4D6B-B68F-DDEBDB4460C0}" xr6:coauthVersionLast="47" xr6:coauthVersionMax="47" xr10:uidLastSave="{EEBB8466-15FF-4789-9BF2-74C305DF5E75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<sst xmlns="http://schemas.openxmlformats.org/spreadsheetml/2006/main" count="2968" uniqueCount="273">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</sst>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846660</v>
      </c>
      <c r="D8" s="8">
        <f>IFERROR('Linha 1'!O136,"")</f>
        <v>791070</v>
      </c>
      <c r="E8" s="8">
        <f>IFERROR('Linha 2'!O136,"")</f>
        <v>320370</v>
      </c>
      <c r="F8" s="8">
        <f>IFERROR('Linha 3'!O136,"")</f>
        <v>811580</v>
      </c>
      <c r="G8" s="9">
        <f t="shared" si="0"/>
        <v>1923020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13832305</v>
      </c>
      <c r="D35" s="13">
        <f>IFERROR(SUM(D4:D34),"")</f>
        <v>4591580</v>
      </c>
      <c r="E35" s="13">
        <f>IFERROR(SUM(E4:E34),"")</f>
        <v>2567780</v>
      </c>
      <c r="F35" s="13">
        <f>IFERROR(SUM(F4:F34),"")</f>
        <v>5816020</v>
      </c>
      <c r="G35" s="13">
        <f>IFERROR(SUM(G4:G34),"")</f>
        <v>12975380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08" activePane="bottomLeft" state="frozen"/>
      <selection pane="bottomLeft" activeCell="F124" sqref="F12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229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229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40</v>
      </c>
      <c r="G135" s="36">
        <f>SUM(G123:G134)</f>
        <v>200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162</v>
      </c>
      <c r="G136" s="40">
        <f>G122+G135</f>
        <v>810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846660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6" t="s">
        <v>234</v>
      </c>
      <c r="B811" s="107"/>
      <c r="C811" s="107"/>
      <c r="D811" s="107"/>
      <c r="E811" s="108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02" activePane="bottomLeft" state="frozen"/>
      <selection pane="bottomLeft" activeCell="I123" sqref="I12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0.73406145832996117</v>
      </c>
      <c r="N53" s="46" t="s">
        <v>250</v>
      </c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0.87295034721885001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0.95767256944107237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/>
      <c r="G123" s="34" t="str">
        <f t="shared" ref="G123:G134" si="27">IF(F123="","",IF(E123="PC 17",F123*4.2,IF(E123="PC 19",F123*5,IF(E123="CB",F123*24,""))))</f>
        <v/>
      </c>
      <c r="H123" s="33" t="s">
        <v>19</v>
      </c>
      <c r="I123" s="33" t="s">
        <v>156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1.1805555555555625E-2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184</v>
      </c>
      <c r="G136" s="40">
        <f>G122+G135</f>
        <v>772.80000000000007</v>
      </c>
      <c r="H136" s="41"/>
      <c r="I136" s="41"/>
      <c r="J136" s="41"/>
      <c r="K136" s="41"/>
      <c r="L136" s="41"/>
      <c r="M136" s="42">
        <f ca="1">IFERROR(M122+M135,"")</f>
        <v>0.10694444444444451</v>
      </c>
      <c r="N136" s="40" t="s">
        <v>235</v>
      </c>
      <c r="O136" s="82">
        <f>IFERROR(O122+O135,"")</f>
        <v>791070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97" zoomScale="50" zoomScaleNormal="50" workbookViewId="0">
      <selection activeCell="L124" sqref="L1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/>
      <c r="M99" s="35">
        <f t="shared" ca="1" si="22"/>
        <v>0.57711701389052905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0.62433923611275122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0.78058923611275122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/>
      <c r="F123" s="27"/>
      <c r="G123" s="34" t="str">
        <f t="shared" ref="G123:G134" si="27">IF(F123="","",IF(E123="PC 17",F123*4.2,IF(E123="PC 19",F123*5,IF(E123="CB",F123*24,""))))</f>
        <v/>
      </c>
      <c r="H123" s="33" t="s">
        <v>20</v>
      </c>
      <c r="I123" s="33" t="s">
        <v>154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/>
      <c r="F124" s="27"/>
      <c r="G124" s="28" t="str">
        <f t="shared" si="27"/>
        <v/>
      </c>
      <c r="H124" s="26" t="s">
        <v>20</v>
      </c>
      <c r="I124" s="26" t="s">
        <v>154</v>
      </c>
      <c r="J124" s="26" t="s">
        <v>74</v>
      </c>
      <c r="K124" s="29">
        <v>0.8520833333333333</v>
      </c>
      <c r="L124" s="29"/>
      <c r="M124" s="30">
        <f t="shared" ca="1" si="28"/>
        <v>3.5059027795796283E-3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6.9781250018018381E-3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78</v>
      </c>
      <c r="G136" s="40">
        <f>G122+G135</f>
        <v>327.60000000000002</v>
      </c>
      <c r="H136" s="41"/>
      <c r="I136" s="41"/>
      <c r="J136" s="41"/>
      <c r="K136" s="41"/>
      <c r="L136" s="41"/>
      <c r="M136" s="42">
        <f ca="1">IFERROR(M122+M135,"")</f>
        <v>6.9781250018018381E-3</v>
      </c>
      <c r="N136" s="40" t="s">
        <v>235</v>
      </c>
      <c r="O136" s="43">
        <f>IFERROR(O122+O135,"")</f>
        <v>320370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00" activePane="bottomLeft" state="frozen"/>
      <selection pane="bottomLeft" activeCell="J123" sqref="J12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230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/>
      <c r="F123" s="27"/>
      <c r="G123" s="34" t="str">
        <f t="shared" ref="G123:G134" si="27">IF(F123="","",IF(E123="PC 17",F123*4.2,IF(E123="PC 19",F123*5,IF(E123="CB",F123*24,""))))</f>
        <v/>
      </c>
      <c r="H123" s="33" t="s">
        <v>20</v>
      </c>
      <c r="I123" s="33" t="s">
        <v>52</v>
      </c>
      <c r="J123" s="33" t="s">
        <v>203</v>
      </c>
      <c r="K123" s="29">
        <v>0.85486111111111107</v>
      </c>
      <c r="L123" s="29"/>
      <c r="M123" s="35">
        <f t="shared" ref="M123:M134" ca="1" si="28">IFERROR(IF(K123="","",IF(L123="",MOD(NOW()-K123,1),IF(L123&gt;=K123,L123-K123,L123+1-K123))),"")</f>
        <v>7.2812500002328306E-4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/>
      <c r="F126" s="27"/>
      <c r="G126" s="28"/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7.2812500002328306E-4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170</v>
      </c>
      <c r="G136" s="40">
        <f>G122+G135</f>
        <v>714.00000000000011</v>
      </c>
      <c r="H136" s="41"/>
      <c r="I136" s="41"/>
      <c r="J136" s="41"/>
      <c r="K136" s="63"/>
      <c r="L136" s="63"/>
      <c r="M136" s="42">
        <f ca="1">IFERROR(M122+M135,"")</f>
        <v>0.12503368055557901</v>
      </c>
      <c r="N136" s="40" t="s">
        <v>235</v>
      </c>
      <c r="O136" s="48">
        <f>IFERROR(O122+O135,"")</f>
        <v>811580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230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2026-08-06T00:32:23Z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