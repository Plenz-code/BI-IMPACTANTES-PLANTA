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777" documentId="8_{AF585B22-221D-4780-BB9C-493D365A6A02}" xr6:coauthVersionLast="47" xr6:coauthVersionMax="47" xr10:uidLastSave="{098E03A4-DC4E-4484-A810-9DBB2ADA7DB3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<sst xmlns="http://schemas.openxmlformats.org/spreadsheetml/2006/main" count="4463" uniqueCount="284">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</sst>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2070060</v>
      </c>
      <c r="D13" s="11">
        <f>IFERROR('Linha 1'!O271,"")</f>
        <v>631580</v>
      </c>
      <c r="E13" s="11">
        <f>IFERROR('Linha 2'!O271,"")</f>
        <v>456270</v>
      </c>
      <c r="F13" s="11">
        <f>IFERROR('Linha 3'!O271,"")</f>
        <v>874480</v>
      </c>
      <c r="G13" s="12">
        <f t="shared" si="0"/>
        <v>1962330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28393390</v>
      </c>
      <c r="D35" s="13">
        <f>IFERROR(SUM(D4:D34),"")</f>
        <v>9850090</v>
      </c>
      <c r="E35" s="13">
        <f>IFERROR(SUM(E4:E34),"")</f>
        <v>6933540</v>
      </c>
      <c r="F35" s="13">
        <f>IFERROR(SUM(F4:F34),"")</f>
        <v>12384660</v>
      </c>
      <c r="G35" s="13">
        <f>IFERROR(SUM(G4:G34),"")</f>
        <v>29168290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K63" sqref="K6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199</v>
      </c>
      <c r="L61" s="17"/>
      <c r="M61" s="17"/>
    </row>
    <row r="62" spans="1:13" ht="15" customHeight="1">
      <c r="H62" s="101"/>
      <c r="I62" s="16"/>
      <c r="J62" s="16"/>
      <c r="K62" s="16" t="s">
        <v>200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18" activePane="bottomLeft" state="frozen"/>
      <selection pane="bottomLeft" activeCell="O258" sqref="O25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211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215</v>
      </c>
      <c r="O27" s="39">
        <v>1183060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215</v>
      </c>
      <c r="O54" s="39">
        <v>959290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220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215</v>
      </c>
      <c r="O81" s="39">
        <v>878050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218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215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215</v>
      </c>
      <c r="O108" s="39">
        <v>1700000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218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215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215</v>
      </c>
      <c r="O135" s="39">
        <v>862330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218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215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215</v>
      </c>
      <c r="O162" s="44">
        <v>1546080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218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215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215</v>
      </c>
      <c r="O189" s="39">
        <v>2355810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218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215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215</v>
      </c>
      <c r="O216" s="45">
        <v>2013260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218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215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215</v>
      </c>
      <c r="O243" s="39">
        <v>1545480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218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215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350</v>
      </c>
      <c r="G271" s="40">
        <f>G257+G270</f>
        <v>1750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218</v>
      </c>
      <c r="O271" s="48">
        <f>IFERROR(O257+O270,"")</f>
        <v>2070060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39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43" activePane="bottomLeft" state="frozen"/>
      <selection pane="bottomLeft" activeCell="E269" sqref="E26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215</v>
      </c>
      <c r="O27" s="78">
        <v>393200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218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215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215</v>
      </c>
      <c r="O54" s="85">
        <v>276360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218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215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215</v>
      </c>
      <c r="O81" s="54">
        <v>787860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218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215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215</v>
      </c>
      <c r="O108" s="54">
        <v>1087080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218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215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236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215</v>
      </c>
      <c r="O135" s="54">
        <v>794480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218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215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215</v>
      </c>
      <c r="O162" s="54">
        <v>882280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218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215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215</v>
      </c>
      <c r="O189" s="78"/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218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215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215</v>
      </c>
      <c r="O216" s="78">
        <v>648410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218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214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215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215</v>
      </c>
      <c r="O243" s="78">
        <v>849060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218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215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>
        <v>0.79861111111111116</v>
      </c>
      <c r="L258" s="29"/>
      <c r="M258" s="30">
        <f t="shared" ref="M258:M269" ca="1" si="58">IFERROR(IF(K258="","",IF(L258="",MOD(NOW()-K258,1),IF(L258&gt;=K258,L258-K258,L258+1-K258))),"")</f>
        <v>1.3935069444414694E-2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225</v>
      </c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225</v>
      </c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225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225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225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225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225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225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225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225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225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1.3935069444414694E-2</v>
      </c>
      <c r="N270" s="36" t="s">
        <v>215</v>
      </c>
      <c r="O270" s="78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165</v>
      </c>
      <c r="G271" s="40">
        <f>G257+G270</f>
        <v>692.99999999999989</v>
      </c>
      <c r="H271" s="41"/>
      <c r="I271" s="41"/>
      <c r="J271" s="41"/>
      <c r="K271" s="41"/>
      <c r="L271" s="41"/>
      <c r="M271" s="42">
        <f ca="1">IFERROR(M257+M270,"")</f>
        <v>8.6157291666636937E-2</v>
      </c>
      <c r="N271" s="40" t="s">
        <v>218</v>
      </c>
      <c r="O271" s="84">
        <f>IFERROR(O257+O270,"")</f>
        <v>631580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78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78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78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78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78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78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78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78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78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78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78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78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78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78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78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78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78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41" zoomScale="50" zoomScaleNormal="50" workbookViewId="0">
      <selection activeCell="E269" sqref="E26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215</v>
      </c>
      <c r="O27" s="39">
        <v>308500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215</v>
      </c>
      <c r="O54" s="39">
        <v>124290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215</v>
      </c>
      <c r="O81" s="39">
        <v>396340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218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215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215</v>
      </c>
      <c r="O108" s="39">
        <v>41230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218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215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215</v>
      </c>
      <c r="O135" s="39">
        <v>381250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218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215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215</v>
      </c>
      <c r="O162" s="39">
        <v>337120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218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256</v>
      </c>
      <c r="N166" s="27" t="s">
        <v>257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215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215</v>
      </c>
      <c r="O189" s="39">
        <v>747210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218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215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215</v>
      </c>
      <c r="O216" s="39">
        <v>468430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218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215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215</v>
      </c>
      <c r="O243" s="39">
        <v>575930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218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215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/>
      <c r="G258" s="34" t="str">
        <f t="shared" ref="G258:G269" si="57">IF(F258="","",IF(E258="PC 17",F258*4.2,IF(E258="PC 19",F258*5,"")))</f>
        <v/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225</v>
      </c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225</v>
      </c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225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225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225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225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225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225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225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225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225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9.0277777777778567E-3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139</v>
      </c>
      <c r="G271" s="40">
        <f>G257+G270</f>
        <v>583.79999999999995</v>
      </c>
      <c r="H271" s="41"/>
      <c r="I271" s="41"/>
      <c r="J271" s="41"/>
      <c r="K271" s="41"/>
      <c r="L271" s="41"/>
      <c r="M271" s="42">
        <f ca="1">IFERROR(M257+M270,"")</f>
        <v>7.6388888888889062E-2</v>
      </c>
      <c r="N271" s="40" t="s">
        <v>218</v>
      </c>
      <c r="O271" s="48">
        <f>IFERROR(O257+O270,"")</f>
        <v>456270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39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41" activePane="bottomLeft" state="frozen"/>
      <selection pane="bottomLeft" activeCell="E261" sqref="E26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215</v>
      </c>
      <c r="O27" s="39">
        <v>202230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215</v>
      </c>
      <c r="O54" s="39">
        <v>473910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263</v>
      </c>
      <c r="L58" s="29">
        <v>0.54097222222222219</v>
      </c>
      <c r="M58" s="30" t="str">
        <f t="shared" ca="1" si="13"/>
        <v/>
      </c>
      <c r="N58" s="27" t="s">
        <v>264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215</v>
      </c>
      <c r="O81" s="39">
        <v>565120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218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215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215</v>
      </c>
      <c r="O108" s="39">
        <v>558590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218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215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0.563240625000617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0.76254618055617263</v>
      </c>
      <c r="N135" s="36" t="s">
        <v>215</v>
      </c>
      <c r="O135" s="39">
        <v>729290</v>
      </c>
    </row>
    <row r="136" spans="1:18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1.1299072916672837</v>
      </c>
      <c r="N136" s="40" t="s">
        <v>218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215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215</v>
      </c>
      <c r="O162" s="39">
        <v>697320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218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215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215</v>
      </c>
      <c r="O189" s="39">
        <v>973580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218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215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215</v>
      </c>
      <c r="O216" s="45">
        <v>1060630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218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215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215</v>
      </c>
      <c r="O243" s="39">
        <v>982340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218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199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5</v>
      </c>
      <c r="G248" s="34">
        <f t="shared" si="54"/>
        <v>21</v>
      </c>
      <c r="H248" s="26" t="s">
        <v>20</v>
      </c>
      <c r="I248" s="26"/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215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225</v>
      </c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225</v>
      </c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190</v>
      </c>
      <c r="G271" s="40">
        <f>G257+G270</f>
        <v>797.99999999999989</v>
      </c>
      <c r="H271" s="41"/>
      <c r="I271" s="41"/>
      <c r="J271" s="41"/>
      <c r="K271" s="63"/>
      <c r="L271" s="63"/>
      <c r="M271" s="42">
        <f ca="1">IFERROR(M257+M270,"")</f>
        <v>0.11736111111111114</v>
      </c>
      <c r="N271" s="40" t="s">
        <v>218</v>
      </c>
      <c r="O271" s="48">
        <f>IFERROR(O257+O270,"")</f>
        <v>874480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215</v>
      </c>
      <c r="O432" s="39"/>
    </row>
    <row r="433" spans="1:17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2026-07-10T23:30:16Z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