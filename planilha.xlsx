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04" documentId="8_{AF585B22-221D-4780-BB9C-493D365A6A02}" xr6:coauthVersionLast="47" xr6:coauthVersionMax="47" xr10:uidLastSave="{A7402BE7-2623-4273-A719-FF5D197EEFC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<sst xmlns="http://schemas.openxmlformats.org/spreadsheetml/2006/main" count="6132" uniqueCount="315">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</sst>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K367" sqref="K3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/>
      <c r="M366" s="30">
        <f t="shared" ref="M366:M377" ca="1" si="82">IFERROR(IF(K366="","",IF(L366="",MOD(NOW()-K366,1),IF(L366&gt;=K366,L366-K366,L366+1-K366))),"")</f>
        <v>1.0229861116386019E-2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95</v>
      </c>
      <c r="G378" s="36">
        <f>SUM(G366:G377)</f>
        <v>475</v>
      </c>
      <c r="H378" s="37"/>
      <c r="I378" s="37"/>
      <c r="J378" s="37"/>
      <c r="K378" s="37"/>
      <c r="L378" s="37"/>
      <c r="M378" s="38">
        <f ca="1">IFERROR(SUM(M366:M377),"")</f>
        <v>1.0229861116386019E-2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370</v>
      </c>
      <c r="G379" s="40">
        <f>G365+G378</f>
        <v>1850</v>
      </c>
      <c r="H379" s="41"/>
      <c r="I379" s="41"/>
      <c r="J379" s="41"/>
      <c r="K379" s="41"/>
      <c r="L379" s="41"/>
      <c r="M379" s="42">
        <f ca="1">IFERROR(M365+M378,"")</f>
        <v>0.10120208333860814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J373" sqref="J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79</v>
      </c>
      <c r="G378" s="36">
        <f>SUM(G366:G377)</f>
        <v>331.8</v>
      </c>
      <c r="H378" s="37"/>
      <c r="I378" s="37"/>
      <c r="J378" s="37"/>
      <c r="K378" s="37"/>
      <c r="L378" s="37"/>
      <c r="M378" s="38">
        <f ca="1">IFERROR(SUM(M366:M377),"")</f>
        <v>0.10555555555555556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237</v>
      </c>
      <c r="G379" s="40">
        <f>G365+G378</f>
        <v>995.40000000000009</v>
      </c>
      <c r="H379" s="41"/>
      <c r="I379" s="41"/>
      <c r="J379" s="41"/>
      <c r="K379" s="41"/>
      <c r="L379" s="41"/>
      <c r="M379" s="42">
        <f ca="1">IFERROR(M365+M378,"")</f>
        <v>0.21527777777777773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3" sqref="F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80</v>
      </c>
      <c r="G378" s="36">
        <f>SUM(G366:G377)</f>
        <v>336.00000000000006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89</v>
      </c>
      <c r="G379" s="40">
        <f>G365+G378</f>
        <v>373.80000000000007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J373" sqref="J3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0.85397986111638602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1.0532854166719416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1.4206465277830527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 t="s">
        <v>20</v>
      </c>
      <c r="I373" s="33" t="s">
        <v>57</v>
      </c>
      <c r="J373" s="33" t="s">
        <v>28</v>
      </c>
      <c r="K373" s="29">
        <v>0.10138888888888889</v>
      </c>
      <c r="L373" s="29"/>
      <c r="M373" s="35">
        <f t="shared" ca="1" si="82"/>
        <v>1.8965277777169831E-3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122</v>
      </c>
      <c r="G378" s="36">
        <f>SUM(G366:G377)</f>
        <v>512.4</v>
      </c>
      <c r="H378" s="37"/>
      <c r="I378" s="37"/>
      <c r="J378" s="37"/>
      <c r="K378" s="61"/>
      <c r="L378" s="61"/>
      <c r="M378" s="38">
        <f ca="1">IFERROR(SUM(M366:M377),"")</f>
        <v>3.9396527777717086E-2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247</v>
      </c>
      <c r="G379" s="40">
        <f>G365+G378</f>
        <v>1037.4000000000001</v>
      </c>
      <c r="H379" s="41"/>
      <c r="I379" s="41"/>
      <c r="J379" s="41"/>
      <c r="K379" s="63"/>
      <c r="L379" s="63"/>
      <c r="M379" s="42">
        <f ca="1">IFERROR(M365+M378,"")</f>
        <v>0.14425763888882825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2026-07-15T06:29:05Z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