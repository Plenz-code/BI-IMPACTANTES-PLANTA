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333" documentId="8_{AF585B22-221D-4780-BB9C-493D365A6A02}" xr6:coauthVersionLast="47" xr6:coauthVersionMax="47" xr10:uidLastSave="{509B9C08-75E1-4CEB-8D01-69495707B1DF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<sst xmlns="http://schemas.openxmlformats.org/spreadsheetml/2006/main" count="8181" uniqueCount="357">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</sst>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35" sqref="G35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59982441</v>
      </c>
      <c r="D35" s="13">
        <f>IFERROR(SUM(D4:D34),"")</f>
        <v>22393340</v>
      </c>
      <c r="E35" s="13">
        <f>IFERROR(SUM(E4:E34),"")</f>
        <v>13410270</v>
      </c>
      <c r="F35" s="13">
        <f>IFERROR(SUM(F4:F34),"")</f>
        <v>26874360</v>
      </c>
      <c r="G35" s="13">
        <f>IFERROR(SUM(G4:G34),"")</f>
        <v>62677970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96" activePane="bottomLeft" state="frozen"/>
      <selection pane="bottomLeft" activeCell="F520" sqref="F52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8.285156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87</v>
      </c>
      <c r="G527" s="36">
        <f>SUM(G515:G526)</f>
        <v>435</v>
      </c>
      <c r="H527" s="37"/>
      <c r="I527" s="37"/>
      <c r="J527" s="37"/>
      <c r="K527" s="37"/>
      <c r="L527" s="37"/>
      <c r="M527" s="38">
        <f ca="1">IFERROR(SUM(M515:M526),"")</f>
        <v>8.5416666666666696E-2</v>
      </c>
      <c r="N527" s="36" t="s">
        <v>231</v>
      </c>
      <c r="O527" s="39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87</v>
      </c>
      <c r="G541" s="40">
        <f>G527+G540</f>
        <v>435</v>
      </c>
      <c r="H541" s="41"/>
      <c r="I541" s="41"/>
      <c r="J541" s="41"/>
      <c r="K541" s="41"/>
      <c r="L541" s="41"/>
      <c r="M541" s="42">
        <f ca="1">IFERROR(M527+M540,"")</f>
        <v>8.5416666666666696E-2</v>
      </c>
      <c r="N541" s="40" t="s">
        <v>234</v>
      </c>
      <c r="O541" s="48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09" activePane="bottomLeft" state="frozen"/>
      <selection pane="bottomLeft" activeCell="F520" sqref="F52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259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0.26416296295792563</v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0.42180185184681451</v>
      </c>
      <c r="N378" s="36" t="s">
        <v>231</v>
      </c>
      <c r="O378" s="77">
        <v>511980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0.53152407406903668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0.24263518518273486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0.41346851851606825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0.55860740740495718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36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40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/>
      <c r="G520" s="28" t="str">
        <f t="shared" si="114"/>
        <v/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84</v>
      </c>
      <c r="G527" s="36">
        <f>SUM(G515:G526)</f>
        <v>352.8</v>
      </c>
      <c r="H527" s="37"/>
      <c r="I527" s="37"/>
      <c r="J527" s="37"/>
      <c r="K527" s="37"/>
      <c r="L527" s="37"/>
      <c r="M527" s="38">
        <f ca="1">IFERROR(SUM(M515:M526),"")</f>
        <v>4.3750000000000011E-2</v>
      </c>
      <c r="N527" s="36" t="s">
        <v>231</v>
      </c>
      <c r="O527" s="77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84</v>
      </c>
      <c r="G541" s="40">
        <f>G527+G540</f>
        <v>352.8</v>
      </c>
      <c r="H541" s="41"/>
      <c r="I541" s="41"/>
      <c r="J541" s="41"/>
      <c r="K541" s="41"/>
      <c r="L541" s="41"/>
      <c r="M541" s="42">
        <f ca="1">IFERROR(M527+M540,"")</f>
        <v>4.3750000000000011E-2</v>
      </c>
      <c r="N541" s="40" t="s">
        <v>234</v>
      </c>
      <c r="O541" s="83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 E513:E514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489" zoomScale="50" zoomScaleNormal="50" workbookViewId="0">
      <selection activeCell="F520" sqref="F52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270</v>
      </c>
      <c r="K141" s="29">
        <v>0.71597222222222223</v>
      </c>
      <c r="L141" s="29" t="s">
        <v>305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307</v>
      </c>
      <c r="N166" s="27" t="s">
        <v>308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319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31</v>
      </c>
      <c r="G527" s="36">
        <f>SUM(G515:G526)</f>
        <v>130.20000000000002</v>
      </c>
      <c r="H527" s="37"/>
      <c r="I527" s="37"/>
      <c r="J527" s="37"/>
      <c r="K527" s="37"/>
      <c r="L527" s="37"/>
      <c r="M527" s="38">
        <f ca="1">IFERROR(SUM(M515:M526),"")</f>
        <v>8.3333333333333592E-3</v>
      </c>
      <c r="N527" s="36" t="s">
        <v>231</v>
      </c>
      <c r="O527" s="39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31</v>
      </c>
      <c r="G541" s="40">
        <f>G527+G540</f>
        <v>130.20000000000002</v>
      </c>
      <c r="H541" s="41"/>
      <c r="I541" s="41"/>
      <c r="J541" s="41"/>
      <c r="K541" s="41"/>
      <c r="L541" s="41"/>
      <c r="M541" s="42">
        <f ca="1">IFERROR(M527+M540,"")</f>
        <v>8.3333333333333592E-3</v>
      </c>
      <c r="N541" s="40" t="s">
        <v>234</v>
      </c>
      <c r="O541" s="48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93" activePane="bottomLeft" state="frozen"/>
      <selection pane="bottomLeft" activeCell="F518" sqref="F51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324</v>
      </c>
      <c r="L58" s="29">
        <v>0.54097222222222219</v>
      </c>
      <c r="M58" s="30" t="str">
        <f t="shared" ca="1" si="13"/>
        <v/>
      </c>
      <c r="N58" s="27" t="s">
        <v>325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0.25444074074039236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0.45374629629594798</v>
      </c>
      <c r="N135" s="36" t="s">
        <v>231</v>
      </c>
      <c r="O135" s="39">
        <v>729290</v>
      </c>
    </row>
    <row r="136" spans="1:18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0.82110740740705901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230</v>
      </c>
      <c r="B338" s="99"/>
      <c r="C338" s="99"/>
      <c r="D338" s="99"/>
      <c r="E338" s="100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353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354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355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329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356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/>
      <c r="M515" s="35">
        <f t="shared" ref="M515:M526" ca="1" si="115">IFERROR(IF(K515="","",IF(L515="",MOD(NOW()-K515,1),IF(L515&gt;=K515,L515-K515,L515+1-K515))),"")</f>
        <v>0.21207962962944293</v>
      </c>
      <c r="N515" s="27"/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0.21207962962944293</v>
      </c>
      <c r="N527" s="36" t="s">
        <v>231</v>
      </c>
      <c r="O527" s="39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0.21207962962944293</v>
      </c>
      <c r="N541" s="40" t="s">
        <v>234</v>
      </c>
      <c r="O541" s="48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2026-07-20T16:07:13Z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