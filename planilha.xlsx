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616" documentId="13_ncr:1_{0A10D8D4-8450-4366-8075-B53B08E6B7EA}" xr6:coauthVersionLast="47" xr6:coauthVersionMax="47" xr10:uidLastSave="{CCCACC4B-0AF1-40C8-ABBD-598342752196}"/>
  <bookViews>
    <workbookView xWindow="-28920" yWindow="-60" windowWidth="29040" windowHeight="1572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27" i="6" l="1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343" i="6"/>
  <c r="J343" i="6" s="1"/>
  <c r="H344" i="6"/>
  <c r="J344" i="6" s="1"/>
  <c r="H345" i="6"/>
  <c r="J345" i="6" s="1"/>
  <c r="H346" i="6"/>
  <c r="J346" i="6" s="1"/>
  <c r="H347" i="6"/>
  <c r="J347" i="6" s="1"/>
  <c r="H348" i="6"/>
  <c r="J348" i="6" s="1"/>
  <c r="H349" i="6"/>
  <c r="J349" i="6" s="1"/>
  <c r="H350" i="6"/>
  <c r="J350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43" i="5"/>
  <c r="J343" i="5" s="1"/>
  <c r="H344" i="5"/>
  <c r="J344" i="5" s="1"/>
  <c r="H345" i="5"/>
  <c r="J345" i="5" s="1"/>
  <c r="H346" i="5"/>
  <c r="J346" i="5" s="1"/>
  <c r="H347" i="5"/>
  <c r="J347" i="5" s="1"/>
  <c r="H348" i="5"/>
  <c r="J348" i="5" s="1"/>
  <c r="H349" i="5"/>
  <c r="J349" i="5" s="1"/>
  <c r="H350" i="5"/>
  <c r="J350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43" i="4"/>
  <c r="J343" i="4" s="1"/>
  <c r="H344" i="4"/>
  <c r="J344" i="4" s="1"/>
  <c r="H345" i="4"/>
  <c r="J345" i="4" s="1"/>
  <c r="H346" i="4"/>
  <c r="J346" i="4" s="1"/>
  <c r="H347" i="4"/>
  <c r="J347" i="4" s="1"/>
  <c r="H348" i="4"/>
  <c r="J348" i="4" s="1"/>
  <c r="H349" i="4"/>
  <c r="J349" i="4" s="1"/>
  <c r="H350" i="4"/>
  <c r="J350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365" i="4"/>
  <c r="T365" i="4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65" i="4"/>
  <c r="H405" i="6"/>
  <c r="H567" i="6"/>
  <c r="H446" i="6"/>
  <c r="H460" i="6" s="1"/>
  <c r="H608" i="6"/>
  <c r="H621" i="6"/>
  <c r="H770" i="6"/>
  <c r="H648" i="6"/>
  <c r="H365" i="6"/>
  <c r="H756" i="6"/>
  <c r="H743" i="6"/>
  <c r="H757" i="6" s="1"/>
  <c r="H500" i="6"/>
  <c r="H594" i="6"/>
  <c r="H702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78" i="5"/>
  <c r="H459" i="5"/>
  <c r="H635" i="5"/>
  <c r="H689" i="5"/>
  <c r="H608" i="5"/>
  <c r="H365" i="5"/>
  <c r="H379" i="5" s="1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79" i="6"/>
  <c r="T379" i="6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17" i="1"/>
  <c r="J17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41" i="6" l="1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338" i="6" l="1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352" i="6" l="1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<sst xmlns="http://schemas.openxmlformats.org/spreadsheetml/2006/main" count="6108" uniqueCount="340">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</sst>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7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3" fontId="27" fillId="13" borderId="5" xfId="0" applyNumberFormat="1" applyFont="1" applyFill="1" applyBorder="1" applyAlignment="1" applyProtection="1">
      <alignment horizontal="center" vertical="center"/>
      <protection locked="0"/>
    </xf>
    <xf numFmtId="166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0" fillId="3" borderId="4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3" fontId="29" fillId="11" borderId="2" xfId="0" applyNumberFormat="1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G17" sqref="G17:G34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customWidth="1"/>
  </cols>
  <sheetData>
    <row r="1" spans="1:10" ht="31.5" customHeight="1">
      <c r="A1" s="159" t="s">
        <v>0</v>
      </c>
      <c r="B1" s="160"/>
      <c r="C1" s="160"/>
      <c r="D1" s="160"/>
      <c r="E1" s="160"/>
      <c r="F1" s="160"/>
      <c r="G1" s="160"/>
      <c r="H1" s="160"/>
      <c r="I1" s="160"/>
      <c r="J1" s="160"/>
    </row>
    <row r="2" spans="1:10" ht="24.75" customHeight="1">
      <c r="A2" s="157"/>
      <c r="B2" s="15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7" t="s">
        <v>8</v>
      </c>
    </row>
    <row r="3" spans="1:10" ht="19.5" customHeight="1">
      <c r="A3" s="6" t="s">
        <v>9</v>
      </c>
      <c r="B3" s="70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8" t="s">
        <v>8</v>
      </c>
    </row>
    <row r="4" spans="1:10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</row>
    <row r="5" spans="1:10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</row>
    <row r="6" spans="1:10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</row>
    <row r="7" spans="1:10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</row>
    <row r="8" spans="1:10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</row>
    <row r="9" spans="1:10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</row>
    <row r="10" spans="1:10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</row>
    <row r="11" spans="1:10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</row>
    <row r="12" spans="1:10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</row>
    <row r="13" spans="1:10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</row>
    <row r="14" spans="1:10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</row>
    <row r="15" spans="1:10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/>
      <c r="J15" s="129">
        <f t="shared" si="1"/>
        <v>0</v>
      </c>
    </row>
    <row r="16" spans="1:10" ht="15.75" customHeight="1">
      <c r="A16" s="7">
        <v>13</v>
      </c>
      <c r="B16" s="71">
        <v>46247</v>
      </c>
      <c r="C16" s="8">
        <f>IFERROR(Britador!O352,"")</f>
        <v>1925790</v>
      </c>
      <c r="D16" s="8">
        <f>IFERROR('Linha 1'!S352,"")</f>
        <v>186890</v>
      </c>
      <c r="E16" s="8">
        <f>IFERROR('Linha 2'!S352,"")</f>
        <v>387310</v>
      </c>
      <c r="F16" s="8">
        <f>IFERROR('Linha 3'!S352,"")</f>
        <v>1211360</v>
      </c>
      <c r="G16" s="9">
        <f t="shared" si="0"/>
        <v>1785560</v>
      </c>
      <c r="H16" s="96">
        <f>IFERROR('Linha 1'!T352+'Linha 2'!T352+'Linha 3'!T352,0)</f>
        <v>257.12063999999998</v>
      </c>
      <c r="I16" s="96"/>
      <c r="J16" s="129">
        <f t="shared" si="1"/>
        <v>0</v>
      </c>
    </row>
    <row r="17" spans="1:10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</row>
    <row r="18" spans="1:10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</row>
    <row r="19" spans="1:10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</row>
    <row r="20" spans="1:10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</row>
    <row r="21" spans="1:10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</row>
    <row r="22" spans="1:10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</row>
    <row r="23" spans="1:10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</row>
    <row r="24" spans="1:10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</row>
    <row r="25" spans="1:10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</row>
    <row r="26" spans="1:10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</row>
    <row r="27" spans="1:10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</row>
    <row r="28" spans="1:10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</row>
    <row r="29" spans="1:10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</row>
    <row r="30" spans="1:10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</row>
    <row r="31" spans="1:10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</row>
    <row r="32" spans="1:10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</row>
    <row r="33" spans="1:10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</row>
    <row r="34" spans="1:10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</row>
    <row r="35" spans="1:10" ht="14.25" customHeight="1">
      <c r="A35" s="158" t="s">
        <v>12</v>
      </c>
      <c r="B35" s="158"/>
      <c r="C35" s="13">
        <f t="shared" ref="C35:H35" si="2">IFERROR(SUM(C4:C34),"")</f>
        <v>44203800</v>
      </c>
      <c r="D35" s="13">
        <f t="shared" si="2"/>
        <v>14512420</v>
      </c>
      <c r="E35" s="13">
        <f t="shared" si="2"/>
        <v>7516830</v>
      </c>
      <c r="F35" s="13">
        <f t="shared" si="2"/>
        <v>18763480</v>
      </c>
      <c r="G35" s="13">
        <f t="shared" si="2"/>
        <v>40792730</v>
      </c>
      <c r="H35" s="97">
        <f t="shared" si="2"/>
        <v>940.0857615403105</v>
      </c>
      <c r="I35" s="97">
        <f>IFERROR(SUM(I4:I34),"")</f>
        <v>0</v>
      </c>
      <c r="J35" s="130">
        <f>IFERROR(AVERAGE(J4:J34),"-")</f>
        <v>0</v>
      </c>
    </row>
  </sheetData>
  <sheetProtection algorithmName="SHA-512" hashValue="RpGL8AIhWU4dLDdHSplXmlsaQFx9jvbUDX6G3L1Dffcq04Zss0J5IGcapeHVK/gtoa0xkYOQc/DhB/g6ya3w0g==" saltValue="4pKNj9emKuKSwGdKTuZhn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13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14</v>
      </c>
      <c r="O1" s="163"/>
      <c r="P1" s="163"/>
      <c r="Q1" s="163"/>
      <c r="R1" s="163"/>
    </row>
    <row r="2" spans="1:18" ht="4.5" customHeight="1">
      <c r="M2" s="162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62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2">
        <v>0.35</v>
      </c>
      <c r="G4" s="94">
        <v>0.6</v>
      </c>
      <c r="J4" s="16" t="s">
        <v>21</v>
      </c>
      <c r="L4" s="16" t="s">
        <v>28</v>
      </c>
      <c r="M4" s="162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3">
        <v>0.24</v>
      </c>
      <c r="G5" s="95">
        <v>0.6</v>
      </c>
      <c r="J5" s="17" t="s">
        <v>22</v>
      </c>
      <c r="L5" s="17" t="s">
        <v>36</v>
      </c>
      <c r="M5" s="162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2">
        <v>0.21</v>
      </c>
      <c r="G6" s="94">
        <v>0.55000000000000004</v>
      </c>
      <c r="J6" s="16" t="s">
        <v>23</v>
      </c>
      <c r="L6" s="16" t="s">
        <v>44</v>
      </c>
      <c r="M6" s="162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3">
        <v>0.13</v>
      </c>
      <c r="G7" s="95">
        <v>0.55000000000000004</v>
      </c>
      <c r="J7" s="16" t="s">
        <v>24</v>
      </c>
      <c r="L7" s="17" t="s">
        <v>52</v>
      </c>
      <c r="M7" s="162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25</v>
      </c>
      <c r="L8" s="16" t="s">
        <v>57</v>
      </c>
      <c r="M8" s="162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62</v>
      </c>
      <c r="M9" s="162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68</v>
      </c>
      <c r="M10" s="162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74</v>
      </c>
      <c r="M11" s="162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62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62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62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62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62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62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62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62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62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62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62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62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62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62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62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62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62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62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62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62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62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1" t="s">
        <v>160</v>
      </c>
      <c r="E33" s="113">
        <v>1000</v>
      </c>
      <c r="J33" s="17"/>
      <c r="L33" s="17" t="s">
        <v>161</v>
      </c>
      <c r="M33" s="162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62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62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62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62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62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62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62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62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62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62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62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62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62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62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62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62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2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62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62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62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62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62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62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62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62"/>
      <c r="N58" s="16"/>
      <c r="O58" s="16"/>
      <c r="P58" s="16" t="s">
        <v>214</v>
      </c>
      <c r="Q58" s="16"/>
      <c r="R58" s="16"/>
    </row>
    <row r="59" spans="1:18" ht="15" customHeight="1">
      <c r="M59" s="162"/>
      <c r="N59" s="17"/>
      <c r="O59" s="17"/>
      <c r="P59" s="17" t="s">
        <v>215</v>
      </c>
      <c r="Q59" s="17"/>
      <c r="R59" s="17"/>
    </row>
    <row r="60" spans="1:18" ht="15" customHeight="1">
      <c r="M60" s="162"/>
      <c r="N60" s="16"/>
      <c r="O60" s="16"/>
      <c r="P60" s="77" t="s">
        <v>110</v>
      </c>
      <c r="Q60" s="16"/>
      <c r="R60" s="16"/>
    </row>
    <row r="61" spans="1:18" ht="15" customHeight="1">
      <c r="M61" s="162"/>
      <c r="N61" s="17"/>
      <c r="O61" s="17"/>
      <c r="P61" s="17" t="s">
        <v>216</v>
      </c>
      <c r="Q61" s="17"/>
      <c r="R61" s="17"/>
    </row>
    <row r="62" spans="1:18" ht="15" customHeight="1">
      <c r="M62" s="162"/>
      <c r="N62" s="16"/>
      <c r="O62" s="16"/>
      <c r="P62" s="16" t="s">
        <v>217</v>
      </c>
      <c r="Q62" s="16"/>
      <c r="R62" s="16"/>
    </row>
    <row r="63" spans="1:18" ht="15" customHeight="1">
      <c r="M63" s="162"/>
      <c r="N63" s="17"/>
      <c r="O63" s="17"/>
      <c r="P63" s="17" t="s">
        <v>218</v>
      </c>
      <c r="Q63" s="17"/>
      <c r="R63" s="17"/>
    </row>
    <row r="64" spans="1:18" ht="15" customHeight="1">
      <c r="M64" s="162"/>
      <c r="N64" s="16"/>
      <c r="O64" s="16"/>
      <c r="P64" s="16" t="s">
        <v>219</v>
      </c>
      <c r="Q64" s="16"/>
      <c r="R64" s="16"/>
    </row>
    <row r="65" spans="13:18" ht="15" customHeight="1">
      <c r="M65" s="162"/>
      <c r="N65" s="17"/>
      <c r="O65" s="17"/>
      <c r="P65" s="17" t="s">
        <v>220</v>
      </c>
      <c r="Q65" s="17"/>
      <c r="R65" s="17"/>
    </row>
    <row r="66" spans="13:18" ht="15" customHeight="1">
      <c r="M66" s="162"/>
      <c r="N66" s="16"/>
      <c r="O66" s="16"/>
      <c r="P66" s="16" t="s">
        <v>221</v>
      </c>
      <c r="Q66" s="16"/>
      <c r="R66" s="16"/>
    </row>
    <row r="67" spans="13:18" ht="15" customHeight="1">
      <c r="M67" s="162"/>
      <c r="N67" s="17"/>
      <c r="O67" s="17"/>
      <c r="P67" s="17" t="s">
        <v>222</v>
      </c>
      <c r="Q67" s="17"/>
      <c r="R67" s="17"/>
    </row>
    <row r="68" spans="13:18" ht="15" customHeight="1">
      <c r="M68" s="162"/>
      <c r="N68" s="16"/>
      <c r="O68" s="16"/>
      <c r="P68" s="16" t="s">
        <v>223</v>
      </c>
      <c r="Q68" s="16"/>
      <c r="R68" s="16"/>
    </row>
    <row r="69" spans="13:18" ht="15" customHeight="1">
      <c r="M69" s="162"/>
      <c r="N69" s="17"/>
      <c r="O69" s="17"/>
      <c r="P69" s="17" t="s">
        <v>224</v>
      </c>
      <c r="Q69" s="17"/>
      <c r="R69" s="17"/>
    </row>
    <row r="70" spans="13:18" ht="15" customHeight="1">
      <c r="M70" s="162"/>
      <c r="N70" s="16"/>
      <c r="O70" s="16"/>
      <c r="P70" s="16" t="s">
        <v>225</v>
      </c>
      <c r="Q70" s="16"/>
      <c r="R70" s="16"/>
    </row>
    <row r="71" spans="13:18" ht="15" customHeight="1">
      <c r="M71" s="162"/>
      <c r="N71" s="17"/>
      <c r="O71" s="17"/>
      <c r="P71" s="17" t="s">
        <v>226</v>
      </c>
      <c r="Q71" s="17"/>
      <c r="R71" s="17"/>
    </row>
    <row r="72" spans="13:18" ht="15" customHeight="1">
      <c r="M72" s="162"/>
      <c r="N72" s="16"/>
      <c r="O72" s="16"/>
      <c r="P72" s="16" t="s">
        <v>227</v>
      </c>
      <c r="Q72" s="16"/>
      <c r="R72" s="16"/>
    </row>
    <row r="73" spans="13:18" ht="15" customHeight="1">
      <c r="M73" s="162"/>
      <c r="N73" s="17"/>
      <c r="O73" s="17"/>
      <c r="P73" s="17" t="s">
        <v>228</v>
      </c>
      <c r="Q73" s="17"/>
      <c r="R73" s="17"/>
    </row>
    <row r="74" spans="13:18" ht="15" customHeight="1">
      <c r="M74" s="162"/>
      <c r="N74" s="16"/>
      <c r="O74" s="16"/>
      <c r="P74" s="16" t="s">
        <v>229</v>
      </c>
      <c r="Q74" s="16"/>
      <c r="R74" s="16"/>
    </row>
    <row r="75" spans="13:18" ht="15" customHeight="1">
      <c r="M75" s="162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13" activePane="bottomLeft" state="frozen"/>
      <selection pane="bottomLeft" activeCell="F342" sqref="F342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7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1" t="s">
        <v>241</v>
      </c>
      <c r="B14" s="152"/>
      <c r="C14" s="152"/>
      <c r="D14" s="152"/>
      <c r="E14" s="164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1" t="s">
        <v>244</v>
      </c>
      <c r="B27" s="152"/>
      <c r="C27" s="152"/>
      <c r="D27" s="152"/>
      <c r="E27" s="164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53" t="s">
        <v>245</v>
      </c>
      <c r="B28" s="154"/>
      <c r="C28" s="154"/>
      <c r="D28" s="154"/>
      <c r="E28" s="16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1" t="s">
        <v>241</v>
      </c>
      <c r="B41" s="152"/>
      <c r="C41" s="152"/>
      <c r="D41" s="152"/>
      <c r="E41" s="164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1" t="s">
        <v>244</v>
      </c>
      <c r="B54" s="152"/>
      <c r="C54" s="152"/>
      <c r="D54" s="152"/>
      <c r="E54" s="164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53" t="s">
        <v>245</v>
      </c>
      <c r="B55" s="154"/>
      <c r="C55" s="154"/>
      <c r="D55" s="154"/>
      <c r="E55" s="16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1" t="s">
        <v>241</v>
      </c>
      <c r="B68" s="152"/>
      <c r="C68" s="152"/>
      <c r="D68" s="152"/>
      <c r="E68" s="164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1" t="s">
        <v>244</v>
      </c>
      <c r="B81" s="152"/>
      <c r="C81" s="152"/>
      <c r="D81" s="152"/>
      <c r="E81" s="164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53" t="s">
        <v>245</v>
      </c>
      <c r="B82" s="154"/>
      <c r="C82" s="154"/>
      <c r="D82" s="154"/>
      <c r="E82" s="16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1" t="s">
        <v>241</v>
      </c>
      <c r="B95" s="152"/>
      <c r="C95" s="152"/>
      <c r="D95" s="152"/>
      <c r="E95" s="164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1" t="s">
        <v>244</v>
      </c>
      <c r="B108" s="152"/>
      <c r="C108" s="152"/>
      <c r="D108" s="152"/>
      <c r="E108" s="164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53" t="s">
        <v>245</v>
      </c>
      <c r="B109" s="154"/>
      <c r="C109" s="154"/>
      <c r="D109" s="154"/>
      <c r="E109" s="16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1" t="s">
        <v>241</v>
      </c>
      <c r="B122" s="152"/>
      <c r="C122" s="152"/>
      <c r="D122" s="152"/>
      <c r="E122" s="164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1" t="s">
        <v>244</v>
      </c>
      <c r="B135" s="152"/>
      <c r="C135" s="152"/>
      <c r="D135" s="152"/>
      <c r="E135" s="164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53" t="s">
        <v>245</v>
      </c>
      <c r="B136" s="154"/>
      <c r="C136" s="154"/>
      <c r="D136" s="154"/>
      <c r="E136" s="16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1" t="s">
        <v>241</v>
      </c>
      <c r="B149" s="152"/>
      <c r="C149" s="152"/>
      <c r="D149" s="152"/>
      <c r="E149" s="164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1" t="s">
        <v>244</v>
      </c>
      <c r="B162" s="152"/>
      <c r="C162" s="152"/>
      <c r="D162" s="152"/>
      <c r="E162" s="164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53" t="s">
        <v>245</v>
      </c>
      <c r="B163" s="154"/>
      <c r="C163" s="154"/>
      <c r="D163" s="154"/>
      <c r="E163" s="16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1" t="s">
        <v>241</v>
      </c>
      <c r="B176" s="152"/>
      <c r="C176" s="152"/>
      <c r="D176" s="152"/>
      <c r="E176" s="164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1" t="s">
        <v>244</v>
      </c>
      <c r="B189" s="152"/>
      <c r="C189" s="152"/>
      <c r="D189" s="152"/>
      <c r="E189" s="164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53" t="s">
        <v>245</v>
      </c>
      <c r="B190" s="154"/>
      <c r="C190" s="154"/>
      <c r="D190" s="154"/>
      <c r="E190" s="16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1" t="s">
        <v>241</v>
      </c>
      <c r="B203" s="152"/>
      <c r="C203" s="152"/>
      <c r="D203" s="152"/>
      <c r="E203" s="164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1" t="s">
        <v>244</v>
      </c>
      <c r="B216" s="152"/>
      <c r="C216" s="152"/>
      <c r="D216" s="152"/>
      <c r="E216" s="164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53" t="s">
        <v>245</v>
      </c>
      <c r="B217" s="154"/>
      <c r="C217" s="154"/>
      <c r="D217" s="154"/>
      <c r="E217" s="16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55" t="s">
        <v>241</v>
      </c>
      <c r="B230" s="156"/>
      <c r="C230" s="156"/>
      <c r="D230" s="156"/>
      <c r="E230" s="166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1" t="s">
        <v>244</v>
      </c>
      <c r="B243" s="152"/>
      <c r="C243" s="152"/>
      <c r="D243" s="152"/>
      <c r="E243" s="164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53" t="s">
        <v>245</v>
      </c>
      <c r="B244" s="154"/>
      <c r="C244" s="154"/>
      <c r="D244" s="154"/>
      <c r="E244" s="16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1" t="s">
        <v>241</v>
      </c>
      <c r="B257" s="152"/>
      <c r="C257" s="152"/>
      <c r="D257" s="152"/>
      <c r="E257" s="164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1" t="s">
        <v>244</v>
      </c>
      <c r="B270" s="152"/>
      <c r="C270" s="152"/>
      <c r="D270" s="152"/>
      <c r="E270" s="164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53" t="s">
        <v>245</v>
      </c>
      <c r="B271" s="154"/>
      <c r="C271" s="154"/>
      <c r="D271" s="154"/>
      <c r="E271" s="16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1" t="s">
        <v>241</v>
      </c>
      <c r="B284" s="152"/>
      <c r="C284" s="152"/>
      <c r="D284" s="152"/>
      <c r="E284" s="164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1" t="s">
        <v>244</v>
      </c>
      <c r="B297" s="152"/>
      <c r="C297" s="152"/>
      <c r="D297" s="152"/>
      <c r="E297" s="164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53" t="s">
        <v>245</v>
      </c>
      <c r="B298" s="154"/>
      <c r="C298" s="154"/>
      <c r="D298" s="154"/>
      <c r="E298" s="16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 t="s">
        <v>23</v>
      </c>
      <c r="I301" s="33" t="s">
        <v>28</v>
      </c>
      <c r="J301" s="33" t="s">
        <v>39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263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1" t="s">
        <v>241</v>
      </c>
      <c r="B311" s="152"/>
      <c r="C311" s="152"/>
      <c r="D311" s="152"/>
      <c r="E311" s="164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242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62" t="s">
        <v>240</v>
      </c>
      <c r="F312" s="27">
        <v>0</v>
      </c>
      <c r="G312" s="28">
        <v>0</v>
      </c>
      <c r="H312" s="26" t="s">
        <v>23</v>
      </c>
      <c r="I312" s="26" t="s">
        <v>28</v>
      </c>
      <c r="J312" s="26" t="s">
        <v>39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26</v>
      </c>
      <c r="D313" s="59" t="s">
        <v>35</v>
      </c>
      <c r="E313" s="62" t="s">
        <v>240</v>
      </c>
      <c r="F313" s="27">
        <v>0</v>
      </c>
      <c r="G313" s="28">
        <v>0</v>
      </c>
      <c r="H313" s="33" t="s">
        <v>21</v>
      </c>
      <c r="I313" s="33"/>
      <c r="J313" s="33" t="s">
        <v>29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26</v>
      </c>
      <c r="D314" s="59" t="s">
        <v>35</v>
      </c>
      <c r="E314" s="62" t="s">
        <v>240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26</v>
      </c>
      <c r="D315" s="59" t="s">
        <v>35</v>
      </c>
      <c r="E315" s="62" t="s">
        <v>240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26</v>
      </c>
      <c r="D316" s="59" t="s">
        <v>35</v>
      </c>
      <c r="E316" s="62" t="s">
        <v>240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26</v>
      </c>
      <c r="D317" s="59" t="s">
        <v>35</v>
      </c>
      <c r="E317" s="62" t="s">
        <v>240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26</v>
      </c>
      <c r="D318" s="59" t="s">
        <v>35</v>
      </c>
      <c r="E318" s="62" t="s">
        <v>240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26</v>
      </c>
      <c r="D319" s="59" t="s">
        <v>35</v>
      </c>
      <c r="E319" s="62" t="s">
        <v>240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26</v>
      </c>
      <c r="D320" s="59" t="s">
        <v>35</v>
      </c>
      <c r="E320" s="62" t="s">
        <v>240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26</v>
      </c>
      <c r="D321" s="59" t="s">
        <v>35</v>
      </c>
      <c r="E321" s="62" t="s">
        <v>240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26</v>
      </c>
      <c r="D322" s="59" t="s">
        <v>35</v>
      </c>
      <c r="E322" s="62" t="s">
        <v>240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26</v>
      </c>
      <c r="D323" s="59" t="s">
        <v>35</v>
      </c>
      <c r="E323" s="62" t="s">
        <v>240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1" t="s">
        <v>244</v>
      </c>
      <c r="B324" s="152"/>
      <c r="C324" s="152"/>
      <c r="D324" s="152"/>
      <c r="E324" s="164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242</v>
      </c>
      <c r="O324" s="39">
        <v>2216340</v>
      </c>
    </row>
    <row r="325" spans="1:15" ht="18" customHeight="1">
      <c r="A325" s="153" t="s">
        <v>245</v>
      </c>
      <c r="B325" s="154"/>
      <c r="C325" s="154"/>
      <c r="D325" s="154"/>
      <c r="E325" s="16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246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25</v>
      </c>
      <c r="I326" s="26" t="s">
        <v>28</v>
      </c>
      <c r="J326" s="26" t="s">
        <v>139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7"/>
        <v/>
      </c>
      <c r="H327" s="33" t="s">
        <v>25</v>
      </c>
      <c r="I327" s="33" t="s">
        <v>28</v>
      </c>
      <c r="J327" s="33" t="s">
        <v>208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264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34</v>
      </c>
      <c r="D331" s="59" t="s">
        <v>35</v>
      </c>
      <c r="E331" s="59" t="s">
        <v>240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34</v>
      </c>
      <c r="D332" s="59" t="s">
        <v>35</v>
      </c>
      <c r="E332" s="59" t="s">
        <v>240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34</v>
      </c>
      <c r="D333" s="59" t="s">
        <v>35</v>
      </c>
      <c r="E333" s="59" t="s">
        <v>240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265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34</v>
      </c>
      <c r="D334" s="59" t="s">
        <v>35</v>
      </c>
      <c r="E334" s="59" t="s">
        <v>240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34</v>
      </c>
      <c r="D335" s="59" t="s">
        <v>35</v>
      </c>
      <c r="E335" s="59" t="s">
        <v>240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34</v>
      </c>
      <c r="D336" s="59" t="s">
        <v>35</v>
      </c>
      <c r="E336" s="59" t="s">
        <v>240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34</v>
      </c>
      <c r="D337" s="59" t="s">
        <v>35</v>
      </c>
      <c r="E337" s="59" t="s">
        <v>240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1" t="s">
        <v>241</v>
      </c>
      <c r="B338" s="152"/>
      <c r="C338" s="152"/>
      <c r="D338" s="152"/>
      <c r="E338" s="164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242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62" t="s">
        <v>240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25</v>
      </c>
      <c r="I339" s="33" t="s">
        <v>28</v>
      </c>
      <c r="J339" s="33" t="s">
        <v>41</v>
      </c>
      <c r="K339" s="29">
        <v>0.84652777777777777</v>
      </c>
      <c r="L339" s="29"/>
      <c r="M339" s="35">
        <f t="shared" ref="M339:M350" ca="1" si="71">IFERROR(IF(K339="","",IF(L339="",MOD(NOW()-K339,1),IF(L339&gt;=K339,L339-K339,L339+1-K339))),"")</f>
        <v>0.11243819443916436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26</v>
      </c>
      <c r="D340" s="62" t="s">
        <v>35</v>
      </c>
      <c r="E340" s="62" t="s">
        <v>240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26</v>
      </c>
      <c r="D341" s="62" t="s">
        <v>35</v>
      </c>
      <c r="E341" s="62" t="s">
        <v>240</v>
      </c>
      <c r="F341" s="27">
        <v>0</v>
      </c>
      <c r="G341" s="34">
        <f t="shared" si="70"/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26</v>
      </c>
      <c r="D342" s="62" t="s">
        <v>35</v>
      </c>
      <c r="E342" s="62" t="s">
        <v>240</v>
      </c>
      <c r="F342" s="27"/>
      <c r="G342" s="28" t="str">
        <f t="shared" si="70"/>
        <v/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26</v>
      </c>
      <c r="D343" s="62" t="s">
        <v>35</v>
      </c>
      <c r="E343" s="62" t="s">
        <v>240</v>
      </c>
      <c r="F343" s="27"/>
      <c r="G343" s="34" t="str">
        <f t="shared" si="70"/>
        <v/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26</v>
      </c>
      <c r="D344" s="62" t="s">
        <v>35</v>
      </c>
      <c r="E344" s="62" t="s">
        <v>240</v>
      </c>
      <c r="F344" s="27"/>
      <c r="G344" s="28" t="str">
        <f t="shared" si="70"/>
        <v/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26</v>
      </c>
      <c r="D345" s="62" t="s">
        <v>35</v>
      </c>
      <c r="E345" s="62" t="s">
        <v>240</v>
      </c>
      <c r="F345" s="27"/>
      <c r="G345" s="34" t="str">
        <f t="shared" si="70"/>
        <v/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26</v>
      </c>
      <c r="D346" s="62" t="s">
        <v>35</v>
      </c>
      <c r="E346" s="62" t="s">
        <v>240</v>
      </c>
      <c r="F346" s="27"/>
      <c r="G346" s="28" t="str">
        <f t="shared" si="70"/>
        <v/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26</v>
      </c>
      <c r="D347" s="62" t="s">
        <v>35</v>
      </c>
      <c r="E347" s="62" t="s">
        <v>240</v>
      </c>
      <c r="F347" s="27"/>
      <c r="G347" s="34" t="str">
        <f t="shared" si="70"/>
        <v/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26</v>
      </c>
      <c r="D348" s="62" t="s">
        <v>35</v>
      </c>
      <c r="E348" s="62" t="s">
        <v>240</v>
      </c>
      <c r="F348" s="27"/>
      <c r="G348" s="28" t="str">
        <f t="shared" si="70"/>
        <v/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26</v>
      </c>
      <c r="D349" s="62" t="s">
        <v>35</v>
      </c>
      <c r="E349" s="62" t="s">
        <v>240</v>
      </c>
      <c r="F349" s="27"/>
      <c r="G349" s="34" t="str">
        <f t="shared" si="70"/>
        <v/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26</v>
      </c>
      <c r="D350" s="62" t="s">
        <v>35</v>
      </c>
      <c r="E350" s="62" t="s">
        <v>240</v>
      </c>
      <c r="F350" s="27"/>
      <c r="G350" s="28" t="str">
        <f t="shared" si="70"/>
        <v/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1" t="s">
        <v>244</v>
      </c>
      <c r="B351" s="152"/>
      <c r="C351" s="152"/>
      <c r="D351" s="152"/>
      <c r="E351" s="164">
        <f>SUM(E339:E350)</f>
        <v>0</v>
      </c>
      <c r="F351" s="36">
        <f>SUM(F339:F350)</f>
        <v>45</v>
      </c>
      <c r="G351" s="36">
        <f>SUM(G339:G350)</f>
        <v>225</v>
      </c>
      <c r="H351" s="37"/>
      <c r="I351" s="37"/>
      <c r="J351" s="37"/>
      <c r="K351" s="37"/>
      <c r="L351" s="37"/>
      <c r="M351" s="38">
        <f ca="1">IFERROR(SUM(M339:M350),"")</f>
        <v>0.11243819443916436</v>
      </c>
      <c r="N351" s="36" t="s">
        <v>242</v>
      </c>
      <c r="O351" s="39"/>
    </row>
    <row r="352" spans="1:15" ht="18" customHeight="1">
      <c r="A352" s="153" t="s">
        <v>245</v>
      </c>
      <c r="B352" s="154"/>
      <c r="C352" s="154"/>
      <c r="D352" s="154"/>
      <c r="E352" s="165">
        <f>E338+E351</f>
        <v>0</v>
      </c>
      <c r="F352" s="40">
        <f>F338+F351</f>
        <v>277</v>
      </c>
      <c r="G352" s="40">
        <f>G338+G351</f>
        <v>1385</v>
      </c>
      <c r="H352" s="41"/>
      <c r="I352" s="41"/>
      <c r="J352" s="41"/>
      <c r="K352" s="41"/>
      <c r="L352" s="41"/>
      <c r="M352" s="42">
        <f ca="1">IFERROR(M338+M351,"")</f>
        <v>0.18952152777249776</v>
      </c>
      <c r="N352" s="40" t="s">
        <v>246</v>
      </c>
      <c r="O352" s="48">
        <f>IFERROR(O338+O351,"")</f>
        <v>1925790</v>
      </c>
    </row>
    <row r="353" spans="1:15" ht="15" customHeight="1">
      <c r="A353" s="68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3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4">IFERROR(IF(K353="","",IF(L353="",MOD(NOW()-K353,1),IF(L353&gt;=K353,L353-K353,L353+1-K353))),"")</f>
        <v/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/>
      <c r="D354" s="62"/>
      <c r="E354" s="62"/>
      <c r="F354" s="27"/>
      <c r="G354" s="28" t="str">
        <f t="shared" si="73"/>
        <v/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/>
      <c r="D355" s="62"/>
      <c r="E355" s="62"/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/>
      <c r="D356" s="62"/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/>
      <c r="D357" s="62"/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/>
      <c r="D358" s="62"/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/>
      <c r="D359" s="62"/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/>
      <c r="D360" s="62"/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/>
      <c r="D361" s="62"/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/>
      <c r="D362" s="62"/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/>
      <c r="D363" s="62"/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/>
      <c r="D364" s="62"/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1" t="s">
        <v>241</v>
      </c>
      <c r="B365" s="152"/>
      <c r="C365" s="152"/>
      <c r="D365" s="152"/>
      <c r="E365" s="16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1" t="s">
        <v>244</v>
      </c>
      <c r="B378" s="152"/>
      <c r="C378" s="152"/>
      <c r="D378" s="152"/>
      <c r="E378" s="16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53" t="s">
        <v>245</v>
      </c>
      <c r="B379" s="154"/>
      <c r="C379" s="154"/>
      <c r="D379" s="154"/>
      <c r="E379" s="16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1" t="s">
        <v>241</v>
      </c>
      <c r="B392" s="152"/>
      <c r="C392" s="152"/>
      <c r="D392" s="152"/>
      <c r="E392" s="16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1" t="s">
        <v>244</v>
      </c>
      <c r="B405" s="152"/>
      <c r="C405" s="152"/>
      <c r="D405" s="152"/>
      <c r="E405" s="16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53" t="s">
        <v>245</v>
      </c>
      <c r="B406" s="154"/>
      <c r="C406" s="154"/>
      <c r="D406" s="154"/>
      <c r="E406" s="16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1" t="s">
        <v>241</v>
      </c>
      <c r="B419" s="152"/>
      <c r="C419" s="152"/>
      <c r="D419" s="152"/>
      <c r="E419" s="16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1" t="s">
        <v>244</v>
      </c>
      <c r="B432" s="152"/>
      <c r="C432" s="152"/>
      <c r="D432" s="152"/>
      <c r="E432" s="16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53" t="s">
        <v>245</v>
      </c>
      <c r="B433" s="154"/>
      <c r="C433" s="154"/>
      <c r="D433" s="154"/>
      <c r="E433" s="16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1" t="s">
        <v>241</v>
      </c>
      <c r="B446" s="152"/>
      <c r="C446" s="152"/>
      <c r="D446" s="152"/>
      <c r="E446" s="16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1" t="s">
        <v>244</v>
      </c>
      <c r="B459" s="152"/>
      <c r="C459" s="152"/>
      <c r="D459" s="152"/>
      <c r="E459" s="16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53" t="s">
        <v>245</v>
      </c>
      <c r="B460" s="154"/>
      <c r="C460" s="154"/>
      <c r="D460" s="154"/>
      <c r="E460" s="16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1" t="s">
        <v>241</v>
      </c>
      <c r="B473" s="152"/>
      <c r="C473" s="152"/>
      <c r="D473" s="152"/>
      <c r="E473" s="16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1" t="s">
        <v>244</v>
      </c>
      <c r="B486" s="152"/>
      <c r="C486" s="152"/>
      <c r="D486" s="152"/>
      <c r="E486" s="16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53" t="s">
        <v>245</v>
      </c>
      <c r="B487" s="154"/>
      <c r="C487" s="154"/>
      <c r="D487" s="154"/>
      <c r="E487" s="16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1" t="s">
        <v>241</v>
      </c>
      <c r="B500" s="152"/>
      <c r="C500" s="152"/>
      <c r="D500" s="152"/>
      <c r="E500" s="16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1" t="s">
        <v>244</v>
      </c>
      <c r="B513" s="152"/>
      <c r="C513" s="152"/>
      <c r="D513" s="152"/>
      <c r="E513" s="16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53" t="s">
        <v>245</v>
      </c>
      <c r="B514" s="154"/>
      <c r="C514" s="154"/>
      <c r="D514" s="154"/>
      <c r="E514" s="16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1" t="s">
        <v>241</v>
      </c>
      <c r="B527" s="152"/>
      <c r="C527" s="152"/>
      <c r="D527" s="152"/>
      <c r="E527" s="16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1" t="s">
        <v>244</v>
      </c>
      <c r="B540" s="152"/>
      <c r="C540" s="152"/>
      <c r="D540" s="152"/>
      <c r="E540" s="16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53" t="s">
        <v>245</v>
      </c>
      <c r="B541" s="154"/>
      <c r="C541" s="154"/>
      <c r="D541" s="154"/>
      <c r="E541" s="16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1" t="s">
        <v>241</v>
      </c>
      <c r="B554" s="152"/>
      <c r="C554" s="152"/>
      <c r="D554" s="152"/>
      <c r="E554" s="16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1" t="s">
        <v>244</v>
      </c>
      <c r="B567" s="152"/>
      <c r="C567" s="152"/>
      <c r="D567" s="152"/>
      <c r="E567" s="16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53" t="s">
        <v>245</v>
      </c>
      <c r="B568" s="154"/>
      <c r="C568" s="154"/>
      <c r="D568" s="154"/>
      <c r="E568" s="16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1" t="s">
        <v>241</v>
      </c>
      <c r="B581" s="152"/>
      <c r="C581" s="152"/>
      <c r="D581" s="152"/>
      <c r="E581" s="16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1" t="s">
        <v>244</v>
      </c>
      <c r="B594" s="152"/>
      <c r="C594" s="152"/>
      <c r="D594" s="152"/>
      <c r="E594" s="16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53" t="s">
        <v>245</v>
      </c>
      <c r="B595" s="154"/>
      <c r="C595" s="154"/>
      <c r="D595" s="154"/>
      <c r="E595" s="16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1" t="s">
        <v>241</v>
      </c>
      <c r="B608" s="152"/>
      <c r="C608" s="152"/>
      <c r="D608" s="152"/>
      <c r="E608" s="16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1" t="s">
        <v>244</v>
      </c>
      <c r="B621" s="152"/>
      <c r="C621" s="152"/>
      <c r="D621" s="152"/>
      <c r="E621" s="16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53" t="s">
        <v>245</v>
      </c>
      <c r="B622" s="154"/>
      <c r="C622" s="154"/>
      <c r="D622" s="154"/>
      <c r="E622" s="16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1" t="s">
        <v>241</v>
      </c>
      <c r="B635" s="152"/>
      <c r="C635" s="152"/>
      <c r="D635" s="152"/>
      <c r="E635" s="16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1" t="s">
        <v>244</v>
      </c>
      <c r="B648" s="152"/>
      <c r="C648" s="152"/>
      <c r="D648" s="152"/>
      <c r="E648" s="16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53" t="s">
        <v>245</v>
      </c>
      <c r="B649" s="154"/>
      <c r="C649" s="154"/>
      <c r="D649" s="154"/>
      <c r="E649" s="16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1" t="s">
        <v>241</v>
      </c>
      <c r="B662" s="152"/>
      <c r="C662" s="152"/>
      <c r="D662" s="152"/>
      <c r="E662" s="16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1" t="s">
        <v>244</v>
      </c>
      <c r="B675" s="152"/>
      <c r="C675" s="152"/>
      <c r="D675" s="152"/>
      <c r="E675" s="16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53" t="s">
        <v>245</v>
      </c>
      <c r="B676" s="154"/>
      <c r="C676" s="154"/>
      <c r="D676" s="154"/>
      <c r="E676" s="16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1" t="s">
        <v>241</v>
      </c>
      <c r="B689" s="152"/>
      <c r="C689" s="152"/>
      <c r="D689" s="152"/>
      <c r="E689" s="16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1" t="s">
        <v>244</v>
      </c>
      <c r="B702" s="152"/>
      <c r="C702" s="152"/>
      <c r="D702" s="152"/>
      <c r="E702" s="16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53" t="s">
        <v>245</v>
      </c>
      <c r="B703" s="154"/>
      <c r="C703" s="154"/>
      <c r="D703" s="154"/>
      <c r="E703" s="16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1" t="s">
        <v>241</v>
      </c>
      <c r="B716" s="152"/>
      <c r="C716" s="152"/>
      <c r="D716" s="152"/>
      <c r="E716" s="16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1" t="s">
        <v>244</v>
      </c>
      <c r="B729" s="152"/>
      <c r="C729" s="152"/>
      <c r="D729" s="152"/>
      <c r="E729" s="16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53" t="s">
        <v>245</v>
      </c>
      <c r="B730" s="154"/>
      <c r="C730" s="154"/>
      <c r="D730" s="154"/>
      <c r="E730" s="16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1" t="s">
        <v>241</v>
      </c>
      <c r="B743" s="152"/>
      <c r="C743" s="152"/>
      <c r="D743" s="152"/>
      <c r="E743" s="16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1" t="s">
        <v>244</v>
      </c>
      <c r="B756" s="152"/>
      <c r="C756" s="152"/>
      <c r="D756" s="152"/>
      <c r="E756" s="16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53" t="s">
        <v>245</v>
      </c>
      <c r="B757" s="154"/>
      <c r="C757" s="154"/>
      <c r="D757" s="154"/>
      <c r="E757" s="16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1" t="s">
        <v>241</v>
      </c>
      <c r="B770" s="152"/>
      <c r="C770" s="152"/>
      <c r="D770" s="152"/>
      <c r="E770" s="16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1" t="s">
        <v>244</v>
      </c>
      <c r="B783" s="152"/>
      <c r="C783" s="152"/>
      <c r="D783" s="152"/>
      <c r="E783" s="16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53" t="s">
        <v>245</v>
      </c>
      <c r="B784" s="154"/>
      <c r="C784" s="154"/>
      <c r="D784" s="154"/>
      <c r="E784" s="16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1" t="s">
        <v>241</v>
      </c>
      <c r="B797" s="152"/>
      <c r="C797" s="152"/>
      <c r="D797" s="152"/>
      <c r="E797" s="16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1" t="s">
        <v>244</v>
      </c>
      <c r="B810" s="152"/>
      <c r="C810" s="152"/>
      <c r="D810" s="152"/>
      <c r="E810" s="16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67" t="s">
        <v>245</v>
      </c>
      <c r="B811" s="168"/>
      <c r="C811" s="168"/>
      <c r="D811" s="168"/>
      <c r="E811" s="169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1" t="s">
        <v>241</v>
      </c>
      <c r="B824" s="152"/>
      <c r="C824" s="152"/>
      <c r="D824" s="152"/>
      <c r="E824" s="164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1" t="s">
        <v>244</v>
      </c>
      <c r="B837" s="152"/>
      <c r="C837" s="152"/>
      <c r="D837" s="152"/>
      <c r="E837" s="164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53" t="s">
        <v>245</v>
      </c>
      <c r="B838" s="154"/>
      <c r="C838" s="154"/>
      <c r="D838" s="154"/>
      <c r="E838" s="16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23" activePane="bottomLeft" state="frozen"/>
      <selection pane="bottomLeft" activeCell="G343" sqref="G343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268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269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270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09" t="s">
        <v>256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109" t="s">
        <v>256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109" t="s">
        <v>256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109" t="s">
        <v>256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271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109" t="s">
        <v>256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272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109" t="s">
        <v>256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109" t="s">
        <v>256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109" t="s">
        <v>256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109" t="s">
        <v>256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109" t="s">
        <v>256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109" t="s">
        <v>256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2"/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3</v>
      </c>
      <c r="H30" s="134"/>
      <c r="I30" s="135"/>
      <c r="J30" s="136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273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274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275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0.83743819443770917</v>
      </c>
      <c r="R53" s="46" t="s">
        <v>276</v>
      </c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0.97632708332659801</v>
      </c>
      <c r="R54" s="36" t="s">
        <v>242</v>
      </c>
      <c r="S54" s="75">
        <v>352430</v>
      </c>
      <c r="T54" s="117"/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1.0610493055488204</v>
      </c>
      <c r="R55" s="40" t="s">
        <v>246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268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277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34</v>
      </c>
      <c r="D80" s="62" t="s">
        <v>35</v>
      </c>
      <c r="E80" s="109" t="s">
        <v>256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8"/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20" t="s">
        <v>35</v>
      </c>
      <c r="E83" s="108" t="s">
        <v>256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278</v>
      </c>
      <c r="Q96" s="30" t="str">
        <f t="shared" ref="Q96:Q107" ca="1" si="22">IFERROR(IF(O96="","",IF(P96="",MOD(NOW()-O96,1),IF(P96&gt;=O96,P96-O96,P96+1-O96))),"")</f>
        <v/>
      </c>
      <c r="R96" s="46" t="s">
        <v>279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280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281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8"/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282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8"/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283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284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285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286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8"/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8" t="s">
        <v>256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8" t="s">
        <v>256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287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8" t="s">
        <v>256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284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288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8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8" t="s">
        <v>256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8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2"/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289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282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2"/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277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291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292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55" t="s">
        <v>241</v>
      </c>
      <c r="B230" s="156"/>
      <c r="C230" s="156"/>
      <c r="D230" s="156"/>
      <c r="E230" s="156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2"/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2"/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2"/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24</v>
      </c>
      <c r="M303" s="33" t="s">
        <v>44</v>
      </c>
      <c r="N303" s="33" t="s">
        <v>32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22</v>
      </c>
      <c r="M304" s="26"/>
      <c r="N304" s="26" t="s">
        <v>30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62" t="s">
        <v>256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62" t="s">
        <v>256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62" t="s">
        <v>256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62" t="s">
        <v>256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62" t="s">
        <v>256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62" t="s">
        <v>256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242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62" t="s">
        <v>35</v>
      </c>
      <c r="E312" s="62" t="s">
        <v>256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24</v>
      </c>
      <c r="M312" s="26" t="s">
        <v>165</v>
      </c>
      <c r="N312" s="26" t="s">
        <v>32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26</v>
      </c>
      <c r="D313" s="62" t="s">
        <v>35</v>
      </c>
      <c r="E313" s="62" t="s">
        <v>256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25</v>
      </c>
      <c r="M313" s="33" t="s">
        <v>44</v>
      </c>
      <c r="N313" s="33" t="s">
        <v>41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26</v>
      </c>
      <c r="D314" s="62" t="s">
        <v>35</v>
      </c>
      <c r="E314" s="62" t="s">
        <v>256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23</v>
      </c>
      <c r="M314" s="26" t="s">
        <v>44</v>
      </c>
      <c r="N314" s="26" t="s">
        <v>162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26</v>
      </c>
      <c r="D315" s="62" t="s">
        <v>35</v>
      </c>
      <c r="E315" s="62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25</v>
      </c>
      <c r="M315" s="33" t="s">
        <v>44</v>
      </c>
      <c r="N315" s="33" t="s">
        <v>41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26</v>
      </c>
      <c r="D316" s="62" t="s">
        <v>35</v>
      </c>
      <c r="E316" s="62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24</v>
      </c>
      <c r="M316" s="26" t="s">
        <v>165</v>
      </c>
      <c r="N316" s="26" t="s">
        <v>32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26</v>
      </c>
      <c r="D317" s="62" t="s">
        <v>35</v>
      </c>
      <c r="E317" s="62" t="s">
        <v>256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23</v>
      </c>
      <c r="M317" s="33" t="s">
        <v>143</v>
      </c>
      <c r="N317" s="33" t="s">
        <v>105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26</v>
      </c>
      <c r="D318" s="62" t="s">
        <v>35</v>
      </c>
      <c r="E318" s="62" t="s">
        <v>256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22</v>
      </c>
      <c r="M318" s="26"/>
      <c r="N318" s="26" t="s">
        <v>30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26</v>
      </c>
      <c r="D319" s="62" t="s">
        <v>35</v>
      </c>
      <c r="E319" s="62" t="s">
        <v>256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22</v>
      </c>
      <c r="M319" s="33" t="s">
        <v>36</v>
      </c>
      <c r="N319" s="33" t="s">
        <v>54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26</v>
      </c>
      <c r="D320" s="62" t="s">
        <v>35</v>
      </c>
      <c r="E320" s="62" t="s">
        <v>256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22</v>
      </c>
      <c r="M320" s="26" t="s">
        <v>140</v>
      </c>
      <c r="N320" s="26" t="s">
        <v>54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26</v>
      </c>
      <c r="D321" s="62" t="s">
        <v>35</v>
      </c>
      <c r="E321" s="62" t="s">
        <v>256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26</v>
      </c>
      <c r="D322" s="62" t="s">
        <v>35</v>
      </c>
      <c r="E322" s="62" t="s">
        <v>256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26</v>
      </c>
      <c r="D323" s="62" t="s">
        <v>35</v>
      </c>
      <c r="E323" s="62" t="s">
        <v>256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242</v>
      </c>
      <c r="S324" s="149">
        <v>725030</v>
      </c>
      <c r="T324" s="122">
        <f>IFERROR(J324,"")</f>
        <v>104.40432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246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2.9094227027027024</v>
      </c>
      <c r="K326" s="28">
        <f t="shared" ref="K326:K337" si="75">IF(G326="","",IF(E326="PC 17",G326*4.2,IF(E326="PC 19",G326*5,IF(E326="CB",G326*24,""))))</f>
        <v>20</v>
      </c>
      <c r="L326" s="26" t="s">
        <v>23</v>
      </c>
      <c r="M326" s="26" t="s">
        <v>44</v>
      </c>
      <c r="N326" s="26" t="s">
        <v>135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293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24</v>
      </c>
      <c r="M327" s="33" t="s">
        <v>44</v>
      </c>
      <c r="N327" s="33" t="s">
        <v>32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2.9094227027027024</v>
      </c>
      <c r="K328" s="28">
        <f t="shared" si="75"/>
        <v>20</v>
      </c>
      <c r="L328" s="26" t="s">
        <v>23</v>
      </c>
      <c r="M328" s="26" t="s">
        <v>143</v>
      </c>
      <c r="N328" s="26" t="s">
        <v>135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294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8.0009124324324326</v>
      </c>
      <c r="K329" s="34">
        <f t="shared" si="75"/>
        <v>55</v>
      </c>
      <c r="L329" s="33" t="s">
        <v>23</v>
      </c>
      <c r="M329" s="33" t="s">
        <v>143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295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2.1820670270270268</v>
      </c>
      <c r="K330" s="28">
        <f t="shared" si="75"/>
        <v>15</v>
      </c>
      <c r="L330" s="26" t="s">
        <v>25</v>
      </c>
      <c r="M330" s="26" t="s">
        <v>131</v>
      </c>
      <c r="N330" s="26" t="s">
        <v>119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23</v>
      </c>
      <c r="M331" s="33" t="s">
        <v>143</v>
      </c>
      <c r="N331" s="33" t="s">
        <v>66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296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6.5462010810810796</v>
      </c>
      <c r="K332" s="28">
        <f t="shared" si="75"/>
        <v>37.800000000000004</v>
      </c>
      <c r="L332" s="26" t="s">
        <v>23</v>
      </c>
      <c r="M332" s="26" t="s">
        <v>44</v>
      </c>
      <c r="N332" s="26" t="s">
        <v>177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297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4.3641340540540536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26.91216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242</v>
      </c>
      <c r="S338" s="45">
        <v>186890</v>
      </c>
      <c r="T338" s="122">
        <f>IFERROR(J338,"")</f>
        <v>26.91216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6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0</v>
      </c>
      <c r="K339" s="34">
        <f t="shared" ref="K339:K350" si="79">IF(G339="","",IF(E339="PC 17",G339*4.2,IF(E339="PC 19",G339*5,IF(E339="CB",G339*24,""))))</f>
        <v>25.200000000000003</v>
      </c>
      <c r="L339" s="33" t="s">
        <v>24</v>
      </c>
      <c r="M339" s="33" t="s">
        <v>44</v>
      </c>
      <c r="N339" s="33" t="s">
        <v>40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15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8"/>
        <v>0</v>
      </c>
      <c r="K340" s="28">
        <f t="shared" si="79"/>
        <v>63</v>
      </c>
      <c r="L340" s="26" t="s">
        <v>24</v>
      </c>
      <c r="M340" s="26" t="s">
        <v>44</v>
      </c>
      <c r="N340" s="26" t="s">
        <v>83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18</v>
      </c>
      <c r="H341" s="134">
        <f>IFERROR(IF($G341="","",$G341*$S$351/$G$351/Cadastro!$E$33),"")</f>
        <v>0</v>
      </c>
      <c r="I341" s="135">
        <f>IFERROR(IF($D341="","",VLOOKUP($D341,Cadastro!$C$4:$G$7,5,FALSE)),"")</f>
        <v>0.6</v>
      </c>
      <c r="J341" s="136">
        <f t="shared" si="78"/>
        <v>0</v>
      </c>
      <c r="K341" s="34">
        <f t="shared" si="79"/>
        <v>75.600000000000009</v>
      </c>
      <c r="L341" s="33" t="s">
        <v>25</v>
      </c>
      <c r="M341" s="33" t="s">
        <v>36</v>
      </c>
      <c r="N341" s="33" t="s">
        <v>41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289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12</v>
      </c>
      <c r="H342" s="134">
        <f>IFERROR(IF($G342="","",$G342*$S$351/$G$351/Cadastro!$E$33),"")</f>
        <v>0</v>
      </c>
      <c r="I342" s="135">
        <f>IFERROR(IF($D342="","",VLOOKUP($D342,Cadastro!$C$4:$G$7,5,FALSE)),"")</f>
        <v>0.6</v>
      </c>
      <c r="J342" s="136">
        <f t="shared" si="78"/>
        <v>0</v>
      </c>
      <c r="K342" s="28">
        <f t="shared" si="79"/>
        <v>50.400000000000006</v>
      </c>
      <c r="L342" s="26"/>
      <c r="M342" s="26"/>
      <c r="N342" s="26"/>
      <c r="O342" s="29"/>
      <c r="P342" s="29"/>
      <c r="Q342" s="30" t="str">
        <f t="shared" ca="1" si="80"/>
        <v/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/>
      <c r="H343" s="134" t="str">
        <f>IFERROR(IF($G343="","",$G343*$S$351/$G$351/Cadastro!$E$33),"")</f>
        <v/>
      </c>
      <c r="I343" s="135">
        <f>IFERROR(IF($D343="","",VLOOKUP($D343,Cadastro!$C$4:$G$7,5,FALSE)),"")</f>
        <v>0.6</v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46"/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/>
      <c r="H344" s="134" t="str">
        <f>IFERROR(IF($G344="","",$G344*$S$351/$G$351/Cadastro!$E$33),"")</f>
        <v/>
      </c>
      <c r="I344" s="135">
        <f>IFERROR(IF($D344="","",VLOOKUP($D344,Cadastro!$C$4:$G$7,5,FALSE)),"")</f>
        <v>0.6</v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/>
      <c r="H345" s="134" t="str">
        <f>IFERROR(IF($G345="","",$G345*$S$351/$G$351/Cadastro!$E$33),"")</f>
        <v/>
      </c>
      <c r="I345" s="135">
        <f>IFERROR(IF($D345="","",VLOOKUP($D345,Cadastro!$C$4:$G$7,5,FALSE)),"")</f>
        <v>0.6</v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/>
      <c r="H346" s="134" t="str">
        <f>IFERROR(IF($G346="","",$G346*$S$351/$G$351/Cadastro!$E$33),"")</f>
        <v/>
      </c>
      <c r="I346" s="135">
        <f>IFERROR(IF($D346="","",VLOOKUP($D346,Cadastro!$C$4:$G$7,5,FALSE)),"")</f>
        <v>0.6</v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/>
      <c r="H347" s="134" t="str">
        <f>IFERROR(IF($G347="","",$G347*$S$351/$G$351/Cadastro!$E$33),"")</f>
        <v/>
      </c>
      <c r="I347" s="135">
        <f>IFERROR(IF($D347="","",VLOOKUP($D347,Cadastro!$C$4:$G$7,5,FALSE)),"")</f>
        <v>0.6</v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/>
      <c r="H348" s="134" t="str">
        <f>IFERROR(IF($G348="","",$G348*$S$351/$G$351/Cadastro!$E$33),"")</f>
        <v/>
      </c>
      <c r="I348" s="135">
        <f>IFERROR(IF($D348="","",VLOOKUP($D348,Cadastro!$C$4:$G$7,5,FALSE)),"")</f>
        <v>0.6</v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51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214.20000000000002</v>
      </c>
      <c r="L351" s="37"/>
      <c r="M351" s="37"/>
      <c r="N351" s="37"/>
      <c r="O351" s="37"/>
      <c r="P351" s="37"/>
      <c r="Q351" s="38">
        <f ca="1">IFERROR(SUM(Q339:Q350),"")</f>
        <v>5.1388888888889039E-2</v>
      </c>
      <c r="R351" s="36" t="s">
        <v>242</v>
      </c>
      <c r="S351" s="45"/>
      <c r="T351" s="122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88</v>
      </c>
      <c r="H352" s="112">
        <f>IFERROR(H338+H351,"")</f>
        <v>186.89</v>
      </c>
      <c r="I352" s="116"/>
      <c r="J352" s="125">
        <f>IFERROR(J338+J351,"")</f>
        <v>26.91216</v>
      </c>
      <c r="K352" s="40">
        <f>K338+K351</f>
        <v>387.20000000000005</v>
      </c>
      <c r="L352" s="41"/>
      <c r="M352" s="41"/>
      <c r="N352" s="41"/>
      <c r="O352" s="41"/>
      <c r="P352" s="41"/>
      <c r="Q352" s="42">
        <f ca="1">IFERROR(Q338+Q351,"")</f>
        <v>0.39375000000000004</v>
      </c>
      <c r="R352" s="40" t="s">
        <v>246</v>
      </c>
      <c r="S352" s="143">
        <f>IFERROR(S338+S351,"")</f>
        <v>186890</v>
      </c>
      <c r="T352" s="144">
        <f>IFERROR(J352,"")</f>
        <v>26.91216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46"/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26"/>
      <c r="M354" s="26"/>
      <c r="N354" s="26"/>
      <c r="O354" s="29"/>
      <c r="P354" s="29"/>
      <c r="Q354" s="30" t="str">
        <f t="shared" ca="1" si="84"/>
        <v/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2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2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244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2">
        <f>IFERROR(J432,"")</f>
        <v>0</v>
      </c>
    </row>
    <row r="433" spans="1:20" ht="18" customHeight="1">
      <c r="A433" s="83" t="s">
        <v>245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2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2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244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2">
        <f>IFERROR(J513,"")</f>
        <v>0</v>
      </c>
    </row>
    <row r="514" spans="1:20" ht="18" customHeight="1">
      <c r="A514" s="83" t="s">
        <v>245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2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2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2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2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2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2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2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2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5"/>
      <c r="T837" s="117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24" activePane="bottomLeft" state="frozen"/>
      <selection pane="bottomLeft" activeCell="G343" sqref="G343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298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271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299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34</v>
      </c>
      <c r="D25" s="62" t="s">
        <v>51</v>
      </c>
      <c r="E25" s="109" t="s">
        <v>256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34</v>
      </c>
      <c r="D26" s="62" t="s">
        <v>51</v>
      </c>
      <c r="E26" s="109" t="s">
        <v>256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277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298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298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8" t="s">
        <v>256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8" t="s">
        <v>256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8" t="s">
        <v>256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8" t="s">
        <v>256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8" t="s">
        <v>256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300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8" t="s">
        <v>256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51</v>
      </c>
      <c r="E64" s="108" t="s">
        <v>256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8" t="s">
        <v>256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8" t="s">
        <v>256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301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302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303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304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305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19">
        <f>IFERROR(J135,"")</f>
        <v>0</v>
      </c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306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285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277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307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308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288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309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19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311</v>
      </c>
      <c r="Q222" s="30" t="str">
        <f t="shared" ca="1" si="49"/>
        <v/>
      </c>
      <c r="R222" s="27" t="s">
        <v>312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313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240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240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32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242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24</v>
      </c>
      <c r="M312" s="26" t="s">
        <v>52</v>
      </c>
      <c r="N312" s="26" t="s">
        <v>32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23</v>
      </c>
      <c r="M313" s="33" t="s">
        <v>143</v>
      </c>
      <c r="N313" s="33" t="s">
        <v>105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22</v>
      </c>
      <c r="M315" s="33" t="s">
        <v>140</v>
      </c>
      <c r="N315" s="33" t="s">
        <v>54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22</v>
      </c>
      <c r="M316" s="26" t="s">
        <v>140</v>
      </c>
      <c r="N316" s="26" t="s">
        <v>54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242</v>
      </c>
      <c r="S324" s="39">
        <v>289490</v>
      </c>
      <c r="T324" s="119">
        <f>IFERROR(J324,"")</f>
        <v>41.68656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246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10.971666885245901</v>
      </c>
      <c r="K326" s="28">
        <f t="shared" ref="K326:K337" si="73">IF(G326="","",IF(E326="PC 17",G326*4.2,IF(E326="PC 19",G326*5,IF(E326="CB",G326*24,""))))</f>
        <v>60</v>
      </c>
      <c r="L326" s="26" t="s">
        <v>23</v>
      </c>
      <c r="M326" s="26" t="s">
        <v>143</v>
      </c>
      <c r="N326" s="26" t="s">
        <v>135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295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10.057361311475409</v>
      </c>
      <c r="K327" s="34">
        <f t="shared" si="73"/>
        <v>55</v>
      </c>
      <c r="L327" s="26" t="s">
        <v>23</v>
      </c>
      <c r="M327" s="26" t="s">
        <v>143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314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10.057361311475409</v>
      </c>
      <c r="K328" s="28">
        <f t="shared" si="73"/>
        <v>55</v>
      </c>
      <c r="L328" s="26" t="s">
        <v>25</v>
      </c>
      <c r="M328" s="26" t="s">
        <v>131</v>
      </c>
      <c r="N328" s="26" t="s">
        <v>119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10.971666885245901</v>
      </c>
      <c r="K329" s="34">
        <f t="shared" si="73"/>
        <v>60</v>
      </c>
      <c r="L329" s="33" t="s">
        <v>23</v>
      </c>
      <c r="M329" s="33" t="s">
        <v>143</v>
      </c>
      <c r="N329" s="33" t="s">
        <v>66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296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4.571527868852459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34</v>
      </c>
      <c r="D331" s="59" t="s">
        <v>35</v>
      </c>
      <c r="E331" s="108" t="s">
        <v>256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4.571527868852459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4.571527868852459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55.772639999999988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242</v>
      </c>
      <c r="S338" s="39">
        <v>387310</v>
      </c>
      <c r="T338" s="119">
        <f>IFERROR(J338,"")</f>
        <v>55.772639999999988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8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0</v>
      </c>
      <c r="K339" s="34">
        <f t="shared" ref="K339:K350" si="77">IF(G339="","",IF(E339="PC 17",G339*4.2,IF(E339="PC 19",G339*5,IF(E339="CB",G339*24,""))))</f>
        <v>33.6</v>
      </c>
      <c r="L339" s="33"/>
      <c r="M339" s="33"/>
      <c r="N339" s="33"/>
      <c r="O339" s="29"/>
      <c r="P339" s="29"/>
      <c r="Q339" s="35" t="str">
        <f t="shared" ref="Q339:Q350" ca="1" si="78">IFERROR(IF(O339="","",IF(P339="",MOD(NOW()-O339,1),IF(P339&gt;=O339,P339-O339,P339+1-O339))),"")</f>
        <v/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3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6"/>
        <v>0</v>
      </c>
      <c r="K340" s="28">
        <f t="shared" si="77"/>
        <v>12.600000000000001</v>
      </c>
      <c r="L340" s="26"/>
      <c r="M340" s="26"/>
      <c r="N340" s="26"/>
      <c r="O340" s="29"/>
      <c r="P340" s="29"/>
      <c r="Q340" s="30" t="str">
        <f t="shared" ca="1" si="78"/>
        <v/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8</v>
      </c>
      <c r="H341" s="134">
        <f>IFERROR(IF($G341="","",$G341*$S$351/$G$351/Cadastro!$E$33),"")</f>
        <v>0</v>
      </c>
      <c r="I341" s="135">
        <f>IFERROR(IF($D341="","",VLOOKUP($D341,Cadastro!$C$4:$G$7,5,FALSE)),"")</f>
        <v>0.6</v>
      </c>
      <c r="J341" s="136">
        <f t="shared" si="76"/>
        <v>0</v>
      </c>
      <c r="K341" s="34">
        <f t="shared" si="77"/>
        <v>33.6</v>
      </c>
      <c r="L341" s="33"/>
      <c r="M341" s="33"/>
      <c r="N341" s="33"/>
      <c r="O341" s="29"/>
      <c r="P341" s="29"/>
      <c r="Q341" s="35" t="str">
        <f t="shared" ca="1" si="78"/>
        <v/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4</v>
      </c>
      <c r="H342" s="134">
        <f>IFERROR(IF($G342="","",$G342*$S$351/$G$351/Cadastro!$E$33),"")</f>
        <v>0</v>
      </c>
      <c r="I342" s="135">
        <f>IFERROR(IF($D342="","",VLOOKUP($D342,Cadastro!$C$4:$G$7,5,FALSE)),"")</f>
        <v>0.6</v>
      </c>
      <c r="J342" s="136">
        <f t="shared" si="76"/>
        <v>0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/>
      <c r="H343" s="134" t="str">
        <f>IFERROR(IF($G343="","",$G343*$S$351/$G$351/Cadastro!$E$33),"")</f>
        <v/>
      </c>
      <c r="I343" s="135">
        <f>IFERROR(IF($D343="","",VLOOKUP($D343,Cadastro!$C$4:$G$7,5,FALSE)),"")</f>
        <v>0.6</v>
      </c>
      <c r="J343" s="136" t="str">
        <f t="shared" si="76"/>
        <v/>
      </c>
      <c r="K343" s="34" t="str">
        <f t="shared" si="77"/>
        <v/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/>
      <c r="H344" s="134" t="str">
        <f>IFERROR(IF($G344="","",$G344*$S$351/$G$351/Cadastro!$E$33),"")</f>
        <v/>
      </c>
      <c r="I344" s="135">
        <f>IFERROR(IF($D344="","",VLOOKUP($D344,Cadastro!$C$4:$G$7,5,FALSE)),"")</f>
        <v>0.6</v>
      </c>
      <c r="J344" s="136" t="str">
        <f t="shared" si="76"/>
        <v/>
      </c>
      <c r="K344" s="28" t="str">
        <f t="shared" si="77"/>
        <v/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/>
      <c r="H345" s="134" t="str">
        <f>IFERROR(IF($G345="","",$G345*$S$351/$G$351/Cadastro!$E$33),"")</f>
        <v/>
      </c>
      <c r="I345" s="135">
        <f>IFERROR(IF($D345="","",VLOOKUP($D345,Cadastro!$C$4:$G$7,5,FALSE)),"")</f>
        <v>0.6</v>
      </c>
      <c r="J345" s="136" t="str">
        <f t="shared" si="76"/>
        <v/>
      </c>
      <c r="K345" s="34" t="str">
        <f t="shared" si="77"/>
        <v/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/>
      <c r="H346" s="134" t="str">
        <f>IFERROR(IF($G346="","",$G346*$S$351/$G$351/Cadastro!$E$33),"")</f>
        <v/>
      </c>
      <c r="I346" s="135">
        <f>IFERROR(IF($D346="","",VLOOKUP($D346,Cadastro!$C$4:$G$7,5,FALSE)),"")</f>
        <v>0.6</v>
      </c>
      <c r="J346" s="136" t="str">
        <f t="shared" si="76"/>
        <v/>
      </c>
      <c r="K346" s="28" t="str">
        <f t="shared" si="77"/>
        <v/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/>
      <c r="H347" s="134" t="str">
        <f>IFERROR(IF($G347="","",$G347*$S$351/$G$351/Cadastro!$E$33),"")</f>
        <v/>
      </c>
      <c r="I347" s="135">
        <f>IFERROR(IF($D347="","",VLOOKUP($D347,Cadastro!$C$4:$G$7,5,FALSE)),"")</f>
        <v>0.6</v>
      </c>
      <c r="J347" s="136" t="str">
        <f t="shared" si="76"/>
        <v/>
      </c>
      <c r="K347" s="34" t="str">
        <f t="shared" si="77"/>
        <v/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/>
      <c r="H348" s="134" t="str">
        <f>IFERROR(IF($G348="","",$G348*$S$351/$G$351/Cadastro!$E$33),"")</f>
        <v/>
      </c>
      <c r="I348" s="135">
        <f>IFERROR(IF($D348="","",VLOOKUP($D348,Cadastro!$C$4:$G$7,5,FALSE)),"")</f>
        <v>0.6</v>
      </c>
      <c r="J348" s="136" t="str">
        <f t="shared" si="76"/>
        <v/>
      </c>
      <c r="K348" s="28" t="str">
        <f t="shared" si="77"/>
        <v/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6"/>
        <v/>
      </c>
      <c r="K349" s="34" t="str">
        <f t="shared" si="77"/>
        <v/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6"/>
        <v/>
      </c>
      <c r="K350" s="28" t="str">
        <f t="shared" si="77"/>
        <v/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23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96.600000000000009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84</v>
      </c>
      <c r="H352" s="112">
        <f>IFERROR(H338+H351,"")</f>
        <v>387.31000000000006</v>
      </c>
      <c r="I352" s="116"/>
      <c r="J352" s="125">
        <f>IFERROR(J338+J351,"")</f>
        <v>55.772639999999988</v>
      </c>
      <c r="K352" s="40">
        <f>K338+K351</f>
        <v>393.6</v>
      </c>
      <c r="L352" s="41"/>
      <c r="M352" s="41"/>
      <c r="N352" s="41"/>
      <c r="O352" s="41"/>
      <c r="P352" s="41"/>
      <c r="Q352" s="42">
        <f ca="1">IFERROR(Q338+Q351,"")</f>
        <v>0.23402777777777772</v>
      </c>
      <c r="R352" s="40" t="s">
        <v>246</v>
      </c>
      <c r="S352" s="48">
        <f>IFERROR(S338+S351,"")</f>
        <v>387310</v>
      </c>
      <c r="T352" s="121">
        <f>IFERROR(J352,"")</f>
        <v>55.772639999999988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0">IFERROR(IF($H353="","",$H353*$F353*$I353),"")</f>
        <v/>
      </c>
      <c r="K353" s="34" t="str">
        <f t="shared" ref="K353:K364" si="81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2">IFERROR(IF(O353="","",IF(P353="",MOD(NOW()-O353,1),IF(P353&gt;=O353,P353-O353,P353+1-O353))),"")</f>
        <v/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0"/>
        <v/>
      </c>
      <c r="K354" s="28" t="str">
        <f t="shared" si="81"/>
        <v/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0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22" activePane="bottomLeft" state="frozen"/>
      <selection pane="bottomLeft" activeCell="G343" sqref="G343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43</v>
      </c>
      <c r="E15" s="109" t="s">
        <v>256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315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274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298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316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317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43</v>
      </c>
      <c r="E25" s="109" t="s">
        <v>256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43</v>
      </c>
      <c r="E26" s="109" t="s">
        <v>256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108" t="s">
        <v>256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108" t="s">
        <v>256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108" t="s">
        <v>256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108" t="s">
        <v>256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108" t="s">
        <v>256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108" t="s">
        <v>256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108" t="s">
        <v>256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108" t="s">
        <v>256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108" t="s">
        <v>256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108" t="s">
        <v>256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1" t="s">
        <v>241</v>
      </c>
      <c r="B41" s="152"/>
      <c r="C41" s="152"/>
      <c r="D41" s="152"/>
      <c r="E41" s="15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318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319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320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321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298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298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322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323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24</v>
      </c>
      <c r="H126" s="134"/>
      <c r="I126" s="135"/>
      <c r="J126" s="136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24</v>
      </c>
      <c r="M127" s="33" t="s">
        <v>57</v>
      </c>
      <c r="N127" s="33" t="s">
        <v>277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298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19">
        <f>IFERROR(J135,"")</f>
        <v>0</v>
      </c>
    </row>
    <row r="136" spans="1:22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324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325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285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241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326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327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328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329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330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331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57" t="s">
        <v>332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333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2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334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335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336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337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 t="s">
        <v>338</v>
      </c>
      <c r="H246" s="134"/>
      <c r="I246" s="135"/>
      <c r="J246" s="136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109" t="s">
        <v>256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09" t="s">
        <v>256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43</v>
      </c>
      <c r="E260" s="109" t="s">
        <v>256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43</v>
      </c>
      <c r="E261" s="109" t="s">
        <v>256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43</v>
      </c>
      <c r="E262" s="109" t="s">
        <v>256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43</v>
      </c>
      <c r="E263" s="109" t="s">
        <v>256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43</v>
      </c>
      <c r="E264" s="109" t="s">
        <v>256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43</v>
      </c>
      <c r="E265" s="109" t="s">
        <v>256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43</v>
      </c>
      <c r="E266" s="109" t="s">
        <v>256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43</v>
      </c>
      <c r="E267" s="109" t="s">
        <v>256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43</v>
      </c>
      <c r="E268" s="109" t="s">
        <v>256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43</v>
      </c>
      <c r="E269" s="109" t="s">
        <v>256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21</v>
      </c>
      <c r="M301" s="33"/>
      <c r="N301" s="33" t="s">
        <v>91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242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25</v>
      </c>
      <c r="M312" s="26" t="s">
        <v>163</v>
      </c>
      <c r="N312" s="26" t="s">
        <v>79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24</v>
      </c>
      <c r="M313" s="33" t="s">
        <v>168</v>
      </c>
      <c r="N313" s="33" t="s">
        <v>32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242</v>
      </c>
      <c r="S324" s="39">
        <v>1049720</v>
      </c>
      <c r="T324" s="119">
        <f>IFERROR(J324,"")</f>
        <v>151.15967999999998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246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10.450073364055301</v>
      </c>
      <c r="K326" s="28">
        <f>IF(G326="","",IF(E327="PC 17",G326*4.2,IF(E327="PC 19",G326*5,"")))</f>
        <v>65</v>
      </c>
      <c r="L326" s="26" t="s">
        <v>24</v>
      </c>
      <c r="M326" s="26" t="s">
        <v>168</v>
      </c>
      <c r="N326" s="26" t="s">
        <v>32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13.66548055299539</v>
      </c>
      <c r="K327" s="170">
        <f>IF(G327="","",IF(E328="PC 17",G327*4.2,IF(E328="PC 19",G327*5,"")))</f>
        <v>85</v>
      </c>
      <c r="L327" s="33" t="s">
        <v>22</v>
      </c>
      <c r="M327" s="33"/>
      <c r="N327" s="33" t="s">
        <v>30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12.057776958525345</v>
      </c>
      <c r="K328" s="28">
        <f t="shared" ref="K328:K337" si="77">IF(G328="","",IF(E328="PC 17",G328*4.2,IF(E328="PC 19",G328*5,IF(E328="CB",G328*24,""))))</f>
        <v>75</v>
      </c>
      <c r="L328" s="26" t="s">
        <v>24</v>
      </c>
      <c r="M328" s="26" t="s">
        <v>62</v>
      </c>
      <c r="N328" s="26" t="s">
        <v>32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8.8423697695852521</v>
      </c>
      <c r="K329" s="34">
        <f t="shared" si="77"/>
        <v>55</v>
      </c>
      <c r="L329" s="33" t="s">
        <v>24</v>
      </c>
      <c r="M329" s="33" t="s">
        <v>57</v>
      </c>
      <c r="N329" s="33" t="s">
        <v>32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8" t="s">
        <v>256</v>
      </c>
      <c r="F330" s="134">
        <f>IFERROR(IF($D330="","",VLOOKUP($D330,Cadastro!$C$4:$E$7,3,FALSE)),"")</f>
        <v>0.24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13.66548055299539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12.057776958525345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40.192589861751145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19.292443133640553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8.0385179723502294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16.880887741935485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9.6462215668202766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9.6462215668202766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1" t="s">
        <v>241</v>
      </c>
      <c r="B338" s="152"/>
      <c r="C338" s="152"/>
      <c r="D338" s="152"/>
      <c r="E338" s="152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174.43584000000001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242</v>
      </c>
      <c r="S338" s="39">
        <v>1211360</v>
      </c>
      <c r="T338" s="119">
        <f>IFERROR(J338,"")</f>
        <v>174.43584000000001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30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0</v>
      </c>
      <c r="K339" s="34">
        <f t="shared" ref="K339:K350" si="79">IF(G339="","",IF(E339="PC 17",G339*4.2,IF(E339="PC 19",G339*5,IF(E339="CB",G339*24,""))))</f>
        <v>126</v>
      </c>
      <c r="L339" s="33" t="s">
        <v>25</v>
      </c>
      <c r="M339" s="33" t="s">
        <v>168</v>
      </c>
      <c r="N339" s="33" t="s">
        <v>67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16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8"/>
        <v>0</v>
      </c>
      <c r="K340" s="28">
        <f t="shared" si="79"/>
        <v>67.2</v>
      </c>
      <c r="L340" s="26" t="s">
        <v>25</v>
      </c>
      <c r="M340" s="26" t="s">
        <v>62</v>
      </c>
      <c r="N340" s="26" t="s">
        <v>33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32</v>
      </c>
      <c r="H341" s="134">
        <f>IFERROR(IF($G341="","",$G341*$S$351/$G$351/Cadastro!$E$33),"")</f>
        <v>0</v>
      </c>
      <c r="I341" s="135">
        <f>IFERROR(IF($D341="","",VLOOKUP($D341,Cadastro!$C$4:$G$7,5,FALSE)),"")</f>
        <v>0.6</v>
      </c>
      <c r="J341" s="136">
        <f t="shared" si="78"/>
        <v>0</v>
      </c>
      <c r="K341" s="34">
        <f t="shared" si="79"/>
        <v>134.4</v>
      </c>
      <c r="L341" s="33" t="s">
        <v>25</v>
      </c>
      <c r="M341" s="33" t="s">
        <v>57</v>
      </c>
      <c r="N341" s="33" t="s">
        <v>33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12</v>
      </c>
      <c r="H342" s="134">
        <f>IFERROR(IF($G342="","",$G342*$S$351/$G$351/Cadastro!$E$33),"")</f>
        <v>0</v>
      </c>
      <c r="I342" s="135">
        <f>IFERROR(IF($D342="","",VLOOKUP($D342,Cadastro!$C$4:$G$7,5,FALSE)),"")</f>
        <v>0.6</v>
      </c>
      <c r="J342" s="136">
        <f t="shared" si="78"/>
        <v>0</v>
      </c>
      <c r="K342" s="28">
        <f t="shared" si="79"/>
        <v>50.400000000000006</v>
      </c>
      <c r="L342" s="26" t="s">
        <v>24</v>
      </c>
      <c r="M342" s="26" t="s">
        <v>168</v>
      </c>
      <c r="N342" s="26" t="s">
        <v>32</v>
      </c>
      <c r="O342" s="29">
        <v>0.94305555555555554</v>
      </c>
      <c r="P342" s="29"/>
      <c r="Q342" s="30">
        <f t="shared" ca="1" si="80"/>
        <v>1.5910416659608018E-2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/>
      <c r="H343" s="134" t="str">
        <f>IFERROR(IF($G343="","",$G343*$S$351/$G$351/Cadastro!$E$33),"")</f>
        <v/>
      </c>
      <c r="I343" s="135">
        <f>IFERROR(IF($D343="","",VLOOKUP($D343,Cadastro!$C$4:$G$7,5,FALSE)),"")</f>
        <v>0.6</v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/>
      <c r="H344" s="134" t="str">
        <f>IFERROR(IF($G344="","",$G344*$S$351/$G$351/Cadastro!$E$33),"")</f>
        <v/>
      </c>
      <c r="I344" s="135">
        <f>IFERROR(IF($D344="","",VLOOKUP($D344,Cadastro!$C$4:$G$7,5,FALSE)),"")</f>
        <v>0.6</v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/>
      <c r="H345" s="134" t="str">
        <f>IFERROR(IF($G345="","",$G345*$S$351/$G$351/Cadastro!$E$33),"")</f>
        <v/>
      </c>
      <c r="I345" s="135">
        <f>IFERROR(IF($D345="","",VLOOKUP($D345,Cadastro!$C$4:$G$7,5,FALSE)),"")</f>
        <v>0.6</v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/>
      <c r="H346" s="134" t="str">
        <f>IFERROR(IF($G346="","",$G346*$S$351/$G$351/Cadastro!$E$33),"")</f>
        <v/>
      </c>
      <c r="I346" s="135">
        <f>IFERROR(IF($D346="","",VLOOKUP($D346,Cadastro!$C$4:$G$7,5,FALSE)),"")</f>
        <v>0.6</v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27"/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/>
      <c r="H347" s="134" t="str">
        <f>IFERROR(IF($G347="","",$G347*$S$351/$G$351/Cadastro!$E$33),"")</f>
        <v/>
      </c>
      <c r="I347" s="135">
        <f>IFERROR(IF($D347="","",VLOOKUP($D347,Cadastro!$C$4:$G$7,5,FALSE)),"")</f>
        <v>0.6</v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27"/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/>
      <c r="H348" s="134" t="str">
        <f>IFERROR(IF($G348="","",$G348*$S$351/$G$351/Cadastro!$E$33),"")</f>
        <v/>
      </c>
      <c r="I348" s="135">
        <f>IFERROR(IF($D348="","",VLOOKUP($D348,Cadastro!$C$4:$G$7,5,FALSE)),"")</f>
        <v>0.6</v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90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378</v>
      </c>
      <c r="L351" s="37"/>
      <c r="M351" s="37"/>
      <c r="N351" s="37"/>
      <c r="O351" s="61"/>
      <c r="P351" s="61"/>
      <c r="Q351" s="38">
        <f ca="1">IFERROR(SUM(Q339:Q350),"")</f>
        <v>2.6327083326274647E-2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307</v>
      </c>
      <c r="H352" s="112">
        <f>IFERROR(H338+H351,"")</f>
        <v>1211.3599999999999</v>
      </c>
      <c r="I352" s="116"/>
      <c r="J352" s="125">
        <f>IFERROR(J338+J351,"")</f>
        <v>174.43584000000001</v>
      </c>
      <c r="K352" s="40">
        <f>K338+K351</f>
        <v>1346.2</v>
      </c>
      <c r="L352" s="41"/>
      <c r="M352" s="41"/>
      <c r="N352" s="41"/>
      <c r="O352" s="63"/>
      <c r="P352" s="63"/>
      <c r="Q352" s="42">
        <f ca="1">IFERROR(Q338+Q351,"")</f>
        <v>6.7299305548496779E-2</v>
      </c>
      <c r="R352" s="40" t="s">
        <v>246</v>
      </c>
      <c r="S352" s="48">
        <f>IFERROR(S338+S351,"")</f>
        <v>1211360</v>
      </c>
      <c r="T352" s="121">
        <f>IFERROR(J352,"")</f>
        <v>174.43584000000001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241</v>
      </c>
      <c r="B365" s="79"/>
      <c r="C365" s="79"/>
      <c r="D365" s="79"/>
      <c r="E365" s="79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1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2026-08-14T03:01:12Z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