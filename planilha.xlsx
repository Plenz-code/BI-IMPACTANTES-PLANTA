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0" documentId="13_ncr:1_{B1DD3461-F335-4A60-AF7C-8BA747A0A6BD}" xr6:coauthVersionLast="47" xr6:coauthVersionMax="47" xr10:uidLastSave="{00000000-0000-0000-0000-000000000000}"/>
  <bookViews>
    <workbookView xWindow="-110" yWindow="-110" windowWidth="25820" windowHeight="1550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  <sheet name="Britador Móvel" sheetId="7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4" i="7" l="1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I54" i="7"/>
  <c r="H52" i="7"/>
  <c r="G52" i="7"/>
  <c r="E52" i="7"/>
  <c r="I51" i="7"/>
  <c r="I50" i="7"/>
  <c r="F52" i="7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6" i="7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3" i="7"/>
  <c r="L7" i="1" s="1"/>
  <c r="H10" i="7"/>
  <c r="G10" i="7"/>
  <c r="I10" i="7" s="1"/>
  <c r="E10" i="7"/>
  <c r="I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Q837" i="6" s="1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K758" i="6"/>
  <c r="K770" i="6" s="1"/>
  <c r="K784" i="6" s="1"/>
  <c r="I758" i="6"/>
  <c r="H758" i="6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Q743" i="6" s="1"/>
  <c r="Q757" i="6" s="1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Q594" i="6" s="1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Q595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Q554" i="6" s="1"/>
  <c r="Q568" i="6" s="1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K500" i="6" s="1"/>
  <c r="K514" i="6" s="1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F387" i="6"/>
  <c r="J387" i="6" s="1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J353" i="6"/>
  <c r="J365" i="6" s="1"/>
  <c r="I353" i="6"/>
  <c r="H353" i="6"/>
  <c r="H365" i="6" s="1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Q311" i="6" s="1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G838" i="5" s="1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F828" i="5"/>
  <c r="Q827" i="5"/>
  <c r="K827" i="5"/>
  <c r="K837" i="5" s="1"/>
  <c r="J827" i="5"/>
  <c r="I827" i="5"/>
  <c r="H827" i="5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J825" i="5" s="1"/>
  <c r="F825" i="5"/>
  <c r="G824" i="5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Q756" i="5" s="1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Q729" i="5" s="1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Q662" i="5" s="1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Q635" i="5" s="1"/>
  <c r="Q649" i="5" s="1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Q608" i="5" s="1"/>
  <c r="Q622" i="5" s="1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Q594" i="5" s="1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Q581" i="5" s="1"/>
  <c r="Q595" i="5" s="1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Q541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C34" i="1" s="1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C33" i="1" s="1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C31" i="1" s="1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C30" i="1" s="1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C29" i="1" s="1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G689" i="3" s="1"/>
  <c r="G703" i="3" s="1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488" i="3"/>
  <c r="G500" i="3" s="1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M486" i="3" s="1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M473" i="3" s="1"/>
  <c r="M487" i="3" s="1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M432" i="3" s="1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M433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M392" i="3" s="1"/>
  <c r="M406" i="3" s="1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M365" i="3" s="1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M338" i="3" s="1"/>
  <c r="M352" i="3" s="1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M324" i="3" s="1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M311" i="3" s="1"/>
  <c r="M325" i="3" s="1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M297" i="3" s="1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M284" i="3" s="1"/>
  <c r="M298" i="3" s="1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M135" i="3" s="1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M122" i="3" s="1"/>
  <c r="M136" i="3" s="1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M68" i="3" s="1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F35" i="1" s="1"/>
  <c r="E4" i="1"/>
  <c r="E35" i="1" s="1"/>
  <c r="D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J831" i="4"/>
  <c r="I831" i="4"/>
  <c r="H831" i="4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J821" i="4"/>
  <c r="I821" i="4"/>
  <c r="H821" i="4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J744" i="4"/>
  <c r="J756" i="4" s="1"/>
  <c r="T756" i="4" s="1"/>
  <c r="I744" i="4"/>
  <c r="H744" i="4"/>
  <c r="H756" i="4" s="1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J704" i="4"/>
  <c r="J716" i="4" s="1"/>
  <c r="I704" i="4"/>
  <c r="H704" i="4"/>
  <c r="H716" i="4" s="1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J658" i="4"/>
  <c r="I658" i="4"/>
  <c r="H658" i="4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J615" i="4"/>
  <c r="I615" i="4"/>
  <c r="H615" i="4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J585" i="4"/>
  <c r="I585" i="4"/>
  <c r="H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J544" i="4"/>
  <c r="I544" i="4"/>
  <c r="H544" i="4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J534" i="4"/>
  <c r="I534" i="4"/>
  <c r="H534" i="4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J458" i="4"/>
  <c r="I458" i="4"/>
  <c r="H458" i="4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Q445" i="4"/>
  <c r="K445" i="4"/>
  <c r="I445" i="4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Q270" i="4" s="1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Q257" i="4" s="1"/>
  <c r="Q271" i="4" s="1"/>
  <c r="K245" i="4"/>
  <c r="K257" i="4" s="1"/>
  <c r="K271" i="4" s="1"/>
  <c r="S244" i="4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Q189" i="4" s="1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Q190" i="4" s="1"/>
  <c r="K164" i="4"/>
  <c r="K176" i="4" s="1"/>
  <c r="K190" i="4" s="1"/>
  <c r="S163" i="4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Q149" i="4" s="1"/>
  <c r="K137" i="4"/>
  <c r="K149" i="4" s="1"/>
  <c r="K163" i="4" s="1"/>
  <c r="S136" i="4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Q95" i="4" s="1"/>
  <c r="K83" i="4"/>
  <c r="K95" i="4" s="1"/>
  <c r="K109" i="4" s="1"/>
  <c r="S82" i="4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838" i="6" l="1"/>
  <c r="Q162" i="4"/>
  <c r="Q163" i="4" s="1"/>
  <c r="M378" i="3"/>
  <c r="M379" i="3" s="1"/>
  <c r="Q784" i="6"/>
  <c r="Q662" i="6"/>
  <c r="Q743" i="5"/>
  <c r="Q757" i="5" s="1"/>
  <c r="Q784" i="5"/>
  <c r="Q716" i="5"/>
  <c r="Q730" i="5" s="1"/>
  <c r="Q675" i="5"/>
  <c r="Q676" i="5" s="1"/>
  <c r="Q675" i="6"/>
  <c r="Q540" i="6"/>
  <c r="Q500" i="6"/>
  <c r="Q567" i="5"/>
  <c r="M243" i="3"/>
  <c r="Q135" i="4"/>
  <c r="Q689" i="6"/>
  <c r="M270" i="3"/>
  <c r="M271" i="3" s="1"/>
  <c r="M459" i="3"/>
  <c r="M460" i="3" s="1"/>
  <c r="M189" i="3"/>
  <c r="Q311" i="4"/>
  <c r="Q243" i="4"/>
  <c r="Q244" i="4" s="1"/>
  <c r="Q122" i="4"/>
  <c r="Q136" i="4" s="1"/>
  <c r="Q351" i="5"/>
  <c r="Q216" i="5"/>
  <c r="Q554" i="5"/>
  <c r="Q568" i="5" s="1"/>
  <c r="Q405" i="5"/>
  <c r="Q27" i="4"/>
  <c r="M230" i="3"/>
  <c r="M244" i="3" s="1"/>
  <c r="M162" i="3"/>
  <c r="Q513" i="4"/>
  <c r="M513" i="3"/>
  <c r="M514" i="3" s="1"/>
  <c r="I52" i="7"/>
  <c r="Q473" i="4"/>
  <c r="Q378" i="4"/>
  <c r="Q54" i="4"/>
  <c r="Q109" i="4"/>
  <c r="Q176" i="5"/>
  <c r="Q14" i="5"/>
  <c r="Q41" i="4"/>
  <c r="Q55" i="4" s="1"/>
  <c r="Q14" i="4"/>
  <c r="Q28" i="4" s="1"/>
  <c r="Q68" i="5"/>
  <c r="Q324" i="5"/>
  <c r="Q378" i="6"/>
  <c r="Q162" i="6"/>
  <c r="Q756" i="4"/>
  <c r="Q338" i="6"/>
  <c r="Q324" i="6"/>
  <c r="Q325" i="6" s="1"/>
  <c r="Q108" i="6"/>
  <c r="Q837" i="4"/>
  <c r="M648" i="3"/>
  <c r="M662" i="3"/>
  <c r="M540" i="3"/>
  <c r="Q162" i="5"/>
  <c r="M675" i="3"/>
  <c r="Q824" i="4"/>
  <c r="Q838" i="4" s="1"/>
  <c r="Q689" i="4"/>
  <c r="Q122" i="6"/>
  <c r="Q824" i="5"/>
  <c r="Q432" i="5"/>
  <c r="Q419" i="5"/>
  <c r="Q433" i="5" s="1"/>
  <c r="Q378" i="5"/>
  <c r="Q365" i="5"/>
  <c r="Q243" i="5"/>
  <c r="Q189" i="5"/>
  <c r="Q284" i="6"/>
  <c r="M216" i="3"/>
  <c r="M217" i="3" s="1"/>
  <c r="M54" i="3"/>
  <c r="M55" i="3" s="1"/>
  <c r="Q702" i="4"/>
  <c r="M527" i="3"/>
  <c r="Q810" i="4"/>
  <c r="Q419" i="4"/>
  <c r="Q270" i="6"/>
  <c r="M176" i="3"/>
  <c r="Q797" i="4"/>
  <c r="Q811" i="4" s="1"/>
  <c r="Q783" i="4"/>
  <c r="Q446" i="6"/>
  <c r="Q419" i="6"/>
  <c r="Q189" i="6"/>
  <c r="Q324" i="4"/>
  <c r="Q149" i="5"/>
  <c r="Q122" i="5"/>
  <c r="Q108" i="5"/>
  <c r="Q95" i="5"/>
  <c r="Q54" i="6"/>
  <c r="Q41" i="6"/>
  <c r="Q27" i="6"/>
  <c r="Q81" i="5"/>
  <c r="Q729" i="4"/>
  <c r="Q338" i="4"/>
  <c r="Q716" i="6"/>
  <c r="Q730" i="6" s="1"/>
  <c r="Q702" i="6"/>
  <c r="Q635" i="6"/>
  <c r="Q297" i="6"/>
  <c r="Q298" i="6" s="1"/>
  <c r="Q230" i="6"/>
  <c r="Q135" i="6"/>
  <c r="Q136" i="6" s="1"/>
  <c r="Q473" i="5"/>
  <c r="Q446" i="5"/>
  <c r="Q284" i="5"/>
  <c r="M837" i="3"/>
  <c r="M824" i="3"/>
  <c r="M810" i="3"/>
  <c r="M621" i="3"/>
  <c r="Q270" i="5"/>
  <c r="Q230" i="5"/>
  <c r="Q244" i="5" s="1"/>
  <c r="M783" i="3"/>
  <c r="M770" i="3"/>
  <c r="M784" i="3" s="1"/>
  <c r="M729" i="3"/>
  <c r="Q743" i="4"/>
  <c r="Q554" i="4"/>
  <c r="Q527" i="4"/>
  <c r="Q405" i="4"/>
  <c r="Q243" i="6"/>
  <c r="Q338" i="5"/>
  <c r="Q311" i="5"/>
  <c r="Q297" i="5"/>
  <c r="Q257" i="5"/>
  <c r="Q135" i="5"/>
  <c r="M756" i="3"/>
  <c r="Q608" i="4"/>
  <c r="Q581" i="4"/>
  <c r="Q540" i="4"/>
  <c r="Q513" i="5"/>
  <c r="Q500" i="5"/>
  <c r="Q514" i="5" s="1"/>
  <c r="Q203" i="5"/>
  <c r="Q54" i="5"/>
  <c r="Q41" i="5"/>
  <c r="Q27" i="5"/>
  <c r="M797" i="3"/>
  <c r="M743" i="3"/>
  <c r="M757" i="3" s="1"/>
  <c r="M635" i="3"/>
  <c r="M608" i="3"/>
  <c r="Q675" i="4"/>
  <c r="Q662" i="4"/>
  <c r="Q648" i="4"/>
  <c r="Q635" i="4"/>
  <c r="Q621" i="4"/>
  <c r="Q594" i="4"/>
  <c r="Q432" i="4"/>
  <c r="Q716" i="4"/>
  <c r="Q486" i="5"/>
  <c r="Q392" i="5"/>
  <c r="M716" i="3"/>
  <c r="M730" i="3" s="1"/>
  <c r="M702" i="3"/>
  <c r="Q703" i="4"/>
  <c r="Q446" i="4"/>
  <c r="Q459" i="5"/>
  <c r="Q797" i="5"/>
  <c r="M554" i="3"/>
  <c r="Q837" i="5"/>
  <c r="Q838" i="5" s="1"/>
  <c r="Q648" i="6"/>
  <c r="Q216" i="6"/>
  <c r="Q486" i="6"/>
  <c r="Q459" i="6"/>
  <c r="Q460" i="6" s="1"/>
  <c r="Q365" i="6"/>
  <c r="Q95" i="6"/>
  <c r="M594" i="3"/>
  <c r="M581" i="3"/>
  <c r="Q203" i="6"/>
  <c r="Q217" i="6" s="1"/>
  <c r="Q810" i="5"/>
  <c r="Q811" i="5" s="1"/>
  <c r="M689" i="3"/>
  <c r="M703" i="3" s="1"/>
  <c r="M149" i="3"/>
  <c r="M95" i="3"/>
  <c r="M109" i="3" s="1"/>
  <c r="M81" i="3"/>
  <c r="M82" i="3" s="1"/>
  <c r="M27" i="3"/>
  <c r="Q567" i="4"/>
  <c r="Q568" i="4" s="1"/>
  <c r="Q500" i="4"/>
  <c r="Q486" i="4"/>
  <c r="Q459" i="4"/>
  <c r="M567" i="3"/>
  <c r="M568" i="3" s="1"/>
  <c r="Q351" i="4"/>
  <c r="Q352" i="4" s="1"/>
  <c r="Q257" i="6"/>
  <c r="Q271" i="6" s="1"/>
  <c r="Q149" i="6"/>
  <c r="Q81" i="6"/>
  <c r="M14" i="3"/>
  <c r="M28" i="3" s="1"/>
  <c r="Q365" i="4"/>
  <c r="Q770" i="4"/>
  <c r="Q784" i="4" s="1"/>
  <c r="Q797" i="6"/>
  <c r="Q811" i="6" s="1"/>
  <c r="Q621" i="6"/>
  <c r="Q622" i="6" s="1"/>
  <c r="Q527" i="6"/>
  <c r="Q513" i="6"/>
  <c r="Q473" i="6"/>
  <c r="Q487" i="6" s="1"/>
  <c r="Q432" i="6"/>
  <c r="Q433" i="6" s="1"/>
  <c r="Q405" i="6"/>
  <c r="Q392" i="6"/>
  <c r="Q351" i="6"/>
  <c r="Q176" i="6"/>
  <c r="Q190" i="6" s="1"/>
  <c r="Q68" i="6"/>
  <c r="Q82" i="6" s="1"/>
  <c r="Q14" i="6"/>
  <c r="Q392" i="4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1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H689" i="6"/>
  <c r="H703" i="6" s="1"/>
  <c r="J677" i="6"/>
  <c r="J689" i="6" s="1"/>
  <c r="H675" i="6"/>
  <c r="J663" i="6"/>
  <c r="J675" i="6" s="1"/>
  <c r="T675" i="6" s="1"/>
  <c r="H662" i="6"/>
  <c r="H676" i="6" s="1"/>
  <c r="J650" i="6"/>
  <c r="J662" i="6" s="1"/>
  <c r="H648" i="6"/>
  <c r="J636" i="6"/>
  <c r="J648" i="6" s="1"/>
  <c r="T648" i="6" s="1"/>
  <c r="H635" i="6"/>
  <c r="J623" i="6"/>
  <c r="J635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H554" i="6"/>
  <c r="H568" i="6" s="1"/>
  <c r="J542" i="6"/>
  <c r="J554" i="6" s="1"/>
  <c r="H540" i="6"/>
  <c r="J528" i="6"/>
  <c r="J540" i="6" s="1"/>
  <c r="T540" i="6" s="1"/>
  <c r="H527" i="6"/>
  <c r="H541" i="6" s="1"/>
  <c r="J515" i="6"/>
  <c r="J527" i="6" s="1"/>
  <c r="H513" i="6"/>
  <c r="J501" i="6"/>
  <c r="J513" i="6" s="1"/>
  <c r="T513" i="6" s="1"/>
  <c r="H500" i="6"/>
  <c r="H514" i="6" s="1"/>
  <c r="J488" i="6"/>
  <c r="J500" i="6" s="1"/>
  <c r="H486" i="6"/>
  <c r="J474" i="6"/>
  <c r="J486" i="6" s="1"/>
  <c r="T486" i="6" s="1"/>
  <c r="H473" i="6"/>
  <c r="H487" i="6" s="1"/>
  <c r="J461" i="6"/>
  <c r="J473" i="6" s="1"/>
  <c r="H459" i="6"/>
  <c r="J447" i="6"/>
  <c r="J459" i="6" s="1"/>
  <c r="T459" i="6" s="1"/>
  <c r="H446" i="6"/>
  <c r="H460" i="6" s="1"/>
  <c r="J434" i="6"/>
  <c r="J446" i="6" s="1"/>
  <c r="H432" i="6"/>
  <c r="J420" i="6"/>
  <c r="J432" i="6" s="1"/>
  <c r="T432" i="6" s="1"/>
  <c r="H419" i="6"/>
  <c r="H433" i="6" s="1"/>
  <c r="J407" i="6"/>
  <c r="J419" i="6" s="1"/>
  <c r="H405" i="6"/>
  <c r="J393" i="6"/>
  <c r="J405" i="6" s="1"/>
  <c r="T405" i="6" s="1"/>
  <c r="H392" i="6"/>
  <c r="H406" i="6" s="1"/>
  <c r="J380" i="6"/>
  <c r="J392" i="6" s="1"/>
  <c r="H378" i="6"/>
  <c r="H379" i="6" s="1"/>
  <c r="J366" i="6"/>
  <c r="J378" i="6" s="1"/>
  <c r="T365" i="6"/>
  <c r="H351" i="6"/>
  <c r="J339" i="6"/>
  <c r="J351" i="6" s="1"/>
  <c r="T351" i="6" s="1"/>
  <c r="H338" i="6"/>
  <c r="H352" i="6" s="1"/>
  <c r="J326" i="6"/>
  <c r="J338" i="6" s="1"/>
  <c r="H324" i="6"/>
  <c r="J312" i="6"/>
  <c r="J324" i="6" s="1"/>
  <c r="T324" i="6" s="1"/>
  <c r="H311" i="6"/>
  <c r="H325" i="6" s="1"/>
  <c r="J299" i="6"/>
  <c r="J311" i="6" s="1"/>
  <c r="J828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H797" i="5"/>
  <c r="H811" i="5" s="1"/>
  <c r="J785" i="5"/>
  <c r="J797" i="5" s="1"/>
  <c r="H783" i="5"/>
  <c r="J771" i="5"/>
  <c r="J783" i="5" s="1"/>
  <c r="T783" i="5" s="1"/>
  <c r="H770" i="5"/>
  <c r="H784" i="5" s="1"/>
  <c r="J758" i="5"/>
  <c r="J770" i="5" s="1"/>
  <c r="H756" i="5"/>
  <c r="J744" i="5"/>
  <c r="J756" i="5" s="1"/>
  <c r="T756" i="5" s="1"/>
  <c r="H743" i="5"/>
  <c r="H757" i="5" s="1"/>
  <c r="J731" i="5"/>
  <c r="J743" i="5" s="1"/>
  <c r="H729" i="5"/>
  <c r="J717" i="5"/>
  <c r="J729" i="5" s="1"/>
  <c r="T729" i="5" s="1"/>
  <c r="H716" i="5"/>
  <c r="H730" i="5" s="1"/>
  <c r="J704" i="5"/>
  <c r="J716" i="5" s="1"/>
  <c r="J690" i="5"/>
  <c r="J702" i="5" s="1"/>
  <c r="T702" i="5" s="1"/>
  <c r="H702" i="5"/>
  <c r="H689" i="5"/>
  <c r="H703" i="5" s="1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H621" i="5"/>
  <c r="J609" i="5"/>
  <c r="J621" i="5" s="1"/>
  <c r="T621" i="5" s="1"/>
  <c r="H608" i="5"/>
  <c r="H622" i="5" s="1"/>
  <c r="J596" i="5"/>
  <c r="J608" i="5" s="1"/>
  <c r="J582" i="5"/>
  <c r="J594" i="5" s="1"/>
  <c r="T594" i="5" s="1"/>
  <c r="H594" i="5"/>
  <c r="J569" i="5"/>
  <c r="J581" i="5" s="1"/>
  <c r="H581" i="5"/>
  <c r="H595" i="5" s="1"/>
  <c r="J555" i="5"/>
  <c r="J567" i="5" s="1"/>
  <c r="T567" i="5" s="1"/>
  <c r="H567" i="5"/>
  <c r="J542" i="5"/>
  <c r="J554" i="5" s="1"/>
  <c r="H554" i="5"/>
  <c r="H568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J461" i="5"/>
  <c r="J473" i="5" s="1"/>
  <c r="H473" i="5"/>
  <c r="H487" i="5" s="1"/>
  <c r="J447" i="5"/>
  <c r="J459" i="5" s="1"/>
  <c r="T459" i="5" s="1"/>
  <c r="H459" i="5"/>
  <c r="H446" i="5"/>
  <c r="H460" i="5" s="1"/>
  <c r="J434" i="5"/>
  <c r="J446" i="5" s="1"/>
  <c r="J420" i="5"/>
  <c r="J432" i="5" s="1"/>
  <c r="T432" i="5" s="1"/>
  <c r="H432" i="5"/>
  <c r="J407" i="5"/>
  <c r="J419" i="5" s="1"/>
  <c r="H419" i="5"/>
  <c r="H433" i="5" s="1"/>
  <c r="H405" i="5"/>
  <c r="J393" i="5"/>
  <c r="J405" i="5" s="1"/>
  <c r="T405" i="5" s="1"/>
  <c r="J380" i="5"/>
  <c r="J392" i="5" s="1"/>
  <c r="H392" i="5"/>
  <c r="H406" i="5" s="1"/>
  <c r="J366" i="5"/>
  <c r="J378" i="5" s="1"/>
  <c r="T378" i="5" s="1"/>
  <c r="H378" i="5"/>
  <c r="H365" i="5"/>
  <c r="H379" i="5" s="1"/>
  <c r="J353" i="5"/>
  <c r="J365" i="5" s="1"/>
  <c r="J339" i="5"/>
  <c r="J351" i="5" s="1"/>
  <c r="T351" i="5" s="1"/>
  <c r="H351" i="5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G4" i="1"/>
  <c r="G35" i="1" s="1"/>
  <c r="D35" i="1"/>
  <c r="J825" i="4"/>
  <c r="J837" i="4" s="1"/>
  <c r="T837" i="4" s="1"/>
  <c r="H837" i="4"/>
  <c r="J812" i="4"/>
  <c r="J824" i="4" s="1"/>
  <c r="H824" i="4"/>
  <c r="J798" i="4"/>
  <c r="J810" i="4" s="1"/>
  <c r="T810" i="4" s="1"/>
  <c r="H810" i="4"/>
  <c r="J785" i="4"/>
  <c r="J797" i="4" s="1"/>
  <c r="H797" i="4"/>
  <c r="H811" i="4" s="1"/>
  <c r="H783" i="4"/>
  <c r="J771" i="4"/>
  <c r="J783" i="4" s="1"/>
  <c r="T783" i="4" s="1"/>
  <c r="H770" i="4"/>
  <c r="H784" i="4" s="1"/>
  <c r="J758" i="4"/>
  <c r="J770" i="4" s="1"/>
  <c r="J731" i="4"/>
  <c r="J743" i="4" s="1"/>
  <c r="H743" i="4"/>
  <c r="H757" i="4" s="1"/>
  <c r="H729" i="4"/>
  <c r="H730" i="4" s="1"/>
  <c r="J717" i="4"/>
  <c r="J729" i="4" s="1"/>
  <c r="T716" i="4"/>
  <c r="H702" i="4"/>
  <c r="J690" i="4"/>
  <c r="J702" i="4" s="1"/>
  <c r="T702" i="4" s="1"/>
  <c r="H689" i="4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48" i="4" s="1"/>
  <c r="T648" i="4" s="1"/>
  <c r="H648" i="4"/>
  <c r="J623" i="4"/>
  <c r="J635" i="4" s="1"/>
  <c r="H635" i="4"/>
  <c r="H649" i="4" s="1"/>
  <c r="H621" i="4"/>
  <c r="J609" i="4"/>
  <c r="J621" i="4" s="1"/>
  <c r="T621" i="4" s="1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J555" i="4"/>
  <c r="J567" i="4" s="1"/>
  <c r="T567" i="4" s="1"/>
  <c r="H567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500" i="4" s="1"/>
  <c r="H500" i="4"/>
  <c r="H514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G460" i="4"/>
  <c r="H445" i="4"/>
  <c r="J434" i="4"/>
  <c r="J420" i="4"/>
  <c r="J432" i="4" s="1"/>
  <c r="T432" i="4" s="1"/>
  <c r="H432" i="4"/>
  <c r="J407" i="4"/>
  <c r="J419" i="4" s="1"/>
  <c r="H419" i="4"/>
  <c r="H433" i="4" s="1"/>
  <c r="J393" i="4"/>
  <c r="J405" i="4" s="1"/>
  <c r="T405" i="4" s="1"/>
  <c r="H405" i="4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52" i="4" s="1"/>
  <c r="H324" i="4"/>
  <c r="J312" i="4"/>
  <c r="J324" i="4" s="1"/>
  <c r="T324" i="4" s="1"/>
  <c r="J299" i="4"/>
  <c r="J311" i="4" s="1"/>
  <c r="H311" i="4"/>
  <c r="H325" i="4" s="1"/>
  <c r="Q433" i="4" l="1"/>
  <c r="M541" i="3"/>
  <c r="Q190" i="5"/>
  <c r="M190" i="3"/>
  <c r="Q325" i="4"/>
  <c r="Q163" i="5"/>
  <c r="Q82" i="5"/>
  <c r="Q703" i="6"/>
  <c r="Q163" i="6"/>
  <c r="Q514" i="6"/>
  <c r="Q757" i="4"/>
  <c r="Q352" i="5"/>
  <c r="Q325" i="5"/>
  <c r="Q271" i="5"/>
  <c r="Q136" i="5"/>
  <c r="Q217" i="5"/>
  <c r="Q28" i="5"/>
  <c r="M811" i="3"/>
  <c r="M649" i="3"/>
  <c r="M622" i="3"/>
  <c r="Q730" i="4"/>
  <c r="Q406" i="5"/>
  <c r="Q649" i="6"/>
  <c r="Q379" i="6"/>
  <c r="Q109" i="6"/>
  <c r="M163" i="3"/>
  <c r="Q514" i="4"/>
  <c r="Q487" i="4"/>
  <c r="Q379" i="4"/>
  <c r="Q541" i="6"/>
  <c r="Q352" i="6"/>
  <c r="Q676" i="6"/>
  <c r="Q28" i="6"/>
  <c r="Q406" i="4"/>
  <c r="M595" i="3"/>
  <c r="Q55" i="5"/>
  <c r="Q55" i="6"/>
  <c r="Q109" i="5"/>
  <c r="Q379" i="5"/>
  <c r="M676" i="3"/>
  <c r="Q406" i="6"/>
  <c r="M838" i="3"/>
  <c r="Q649" i="4"/>
  <c r="Q460" i="4"/>
  <c r="Q676" i="4"/>
  <c r="Q244" i="6"/>
  <c r="Q487" i="5"/>
  <c r="Q541" i="4"/>
  <c r="Q460" i="5"/>
  <c r="Q622" i="4"/>
  <c r="Q298" i="5"/>
  <c r="Q595" i="4"/>
  <c r="I55" i="7"/>
  <c r="L21" i="1"/>
  <c r="L35" i="1" s="1"/>
  <c r="T824" i="6"/>
  <c r="J838" i="6"/>
  <c r="T838" i="6" s="1"/>
  <c r="T797" i="6"/>
  <c r="J811" i="6"/>
  <c r="T811" i="6" s="1"/>
  <c r="T770" i="6"/>
  <c r="J784" i="6"/>
  <c r="T784" i="6" s="1"/>
  <c r="T743" i="6"/>
  <c r="J757" i="6"/>
  <c r="T757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38" i="6"/>
  <c r="J352" i="6"/>
  <c r="T352" i="6" s="1"/>
  <c r="T311" i="6"/>
  <c r="J325" i="6"/>
  <c r="T325" i="6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824" i="4"/>
  <c r="J838" i="4"/>
  <c r="T838" i="4" s="1"/>
  <c r="H34" i="1" s="1"/>
  <c r="J34" i="1" s="1"/>
  <c r="J811" i="4"/>
  <c r="T811" i="4" s="1"/>
  <c r="H33" i="1" s="1"/>
  <c r="J33" i="1" s="1"/>
  <c r="T797" i="4"/>
  <c r="T770" i="4"/>
  <c r="J784" i="4"/>
  <c r="T784" i="4" s="1"/>
  <c r="H32" i="1" s="1"/>
  <c r="J32" i="1" s="1"/>
  <c r="J757" i="4"/>
  <c r="T757" i="4" s="1"/>
  <c r="H31" i="1" s="1"/>
  <c r="J31" i="1" s="1"/>
  <c r="T743" i="4"/>
  <c r="J703" i="4"/>
  <c r="T703" i="4" s="1"/>
  <c r="H29" i="1" s="1"/>
  <c r="J29" i="1" s="1"/>
  <c r="T689" i="4"/>
  <c r="T662" i="4"/>
  <c r="J676" i="4"/>
  <c r="T676" i="4" s="1"/>
  <c r="H28" i="1" s="1"/>
  <c r="J28" i="1" s="1"/>
  <c r="T635" i="4"/>
  <c r="J649" i="4"/>
  <c r="T649" i="4" s="1"/>
  <c r="H27" i="1" s="1"/>
  <c r="J27" i="1" s="1"/>
  <c r="T608" i="4"/>
  <c r="J622" i="4"/>
  <c r="T622" i="4" s="1"/>
  <c r="H26" i="1" s="1"/>
  <c r="J26" i="1" s="1"/>
  <c r="T581" i="4"/>
  <c r="J595" i="4"/>
  <c r="T595" i="4" s="1"/>
  <c r="H25" i="1" s="1"/>
  <c r="J25" i="1" s="1"/>
  <c r="T554" i="4"/>
  <c r="J568" i="4"/>
  <c r="T568" i="4" s="1"/>
  <c r="H24" i="1" s="1"/>
  <c r="J24" i="1" s="1"/>
  <c r="T527" i="4"/>
  <c r="J541" i="4"/>
  <c r="T541" i="4" s="1"/>
  <c r="H23" i="1" s="1"/>
  <c r="J23" i="1" s="1"/>
  <c r="J514" i="4"/>
  <c r="T514" i="4" s="1"/>
  <c r="H22" i="1" s="1"/>
  <c r="J22" i="1" s="1"/>
  <c r="T500" i="4"/>
  <c r="T473" i="4"/>
  <c r="J487" i="4"/>
  <c r="T487" i="4" s="1"/>
  <c r="H21" i="1" s="1"/>
  <c r="J21" i="1" s="1"/>
  <c r="T419" i="4"/>
  <c r="J433" i="4"/>
  <c r="T433" i="4" s="1"/>
  <c r="H19" i="1" s="1"/>
  <c r="J19" i="1" s="1"/>
  <c r="T392" i="4"/>
  <c r="J406" i="4"/>
  <c r="T406" i="4" s="1"/>
  <c r="H18" i="1" s="1"/>
  <c r="J18" i="1" s="1"/>
  <c r="T365" i="4"/>
  <c r="J379" i="4"/>
  <c r="T379" i="4" s="1"/>
  <c r="T338" i="4"/>
  <c r="J352" i="4"/>
  <c r="T352" i="4" s="1"/>
  <c r="T311" i="4"/>
  <c r="J325" i="4"/>
  <c r="T325" i="4" s="1"/>
  <c r="H703" i="4"/>
  <c r="H838" i="4"/>
  <c r="H649" i="6"/>
  <c r="T378" i="6"/>
  <c r="J379" i="6"/>
  <c r="T379" i="6" s="1"/>
  <c r="T729" i="4"/>
  <c r="J730" i="4"/>
  <c r="T730" i="4" s="1"/>
  <c r="J445" i="4"/>
  <c r="J446" i="4" s="1"/>
  <c r="H446" i="4"/>
  <c r="H460" i="4" s="1"/>
  <c r="J460" i="4" l="1"/>
  <c r="T460" i="4" s="1"/>
  <c r="H20" i="1" s="1"/>
  <c r="J20" i="1" s="1"/>
  <c r="T446" i="4"/>
  <c r="H17" i="1"/>
  <c r="J17" i="1" s="1"/>
  <c r="H16" i="1"/>
  <c r="J16" i="1" s="1"/>
  <c r="H15" i="1"/>
  <c r="H30" i="1"/>
  <c r="J30" i="1" s="1"/>
  <c r="H35" i="1" l="1"/>
  <c r="J1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<sst xmlns="http://schemas.openxmlformats.org/spreadsheetml/2006/main" count="8419" uniqueCount="394">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</sst>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3" fontId="10" fillId="10" borderId="3" xfId="0" applyNumberFormat="1" applyFont="1" applyFill="1" applyBorder="1" applyAlignment="1">
      <alignment horizontal="center" vertical="center"/>
    </xf>
    <xf numFmtId="4" fontId="10" fillId="10" borderId="3" xfId="0" applyNumberFormat="1" applyFont="1" applyFill="1" applyBorder="1" applyAlignment="1">
      <alignment horizontal="center" vertical="center"/>
    </xf>
    <xf numFmtId="9" fontId="10" fillId="10" borderId="3" xfId="0" applyNumberFormat="1" applyFont="1" applyFill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/>
    </xf>
    <xf numFmtId="14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3" fontId="10" fillId="11" borderId="3" xfId="0" applyNumberFormat="1" applyFont="1" applyFill="1" applyBorder="1" applyAlignment="1">
      <alignment horizontal="center" vertical="center"/>
    </xf>
    <xf numFmtId="165" fontId="11" fillId="11" borderId="5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 wrapText="1"/>
    </xf>
    <xf numFmtId="9" fontId="10" fillId="10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166" fontId="8" fillId="10" borderId="3" xfId="0" applyNumberFormat="1" applyFont="1" applyFill="1" applyBorder="1" applyAlignment="1">
      <alignment horizontal="center" vertical="center"/>
    </xf>
    <xf numFmtId="10" fontId="8" fillId="10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left" vertical="center"/>
    </xf>
    <xf numFmtId="166" fontId="8" fillId="12" borderId="3" xfId="0" applyNumberFormat="1" applyFont="1" applyFill="1" applyBorder="1" applyAlignment="1">
      <alignment horizontal="center" vertical="center"/>
    </xf>
    <xf numFmtId="10" fontId="8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3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7" fontId="3" fillId="2" borderId="3" xfId="0" applyNumberFormat="1" applyFont="1" applyFill="1" applyBorder="1" applyAlignment="1">
      <alignment horizontal="center" vertical="center" wrapText="1"/>
    </xf>
    <xf numFmtId="14" fontId="8" fillId="12" borderId="3" xfId="0" applyNumberFormat="1" applyFont="1" applyFill="1" applyBorder="1" applyAlignment="1">
      <alignment horizontal="center" vertical="center"/>
    </xf>
    <xf numFmtId="168" fontId="8" fillId="12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 applyProtection="1">
      <alignment horizontal="center" vertical="center"/>
      <protection locked="0"/>
    </xf>
    <xf numFmtId="14" fontId="8" fillId="12" borderId="3" xfId="0" applyNumberFormat="1" applyFont="1" applyFill="1" applyBorder="1" applyAlignment="1" applyProtection="1">
      <alignment horizontal="center" vertical="center"/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3" fontId="8" fillId="12" borderId="3" xfId="0" applyNumberFormat="1" applyFont="1" applyFill="1" applyBorder="1" applyAlignment="1">
      <alignment horizontal="center" vertical="center"/>
    </xf>
    <xf numFmtId="168" fontId="8" fillId="15" borderId="3" xfId="0" applyNumberFormat="1" applyFont="1" applyFill="1" applyBorder="1" applyAlignment="1" applyProtection="1">
      <alignment horizontal="center" vertical="center"/>
      <protection locked="0"/>
    </xf>
    <xf numFmtId="167" fontId="8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8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0" fontId="8" fillId="10" borderId="3" xfId="0" applyFont="1" applyFill="1" applyBorder="1" applyAlignment="1" applyProtection="1">
      <alignment horizontal="center" vertical="center"/>
      <protection locked="0"/>
    </xf>
    <xf numFmtId="167" fontId="8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3" fillId="2" borderId="8" xfId="0" applyNumberFormat="1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14" fontId="8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 wrapText="1"/>
      <protection locked="0"/>
    </xf>
    <xf numFmtId="2" fontId="4" fillId="3" borderId="8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4" fontId="4" fillId="3" borderId="8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4" fontId="4" fillId="2" borderId="3" xfId="0" applyNumberFormat="1" applyFont="1" applyFill="1" applyBorder="1" applyAlignment="1">
      <alignment horizontal="center" vertical="center"/>
    </xf>
    <xf numFmtId="169" fontId="8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8" fillId="15" borderId="2" xfId="0" applyNumberFormat="1" applyFont="1" applyFill="1" applyBorder="1" applyAlignment="1" applyProtection="1">
      <alignment horizontal="center" vertical="center"/>
      <protection locked="0"/>
    </xf>
    <xf numFmtId="4" fontId="3" fillId="2" borderId="8" xfId="0" applyNumberFormat="1" applyFont="1" applyFill="1" applyBorder="1" applyAlignment="1">
      <alignment horizontal="center" vertical="center"/>
    </xf>
    <xf numFmtId="0" fontId="8" fillId="15" borderId="3" xfId="0" applyFont="1" applyFill="1" applyBorder="1" applyAlignment="1" applyProtection="1">
      <alignment horizontal="center" vertical="center" wrapText="1"/>
      <protection locked="0"/>
    </xf>
    <xf numFmtId="14" fontId="4" fillId="3" borderId="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4" fillId="2" borderId="3" xfId="0" applyNumberFormat="1" applyFont="1" applyFill="1" applyBorder="1" applyAlignment="1">
      <alignment horizontal="center" vertical="center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167" fontId="8" fillId="10" borderId="2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4" fillId="3" borderId="1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14" fontId="8" fillId="12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168" fontId="8" fillId="12" borderId="5" xfId="0" applyNumberFormat="1" applyFont="1" applyFill="1" applyBorder="1" applyAlignment="1">
      <alignment horizontal="center" vertical="center" wrapText="1"/>
    </xf>
    <xf numFmtId="165" fontId="8" fillId="12" borderId="5" xfId="0" applyNumberFormat="1" applyFont="1" applyFill="1" applyBorder="1" applyAlignment="1">
      <alignment horizontal="center" vertical="center" wrapText="1"/>
    </xf>
    <xf numFmtId="4" fontId="8" fillId="12" borderId="5" xfId="0" applyNumberFormat="1" applyFont="1" applyFill="1" applyBorder="1" applyAlignment="1">
      <alignment horizontal="center" vertical="center" wrapText="1"/>
    </xf>
    <xf numFmtId="14" fontId="8" fillId="10" borderId="5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68" fontId="8" fillId="10" borderId="5" xfId="0" applyNumberFormat="1" applyFont="1" applyFill="1" applyBorder="1" applyAlignment="1">
      <alignment horizontal="center" vertical="center" wrapText="1"/>
    </xf>
    <xf numFmtId="165" fontId="8" fillId="10" borderId="5" xfId="0" applyNumberFormat="1" applyFont="1" applyFill="1" applyBorder="1" applyAlignment="1">
      <alignment horizontal="center" vertical="center" wrapText="1"/>
    </xf>
    <xf numFmtId="4" fontId="8" fillId="10" borderId="5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/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O19" sqref="O19"/>
    </sheetView>
  </sheetViews>
  <sheetFormatPr defaultColWidth="8.54296875" defaultRowHeight="14.5" x14ac:dyDescent="0.35"/>
  <cols>
    <col min="1" max="1" width="17.54296875" customWidth="1"/>
    <col min="2" max="2" width="21" style="3" customWidth="1"/>
    <col min="3" max="3" width="25.54296875" customWidth="1"/>
    <col min="4" max="4" width="23.54296875" customWidth="1"/>
    <col min="5" max="5" width="26" customWidth="1"/>
    <col min="6" max="6" width="18.7265625" customWidth="1"/>
    <col min="7" max="7" width="17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2" width="23" customWidth="1"/>
  </cols>
  <sheetData>
    <row r="1" spans="1:12" ht="31.5" customHeight="1" x14ac:dyDescent="0.35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 x14ac:dyDescent="0.35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523</v>
      </c>
    </row>
    <row r="7" spans="1:12" ht="15.75" customHeight="1" x14ac:dyDescent="0.3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56</v>
      </c>
    </row>
    <row r="8" spans="1:12" ht="15.75" customHeight="1" x14ac:dyDescent="0.3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1017</v>
      </c>
    </row>
    <row r="16" spans="1:12" ht="15.75" customHeight="1" x14ac:dyDescent="0.3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629</v>
      </c>
    </row>
    <row r="19" spans="1:12" ht="15.75" customHeight="1" x14ac:dyDescent="0.3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2764</v>
      </c>
    </row>
    <row r="21" spans="1:12" ht="15.75" customHeight="1" x14ac:dyDescent="0.3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1976</v>
      </c>
    </row>
    <row r="22" spans="1:12" ht="15.75" customHeight="1" x14ac:dyDescent="0.35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 x14ac:dyDescent="0.3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5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6965</v>
      </c>
    </row>
    <row r="36" spans="1:12" ht="15" customHeight="1" x14ac:dyDescent="0.35">
      <c r="J36" s="35"/>
    </row>
  </sheetData>
  <sheetProtection algorithmName="SHA-512" hashValue="wlLa4NGYVVDHpdzs7xH9GGFCmZjUYV+aheOdDkxJFGI4sc/3+Y1OBBpIC1hGI3CBKCi/XE7HCYckaHSHIo22cA==" saltValue="u7j37gUY3RSKjiCzmprY+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08984375" customWidth="1"/>
    <col min="15" max="15" width="45.453125" customWidth="1"/>
    <col min="16" max="16" width="42.08984375" customWidth="1"/>
    <col min="17" max="17" width="36" customWidth="1"/>
    <col min="18" max="18" width="45.81640625" customWidth="1"/>
  </cols>
  <sheetData>
    <row r="1" spans="1:18" ht="27.75" customHeight="1" x14ac:dyDescent="0.35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 x14ac:dyDescent="0.35">
      <c r="M2" s="159"/>
    </row>
    <row r="3" spans="1:18" ht="25.5" customHeight="1" x14ac:dyDescent="0.3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5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5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5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5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5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5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5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5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5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5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5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5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5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5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5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 x14ac:dyDescent="0.35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5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5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5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5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5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5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5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5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5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5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5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5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5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5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5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5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5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5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5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5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5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5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5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5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5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5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5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5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5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5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5">
      <c r="M59" s="159"/>
      <c r="N59" s="40"/>
      <c r="O59" s="40"/>
      <c r="P59" s="40" t="s">
        <v>222</v>
      </c>
      <c r="Q59" s="40"/>
      <c r="R59" s="40"/>
    </row>
    <row r="60" spans="1:18" ht="15" customHeight="1" x14ac:dyDescent="0.35">
      <c r="M60" s="159"/>
      <c r="N60" s="37"/>
      <c r="O60" s="37"/>
      <c r="P60" s="53" t="s">
        <v>114</v>
      </c>
      <c r="Q60" s="37"/>
      <c r="R60" s="37"/>
    </row>
    <row r="61" spans="1:18" ht="15" customHeight="1" x14ac:dyDescent="0.35">
      <c r="M61" s="159"/>
      <c r="N61" s="40"/>
      <c r="O61" s="40"/>
      <c r="P61" s="40" t="s">
        <v>223</v>
      </c>
      <c r="Q61" s="40"/>
      <c r="R61" s="40"/>
    </row>
    <row r="62" spans="1:18" ht="15" customHeight="1" x14ac:dyDescent="0.35">
      <c r="M62" s="159"/>
      <c r="N62" s="37"/>
      <c r="O62" s="37"/>
      <c r="P62" s="37" t="s">
        <v>224</v>
      </c>
      <c r="Q62" s="37"/>
      <c r="R62" s="37"/>
    </row>
    <row r="63" spans="1:18" ht="15" customHeight="1" x14ac:dyDescent="0.35">
      <c r="M63" s="159"/>
      <c r="N63" s="40"/>
      <c r="O63" s="40"/>
      <c r="P63" s="40" t="s">
        <v>225</v>
      </c>
      <c r="Q63" s="40"/>
      <c r="R63" s="40"/>
    </row>
    <row r="64" spans="1:18" ht="15" customHeight="1" x14ac:dyDescent="0.35">
      <c r="M64" s="159"/>
      <c r="N64" s="37"/>
      <c r="O64" s="37"/>
      <c r="P64" s="37" t="s">
        <v>226</v>
      </c>
      <c r="Q64" s="37"/>
      <c r="R64" s="37"/>
    </row>
    <row r="65" spans="13:18" ht="15" customHeight="1" x14ac:dyDescent="0.35">
      <c r="M65" s="159"/>
      <c r="N65" s="40"/>
      <c r="O65" s="40"/>
      <c r="P65" s="40" t="s">
        <v>227</v>
      </c>
      <c r="Q65" s="40"/>
      <c r="R65" s="40"/>
    </row>
    <row r="66" spans="13:18" ht="15" customHeight="1" x14ac:dyDescent="0.35">
      <c r="M66" s="159"/>
      <c r="N66" s="37"/>
      <c r="O66" s="37"/>
      <c r="P66" s="37" t="s">
        <v>228</v>
      </c>
      <c r="Q66" s="37"/>
      <c r="R66" s="37"/>
    </row>
    <row r="67" spans="13:18" ht="15" customHeight="1" x14ac:dyDescent="0.35">
      <c r="M67" s="159"/>
      <c r="N67" s="40"/>
      <c r="O67" s="40"/>
      <c r="P67" s="40" t="s">
        <v>229</v>
      </c>
      <c r="Q67" s="40"/>
      <c r="R67" s="40"/>
    </row>
    <row r="68" spans="13:18" ht="15" customHeight="1" x14ac:dyDescent="0.35">
      <c r="M68" s="159"/>
      <c r="N68" s="37"/>
      <c r="O68" s="37"/>
      <c r="P68" s="37" t="s">
        <v>230</v>
      </c>
      <c r="Q68" s="37"/>
      <c r="R68" s="37"/>
    </row>
    <row r="69" spans="13:18" ht="15" customHeight="1" x14ac:dyDescent="0.35">
      <c r="M69" s="159"/>
      <c r="N69" s="40"/>
      <c r="O69" s="40"/>
      <c r="P69" s="40" t="s">
        <v>231</v>
      </c>
      <c r="Q69" s="40"/>
      <c r="R69" s="40"/>
    </row>
    <row r="70" spans="13:18" ht="15" customHeight="1" x14ac:dyDescent="0.35">
      <c r="M70" s="159"/>
      <c r="N70" s="37"/>
      <c r="O70" s="37"/>
      <c r="P70" s="37" t="s">
        <v>232</v>
      </c>
      <c r="Q70" s="37"/>
      <c r="R70" s="37"/>
    </row>
    <row r="71" spans="13:18" ht="15" customHeight="1" x14ac:dyDescent="0.35">
      <c r="M71" s="159"/>
      <c r="N71" s="40"/>
      <c r="O71" s="40"/>
      <c r="P71" s="40" t="s">
        <v>233</v>
      </c>
      <c r="Q71" s="40"/>
      <c r="R71" s="40"/>
    </row>
    <row r="72" spans="13:18" ht="15" customHeight="1" x14ac:dyDescent="0.35">
      <c r="M72" s="159"/>
      <c r="N72" s="37"/>
      <c r="O72" s="37"/>
      <c r="P72" s="37" t="s">
        <v>234</v>
      </c>
      <c r="Q72" s="37"/>
      <c r="R72" s="37"/>
    </row>
    <row r="73" spans="13:18" ht="15" customHeight="1" x14ac:dyDescent="0.35">
      <c r="M73" s="159"/>
      <c r="N73" s="40"/>
      <c r="O73" s="40"/>
      <c r="P73" s="40" t="s">
        <v>235</v>
      </c>
      <c r="Q73" s="40"/>
      <c r="R73" s="40"/>
    </row>
    <row r="74" spans="13:18" ht="15" customHeight="1" x14ac:dyDescent="0.35">
      <c r="M74" s="159"/>
      <c r="N74" s="37"/>
      <c r="O74" s="37"/>
      <c r="P74" s="37" t="s">
        <v>236</v>
      </c>
      <c r="Q74" s="37"/>
      <c r="R74" s="37"/>
    </row>
    <row r="75" spans="13:18" ht="15" customHeight="1" x14ac:dyDescent="0.35">
      <c r="M75" s="159"/>
      <c r="N75" s="40"/>
      <c r="O75" s="40"/>
      <c r="P75" s="40" t="s">
        <v>237</v>
      </c>
      <c r="Q75" s="40"/>
      <c r="R75" s="40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/>
    </sheetView>
  </sheetViews>
  <sheetFormatPr defaultColWidth="8.54296875" defaultRowHeight="14.5" x14ac:dyDescent="0.35"/>
  <cols>
    <col min="1" max="1" width="18.17968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1640625" style="54" customWidth="1"/>
    <col min="8" max="8" width="33.08984375" style="54" customWidth="1"/>
    <col min="9" max="9" width="23.453125" style="54" customWidth="1"/>
    <col min="10" max="10" width="43.08984375" style="54" customWidth="1"/>
    <col min="11" max="11" width="14" style="54" customWidth="1"/>
    <col min="12" max="12" width="13.1796875" style="55" customWidth="1"/>
    <col min="13" max="13" width="14" style="54" customWidth="1"/>
    <col min="14" max="14" width="37.26953125" style="54" customWidth="1"/>
    <col min="15" max="15" width="19.81640625" customWidth="1"/>
  </cols>
  <sheetData>
    <row r="1" spans="1:15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57" t="s">
        <v>240</v>
      </c>
      <c r="G1" s="57" t="s">
        <v>241</v>
      </c>
      <c r="H1" s="57" t="s">
        <v>23</v>
      </c>
      <c r="I1" s="57" t="s">
        <v>24</v>
      </c>
      <c r="J1" s="57" t="s">
        <v>242</v>
      </c>
      <c r="K1" s="57" t="s">
        <v>243</v>
      </c>
      <c r="L1" s="57" t="s">
        <v>244</v>
      </c>
      <c r="M1" s="58" t="s">
        <v>245</v>
      </c>
      <c r="N1" s="57" t="s">
        <v>246</v>
      </c>
      <c r="O1" s="57" t="s">
        <v>247</v>
      </c>
    </row>
    <row r="2" spans="1:15" ht="15" customHeight="1" x14ac:dyDescent="0.3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248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248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248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248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248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248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248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248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248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248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248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248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5">
      <c r="A14" s="161" t="s">
        <v>249</v>
      </c>
      <c r="B14" s="161"/>
      <c r="C14" s="161"/>
      <c r="D14" s="161"/>
      <c r="E14" s="161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250</v>
      </c>
      <c r="O14" s="74">
        <v>797765</v>
      </c>
    </row>
    <row r="15" spans="1:15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248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248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248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251</v>
      </c>
      <c r="O17" s="67"/>
    </row>
    <row r="18" spans="1:15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248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248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248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248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248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248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248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248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248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5">
      <c r="A27" s="161" t="s">
        <v>252</v>
      </c>
      <c r="B27" s="161"/>
      <c r="C27" s="161"/>
      <c r="D27" s="161"/>
      <c r="E27" s="161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250</v>
      </c>
      <c r="O27" s="74">
        <v>997910</v>
      </c>
    </row>
    <row r="28" spans="1:15" ht="18" customHeight="1" x14ac:dyDescent="0.35">
      <c r="A28" s="162" t="s">
        <v>253</v>
      </c>
      <c r="B28" s="162"/>
      <c r="C28" s="162"/>
      <c r="D28" s="162"/>
      <c r="E28" s="162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254</v>
      </c>
      <c r="O28" s="30">
        <f>IFERROR(O14+O27,"")</f>
        <v>1795675</v>
      </c>
    </row>
    <row r="29" spans="1:15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248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248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255</v>
      </c>
      <c r="O30" s="67"/>
    </row>
    <row r="31" spans="1:15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248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251</v>
      </c>
      <c r="O31" s="67"/>
    </row>
    <row r="32" spans="1:15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248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248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248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248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248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248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248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248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248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5">
      <c r="A41" s="161" t="s">
        <v>249</v>
      </c>
      <c r="B41" s="161"/>
      <c r="C41" s="161"/>
      <c r="D41" s="161"/>
      <c r="E41" s="161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250</v>
      </c>
      <c r="O41" s="74">
        <v>1351560</v>
      </c>
    </row>
    <row r="42" spans="1:15" ht="15" customHeight="1" x14ac:dyDescent="0.3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248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256</v>
      </c>
      <c r="O42" s="67"/>
    </row>
    <row r="43" spans="1:15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248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248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248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248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248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248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248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248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248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248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5">
      <c r="A54" s="161" t="s">
        <v>252</v>
      </c>
      <c r="B54" s="161"/>
      <c r="C54" s="161"/>
      <c r="D54" s="161"/>
      <c r="E54" s="161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250</v>
      </c>
      <c r="O54" s="74">
        <v>981310</v>
      </c>
    </row>
    <row r="55" spans="1:15" ht="18" customHeight="1" x14ac:dyDescent="0.35">
      <c r="A55" s="162" t="s">
        <v>253</v>
      </c>
      <c r="B55" s="162"/>
      <c r="C55" s="162"/>
      <c r="D55" s="162"/>
      <c r="E55" s="162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254</v>
      </c>
      <c r="O55" s="30">
        <f>IFERROR(O41+O54,"")</f>
        <v>2332870</v>
      </c>
    </row>
    <row r="56" spans="1:15" ht="15" customHeight="1" x14ac:dyDescent="0.3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248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248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248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248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248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248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248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248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248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248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248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248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5">
      <c r="A68" s="161" t="s">
        <v>249</v>
      </c>
      <c r="B68" s="161"/>
      <c r="C68" s="161"/>
      <c r="D68" s="161"/>
      <c r="E68" s="161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250</v>
      </c>
      <c r="O68" s="74">
        <v>2102950</v>
      </c>
    </row>
    <row r="69" spans="1:15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248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248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257</v>
      </c>
      <c r="O70" s="67"/>
    </row>
    <row r="71" spans="1:15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248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248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248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248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248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248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248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248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248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248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5">
      <c r="A81" s="161" t="s">
        <v>252</v>
      </c>
      <c r="B81" s="161"/>
      <c r="C81" s="161"/>
      <c r="D81" s="161"/>
      <c r="E81" s="161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250</v>
      </c>
      <c r="O81" s="74">
        <v>1547910</v>
      </c>
    </row>
    <row r="82" spans="1:15" ht="18" customHeight="1" x14ac:dyDescent="0.35">
      <c r="A82" s="162" t="s">
        <v>253</v>
      </c>
      <c r="B82" s="162"/>
      <c r="C82" s="162"/>
      <c r="D82" s="162"/>
      <c r="E82" s="162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254</v>
      </c>
      <c r="O82" s="30">
        <f>IFERROR(O68+O81,"")</f>
        <v>3650860</v>
      </c>
    </row>
    <row r="83" spans="1:15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248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248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248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258</v>
      </c>
      <c r="O85" s="67"/>
    </row>
    <row r="86" spans="1:15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248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248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248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248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248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248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248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248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248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5">
      <c r="A95" s="161" t="s">
        <v>249</v>
      </c>
      <c r="B95" s="161"/>
      <c r="C95" s="161"/>
      <c r="D95" s="161"/>
      <c r="E95" s="161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250</v>
      </c>
      <c r="O95" s="74">
        <v>2050000</v>
      </c>
    </row>
    <row r="96" spans="1:15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248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248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248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248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248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248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259</v>
      </c>
      <c r="O101" s="67"/>
    </row>
    <row r="102" spans="1:15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248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248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248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248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248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248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5">
      <c r="A108" s="161" t="s">
        <v>252</v>
      </c>
      <c r="B108" s="161"/>
      <c r="C108" s="161"/>
      <c r="D108" s="161"/>
      <c r="E108" s="161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250</v>
      </c>
      <c r="O108" s="74">
        <v>3156240</v>
      </c>
    </row>
    <row r="109" spans="1:15" ht="18" customHeight="1" x14ac:dyDescent="0.35">
      <c r="A109" s="162" t="s">
        <v>253</v>
      </c>
      <c r="B109" s="162"/>
      <c r="C109" s="162"/>
      <c r="D109" s="162"/>
      <c r="E109" s="162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254</v>
      </c>
      <c r="O109" s="30">
        <f>IFERROR(O95+O108,"")</f>
        <v>5206240</v>
      </c>
    </row>
    <row r="110" spans="1:15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248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248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248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248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248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248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248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248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248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248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248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248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5">
      <c r="A122" s="161" t="s">
        <v>249</v>
      </c>
      <c r="B122" s="161"/>
      <c r="C122" s="161"/>
      <c r="D122" s="161"/>
      <c r="E122" s="161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250</v>
      </c>
      <c r="O122" s="74">
        <v>846660</v>
      </c>
    </row>
    <row r="123" spans="1:15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248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248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248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248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248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248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248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248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248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248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248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248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5">
      <c r="A135" s="161" t="s">
        <v>252</v>
      </c>
      <c r="B135" s="161"/>
      <c r="C135" s="161"/>
      <c r="D135" s="161"/>
      <c r="E135" s="161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250</v>
      </c>
      <c r="O135" s="74">
        <v>2875180</v>
      </c>
    </row>
    <row r="136" spans="1:15" ht="18" customHeight="1" x14ac:dyDescent="0.35">
      <c r="A136" s="162" t="s">
        <v>253</v>
      </c>
      <c r="B136" s="162"/>
      <c r="C136" s="162"/>
      <c r="D136" s="162"/>
      <c r="E136" s="162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254</v>
      </c>
      <c r="O136" s="30">
        <f>IFERROR(O122+O135,"")</f>
        <v>3721840</v>
      </c>
    </row>
    <row r="137" spans="1:15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248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260</v>
      </c>
      <c r="O137" s="67"/>
    </row>
    <row r="138" spans="1:15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248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248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248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248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248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248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248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248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248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248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248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45">
      <c r="A149" s="161" t="s">
        <v>249</v>
      </c>
      <c r="B149" s="161"/>
      <c r="C149" s="161"/>
      <c r="D149" s="161"/>
      <c r="E149" s="161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250</v>
      </c>
      <c r="O149" s="78">
        <v>1650350</v>
      </c>
    </row>
    <row r="150" spans="1:15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248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248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261</v>
      </c>
      <c r="O151" s="67"/>
    </row>
    <row r="152" spans="1:15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248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248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248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248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248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248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248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248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248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248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45">
      <c r="A162" s="161" t="s">
        <v>252</v>
      </c>
      <c r="B162" s="161"/>
      <c r="C162" s="161"/>
      <c r="D162" s="161"/>
      <c r="E162" s="161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250</v>
      </c>
      <c r="O162" s="79">
        <v>842000</v>
      </c>
    </row>
    <row r="163" spans="1:15" ht="18" customHeight="1" x14ac:dyDescent="0.35">
      <c r="A163" s="162" t="s">
        <v>253</v>
      </c>
      <c r="B163" s="162"/>
      <c r="C163" s="162"/>
      <c r="D163" s="162"/>
      <c r="E163" s="162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254</v>
      </c>
      <c r="O163" s="30">
        <f>IFERROR(O149+O162,"")</f>
        <v>2492350</v>
      </c>
    </row>
    <row r="164" spans="1:15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248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262</v>
      </c>
      <c r="O164" s="67"/>
    </row>
    <row r="165" spans="1:15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248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248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248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248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248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248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248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248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248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248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248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5">
      <c r="A176" s="161" t="s">
        <v>249</v>
      </c>
      <c r="B176" s="161"/>
      <c r="C176" s="161"/>
      <c r="D176" s="161"/>
      <c r="E176" s="161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250</v>
      </c>
      <c r="O176" s="74">
        <v>2934820</v>
      </c>
    </row>
    <row r="177" spans="1:15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248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263</v>
      </c>
      <c r="O177" s="67"/>
    </row>
    <row r="178" spans="1:15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248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248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248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248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248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248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248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264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248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248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248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5">
      <c r="A189" s="161" t="s">
        <v>252</v>
      </c>
      <c r="B189" s="161"/>
      <c r="C189" s="161"/>
      <c r="D189" s="161"/>
      <c r="E189" s="161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250</v>
      </c>
      <c r="O189" s="74">
        <v>1901630</v>
      </c>
    </row>
    <row r="190" spans="1:15" ht="18" customHeight="1" x14ac:dyDescent="0.35">
      <c r="A190" s="162" t="s">
        <v>253</v>
      </c>
      <c r="B190" s="162"/>
      <c r="C190" s="162"/>
      <c r="D190" s="162"/>
      <c r="E190" s="162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254</v>
      </c>
      <c r="O190" s="30">
        <f>IFERROR(O176+O189,"")</f>
        <v>4836450</v>
      </c>
    </row>
    <row r="191" spans="1:15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248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248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248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265</v>
      </c>
      <c r="O193" s="67"/>
    </row>
    <row r="194" spans="1:15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248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248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248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248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248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248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248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248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248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5">
      <c r="A203" s="161" t="s">
        <v>249</v>
      </c>
      <c r="B203" s="161"/>
      <c r="C203" s="161"/>
      <c r="D203" s="161"/>
      <c r="E203" s="161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250</v>
      </c>
      <c r="O203" s="74">
        <v>1392300</v>
      </c>
    </row>
    <row r="204" spans="1:15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248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248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248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248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248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248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248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248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248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248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248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248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5">
      <c r="A216" s="161" t="s">
        <v>252</v>
      </c>
      <c r="B216" s="161"/>
      <c r="C216" s="161"/>
      <c r="D216" s="161"/>
      <c r="E216" s="161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250</v>
      </c>
      <c r="O216" s="74">
        <v>1852295</v>
      </c>
    </row>
    <row r="217" spans="1:15" ht="18" customHeight="1" x14ac:dyDescent="0.35">
      <c r="A217" s="162" t="s">
        <v>253</v>
      </c>
      <c r="B217" s="162"/>
      <c r="C217" s="162"/>
      <c r="D217" s="162"/>
      <c r="E217" s="162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254</v>
      </c>
      <c r="O217" s="82">
        <f>IFERROR(O203+O216,"")</f>
        <v>3244595</v>
      </c>
    </row>
    <row r="218" spans="1:15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248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248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248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266</v>
      </c>
      <c r="O220" s="81"/>
    </row>
    <row r="221" spans="1:15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248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248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248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248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248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248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248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248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248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5">
      <c r="A230" s="161" t="s">
        <v>249</v>
      </c>
      <c r="B230" s="161"/>
      <c r="C230" s="161"/>
      <c r="D230" s="161"/>
      <c r="E230" s="161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250</v>
      </c>
      <c r="O230" s="74">
        <v>2165620</v>
      </c>
    </row>
    <row r="231" spans="1:21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248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248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248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267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267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267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267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267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267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267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267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267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5">
      <c r="A243" s="161" t="s">
        <v>252</v>
      </c>
      <c r="B243" s="161"/>
      <c r="C243" s="161"/>
      <c r="D243" s="161"/>
      <c r="E243" s="161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250</v>
      </c>
      <c r="O243" s="74">
        <v>991010</v>
      </c>
    </row>
    <row r="244" spans="1:15" ht="18" customHeight="1" x14ac:dyDescent="0.35">
      <c r="A244" s="162" t="s">
        <v>253</v>
      </c>
      <c r="B244" s="162"/>
      <c r="C244" s="162"/>
      <c r="D244" s="162"/>
      <c r="E244" s="162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254</v>
      </c>
      <c r="O244" s="82">
        <f>IFERROR(O230+O243,"")</f>
        <v>3156630</v>
      </c>
    </row>
    <row r="245" spans="1:15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248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248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248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248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248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268</v>
      </c>
      <c r="O249" s="81"/>
    </row>
    <row r="250" spans="1:15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248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248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248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248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248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248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248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5">
      <c r="A257" s="161" t="s">
        <v>249</v>
      </c>
      <c r="B257" s="161"/>
      <c r="C257" s="161"/>
      <c r="D257" s="161"/>
      <c r="E257" s="161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250</v>
      </c>
      <c r="O257" s="74">
        <v>2149680</v>
      </c>
    </row>
    <row r="258" spans="1:15" ht="15" customHeight="1" x14ac:dyDescent="0.35">
      <c r="A258" s="18">
        <v>46244</v>
      </c>
      <c r="B258" s="68">
        <v>0.83333333333333304</v>
      </c>
      <c r="C258" s="70" t="s">
        <v>54</v>
      </c>
      <c r="D258" s="75" t="s">
        <v>269</v>
      </c>
      <c r="E258" s="75" t="s">
        <v>248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269</v>
      </c>
      <c r="E259" s="75" t="s">
        <v>248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5">
      <c r="A260" s="18">
        <v>46244</v>
      </c>
      <c r="B260" s="68">
        <f t="shared" si="58"/>
        <v>0.9166666666666663</v>
      </c>
      <c r="C260" s="70" t="s">
        <v>54</v>
      </c>
      <c r="D260" s="75" t="s">
        <v>269</v>
      </c>
      <c r="E260" s="75" t="s">
        <v>248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5">
      <c r="A261" s="59">
        <v>46244</v>
      </c>
      <c r="B261" s="60">
        <f t="shared" si="58"/>
        <v>0.95833333333333293</v>
      </c>
      <c r="C261" s="70" t="s">
        <v>54</v>
      </c>
      <c r="D261" s="75" t="s">
        <v>269</v>
      </c>
      <c r="E261" s="75" t="s">
        <v>248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5">
      <c r="A262" s="18">
        <v>46244</v>
      </c>
      <c r="B262" s="68">
        <f t="shared" si="58"/>
        <v>0.99999999999999956</v>
      </c>
      <c r="C262" s="70" t="s">
        <v>54</v>
      </c>
      <c r="D262" s="75" t="s">
        <v>269</v>
      </c>
      <c r="E262" s="75" t="s">
        <v>248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5">
      <c r="A263" s="59">
        <v>46244</v>
      </c>
      <c r="B263" s="60">
        <f t="shared" si="58"/>
        <v>1.0416666666666663</v>
      </c>
      <c r="C263" s="70" t="s">
        <v>54</v>
      </c>
      <c r="D263" s="75" t="s">
        <v>269</v>
      </c>
      <c r="E263" s="75" t="s">
        <v>248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5">
      <c r="A264" s="18">
        <v>46244</v>
      </c>
      <c r="B264" s="68">
        <f t="shared" si="58"/>
        <v>1.083333333333333</v>
      </c>
      <c r="C264" s="70" t="s">
        <v>54</v>
      </c>
      <c r="D264" s="75" t="s">
        <v>269</v>
      </c>
      <c r="E264" s="75" t="s">
        <v>248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5">
      <c r="A265" s="59">
        <v>46244</v>
      </c>
      <c r="B265" s="60">
        <f t="shared" si="58"/>
        <v>1.1249999999999998</v>
      </c>
      <c r="C265" s="70" t="s">
        <v>54</v>
      </c>
      <c r="D265" s="75" t="s">
        <v>269</v>
      </c>
      <c r="E265" s="75" t="s">
        <v>248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5">
      <c r="A266" s="18">
        <v>46244</v>
      </c>
      <c r="B266" s="68">
        <f t="shared" si="58"/>
        <v>1.1666666666666665</v>
      </c>
      <c r="C266" s="70" t="s">
        <v>54</v>
      </c>
      <c r="D266" s="75" t="s">
        <v>269</v>
      </c>
      <c r="E266" s="75" t="s">
        <v>248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5">
      <c r="A267" s="59">
        <v>46244</v>
      </c>
      <c r="B267" s="60">
        <f t="shared" si="58"/>
        <v>1.2083333333333333</v>
      </c>
      <c r="C267" s="70" t="s">
        <v>54</v>
      </c>
      <c r="D267" s="75" t="s">
        <v>269</v>
      </c>
      <c r="E267" s="75" t="s">
        <v>248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5">
      <c r="A268" s="18">
        <v>46244</v>
      </c>
      <c r="B268" s="68">
        <f t="shared" si="58"/>
        <v>1.25</v>
      </c>
      <c r="C268" s="70" t="s">
        <v>54</v>
      </c>
      <c r="D268" s="75" t="s">
        <v>269</v>
      </c>
      <c r="E268" s="75" t="s">
        <v>248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5">
      <c r="A269" s="59">
        <v>46244</v>
      </c>
      <c r="B269" s="60">
        <f t="shared" si="58"/>
        <v>1.2916666666666667</v>
      </c>
      <c r="C269" s="70" t="s">
        <v>54</v>
      </c>
      <c r="D269" s="75" t="s">
        <v>269</v>
      </c>
      <c r="E269" s="75" t="s">
        <v>248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5">
      <c r="A270" s="161" t="s">
        <v>252</v>
      </c>
      <c r="B270" s="161"/>
      <c r="C270" s="161"/>
      <c r="D270" s="161"/>
      <c r="E270" s="161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250</v>
      </c>
      <c r="O270" s="74">
        <v>1544700</v>
      </c>
    </row>
    <row r="271" spans="1:15" ht="18" customHeight="1" x14ac:dyDescent="0.35">
      <c r="A271" s="162" t="s">
        <v>253</v>
      </c>
      <c r="B271" s="162"/>
      <c r="C271" s="162"/>
      <c r="D271" s="162"/>
      <c r="E271" s="162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254</v>
      </c>
      <c r="O271" s="82">
        <f>IFERROR(O257+O270,"")</f>
        <v>3694380</v>
      </c>
    </row>
    <row r="272" spans="1:15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269</v>
      </c>
      <c r="E272" s="62" t="s">
        <v>248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269</v>
      </c>
      <c r="E273" s="62" t="s">
        <v>248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5">
      <c r="A274" s="59">
        <v>46245</v>
      </c>
      <c r="B274" s="60">
        <f t="shared" si="60"/>
        <v>0.41666666666666635</v>
      </c>
      <c r="C274" s="61" t="s">
        <v>38</v>
      </c>
      <c r="D274" s="62" t="s">
        <v>269</v>
      </c>
      <c r="E274" s="62" t="s">
        <v>248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5">
      <c r="A275" s="18">
        <v>46245</v>
      </c>
      <c r="B275" s="68">
        <f t="shared" si="60"/>
        <v>0.45833333333333304</v>
      </c>
      <c r="C275" s="61" t="s">
        <v>38</v>
      </c>
      <c r="D275" s="62" t="s">
        <v>269</v>
      </c>
      <c r="E275" s="62" t="s">
        <v>248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5">
      <c r="A276" s="59">
        <v>46245</v>
      </c>
      <c r="B276" s="60">
        <f t="shared" si="60"/>
        <v>0.49999999999999972</v>
      </c>
      <c r="C276" s="61" t="s">
        <v>38</v>
      </c>
      <c r="D276" s="62" t="s">
        <v>269</v>
      </c>
      <c r="E276" s="62" t="s">
        <v>248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5">
      <c r="A277" s="18">
        <v>46245</v>
      </c>
      <c r="B277" s="68">
        <f t="shared" si="60"/>
        <v>0.54166666666666641</v>
      </c>
      <c r="C277" s="61" t="s">
        <v>38</v>
      </c>
      <c r="D277" s="62" t="s">
        <v>269</v>
      </c>
      <c r="E277" s="62" t="s">
        <v>248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270</v>
      </c>
      <c r="O277" s="81"/>
    </row>
    <row r="278" spans="1:15" ht="15" customHeight="1" x14ac:dyDescent="0.35">
      <c r="A278" s="59">
        <v>46245</v>
      </c>
      <c r="B278" s="60">
        <f t="shared" si="60"/>
        <v>0.58333333333333304</v>
      </c>
      <c r="C278" s="61" t="s">
        <v>38</v>
      </c>
      <c r="D278" s="62" t="s">
        <v>269</v>
      </c>
      <c r="E278" s="62" t="s">
        <v>248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5">
      <c r="A279" s="18">
        <v>46245</v>
      </c>
      <c r="B279" s="68">
        <f t="shared" si="60"/>
        <v>0.62499999999999967</v>
      </c>
      <c r="C279" s="61" t="s">
        <v>38</v>
      </c>
      <c r="D279" s="62" t="s">
        <v>269</v>
      </c>
      <c r="E279" s="62" t="s">
        <v>248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5">
      <c r="A280" s="59">
        <v>46245</v>
      </c>
      <c r="B280" s="60">
        <f t="shared" si="60"/>
        <v>0.6666666666666663</v>
      </c>
      <c r="C280" s="61" t="s">
        <v>38</v>
      </c>
      <c r="D280" s="62" t="s">
        <v>269</v>
      </c>
      <c r="E280" s="62" t="s">
        <v>248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5">
      <c r="A281" s="18">
        <v>46245</v>
      </c>
      <c r="B281" s="68">
        <f t="shared" si="60"/>
        <v>0.70833333333333293</v>
      </c>
      <c r="C281" s="61" t="s">
        <v>38</v>
      </c>
      <c r="D281" s="62" t="s">
        <v>269</v>
      </c>
      <c r="E281" s="62" t="s">
        <v>248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5">
      <c r="A282" s="59">
        <v>46245</v>
      </c>
      <c r="B282" s="60">
        <f t="shared" si="60"/>
        <v>0.74999999999999956</v>
      </c>
      <c r="C282" s="61" t="s">
        <v>38</v>
      </c>
      <c r="D282" s="62" t="s">
        <v>269</v>
      </c>
      <c r="E282" s="62" t="s">
        <v>248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5">
      <c r="A283" s="18">
        <v>46245</v>
      </c>
      <c r="B283" s="68">
        <f t="shared" si="60"/>
        <v>0.79166666666666619</v>
      </c>
      <c r="C283" s="61" t="s">
        <v>38</v>
      </c>
      <c r="D283" s="62" t="s">
        <v>269</v>
      </c>
      <c r="E283" s="62" t="s">
        <v>248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5">
      <c r="A284" s="161" t="s">
        <v>249</v>
      </c>
      <c r="B284" s="161"/>
      <c r="C284" s="161"/>
      <c r="D284" s="161"/>
      <c r="E284" s="161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250</v>
      </c>
      <c r="O284" s="74">
        <v>1583020</v>
      </c>
    </row>
    <row r="285" spans="1:15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269</v>
      </c>
      <c r="E285" s="75" t="s">
        <v>264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269</v>
      </c>
      <c r="E286" s="75" t="s">
        <v>264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5">
      <c r="A287" s="18">
        <v>46245</v>
      </c>
      <c r="B287" s="68">
        <f t="shared" si="62"/>
        <v>0.9166666666666663</v>
      </c>
      <c r="C287" s="70" t="s">
        <v>54</v>
      </c>
      <c r="D287" s="75" t="s">
        <v>269</v>
      </c>
      <c r="E287" s="75" t="s">
        <v>264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5">
      <c r="A288" s="59">
        <v>46245</v>
      </c>
      <c r="B288" s="60">
        <f t="shared" si="62"/>
        <v>0.95833333333333293</v>
      </c>
      <c r="C288" s="70" t="s">
        <v>54</v>
      </c>
      <c r="D288" s="75" t="s">
        <v>269</v>
      </c>
      <c r="E288" s="75" t="s">
        <v>264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5">
      <c r="A289" s="18">
        <v>46245</v>
      </c>
      <c r="B289" s="68">
        <f t="shared" si="62"/>
        <v>0.99999999999999956</v>
      </c>
      <c r="C289" s="70" t="s">
        <v>54</v>
      </c>
      <c r="D289" s="75" t="s">
        <v>269</v>
      </c>
      <c r="E289" s="75" t="s">
        <v>264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5">
      <c r="A290" s="59">
        <v>46245</v>
      </c>
      <c r="B290" s="60">
        <f t="shared" si="62"/>
        <v>1.0416666666666663</v>
      </c>
      <c r="C290" s="70" t="s">
        <v>54</v>
      </c>
      <c r="D290" s="75" t="s">
        <v>269</v>
      </c>
      <c r="E290" s="75" t="s">
        <v>264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5">
      <c r="A291" s="18">
        <v>46245</v>
      </c>
      <c r="B291" s="68">
        <f t="shared" si="62"/>
        <v>1.083333333333333</v>
      </c>
      <c r="C291" s="70" t="s">
        <v>54</v>
      </c>
      <c r="D291" s="75" t="s">
        <v>269</v>
      </c>
      <c r="E291" s="75" t="s">
        <v>264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5">
      <c r="A292" s="59">
        <v>46245</v>
      </c>
      <c r="B292" s="60">
        <f t="shared" si="62"/>
        <v>1.1249999999999998</v>
      </c>
      <c r="C292" s="70" t="s">
        <v>54</v>
      </c>
      <c r="D292" s="75" t="s">
        <v>269</v>
      </c>
      <c r="E292" s="75" t="s">
        <v>264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5">
      <c r="A293" s="18">
        <v>46245</v>
      </c>
      <c r="B293" s="68">
        <f t="shared" si="62"/>
        <v>1.1666666666666665</v>
      </c>
      <c r="C293" s="70" t="s">
        <v>54</v>
      </c>
      <c r="D293" s="75" t="s">
        <v>269</v>
      </c>
      <c r="E293" s="75" t="s">
        <v>264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5">
      <c r="A294" s="59">
        <v>46245</v>
      </c>
      <c r="B294" s="60">
        <f t="shared" si="62"/>
        <v>1.2083333333333333</v>
      </c>
      <c r="C294" s="70" t="s">
        <v>54</v>
      </c>
      <c r="D294" s="75" t="s">
        <v>269</v>
      </c>
      <c r="E294" s="75" t="s">
        <v>264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5">
      <c r="A295" s="18">
        <v>46245</v>
      </c>
      <c r="B295" s="68">
        <f t="shared" si="62"/>
        <v>1.25</v>
      </c>
      <c r="C295" s="70" t="s">
        <v>54</v>
      </c>
      <c r="D295" s="75" t="s">
        <v>269</v>
      </c>
      <c r="E295" s="75" t="s">
        <v>264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5">
      <c r="A296" s="59">
        <v>46245</v>
      </c>
      <c r="B296" s="60">
        <f t="shared" si="62"/>
        <v>1.2916666666666667</v>
      </c>
      <c r="C296" s="70" t="s">
        <v>54</v>
      </c>
      <c r="D296" s="75" t="s">
        <v>269</v>
      </c>
      <c r="E296" s="75" t="s">
        <v>264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5">
      <c r="A297" s="161" t="s">
        <v>252</v>
      </c>
      <c r="B297" s="161"/>
      <c r="C297" s="161"/>
      <c r="D297" s="161"/>
      <c r="E297" s="161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250</v>
      </c>
      <c r="O297" s="74">
        <v>1715230</v>
      </c>
    </row>
    <row r="298" spans="1:15" ht="18" customHeight="1" x14ac:dyDescent="0.35">
      <c r="A298" s="162" t="s">
        <v>253</v>
      </c>
      <c r="B298" s="162"/>
      <c r="C298" s="162"/>
      <c r="D298" s="162"/>
      <c r="E298" s="162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254</v>
      </c>
      <c r="O298" s="82">
        <f>IFERROR(O284+O297,"")</f>
        <v>3298250</v>
      </c>
    </row>
    <row r="299" spans="1:15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248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248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248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248</v>
      </c>
      <c r="F302" s="63">
        <v>40</v>
      </c>
      <c r="G302" s="64">
        <v>200</v>
      </c>
      <c r="H302" s="61"/>
      <c r="I302" s="61"/>
      <c r="J302" s="61"/>
      <c r="K302" s="65"/>
      <c r="L302" s="65" t="s">
        <v>271</v>
      </c>
      <c r="M302" s="66" t="str">
        <f t="shared" ca="1" si="63"/>
        <v/>
      </c>
      <c r="N302" s="80"/>
      <c r="O302" s="81"/>
    </row>
    <row r="303" spans="1:15" ht="15" customHeight="1" x14ac:dyDescent="0.3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248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248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248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248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248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248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248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248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5">
      <c r="A311" s="161" t="s">
        <v>249</v>
      </c>
      <c r="B311" s="161"/>
      <c r="C311" s="161"/>
      <c r="D311" s="161"/>
      <c r="E311" s="161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250</v>
      </c>
      <c r="O311" s="74">
        <v>2631530</v>
      </c>
    </row>
    <row r="312" spans="1:15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248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248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248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248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248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248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248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248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248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248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248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248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5">
      <c r="A324" s="161" t="s">
        <v>252</v>
      </c>
      <c r="B324" s="161"/>
      <c r="C324" s="161"/>
      <c r="D324" s="161"/>
      <c r="E324" s="161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250</v>
      </c>
      <c r="O324" s="74">
        <v>2216340</v>
      </c>
    </row>
    <row r="325" spans="1:15" ht="18" customHeight="1" x14ac:dyDescent="0.35">
      <c r="A325" s="162" t="s">
        <v>253</v>
      </c>
      <c r="B325" s="162"/>
      <c r="C325" s="162"/>
      <c r="D325" s="162"/>
      <c r="E325" s="162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254</v>
      </c>
      <c r="O325" s="82">
        <f>IFERROR(O311+O324,"")</f>
        <v>4847870</v>
      </c>
    </row>
    <row r="326" spans="1:15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272</v>
      </c>
      <c r="O328" s="81"/>
    </row>
    <row r="329" spans="1:15" ht="15" customHeight="1" x14ac:dyDescent="0.3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248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248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248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273</v>
      </c>
      <c r="O333" s="81"/>
    </row>
    <row r="334" spans="1:15" ht="15" customHeight="1" x14ac:dyDescent="0.3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248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248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248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248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5">
      <c r="A338" s="161" t="s">
        <v>249</v>
      </c>
      <c r="B338" s="161"/>
      <c r="C338" s="161"/>
      <c r="D338" s="161"/>
      <c r="E338" s="161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250</v>
      </c>
      <c r="O338" s="74">
        <v>1925790</v>
      </c>
    </row>
    <row r="339" spans="1:15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248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248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248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248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248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248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248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248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248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248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248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248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5">
      <c r="A351" s="161" t="s">
        <v>252</v>
      </c>
      <c r="B351" s="161"/>
      <c r="C351" s="161"/>
      <c r="D351" s="161"/>
      <c r="E351" s="161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250</v>
      </c>
      <c r="O351" s="74">
        <v>2154990</v>
      </c>
    </row>
    <row r="352" spans="1:15" ht="18" customHeight="1" x14ac:dyDescent="0.35">
      <c r="A352" s="162" t="s">
        <v>253</v>
      </c>
      <c r="B352" s="162"/>
      <c r="C352" s="162"/>
      <c r="D352" s="162"/>
      <c r="E352" s="162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254</v>
      </c>
      <c r="O352" s="82">
        <f>IFERROR(O338+O351,"")</f>
        <v>4080780</v>
      </c>
    </row>
    <row r="353" spans="1:15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248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248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248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248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248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248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264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248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248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248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248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248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5">
      <c r="A365" s="161" t="s">
        <v>249</v>
      </c>
      <c r="B365" s="161"/>
      <c r="C365" s="161"/>
      <c r="D365" s="161"/>
      <c r="E365" s="161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250</v>
      </c>
      <c r="O365" s="74">
        <v>2315280</v>
      </c>
    </row>
    <row r="366" spans="1:15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248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248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248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248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248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248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248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248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248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248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248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248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5">
      <c r="A378" s="161" t="s">
        <v>252</v>
      </c>
      <c r="B378" s="161"/>
      <c r="C378" s="161"/>
      <c r="D378" s="161"/>
      <c r="E378" s="161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250</v>
      </c>
      <c r="O378" s="74">
        <v>2614830</v>
      </c>
    </row>
    <row r="379" spans="1:15" ht="18" customHeight="1" x14ac:dyDescent="0.35">
      <c r="A379" s="162" t="s">
        <v>253</v>
      </c>
      <c r="B379" s="162"/>
      <c r="C379" s="162"/>
      <c r="D379" s="162"/>
      <c r="E379" s="162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254</v>
      </c>
      <c r="O379" s="82">
        <f>IFERROR(O365+O378,"")</f>
        <v>4930110</v>
      </c>
    </row>
    <row r="380" spans="1:15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248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248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248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248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248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248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248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248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248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248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248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248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5">
      <c r="A392" s="161" t="s">
        <v>249</v>
      </c>
      <c r="B392" s="161"/>
      <c r="C392" s="161"/>
      <c r="D392" s="161"/>
      <c r="E392" s="161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250</v>
      </c>
      <c r="O392" s="74">
        <v>2491620</v>
      </c>
    </row>
    <row r="393" spans="1:15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248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274</v>
      </c>
    </row>
    <row r="394" spans="1:15" ht="15" customHeight="1" x14ac:dyDescent="0.3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248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248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248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248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248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248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248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248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248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248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248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5">
      <c r="A405" s="161" t="s">
        <v>252</v>
      </c>
      <c r="B405" s="161"/>
      <c r="C405" s="161"/>
      <c r="D405" s="161"/>
      <c r="E405" s="161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250</v>
      </c>
      <c r="O405" s="74">
        <v>2612000</v>
      </c>
    </row>
    <row r="406" spans="1:15" ht="18" customHeight="1" x14ac:dyDescent="0.35">
      <c r="A406" s="162" t="s">
        <v>253</v>
      </c>
      <c r="B406" s="162"/>
      <c r="C406" s="162"/>
      <c r="D406" s="162"/>
      <c r="E406" s="162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254</v>
      </c>
      <c r="O406" s="82">
        <f>IFERROR(O392+O405,"")</f>
        <v>5103620</v>
      </c>
    </row>
    <row r="407" spans="1:15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248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248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248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248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248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248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248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248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248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248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248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248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5">
      <c r="A419" s="161" t="s">
        <v>249</v>
      </c>
      <c r="B419" s="161"/>
      <c r="C419" s="161"/>
      <c r="D419" s="161"/>
      <c r="E419" s="161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250</v>
      </c>
      <c r="O419" s="74">
        <v>1195500</v>
      </c>
    </row>
    <row r="420" spans="1:15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248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248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275</v>
      </c>
      <c r="O421" s="81"/>
    </row>
    <row r="422" spans="1:15" ht="15" customHeight="1" x14ac:dyDescent="0.3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248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275</v>
      </c>
      <c r="O422" s="81"/>
    </row>
    <row r="423" spans="1:15" ht="15" customHeight="1" x14ac:dyDescent="0.3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248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248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248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248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248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248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248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248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248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5">
      <c r="A432" s="161" t="s">
        <v>252</v>
      </c>
      <c r="B432" s="161"/>
      <c r="C432" s="161"/>
      <c r="D432" s="161"/>
      <c r="E432" s="161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250</v>
      </c>
      <c r="O432" s="74">
        <v>2266710</v>
      </c>
    </row>
    <row r="433" spans="1:15" ht="18" customHeight="1" x14ac:dyDescent="0.35">
      <c r="A433" s="162" t="s">
        <v>253</v>
      </c>
      <c r="B433" s="162"/>
      <c r="C433" s="162"/>
      <c r="D433" s="162"/>
      <c r="E433" s="162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254</v>
      </c>
      <c r="O433" s="82">
        <f>IFERROR(O419+O432,"")</f>
        <v>3462210</v>
      </c>
    </row>
    <row r="434" spans="1:15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248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248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248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248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248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248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248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248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248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248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248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248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5">
      <c r="A446" s="161" t="s">
        <v>249</v>
      </c>
      <c r="B446" s="161"/>
      <c r="C446" s="161"/>
      <c r="D446" s="161"/>
      <c r="E446" s="161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250</v>
      </c>
      <c r="O446" s="74">
        <v>1619380</v>
      </c>
    </row>
    <row r="447" spans="1:15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248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276</v>
      </c>
      <c r="O447" s="81"/>
    </row>
    <row r="448" spans="1:15" ht="15" customHeight="1" x14ac:dyDescent="0.3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248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277</v>
      </c>
      <c r="O448" s="81"/>
    </row>
    <row r="449" spans="1:15" ht="15" customHeight="1" x14ac:dyDescent="0.3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248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248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248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248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278</v>
      </c>
      <c r="O452" s="81"/>
    </row>
    <row r="453" spans="1:15" ht="15" customHeight="1" x14ac:dyDescent="0.3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248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279</v>
      </c>
      <c r="O453" s="81"/>
    </row>
    <row r="454" spans="1:15" ht="15" customHeight="1" x14ac:dyDescent="0.3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248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280</v>
      </c>
      <c r="O454" s="81"/>
    </row>
    <row r="455" spans="1:15" ht="15" customHeight="1" x14ac:dyDescent="0.3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248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248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248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248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5">
      <c r="A459" s="161" t="s">
        <v>252</v>
      </c>
      <c r="B459" s="161"/>
      <c r="C459" s="161"/>
      <c r="D459" s="161"/>
      <c r="E459" s="161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250</v>
      </c>
      <c r="O459" s="74">
        <v>2361680</v>
      </c>
    </row>
    <row r="460" spans="1:15" ht="18" customHeight="1" x14ac:dyDescent="0.35">
      <c r="A460" s="162" t="s">
        <v>253</v>
      </c>
      <c r="B460" s="162"/>
      <c r="C460" s="162"/>
      <c r="D460" s="162"/>
      <c r="E460" s="162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254</v>
      </c>
      <c r="O460" s="82">
        <f>IFERROR(O446+O459,"")</f>
        <v>3981060</v>
      </c>
    </row>
    <row r="461" spans="1:15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248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281</v>
      </c>
      <c r="O461" s="81"/>
    </row>
    <row r="462" spans="1:15" ht="15" customHeight="1" x14ac:dyDescent="0.3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248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248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248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248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248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248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248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248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248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248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248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5">
      <c r="A473" s="161" t="s">
        <v>249</v>
      </c>
      <c r="B473" s="161"/>
      <c r="C473" s="161"/>
      <c r="D473" s="161"/>
      <c r="E473" s="161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250</v>
      </c>
      <c r="O473" s="74">
        <v>2284390</v>
      </c>
    </row>
    <row r="474" spans="1:15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248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248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248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282</v>
      </c>
      <c r="O476" s="81"/>
    </row>
    <row r="477" spans="1:15" ht="15" customHeight="1" x14ac:dyDescent="0.3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248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248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248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248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248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248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248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248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248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5">
      <c r="A486" s="161" t="s">
        <v>252</v>
      </c>
      <c r="B486" s="161"/>
      <c r="C486" s="161"/>
      <c r="D486" s="161"/>
      <c r="E486" s="161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250</v>
      </c>
      <c r="O486" s="74">
        <v>1798670</v>
      </c>
    </row>
    <row r="487" spans="1:15" ht="18" customHeight="1" x14ac:dyDescent="0.35">
      <c r="A487" s="162" t="s">
        <v>253</v>
      </c>
      <c r="B487" s="162"/>
      <c r="C487" s="162"/>
      <c r="D487" s="162"/>
      <c r="E487" s="162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254</v>
      </c>
      <c r="O487" s="82">
        <f>IFERROR(O473+O486,"")</f>
        <v>4083060</v>
      </c>
    </row>
    <row r="488" spans="1:15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248</v>
      </c>
      <c r="F488" s="63"/>
      <c r="G488" s="64" t="str">
        <f t="shared" ref="G488:G499" si="103">IF(F488="","",IF(E488="PC 17",F488*4.2,IF(E488="PC 19",F488*5,IF(E488="CB",F488*35,""))))</f>
        <v/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/>
      <c r="M488" s="66">
        <f t="shared" ref="M488:M499" ca="1" si="104">IFERROR(IF(K488="","",IF(L488="",MOD(NOW()-K488,1),IF(L488&gt;=K488,L488-K488,L488+1-K488))),"")</f>
        <v>0.10777534722001292</v>
      </c>
      <c r="N488" s="80"/>
      <c r="O488" s="81"/>
    </row>
    <row r="489" spans="1:15" ht="15" customHeight="1" x14ac:dyDescent="0.3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248</v>
      </c>
      <c r="F489" s="63"/>
      <c r="G489" s="69" t="str">
        <f t="shared" si="103"/>
        <v/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 x14ac:dyDescent="0.35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248</v>
      </c>
      <c r="F490" s="63"/>
      <c r="G490" s="64" t="str">
        <f t="shared" si="103"/>
        <v/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5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248</v>
      </c>
      <c r="F491" s="63"/>
      <c r="G491" s="69" t="str">
        <f t="shared" si="103"/>
        <v/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5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248</v>
      </c>
      <c r="F492" s="63"/>
      <c r="G492" s="64" t="str">
        <f t="shared" si="103"/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5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248</v>
      </c>
      <c r="F493" s="63"/>
      <c r="G493" s="69" t="str">
        <f t="shared" si="103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5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248</v>
      </c>
      <c r="F494" s="63"/>
      <c r="G494" s="64" t="str">
        <f t="shared" si="103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5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248</v>
      </c>
      <c r="F495" s="63"/>
      <c r="G495" s="69" t="str">
        <f t="shared" si="103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5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248</v>
      </c>
      <c r="F496" s="63"/>
      <c r="G496" s="64" t="str">
        <f t="shared" si="103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5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248</v>
      </c>
      <c r="F497" s="63"/>
      <c r="G497" s="69" t="str">
        <f t="shared" si="103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5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248</v>
      </c>
      <c r="F498" s="63"/>
      <c r="G498" s="64" t="str">
        <f t="shared" si="103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5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248</v>
      </c>
      <c r="F499" s="63"/>
      <c r="G499" s="69" t="str">
        <f t="shared" si="103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5">
      <c r="A500" s="161" t="s">
        <v>249</v>
      </c>
      <c r="B500" s="161"/>
      <c r="C500" s="161"/>
      <c r="D500" s="161"/>
      <c r="E500" s="161"/>
      <c r="F500" s="2">
        <f>SUM(F488:F499)</f>
        <v>0</v>
      </c>
      <c r="G500" s="2">
        <f>SUM(G488:G499)</f>
        <v>0</v>
      </c>
      <c r="H500" s="72"/>
      <c r="I500" s="72"/>
      <c r="J500" s="72"/>
      <c r="K500" s="72"/>
      <c r="L500" s="72"/>
      <c r="M500" s="73">
        <f ca="1">IFERROR(SUM(M488:M499),"")</f>
        <v>0.10777534722001292</v>
      </c>
      <c r="N500" s="2" t="s">
        <v>250</v>
      </c>
      <c r="O500" s="74"/>
    </row>
    <row r="501" spans="1:15" ht="15" customHeight="1" x14ac:dyDescent="0.35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6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7">IFERROR(IF(K501="","",IF(L501="",MOD(NOW()-K501,1),IF(L501&gt;=K501,L501-K501,L501+1-K501))),"")</f>
        <v/>
      </c>
      <c r="N501" s="80"/>
      <c r="O501" s="81"/>
    </row>
    <row r="502" spans="1:15" ht="15" customHeight="1" x14ac:dyDescent="0.35">
      <c r="A502" s="59">
        <v>46253</v>
      </c>
      <c r="B502" s="60">
        <f t="shared" ref="B502:B512" si="108">B501+TIME(0,60,0)</f>
        <v>0.87499999999999967</v>
      </c>
      <c r="C502" s="70"/>
      <c r="D502" s="75"/>
      <c r="E502" s="75"/>
      <c r="F502" s="63"/>
      <c r="G502" s="64" t="str">
        <f t="shared" si="106"/>
        <v/>
      </c>
      <c r="H502" s="61"/>
      <c r="I502" s="61"/>
      <c r="J502" s="61"/>
      <c r="K502" s="65"/>
      <c r="L502" s="65"/>
      <c r="M502" s="66" t="str">
        <f t="shared" ca="1" si="107"/>
        <v/>
      </c>
      <c r="N502" s="80"/>
      <c r="O502" s="81"/>
    </row>
    <row r="503" spans="1:15" ht="15" customHeight="1" x14ac:dyDescent="0.35">
      <c r="A503" s="18">
        <v>46253</v>
      </c>
      <c r="B503" s="68">
        <f t="shared" si="108"/>
        <v>0.9166666666666663</v>
      </c>
      <c r="C503" s="70"/>
      <c r="D503" s="75"/>
      <c r="E503" s="75"/>
      <c r="F503" s="63"/>
      <c r="G503" s="69" t="str">
        <f t="shared" si="106"/>
        <v/>
      </c>
      <c r="H503" s="70"/>
      <c r="I503" s="70"/>
      <c r="J503" s="70"/>
      <c r="K503" s="65"/>
      <c r="L503" s="65"/>
      <c r="M503" s="71" t="str">
        <f t="shared" ca="1" si="107"/>
        <v/>
      </c>
      <c r="N503" s="80"/>
      <c r="O503" s="81"/>
    </row>
    <row r="504" spans="1:15" ht="15" customHeight="1" x14ac:dyDescent="0.35">
      <c r="A504" s="59">
        <v>46253</v>
      </c>
      <c r="B504" s="60">
        <f t="shared" si="108"/>
        <v>0.95833333333333293</v>
      </c>
      <c r="C504" s="70"/>
      <c r="D504" s="75"/>
      <c r="E504" s="75"/>
      <c r="F504" s="63"/>
      <c r="G504" s="64" t="str">
        <f t="shared" si="106"/>
        <v/>
      </c>
      <c r="H504" s="61"/>
      <c r="I504" s="61"/>
      <c r="J504" s="61"/>
      <c r="K504" s="65"/>
      <c r="L504" s="65"/>
      <c r="M504" s="66" t="str">
        <f t="shared" ca="1" si="107"/>
        <v/>
      </c>
      <c r="N504" s="80"/>
      <c r="O504" s="81"/>
    </row>
    <row r="505" spans="1:15" ht="15" customHeight="1" x14ac:dyDescent="0.35">
      <c r="A505" s="18">
        <v>46253</v>
      </c>
      <c r="B505" s="68">
        <f t="shared" si="108"/>
        <v>0.99999999999999956</v>
      </c>
      <c r="C505" s="70"/>
      <c r="D505" s="75"/>
      <c r="E505" s="75"/>
      <c r="F505" s="63"/>
      <c r="G505" s="69" t="str">
        <f t="shared" si="106"/>
        <v/>
      </c>
      <c r="H505" s="70"/>
      <c r="I505" s="70"/>
      <c r="J505" s="70"/>
      <c r="K505" s="65"/>
      <c r="L505" s="65"/>
      <c r="M505" s="71" t="str">
        <f t="shared" ca="1" si="107"/>
        <v/>
      </c>
      <c r="N505" s="80"/>
      <c r="O505" s="81"/>
    </row>
    <row r="506" spans="1:15" ht="15" customHeight="1" x14ac:dyDescent="0.35">
      <c r="A506" s="59">
        <v>46253</v>
      </c>
      <c r="B506" s="60">
        <f t="shared" si="108"/>
        <v>1.0416666666666663</v>
      </c>
      <c r="C506" s="70"/>
      <c r="D506" s="75"/>
      <c r="E506" s="75"/>
      <c r="F506" s="63"/>
      <c r="G506" s="64" t="str">
        <f t="shared" si="106"/>
        <v/>
      </c>
      <c r="H506" s="61"/>
      <c r="I506" s="61"/>
      <c r="J506" s="61"/>
      <c r="K506" s="65"/>
      <c r="L506" s="65"/>
      <c r="M506" s="66" t="str">
        <f t="shared" ca="1" si="107"/>
        <v/>
      </c>
      <c r="N506" s="80"/>
      <c r="O506" s="81"/>
    </row>
    <row r="507" spans="1:15" ht="15" customHeight="1" x14ac:dyDescent="0.35">
      <c r="A507" s="18">
        <v>46253</v>
      </c>
      <c r="B507" s="68">
        <f t="shared" si="108"/>
        <v>1.083333333333333</v>
      </c>
      <c r="C507" s="70"/>
      <c r="D507" s="75"/>
      <c r="E507" s="75"/>
      <c r="F507" s="63"/>
      <c r="G507" s="69" t="str">
        <f t="shared" si="106"/>
        <v/>
      </c>
      <c r="H507" s="70"/>
      <c r="I507" s="70"/>
      <c r="J507" s="70"/>
      <c r="K507" s="65"/>
      <c r="L507" s="65"/>
      <c r="M507" s="71" t="str">
        <f t="shared" ca="1" si="107"/>
        <v/>
      </c>
      <c r="N507" s="80"/>
      <c r="O507" s="81"/>
    </row>
    <row r="508" spans="1:15" ht="15" customHeight="1" x14ac:dyDescent="0.35">
      <c r="A508" s="59">
        <v>46253</v>
      </c>
      <c r="B508" s="60">
        <f t="shared" si="108"/>
        <v>1.1249999999999998</v>
      </c>
      <c r="C508" s="70"/>
      <c r="D508" s="75"/>
      <c r="E508" s="75"/>
      <c r="F508" s="63"/>
      <c r="G508" s="64" t="str">
        <f t="shared" si="106"/>
        <v/>
      </c>
      <c r="H508" s="61"/>
      <c r="I508" s="61"/>
      <c r="J508" s="61"/>
      <c r="K508" s="65"/>
      <c r="L508" s="65"/>
      <c r="M508" s="66" t="str">
        <f t="shared" ca="1" si="107"/>
        <v/>
      </c>
      <c r="N508" s="80"/>
      <c r="O508" s="81"/>
    </row>
    <row r="509" spans="1:15" ht="15" customHeight="1" x14ac:dyDescent="0.35">
      <c r="A509" s="18">
        <v>46253</v>
      </c>
      <c r="B509" s="68">
        <f t="shared" si="108"/>
        <v>1.1666666666666665</v>
      </c>
      <c r="C509" s="70"/>
      <c r="D509" s="75"/>
      <c r="E509" s="75"/>
      <c r="F509" s="63"/>
      <c r="G509" s="69" t="str">
        <f t="shared" si="106"/>
        <v/>
      </c>
      <c r="H509" s="70"/>
      <c r="I509" s="70"/>
      <c r="J509" s="70"/>
      <c r="K509" s="65"/>
      <c r="L509" s="65"/>
      <c r="M509" s="71" t="str">
        <f t="shared" ca="1" si="107"/>
        <v/>
      </c>
      <c r="N509" s="80"/>
      <c r="O509" s="81"/>
    </row>
    <row r="510" spans="1:15" ht="15" customHeight="1" x14ac:dyDescent="0.35">
      <c r="A510" s="59">
        <v>46253</v>
      </c>
      <c r="B510" s="60">
        <f t="shared" si="108"/>
        <v>1.2083333333333333</v>
      </c>
      <c r="C510" s="70"/>
      <c r="D510" s="75"/>
      <c r="E510" s="75"/>
      <c r="F510" s="63"/>
      <c r="G510" s="64" t="str">
        <f t="shared" si="106"/>
        <v/>
      </c>
      <c r="H510" s="61"/>
      <c r="I510" s="61"/>
      <c r="J510" s="61"/>
      <c r="K510" s="65"/>
      <c r="L510" s="65"/>
      <c r="M510" s="66" t="str">
        <f t="shared" ca="1" si="107"/>
        <v/>
      </c>
      <c r="N510" s="80"/>
      <c r="O510" s="81"/>
    </row>
    <row r="511" spans="1:15" ht="15" customHeight="1" x14ac:dyDescent="0.35">
      <c r="A511" s="18">
        <v>46253</v>
      </c>
      <c r="B511" s="68">
        <f t="shared" si="108"/>
        <v>1.25</v>
      </c>
      <c r="C511" s="70"/>
      <c r="D511" s="75"/>
      <c r="E511" s="75"/>
      <c r="F511" s="63"/>
      <c r="G511" s="69" t="str">
        <f t="shared" si="106"/>
        <v/>
      </c>
      <c r="H511" s="70"/>
      <c r="I511" s="70"/>
      <c r="J511" s="70"/>
      <c r="K511" s="65"/>
      <c r="L511" s="65"/>
      <c r="M511" s="71" t="str">
        <f t="shared" ca="1" si="107"/>
        <v/>
      </c>
      <c r="N511" s="80"/>
      <c r="O511" s="81"/>
    </row>
    <row r="512" spans="1:15" ht="15" customHeight="1" x14ac:dyDescent="0.35">
      <c r="A512" s="59">
        <v>46253</v>
      </c>
      <c r="B512" s="60">
        <f t="shared" si="108"/>
        <v>1.2916666666666667</v>
      </c>
      <c r="C512" s="70"/>
      <c r="D512" s="75"/>
      <c r="E512" s="75"/>
      <c r="F512" s="63"/>
      <c r="G512" s="64" t="str">
        <f t="shared" si="106"/>
        <v/>
      </c>
      <c r="H512" s="61"/>
      <c r="I512" s="61"/>
      <c r="J512" s="61"/>
      <c r="K512" s="65"/>
      <c r="L512" s="65"/>
      <c r="M512" s="66" t="str">
        <f t="shared" ca="1" si="107"/>
        <v/>
      </c>
      <c r="N512" s="80"/>
      <c r="O512" s="81"/>
    </row>
    <row r="513" spans="1:15" ht="15.75" customHeight="1" x14ac:dyDescent="0.35">
      <c r="A513" s="161" t="s">
        <v>252</v>
      </c>
      <c r="B513" s="161"/>
      <c r="C513" s="161"/>
      <c r="D513" s="161"/>
      <c r="E513" s="161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250</v>
      </c>
      <c r="O513" s="74"/>
    </row>
    <row r="514" spans="1:15" ht="18" customHeight="1" x14ac:dyDescent="0.35">
      <c r="A514" s="162" t="s">
        <v>253</v>
      </c>
      <c r="B514" s="162"/>
      <c r="C514" s="162"/>
      <c r="D514" s="162"/>
      <c r="E514" s="162"/>
      <c r="F514" s="1">
        <f>F500+F513</f>
        <v>0</v>
      </c>
      <c r="G514" s="1">
        <f>G500+G513</f>
        <v>0</v>
      </c>
      <c r="H514" s="76"/>
      <c r="I514" s="76"/>
      <c r="J514" s="76"/>
      <c r="K514" s="76"/>
      <c r="L514" s="76"/>
      <c r="M514" s="77">
        <f ca="1">IFERROR(M500+M513,"")</f>
        <v>0.10777534722001292</v>
      </c>
      <c r="N514" s="1" t="s">
        <v>254</v>
      </c>
      <c r="O514" s="82">
        <f>IFERROR(O500+O513,"")</f>
        <v>0</v>
      </c>
    </row>
    <row r="515" spans="1:15" ht="15" customHeight="1" x14ac:dyDescent="0.35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09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0">IFERROR(IF(K515="","",IF(L515="",MOD(NOW()-K515,1),IF(L515&gt;=K515,L515-K515,L515+1-K515))),"")</f>
        <v/>
      </c>
      <c r="N515" s="80"/>
      <c r="O515" s="81"/>
    </row>
    <row r="516" spans="1:15" ht="15" customHeight="1" x14ac:dyDescent="0.35">
      <c r="A516" s="59">
        <v>46254</v>
      </c>
      <c r="B516" s="60">
        <f t="shared" ref="B516:B526" si="111">B515+TIME(0,60,0)</f>
        <v>0.37499999999999967</v>
      </c>
      <c r="C516" s="70"/>
      <c r="D516" s="75"/>
      <c r="E516" s="75"/>
      <c r="F516" s="63"/>
      <c r="G516" s="64" t="str">
        <f t="shared" si="109"/>
        <v/>
      </c>
      <c r="H516" s="70"/>
      <c r="I516" s="61"/>
      <c r="J516" s="70"/>
      <c r="K516" s="65"/>
      <c r="L516" s="65"/>
      <c r="M516" s="66" t="str">
        <f t="shared" ca="1" si="110"/>
        <v/>
      </c>
      <c r="N516" s="80"/>
      <c r="O516" s="81"/>
    </row>
    <row r="517" spans="1:15" ht="15" customHeight="1" x14ac:dyDescent="0.35">
      <c r="A517" s="18">
        <v>46254</v>
      </c>
      <c r="B517" s="68">
        <f t="shared" si="111"/>
        <v>0.41666666666666635</v>
      </c>
      <c r="C517" s="70"/>
      <c r="D517" s="75"/>
      <c r="E517" s="75"/>
      <c r="F517" s="63"/>
      <c r="G517" s="69" t="str">
        <f t="shared" si="109"/>
        <v/>
      </c>
      <c r="H517" s="70"/>
      <c r="I517" s="70"/>
      <c r="J517" s="70"/>
      <c r="K517" s="65"/>
      <c r="L517" s="65"/>
      <c r="M517" s="71" t="str">
        <f t="shared" ca="1" si="110"/>
        <v/>
      </c>
      <c r="N517" s="80"/>
      <c r="O517" s="81"/>
    </row>
    <row r="518" spans="1:15" ht="15" customHeight="1" x14ac:dyDescent="0.35">
      <c r="A518" s="59">
        <v>46254</v>
      </c>
      <c r="B518" s="60">
        <f t="shared" si="111"/>
        <v>0.45833333333333304</v>
      </c>
      <c r="C518" s="70"/>
      <c r="D518" s="75"/>
      <c r="E518" s="75"/>
      <c r="F518" s="63"/>
      <c r="G518" s="64" t="str">
        <f t="shared" si="109"/>
        <v/>
      </c>
      <c r="H518" s="70"/>
      <c r="I518" s="61"/>
      <c r="J518" s="61"/>
      <c r="K518" s="65"/>
      <c r="L518" s="65"/>
      <c r="M518" s="66" t="str">
        <f t="shared" ca="1" si="110"/>
        <v/>
      </c>
      <c r="N518" s="80"/>
      <c r="O518" s="81"/>
    </row>
    <row r="519" spans="1:15" ht="15" customHeight="1" x14ac:dyDescent="0.35">
      <c r="A519" s="18">
        <v>46254</v>
      </c>
      <c r="B519" s="68">
        <f t="shared" si="111"/>
        <v>0.49999999999999972</v>
      </c>
      <c r="C519" s="70"/>
      <c r="D519" s="75"/>
      <c r="E519" s="75"/>
      <c r="F519" s="63"/>
      <c r="G519" s="69" t="str">
        <f t="shared" si="109"/>
        <v/>
      </c>
      <c r="H519" s="70"/>
      <c r="I519" s="70"/>
      <c r="J519" s="70"/>
      <c r="K519" s="65"/>
      <c r="L519" s="65"/>
      <c r="M519" s="71" t="str">
        <f t="shared" ca="1" si="110"/>
        <v/>
      </c>
      <c r="N519" s="80"/>
      <c r="O519" s="81"/>
    </row>
    <row r="520" spans="1:15" ht="15" customHeight="1" x14ac:dyDescent="0.35">
      <c r="A520" s="59">
        <v>46254</v>
      </c>
      <c r="B520" s="60">
        <f t="shared" si="111"/>
        <v>0.54166666666666641</v>
      </c>
      <c r="C520" s="70"/>
      <c r="D520" s="75"/>
      <c r="E520" s="75"/>
      <c r="F520" s="63"/>
      <c r="G520" s="64" t="str">
        <f t="shared" si="109"/>
        <v/>
      </c>
      <c r="H520" s="61"/>
      <c r="I520" s="61"/>
      <c r="J520" s="61"/>
      <c r="K520" s="65"/>
      <c r="L520" s="65"/>
      <c r="M520" s="66" t="str">
        <f t="shared" ca="1" si="110"/>
        <v/>
      </c>
      <c r="N520" s="80"/>
      <c r="O520" s="81"/>
    </row>
    <row r="521" spans="1:15" ht="15" customHeight="1" x14ac:dyDescent="0.35">
      <c r="A521" s="18">
        <v>46254</v>
      </c>
      <c r="B521" s="68">
        <f t="shared" si="111"/>
        <v>0.58333333333333304</v>
      </c>
      <c r="C521" s="70"/>
      <c r="D521" s="75"/>
      <c r="E521" s="75"/>
      <c r="F521" s="63"/>
      <c r="G521" s="69" t="str">
        <f t="shared" si="109"/>
        <v/>
      </c>
      <c r="H521" s="70"/>
      <c r="I521" s="70"/>
      <c r="J521" s="70"/>
      <c r="K521" s="65"/>
      <c r="L521" s="65"/>
      <c r="M521" s="71" t="str">
        <f t="shared" ca="1" si="110"/>
        <v/>
      </c>
      <c r="N521" s="80"/>
      <c r="O521" s="81"/>
    </row>
    <row r="522" spans="1:15" ht="15" customHeight="1" x14ac:dyDescent="0.35">
      <c r="A522" s="59">
        <v>46254</v>
      </c>
      <c r="B522" s="60">
        <f t="shared" si="111"/>
        <v>0.62499999999999967</v>
      </c>
      <c r="C522" s="70"/>
      <c r="D522" s="75"/>
      <c r="E522" s="75"/>
      <c r="F522" s="63"/>
      <c r="G522" s="64" t="str">
        <f t="shared" si="109"/>
        <v/>
      </c>
      <c r="H522" s="61"/>
      <c r="I522" s="61"/>
      <c r="J522" s="61"/>
      <c r="K522" s="65"/>
      <c r="L522" s="65"/>
      <c r="M522" s="66" t="str">
        <f t="shared" ca="1" si="110"/>
        <v/>
      </c>
      <c r="N522" s="80"/>
      <c r="O522" s="81"/>
    </row>
    <row r="523" spans="1:15" ht="15" customHeight="1" x14ac:dyDescent="0.35">
      <c r="A523" s="18">
        <v>46254</v>
      </c>
      <c r="B523" s="68">
        <f t="shared" si="111"/>
        <v>0.6666666666666663</v>
      </c>
      <c r="C523" s="70"/>
      <c r="D523" s="75"/>
      <c r="E523" s="75"/>
      <c r="F523" s="63"/>
      <c r="G523" s="69" t="str">
        <f t="shared" si="109"/>
        <v/>
      </c>
      <c r="H523" s="70"/>
      <c r="I523" s="70"/>
      <c r="J523" s="70"/>
      <c r="K523" s="65"/>
      <c r="L523" s="65"/>
      <c r="M523" s="71" t="str">
        <f t="shared" ca="1" si="110"/>
        <v/>
      </c>
      <c r="N523" s="80"/>
      <c r="O523" s="81"/>
    </row>
    <row r="524" spans="1:15" ht="15" customHeight="1" x14ac:dyDescent="0.35">
      <c r="A524" s="59">
        <v>46254</v>
      </c>
      <c r="B524" s="60">
        <f t="shared" si="111"/>
        <v>0.70833333333333293</v>
      </c>
      <c r="C524" s="70"/>
      <c r="D524" s="75"/>
      <c r="E524" s="75"/>
      <c r="F524" s="63"/>
      <c r="G524" s="64" t="str">
        <f t="shared" si="109"/>
        <v/>
      </c>
      <c r="H524" s="61"/>
      <c r="I524" s="61"/>
      <c r="J524" s="61"/>
      <c r="K524" s="65"/>
      <c r="L524" s="65"/>
      <c r="M524" s="66" t="str">
        <f t="shared" ca="1" si="110"/>
        <v/>
      </c>
      <c r="N524" s="80"/>
      <c r="O524" s="81"/>
    </row>
    <row r="525" spans="1:15" ht="15" customHeight="1" x14ac:dyDescent="0.35">
      <c r="A525" s="18">
        <v>46254</v>
      </c>
      <c r="B525" s="68">
        <f t="shared" si="111"/>
        <v>0.74999999999999956</v>
      </c>
      <c r="C525" s="70"/>
      <c r="D525" s="75"/>
      <c r="E525" s="75"/>
      <c r="F525" s="63"/>
      <c r="G525" s="69" t="str">
        <f t="shared" si="109"/>
        <v/>
      </c>
      <c r="H525" s="70"/>
      <c r="I525" s="70"/>
      <c r="J525" s="70"/>
      <c r="K525" s="65"/>
      <c r="L525" s="65"/>
      <c r="M525" s="71" t="str">
        <f t="shared" ca="1" si="110"/>
        <v/>
      </c>
      <c r="N525" s="80"/>
      <c r="O525" s="81"/>
    </row>
    <row r="526" spans="1:15" ht="15" customHeight="1" x14ac:dyDescent="0.35">
      <c r="A526" s="59">
        <v>46254</v>
      </c>
      <c r="B526" s="60">
        <f t="shared" si="111"/>
        <v>0.79166666666666619</v>
      </c>
      <c r="C526" s="70"/>
      <c r="D526" s="75"/>
      <c r="E526" s="75"/>
      <c r="F526" s="63"/>
      <c r="G526" s="64" t="str">
        <f t="shared" si="109"/>
        <v/>
      </c>
      <c r="H526" s="61"/>
      <c r="I526" s="61"/>
      <c r="J526" s="61"/>
      <c r="K526" s="65"/>
      <c r="L526" s="65"/>
      <c r="M526" s="66" t="str">
        <f t="shared" ca="1" si="110"/>
        <v/>
      </c>
      <c r="N526" s="80"/>
      <c r="O526" s="81"/>
    </row>
    <row r="527" spans="1:15" ht="15.75" customHeight="1" x14ac:dyDescent="0.35">
      <c r="A527" s="161" t="s">
        <v>249</v>
      </c>
      <c r="B527" s="161"/>
      <c r="C527" s="161"/>
      <c r="D527" s="161"/>
      <c r="E527" s="161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250</v>
      </c>
      <c r="O527" s="74"/>
    </row>
    <row r="528" spans="1:15" ht="15" customHeight="1" x14ac:dyDescent="0.3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2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5">
      <c r="A529" s="18">
        <v>46254</v>
      </c>
      <c r="B529" s="68">
        <f t="shared" ref="B529:B539" si="113">B528+TIME(0,60,0)</f>
        <v>0.87499999999999967</v>
      </c>
      <c r="C529" s="61"/>
      <c r="D529" s="62"/>
      <c r="E529" s="62"/>
      <c r="F529" s="63"/>
      <c r="G529" s="69" t="str">
        <f t="shared" si="112"/>
        <v/>
      </c>
      <c r="H529" s="70"/>
      <c r="I529" s="70"/>
      <c r="J529" s="70"/>
      <c r="K529" s="65"/>
      <c r="L529" s="65"/>
      <c r="M529" s="71" t="str">
        <f t="shared" ref="M529:M539" ca="1" si="114">IFERROR(IF(K529="","",IF(L529="",MOD(NOW()-K529,1),IF(L529&gt;=K529,L529-K529,L529+1-K529))),"")</f>
        <v/>
      </c>
      <c r="N529" s="80"/>
      <c r="O529" s="81"/>
    </row>
    <row r="530" spans="1:15" ht="15" customHeight="1" x14ac:dyDescent="0.35">
      <c r="A530" s="59">
        <v>46254</v>
      </c>
      <c r="B530" s="60">
        <f t="shared" si="113"/>
        <v>0.9166666666666663</v>
      </c>
      <c r="C530" s="61"/>
      <c r="D530" s="62"/>
      <c r="E530" s="62"/>
      <c r="F530" s="63"/>
      <c r="G530" s="64" t="str">
        <f t="shared" si="112"/>
        <v/>
      </c>
      <c r="H530" s="61"/>
      <c r="I530" s="61"/>
      <c r="J530" s="61"/>
      <c r="K530" s="65"/>
      <c r="L530" s="65"/>
      <c r="M530" s="66" t="str">
        <f t="shared" ca="1" si="114"/>
        <v/>
      </c>
      <c r="N530" s="80"/>
      <c r="O530" s="81"/>
    </row>
    <row r="531" spans="1:15" ht="15" customHeight="1" x14ac:dyDescent="0.35">
      <c r="A531" s="18">
        <v>46254</v>
      </c>
      <c r="B531" s="68">
        <f t="shared" si="113"/>
        <v>0.95833333333333293</v>
      </c>
      <c r="C531" s="61"/>
      <c r="D531" s="62"/>
      <c r="E531" s="62"/>
      <c r="F531" s="63"/>
      <c r="G531" s="69" t="str">
        <f t="shared" si="112"/>
        <v/>
      </c>
      <c r="H531" s="70"/>
      <c r="I531" s="70"/>
      <c r="J531" s="70"/>
      <c r="K531" s="65"/>
      <c r="L531" s="65"/>
      <c r="M531" s="71" t="str">
        <f t="shared" ca="1" si="114"/>
        <v/>
      </c>
      <c r="N531" s="80"/>
      <c r="O531" s="81"/>
    </row>
    <row r="532" spans="1:15" ht="15" customHeight="1" x14ac:dyDescent="0.35">
      <c r="A532" s="59">
        <v>46254</v>
      </c>
      <c r="B532" s="60">
        <f t="shared" si="113"/>
        <v>0.99999999999999956</v>
      </c>
      <c r="C532" s="61"/>
      <c r="D532" s="62"/>
      <c r="E532" s="62"/>
      <c r="F532" s="63"/>
      <c r="G532" s="64" t="str">
        <f t="shared" si="112"/>
        <v/>
      </c>
      <c r="H532" s="61"/>
      <c r="I532" s="61"/>
      <c r="J532" s="61"/>
      <c r="K532" s="65"/>
      <c r="L532" s="65"/>
      <c r="M532" s="66" t="str">
        <f t="shared" ca="1" si="114"/>
        <v/>
      </c>
      <c r="N532" s="80"/>
      <c r="O532" s="81"/>
    </row>
    <row r="533" spans="1:15" ht="15" customHeight="1" x14ac:dyDescent="0.35">
      <c r="A533" s="18">
        <v>46254</v>
      </c>
      <c r="B533" s="68">
        <f t="shared" si="113"/>
        <v>1.0416666666666663</v>
      </c>
      <c r="C533" s="61"/>
      <c r="D533" s="62"/>
      <c r="E533" s="62"/>
      <c r="F533" s="63"/>
      <c r="G533" s="69" t="str">
        <f t="shared" si="112"/>
        <v/>
      </c>
      <c r="H533" s="70"/>
      <c r="I533" s="70"/>
      <c r="J533" s="70"/>
      <c r="K533" s="65"/>
      <c r="L533" s="65"/>
      <c r="M533" s="71" t="str">
        <f t="shared" ca="1" si="114"/>
        <v/>
      </c>
      <c r="N533" s="80"/>
      <c r="O533" s="81"/>
    </row>
    <row r="534" spans="1:15" ht="15" customHeight="1" x14ac:dyDescent="0.35">
      <c r="A534" s="59">
        <v>46254</v>
      </c>
      <c r="B534" s="60">
        <f t="shared" si="113"/>
        <v>1.083333333333333</v>
      </c>
      <c r="C534" s="61"/>
      <c r="D534" s="62"/>
      <c r="E534" s="62"/>
      <c r="F534" s="63"/>
      <c r="G534" s="64" t="str">
        <f t="shared" si="112"/>
        <v/>
      </c>
      <c r="H534" s="61"/>
      <c r="I534" s="61"/>
      <c r="J534" s="61"/>
      <c r="K534" s="65"/>
      <c r="L534" s="65"/>
      <c r="M534" s="66" t="str">
        <f t="shared" ca="1" si="114"/>
        <v/>
      </c>
      <c r="N534" s="80"/>
      <c r="O534" s="81"/>
    </row>
    <row r="535" spans="1:15" ht="15" customHeight="1" x14ac:dyDescent="0.35">
      <c r="A535" s="18">
        <v>46254</v>
      </c>
      <c r="B535" s="68">
        <f t="shared" si="113"/>
        <v>1.1249999999999998</v>
      </c>
      <c r="C535" s="61"/>
      <c r="D535" s="62"/>
      <c r="E535" s="62"/>
      <c r="F535" s="63"/>
      <c r="G535" s="69" t="str">
        <f t="shared" si="112"/>
        <v/>
      </c>
      <c r="H535" s="70"/>
      <c r="I535" s="70"/>
      <c r="J535" s="70"/>
      <c r="K535" s="65"/>
      <c r="L535" s="65"/>
      <c r="M535" s="71" t="str">
        <f t="shared" ca="1" si="114"/>
        <v/>
      </c>
      <c r="N535" s="80"/>
      <c r="O535" s="81"/>
    </row>
    <row r="536" spans="1:15" ht="15" customHeight="1" x14ac:dyDescent="0.35">
      <c r="A536" s="59">
        <v>46254</v>
      </c>
      <c r="B536" s="60">
        <f t="shared" si="113"/>
        <v>1.1666666666666665</v>
      </c>
      <c r="C536" s="61"/>
      <c r="D536" s="62"/>
      <c r="E536" s="62"/>
      <c r="F536" s="63"/>
      <c r="G536" s="64" t="str">
        <f t="shared" si="112"/>
        <v/>
      </c>
      <c r="H536" s="61"/>
      <c r="I536" s="61"/>
      <c r="J536" s="61"/>
      <c r="K536" s="65"/>
      <c r="L536" s="65"/>
      <c r="M536" s="66" t="str">
        <f t="shared" ca="1" si="114"/>
        <v/>
      </c>
      <c r="N536" s="80"/>
      <c r="O536" s="81"/>
    </row>
    <row r="537" spans="1:15" ht="15" customHeight="1" x14ac:dyDescent="0.35">
      <c r="A537" s="18">
        <v>46254</v>
      </c>
      <c r="B537" s="68">
        <f t="shared" si="113"/>
        <v>1.2083333333333333</v>
      </c>
      <c r="C537" s="61"/>
      <c r="D537" s="62"/>
      <c r="E537" s="62"/>
      <c r="F537" s="63"/>
      <c r="G537" s="69" t="str">
        <f t="shared" si="112"/>
        <v/>
      </c>
      <c r="H537" s="70"/>
      <c r="I537" s="70"/>
      <c r="J537" s="70"/>
      <c r="K537" s="65"/>
      <c r="L537" s="65"/>
      <c r="M537" s="71" t="str">
        <f t="shared" ca="1" si="114"/>
        <v/>
      </c>
      <c r="N537" s="80"/>
      <c r="O537" s="81"/>
    </row>
    <row r="538" spans="1:15" ht="15" customHeight="1" x14ac:dyDescent="0.35">
      <c r="A538" s="59">
        <v>46254</v>
      </c>
      <c r="B538" s="60">
        <f t="shared" si="113"/>
        <v>1.25</v>
      </c>
      <c r="C538" s="61"/>
      <c r="D538" s="62"/>
      <c r="E538" s="62"/>
      <c r="F538" s="63"/>
      <c r="G538" s="64" t="str">
        <f t="shared" si="112"/>
        <v/>
      </c>
      <c r="H538" s="61"/>
      <c r="I538" s="61"/>
      <c r="J538" s="61"/>
      <c r="K538" s="65"/>
      <c r="L538" s="65"/>
      <c r="M538" s="66" t="str">
        <f t="shared" ca="1" si="114"/>
        <v/>
      </c>
      <c r="N538" s="80"/>
      <c r="O538" s="81"/>
    </row>
    <row r="539" spans="1:15" ht="15" customHeight="1" x14ac:dyDescent="0.35">
      <c r="A539" s="18">
        <v>46254</v>
      </c>
      <c r="B539" s="68">
        <f t="shared" si="113"/>
        <v>1.2916666666666667</v>
      </c>
      <c r="C539" s="61"/>
      <c r="D539" s="62"/>
      <c r="E539" s="62"/>
      <c r="F539" s="63"/>
      <c r="G539" s="69" t="str">
        <f t="shared" si="112"/>
        <v/>
      </c>
      <c r="H539" s="70"/>
      <c r="I539" s="70"/>
      <c r="J539" s="70"/>
      <c r="K539" s="65"/>
      <c r="L539" s="65"/>
      <c r="M539" s="71" t="str">
        <f t="shared" ca="1" si="114"/>
        <v/>
      </c>
      <c r="N539" s="80"/>
      <c r="O539" s="81"/>
    </row>
    <row r="540" spans="1:15" ht="15.75" customHeight="1" x14ac:dyDescent="0.35">
      <c r="A540" s="161" t="s">
        <v>252</v>
      </c>
      <c r="B540" s="161"/>
      <c r="C540" s="161"/>
      <c r="D540" s="161"/>
      <c r="E540" s="161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250</v>
      </c>
      <c r="O540" s="74"/>
    </row>
    <row r="541" spans="1:15" ht="18" customHeight="1" x14ac:dyDescent="0.35">
      <c r="A541" s="162" t="s">
        <v>253</v>
      </c>
      <c r="B541" s="162"/>
      <c r="C541" s="162"/>
      <c r="D541" s="162"/>
      <c r="E541" s="162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254</v>
      </c>
      <c r="O541" s="82">
        <f>IFERROR(O527+O540,"")</f>
        <v>0</v>
      </c>
    </row>
    <row r="542" spans="1:15" ht="15" customHeight="1" x14ac:dyDescent="0.3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5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6">IFERROR(IF(K542="","",IF(L542="",MOD(NOW()-K542,1),IF(L542&gt;=K542,L542-K542,L542+1-K542))),"")</f>
        <v/>
      </c>
      <c r="N542" s="80"/>
      <c r="O542" s="81"/>
    </row>
    <row r="543" spans="1:15" ht="15" customHeight="1" x14ac:dyDescent="0.35">
      <c r="A543" s="18">
        <v>46255</v>
      </c>
      <c r="B543" s="68">
        <f t="shared" ref="B543:B553" si="117">B542+TIME(0,60,0)</f>
        <v>0.37499999999999967</v>
      </c>
      <c r="C543" s="61"/>
      <c r="D543" s="62"/>
      <c r="E543" s="62"/>
      <c r="F543" s="63"/>
      <c r="G543" s="69" t="str">
        <f t="shared" si="115"/>
        <v/>
      </c>
      <c r="H543" s="70"/>
      <c r="I543" s="70"/>
      <c r="J543" s="70"/>
      <c r="K543" s="65"/>
      <c r="L543" s="65"/>
      <c r="M543" s="71" t="str">
        <f t="shared" ca="1" si="116"/>
        <v/>
      </c>
      <c r="N543" s="80"/>
      <c r="O543" s="81"/>
    </row>
    <row r="544" spans="1:15" ht="15" customHeight="1" x14ac:dyDescent="0.35">
      <c r="A544" s="59">
        <v>46255</v>
      </c>
      <c r="B544" s="60">
        <f t="shared" si="117"/>
        <v>0.41666666666666635</v>
      </c>
      <c r="C544" s="61"/>
      <c r="D544" s="62"/>
      <c r="E544" s="62"/>
      <c r="F544" s="63"/>
      <c r="G544" s="64" t="str">
        <f t="shared" si="115"/>
        <v/>
      </c>
      <c r="H544" s="61"/>
      <c r="I544" s="61"/>
      <c r="J544" s="61"/>
      <c r="K544" s="65"/>
      <c r="L544" s="65"/>
      <c r="M544" s="66" t="str">
        <f t="shared" ca="1" si="116"/>
        <v/>
      </c>
      <c r="N544" s="80"/>
      <c r="O544" s="81"/>
    </row>
    <row r="545" spans="1:15" ht="15" customHeight="1" x14ac:dyDescent="0.35">
      <c r="A545" s="18">
        <v>46255</v>
      </c>
      <c r="B545" s="68">
        <f t="shared" si="117"/>
        <v>0.45833333333333304</v>
      </c>
      <c r="C545" s="61"/>
      <c r="D545" s="62"/>
      <c r="E545" s="62"/>
      <c r="F545" s="63"/>
      <c r="G545" s="69" t="str">
        <f t="shared" si="115"/>
        <v/>
      </c>
      <c r="H545" s="70"/>
      <c r="I545" s="70"/>
      <c r="J545" s="70"/>
      <c r="K545" s="65"/>
      <c r="L545" s="65"/>
      <c r="M545" s="71" t="str">
        <f t="shared" ca="1" si="116"/>
        <v/>
      </c>
      <c r="N545" s="80"/>
      <c r="O545" s="81"/>
    </row>
    <row r="546" spans="1:15" ht="15" customHeight="1" x14ac:dyDescent="0.35">
      <c r="A546" s="59">
        <v>46255</v>
      </c>
      <c r="B546" s="60">
        <f t="shared" si="117"/>
        <v>0.49999999999999972</v>
      </c>
      <c r="C546" s="61"/>
      <c r="D546" s="62"/>
      <c r="E546" s="62"/>
      <c r="F546" s="63"/>
      <c r="G546" s="64" t="str">
        <f t="shared" si="115"/>
        <v/>
      </c>
      <c r="H546" s="61"/>
      <c r="I546" s="61"/>
      <c r="J546" s="61"/>
      <c r="K546" s="65"/>
      <c r="L546" s="65"/>
      <c r="M546" s="66" t="str">
        <f t="shared" ca="1" si="116"/>
        <v/>
      </c>
      <c r="N546" s="80"/>
      <c r="O546" s="81"/>
    </row>
    <row r="547" spans="1:15" ht="15" customHeight="1" x14ac:dyDescent="0.35">
      <c r="A547" s="18">
        <v>46255</v>
      </c>
      <c r="B547" s="68">
        <f t="shared" si="117"/>
        <v>0.54166666666666641</v>
      </c>
      <c r="C547" s="61"/>
      <c r="D547" s="62"/>
      <c r="E547" s="62"/>
      <c r="F547" s="63"/>
      <c r="G547" s="69" t="str">
        <f t="shared" si="115"/>
        <v/>
      </c>
      <c r="H547" s="70"/>
      <c r="I547" s="70"/>
      <c r="J547" s="70"/>
      <c r="K547" s="65"/>
      <c r="L547" s="65"/>
      <c r="M547" s="71" t="str">
        <f t="shared" ca="1" si="116"/>
        <v/>
      </c>
      <c r="N547" s="80"/>
      <c r="O547" s="81"/>
    </row>
    <row r="548" spans="1:15" ht="15" customHeight="1" x14ac:dyDescent="0.35">
      <c r="A548" s="59">
        <v>46255</v>
      </c>
      <c r="B548" s="60">
        <f t="shared" si="117"/>
        <v>0.58333333333333304</v>
      </c>
      <c r="C548" s="61"/>
      <c r="D548" s="62"/>
      <c r="E548" s="62"/>
      <c r="F548" s="63"/>
      <c r="G548" s="64" t="str">
        <f t="shared" si="115"/>
        <v/>
      </c>
      <c r="H548" s="61"/>
      <c r="I548" s="61"/>
      <c r="J548" s="61"/>
      <c r="K548" s="65"/>
      <c r="L548" s="65"/>
      <c r="M548" s="66" t="str">
        <f t="shared" ca="1" si="116"/>
        <v/>
      </c>
      <c r="N548" s="80"/>
      <c r="O548" s="81"/>
    </row>
    <row r="549" spans="1:15" ht="15" customHeight="1" x14ac:dyDescent="0.35">
      <c r="A549" s="18">
        <v>46255</v>
      </c>
      <c r="B549" s="68">
        <f t="shared" si="117"/>
        <v>0.62499999999999967</v>
      </c>
      <c r="C549" s="61"/>
      <c r="D549" s="62"/>
      <c r="E549" s="62"/>
      <c r="F549" s="63"/>
      <c r="G549" s="69" t="str">
        <f t="shared" si="115"/>
        <v/>
      </c>
      <c r="H549" s="70"/>
      <c r="I549" s="70"/>
      <c r="J549" s="70"/>
      <c r="K549" s="65"/>
      <c r="L549" s="65"/>
      <c r="M549" s="71" t="str">
        <f t="shared" ca="1" si="116"/>
        <v/>
      </c>
      <c r="N549" s="80"/>
      <c r="O549" s="81"/>
    </row>
    <row r="550" spans="1:15" ht="15" customHeight="1" x14ac:dyDescent="0.35">
      <c r="A550" s="59">
        <v>46255</v>
      </c>
      <c r="B550" s="60">
        <f t="shared" si="117"/>
        <v>0.6666666666666663</v>
      </c>
      <c r="C550" s="61"/>
      <c r="D550" s="62"/>
      <c r="E550" s="62"/>
      <c r="F550" s="63"/>
      <c r="G550" s="64" t="str">
        <f t="shared" si="115"/>
        <v/>
      </c>
      <c r="H550" s="61"/>
      <c r="I550" s="61"/>
      <c r="J550" s="61"/>
      <c r="K550" s="65"/>
      <c r="L550" s="65"/>
      <c r="M550" s="66" t="str">
        <f t="shared" ca="1" si="116"/>
        <v/>
      </c>
      <c r="N550" s="80"/>
      <c r="O550" s="81"/>
    </row>
    <row r="551" spans="1:15" ht="15" customHeight="1" x14ac:dyDescent="0.35">
      <c r="A551" s="18">
        <v>46255</v>
      </c>
      <c r="B551" s="68">
        <f t="shared" si="117"/>
        <v>0.70833333333333293</v>
      </c>
      <c r="C551" s="61"/>
      <c r="D551" s="62"/>
      <c r="E551" s="62"/>
      <c r="F551" s="63"/>
      <c r="G551" s="69" t="str">
        <f t="shared" si="115"/>
        <v/>
      </c>
      <c r="H551" s="70"/>
      <c r="I551" s="70"/>
      <c r="J551" s="70"/>
      <c r="K551" s="65"/>
      <c r="L551" s="65"/>
      <c r="M551" s="71" t="str">
        <f t="shared" ca="1" si="116"/>
        <v/>
      </c>
      <c r="N551" s="80"/>
      <c r="O551" s="81"/>
    </row>
    <row r="552" spans="1:15" ht="15" customHeight="1" x14ac:dyDescent="0.35">
      <c r="A552" s="59">
        <v>46255</v>
      </c>
      <c r="B552" s="60">
        <f t="shared" si="117"/>
        <v>0.74999999999999956</v>
      </c>
      <c r="C552" s="61"/>
      <c r="D552" s="62"/>
      <c r="E552" s="62"/>
      <c r="F552" s="63"/>
      <c r="G552" s="64" t="str">
        <f t="shared" si="115"/>
        <v/>
      </c>
      <c r="H552" s="61"/>
      <c r="I552" s="61"/>
      <c r="J552" s="61"/>
      <c r="K552" s="65"/>
      <c r="L552" s="65"/>
      <c r="M552" s="66" t="str">
        <f t="shared" ca="1" si="116"/>
        <v/>
      </c>
      <c r="N552" s="80"/>
      <c r="O552" s="81"/>
    </row>
    <row r="553" spans="1:15" ht="15" customHeight="1" x14ac:dyDescent="0.35">
      <c r="A553" s="18">
        <v>46255</v>
      </c>
      <c r="B553" s="68">
        <f t="shared" si="117"/>
        <v>0.79166666666666619</v>
      </c>
      <c r="C553" s="61"/>
      <c r="D553" s="62"/>
      <c r="E553" s="62"/>
      <c r="F553" s="63"/>
      <c r="G553" s="69" t="str">
        <f t="shared" si="115"/>
        <v/>
      </c>
      <c r="H553" s="70"/>
      <c r="I553" s="70"/>
      <c r="J553" s="70"/>
      <c r="K553" s="65"/>
      <c r="L553" s="65"/>
      <c r="M553" s="71" t="str">
        <f t="shared" ca="1" si="116"/>
        <v/>
      </c>
      <c r="N553" s="80"/>
      <c r="O553" s="81"/>
    </row>
    <row r="554" spans="1:15" ht="15.75" customHeight="1" x14ac:dyDescent="0.35">
      <c r="A554" s="161" t="s">
        <v>249</v>
      </c>
      <c r="B554" s="161"/>
      <c r="C554" s="161"/>
      <c r="D554" s="161"/>
      <c r="E554" s="161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250</v>
      </c>
      <c r="O554" s="74"/>
    </row>
    <row r="555" spans="1:15" ht="15" customHeight="1" x14ac:dyDescent="0.3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8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19">IFERROR(IF(K555="","",IF(L555="",MOD(NOW()-K555,1),IF(L555&gt;=K555,L555-K555,L555+1-K555))),"")</f>
        <v/>
      </c>
      <c r="N555" s="80"/>
      <c r="O555" s="81"/>
    </row>
    <row r="556" spans="1:15" ht="15" customHeight="1" x14ac:dyDescent="0.35">
      <c r="A556" s="59">
        <v>46255</v>
      </c>
      <c r="B556" s="60">
        <f t="shared" ref="B556:B566" si="120">B555+TIME(0,60,0)</f>
        <v>0.87499999999999967</v>
      </c>
      <c r="C556" s="70"/>
      <c r="D556" s="75"/>
      <c r="E556" s="75"/>
      <c r="F556" s="63"/>
      <c r="G556" s="64" t="str">
        <f t="shared" si="118"/>
        <v/>
      </c>
      <c r="H556" s="61"/>
      <c r="I556" s="61"/>
      <c r="J556" s="61"/>
      <c r="K556" s="65"/>
      <c r="L556" s="65"/>
      <c r="M556" s="66" t="str">
        <f t="shared" ca="1" si="119"/>
        <v/>
      </c>
      <c r="N556" s="80"/>
      <c r="O556" s="81"/>
    </row>
    <row r="557" spans="1:15" ht="15" customHeight="1" x14ac:dyDescent="0.35">
      <c r="A557" s="18">
        <v>46255</v>
      </c>
      <c r="B557" s="68">
        <f t="shared" si="120"/>
        <v>0.9166666666666663</v>
      </c>
      <c r="C557" s="70"/>
      <c r="D557" s="75"/>
      <c r="E557" s="75"/>
      <c r="F557" s="63"/>
      <c r="G557" s="69" t="str">
        <f t="shared" si="118"/>
        <v/>
      </c>
      <c r="H557" s="70"/>
      <c r="I557" s="70"/>
      <c r="J557" s="70"/>
      <c r="K557" s="65"/>
      <c r="L557" s="65"/>
      <c r="M557" s="71" t="str">
        <f t="shared" ca="1" si="119"/>
        <v/>
      </c>
      <c r="N557" s="80"/>
      <c r="O557" s="81"/>
    </row>
    <row r="558" spans="1:15" ht="15" customHeight="1" x14ac:dyDescent="0.35">
      <c r="A558" s="59">
        <v>46255</v>
      </c>
      <c r="B558" s="60">
        <f t="shared" si="120"/>
        <v>0.95833333333333293</v>
      </c>
      <c r="C558" s="70"/>
      <c r="D558" s="75"/>
      <c r="E558" s="75"/>
      <c r="F558" s="63"/>
      <c r="G558" s="64" t="str">
        <f t="shared" si="118"/>
        <v/>
      </c>
      <c r="H558" s="61"/>
      <c r="I558" s="61"/>
      <c r="J558" s="61"/>
      <c r="K558" s="65"/>
      <c r="L558" s="65"/>
      <c r="M558" s="66" t="str">
        <f t="shared" ca="1" si="119"/>
        <v/>
      </c>
      <c r="N558" s="80"/>
      <c r="O558" s="81"/>
    </row>
    <row r="559" spans="1:15" ht="15" customHeight="1" x14ac:dyDescent="0.35">
      <c r="A559" s="18">
        <v>46255</v>
      </c>
      <c r="B559" s="68">
        <f t="shared" si="120"/>
        <v>0.99999999999999956</v>
      </c>
      <c r="C559" s="70"/>
      <c r="D559" s="75"/>
      <c r="E559" s="75"/>
      <c r="F559" s="63"/>
      <c r="G559" s="69" t="str">
        <f t="shared" si="118"/>
        <v/>
      </c>
      <c r="H559" s="70"/>
      <c r="I559" s="70"/>
      <c r="J559" s="70"/>
      <c r="K559" s="65"/>
      <c r="L559" s="65"/>
      <c r="M559" s="71" t="str">
        <f t="shared" ca="1" si="119"/>
        <v/>
      </c>
      <c r="N559" s="80"/>
      <c r="O559" s="81"/>
    </row>
    <row r="560" spans="1:15" ht="15" customHeight="1" x14ac:dyDescent="0.35">
      <c r="A560" s="59">
        <v>46255</v>
      </c>
      <c r="B560" s="60">
        <f t="shared" si="120"/>
        <v>1.0416666666666663</v>
      </c>
      <c r="C560" s="70"/>
      <c r="D560" s="75"/>
      <c r="E560" s="75"/>
      <c r="F560" s="63"/>
      <c r="G560" s="64" t="str">
        <f t="shared" si="118"/>
        <v/>
      </c>
      <c r="H560" s="61"/>
      <c r="I560" s="61"/>
      <c r="J560" s="61"/>
      <c r="K560" s="65"/>
      <c r="L560" s="65"/>
      <c r="M560" s="66" t="str">
        <f t="shared" ca="1" si="119"/>
        <v/>
      </c>
      <c r="N560" s="80"/>
      <c r="O560" s="81"/>
    </row>
    <row r="561" spans="1:15" ht="15" customHeight="1" x14ac:dyDescent="0.35">
      <c r="A561" s="18">
        <v>46255</v>
      </c>
      <c r="B561" s="68">
        <f t="shared" si="120"/>
        <v>1.083333333333333</v>
      </c>
      <c r="C561" s="70"/>
      <c r="D561" s="75"/>
      <c r="E561" s="75"/>
      <c r="F561" s="63"/>
      <c r="G561" s="69" t="str">
        <f t="shared" si="118"/>
        <v/>
      </c>
      <c r="H561" s="70"/>
      <c r="I561" s="70"/>
      <c r="J561" s="70"/>
      <c r="K561" s="65"/>
      <c r="L561" s="65"/>
      <c r="M561" s="71" t="str">
        <f t="shared" ca="1" si="119"/>
        <v/>
      </c>
      <c r="N561" s="80"/>
      <c r="O561" s="81"/>
    </row>
    <row r="562" spans="1:15" ht="15" customHeight="1" x14ac:dyDescent="0.35">
      <c r="A562" s="59">
        <v>46255</v>
      </c>
      <c r="B562" s="60">
        <f t="shared" si="120"/>
        <v>1.1249999999999998</v>
      </c>
      <c r="C562" s="70"/>
      <c r="D562" s="75"/>
      <c r="E562" s="75"/>
      <c r="F562" s="63"/>
      <c r="G562" s="64" t="str">
        <f t="shared" si="118"/>
        <v/>
      </c>
      <c r="H562" s="61"/>
      <c r="I562" s="61"/>
      <c r="J562" s="61"/>
      <c r="K562" s="65"/>
      <c r="L562" s="65"/>
      <c r="M562" s="66" t="str">
        <f t="shared" ca="1" si="119"/>
        <v/>
      </c>
      <c r="N562" s="80"/>
      <c r="O562" s="81"/>
    </row>
    <row r="563" spans="1:15" ht="15" customHeight="1" x14ac:dyDescent="0.35">
      <c r="A563" s="18">
        <v>46255</v>
      </c>
      <c r="B563" s="68">
        <f t="shared" si="120"/>
        <v>1.1666666666666665</v>
      </c>
      <c r="C563" s="70"/>
      <c r="D563" s="75"/>
      <c r="E563" s="75"/>
      <c r="F563" s="63"/>
      <c r="G563" s="69" t="str">
        <f t="shared" si="118"/>
        <v/>
      </c>
      <c r="H563" s="70"/>
      <c r="I563" s="70"/>
      <c r="J563" s="70"/>
      <c r="K563" s="65"/>
      <c r="L563" s="65"/>
      <c r="M563" s="71" t="str">
        <f t="shared" ca="1" si="119"/>
        <v/>
      </c>
      <c r="N563" s="80"/>
      <c r="O563" s="81"/>
    </row>
    <row r="564" spans="1:15" ht="15" customHeight="1" x14ac:dyDescent="0.35">
      <c r="A564" s="59">
        <v>46255</v>
      </c>
      <c r="B564" s="60">
        <f t="shared" si="120"/>
        <v>1.2083333333333333</v>
      </c>
      <c r="C564" s="70"/>
      <c r="D564" s="75"/>
      <c r="E564" s="75"/>
      <c r="F564" s="63"/>
      <c r="G564" s="64" t="str">
        <f t="shared" si="118"/>
        <v/>
      </c>
      <c r="H564" s="61"/>
      <c r="I564" s="61"/>
      <c r="J564" s="61"/>
      <c r="K564" s="65"/>
      <c r="L564" s="65"/>
      <c r="M564" s="66" t="str">
        <f t="shared" ca="1" si="119"/>
        <v/>
      </c>
      <c r="N564" s="80"/>
      <c r="O564" s="81"/>
    </row>
    <row r="565" spans="1:15" ht="15" customHeight="1" x14ac:dyDescent="0.35">
      <c r="A565" s="18">
        <v>46255</v>
      </c>
      <c r="B565" s="68">
        <f t="shared" si="120"/>
        <v>1.25</v>
      </c>
      <c r="C565" s="70"/>
      <c r="D565" s="75"/>
      <c r="E565" s="75"/>
      <c r="F565" s="63"/>
      <c r="G565" s="69" t="str">
        <f t="shared" si="118"/>
        <v/>
      </c>
      <c r="H565" s="70"/>
      <c r="I565" s="70"/>
      <c r="J565" s="70"/>
      <c r="K565" s="65"/>
      <c r="L565" s="65"/>
      <c r="M565" s="71" t="str">
        <f t="shared" ca="1" si="119"/>
        <v/>
      </c>
      <c r="N565" s="80"/>
      <c r="O565" s="81"/>
    </row>
    <row r="566" spans="1:15" ht="15" customHeight="1" x14ac:dyDescent="0.35">
      <c r="A566" s="59">
        <v>46255</v>
      </c>
      <c r="B566" s="60">
        <f t="shared" si="120"/>
        <v>1.2916666666666667</v>
      </c>
      <c r="C566" s="70"/>
      <c r="D566" s="75"/>
      <c r="E566" s="75"/>
      <c r="F566" s="63"/>
      <c r="G566" s="64" t="str">
        <f t="shared" si="118"/>
        <v/>
      </c>
      <c r="H566" s="61"/>
      <c r="I566" s="61"/>
      <c r="J566" s="61"/>
      <c r="K566" s="65"/>
      <c r="L566" s="65"/>
      <c r="M566" s="66" t="str">
        <f t="shared" ca="1" si="119"/>
        <v/>
      </c>
      <c r="N566" s="80"/>
      <c r="O566" s="81"/>
    </row>
    <row r="567" spans="1:15" ht="15.75" customHeight="1" x14ac:dyDescent="0.35">
      <c r="A567" s="161" t="s">
        <v>252</v>
      </c>
      <c r="B567" s="161"/>
      <c r="C567" s="161"/>
      <c r="D567" s="161"/>
      <c r="E567" s="161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250</v>
      </c>
      <c r="O567" s="74"/>
    </row>
    <row r="568" spans="1:15" ht="18" customHeight="1" x14ac:dyDescent="0.35">
      <c r="A568" s="162" t="s">
        <v>253</v>
      </c>
      <c r="B568" s="162"/>
      <c r="C568" s="162"/>
      <c r="D568" s="162"/>
      <c r="E568" s="162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254</v>
      </c>
      <c r="O568" s="82">
        <f>IFERROR(O554+O567,"")</f>
        <v>0</v>
      </c>
    </row>
    <row r="569" spans="1:15" ht="15" customHeight="1" x14ac:dyDescent="0.3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1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2">IFERROR(IF(K569="","",IF(L569="",MOD(NOW()-K569,1),IF(L569&gt;=K569,L569-K569,L569+1-K569))),"")</f>
        <v/>
      </c>
      <c r="N569" s="80"/>
      <c r="O569" s="81"/>
    </row>
    <row r="570" spans="1:15" ht="15" customHeight="1" x14ac:dyDescent="0.35">
      <c r="A570" s="59">
        <v>46256</v>
      </c>
      <c r="B570" s="60">
        <f t="shared" ref="B570:B580" si="123">B569+TIME(0,60,0)</f>
        <v>0.37499999999999967</v>
      </c>
      <c r="C570" s="70"/>
      <c r="D570" s="75"/>
      <c r="E570" s="75"/>
      <c r="F570" s="63"/>
      <c r="G570" s="69" t="str">
        <f t="shared" si="121"/>
        <v/>
      </c>
      <c r="H570" s="61"/>
      <c r="I570" s="61"/>
      <c r="J570" s="61"/>
      <c r="K570" s="65"/>
      <c r="L570" s="65"/>
      <c r="M570" s="66" t="str">
        <f t="shared" ca="1" si="122"/>
        <v/>
      </c>
      <c r="N570" s="80"/>
      <c r="O570" s="81"/>
    </row>
    <row r="571" spans="1:15" ht="15" customHeight="1" x14ac:dyDescent="0.35">
      <c r="A571" s="18">
        <v>46256</v>
      </c>
      <c r="B571" s="68">
        <f t="shared" si="123"/>
        <v>0.41666666666666635</v>
      </c>
      <c r="C571" s="70"/>
      <c r="D571" s="75"/>
      <c r="E571" s="75"/>
      <c r="F571" s="63"/>
      <c r="G571" s="69" t="str">
        <f t="shared" si="121"/>
        <v/>
      </c>
      <c r="H571" s="70"/>
      <c r="I571" s="70"/>
      <c r="J571" s="70"/>
      <c r="K571" s="65"/>
      <c r="L571" s="65"/>
      <c r="M571" s="71" t="str">
        <f t="shared" ca="1" si="122"/>
        <v/>
      </c>
      <c r="N571" s="80"/>
      <c r="O571" s="81"/>
    </row>
    <row r="572" spans="1:15" ht="15" customHeight="1" x14ac:dyDescent="0.35">
      <c r="A572" s="59">
        <v>46256</v>
      </c>
      <c r="B572" s="60">
        <f t="shared" si="123"/>
        <v>0.45833333333333304</v>
      </c>
      <c r="C572" s="70"/>
      <c r="D572" s="75"/>
      <c r="E572" s="75"/>
      <c r="F572" s="63"/>
      <c r="G572" s="69" t="str">
        <f t="shared" si="121"/>
        <v/>
      </c>
      <c r="H572" s="61"/>
      <c r="I572" s="61"/>
      <c r="J572" s="61"/>
      <c r="K572" s="65"/>
      <c r="L572" s="65"/>
      <c r="M572" s="66" t="str">
        <f t="shared" ca="1" si="122"/>
        <v/>
      </c>
      <c r="N572" s="80"/>
      <c r="O572" s="81"/>
    </row>
    <row r="573" spans="1:15" ht="15" customHeight="1" x14ac:dyDescent="0.35">
      <c r="A573" s="18">
        <v>46256</v>
      </c>
      <c r="B573" s="68">
        <f t="shared" si="123"/>
        <v>0.49999999999999972</v>
      </c>
      <c r="C573" s="70"/>
      <c r="D573" s="75"/>
      <c r="E573" s="75"/>
      <c r="F573" s="63"/>
      <c r="G573" s="69" t="str">
        <f t="shared" si="121"/>
        <v/>
      </c>
      <c r="H573" s="70"/>
      <c r="I573" s="70"/>
      <c r="J573" s="70"/>
      <c r="K573" s="65"/>
      <c r="L573" s="65"/>
      <c r="M573" s="71" t="str">
        <f t="shared" ca="1" si="122"/>
        <v/>
      </c>
      <c r="N573" s="80"/>
      <c r="O573" s="81"/>
    </row>
    <row r="574" spans="1:15" ht="15" customHeight="1" x14ac:dyDescent="0.35">
      <c r="A574" s="59">
        <v>46256</v>
      </c>
      <c r="B574" s="60">
        <f t="shared" si="123"/>
        <v>0.54166666666666641</v>
      </c>
      <c r="C574" s="70"/>
      <c r="D574" s="75"/>
      <c r="E574" s="75"/>
      <c r="F574" s="63"/>
      <c r="G574" s="69" t="str">
        <f t="shared" si="121"/>
        <v/>
      </c>
      <c r="H574" s="61"/>
      <c r="I574" s="61"/>
      <c r="J574" s="61"/>
      <c r="K574" s="65"/>
      <c r="L574" s="65"/>
      <c r="M574" s="66" t="str">
        <f t="shared" ca="1" si="122"/>
        <v/>
      </c>
      <c r="N574" s="80"/>
      <c r="O574" s="81"/>
    </row>
    <row r="575" spans="1:15" ht="15" customHeight="1" x14ac:dyDescent="0.35">
      <c r="A575" s="18">
        <v>46256</v>
      </c>
      <c r="B575" s="68">
        <f t="shared" si="123"/>
        <v>0.58333333333333304</v>
      </c>
      <c r="C575" s="70"/>
      <c r="D575" s="75"/>
      <c r="E575" s="75"/>
      <c r="F575" s="63"/>
      <c r="G575" s="69" t="str">
        <f t="shared" si="121"/>
        <v/>
      </c>
      <c r="H575" s="70"/>
      <c r="I575" s="70"/>
      <c r="J575" s="70"/>
      <c r="K575" s="65"/>
      <c r="L575" s="65"/>
      <c r="M575" s="71" t="str">
        <f t="shared" ca="1" si="122"/>
        <v/>
      </c>
      <c r="N575" s="80"/>
      <c r="O575" s="81"/>
    </row>
    <row r="576" spans="1:15" ht="15" customHeight="1" x14ac:dyDescent="0.35">
      <c r="A576" s="59">
        <v>46256</v>
      </c>
      <c r="B576" s="60">
        <f t="shared" si="123"/>
        <v>0.62499999999999967</v>
      </c>
      <c r="C576" s="70"/>
      <c r="D576" s="75"/>
      <c r="E576" s="75"/>
      <c r="F576" s="63"/>
      <c r="G576" s="69" t="str">
        <f t="shared" si="121"/>
        <v/>
      </c>
      <c r="H576" s="61"/>
      <c r="I576" s="61"/>
      <c r="J576" s="61"/>
      <c r="K576" s="65"/>
      <c r="L576" s="65"/>
      <c r="M576" s="66" t="str">
        <f t="shared" ca="1" si="122"/>
        <v/>
      </c>
      <c r="N576" s="80"/>
      <c r="O576" s="81"/>
    </row>
    <row r="577" spans="1:15" ht="15" customHeight="1" x14ac:dyDescent="0.35">
      <c r="A577" s="18">
        <v>46256</v>
      </c>
      <c r="B577" s="68">
        <f t="shared" si="123"/>
        <v>0.6666666666666663</v>
      </c>
      <c r="C577" s="70"/>
      <c r="D577" s="75"/>
      <c r="E577" s="75"/>
      <c r="F577" s="63"/>
      <c r="G577" s="69" t="str">
        <f t="shared" si="121"/>
        <v/>
      </c>
      <c r="H577" s="70"/>
      <c r="I577" s="70"/>
      <c r="J577" s="70"/>
      <c r="K577" s="65"/>
      <c r="L577" s="65"/>
      <c r="M577" s="71" t="str">
        <f t="shared" ca="1" si="122"/>
        <v/>
      </c>
      <c r="N577" s="80"/>
      <c r="O577" s="81"/>
    </row>
    <row r="578" spans="1:15" ht="15" customHeight="1" x14ac:dyDescent="0.35">
      <c r="A578" s="59">
        <v>46256</v>
      </c>
      <c r="B578" s="60">
        <f t="shared" si="123"/>
        <v>0.70833333333333293</v>
      </c>
      <c r="C578" s="70"/>
      <c r="D578" s="75"/>
      <c r="E578" s="75"/>
      <c r="F578" s="63"/>
      <c r="G578" s="69" t="str">
        <f t="shared" si="121"/>
        <v/>
      </c>
      <c r="H578" s="61"/>
      <c r="I578" s="61"/>
      <c r="J578" s="61"/>
      <c r="K578" s="65"/>
      <c r="L578" s="65"/>
      <c r="M578" s="66" t="str">
        <f t="shared" ca="1" si="122"/>
        <v/>
      </c>
      <c r="N578" s="80"/>
      <c r="O578" s="81"/>
    </row>
    <row r="579" spans="1:15" ht="15" customHeight="1" x14ac:dyDescent="0.35">
      <c r="A579" s="18">
        <v>46256</v>
      </c>
      <c r="B579" s="68">
        <f t="shared" si="123"/>
        <v>0.74999999999999956</v>
      </c>
      <c r="C579" s="70"/>
      <c r="D579" s="75"/>
      <c r="E579" s="75"/>
      <c r="F579" s="63"/>
      <c r="G579" s="69" t="str">
        <f t="shared" si="121"/>
        <v/>
      </c>
      <c r="H579" s="70"/>
      <c r="I579" s="70"/>
      <c r="J579" s="70"/>
      <c r="K579" s="65"/>
      <c r="L579" s="65"/>
      <c r="M579" s="71" t="str">
        <f t="shared" ca="1" si="122"/>
        <v/>
      </c>
      <c r="N579" s="80"/>
      <c r="O579" s="81"/>
    </row>
    <row r="580" spans="1:15" ht="15" customHeight="1" x14ac:dyDescent="0.35">
      <c r="A580" s="59">
        <v>46256</v>
      </c>
      <c r="B580" s="60">
        <f t="shared" si="123"/>
        <v>0.79166666666666619</v>
      </c>
      <c r="C580" s="70"/>
      <c r="D580" s="75"/>
      <c r="E580" s="75"/>
      <c r="F580" s="63"/>
      <c r="G580" s="69" t="str">
        <f t="shared" si="121"/>
        <v/>
      </c>
      <c r="H580" s="61"/>
      <c r="I580" s="61"/>
      <c r="J580" s="61"/>
      <c r="K580" s="65"/>
      <c r="L580" s="65"/>
      <c r="M580" s="66" t="str">
        <f t="shared" ca="1" si="122"/>
        <v/>
      </c>
      <c r="N580" s="80"/>
      <c r="O580" s="81"/>
    </row>
    <row r="581" spans="1:15" ht="15.75" customHeight="1" x14ac:dyDescent="0.35">
      <c r="A581" s="161" t="s">
        <v>249</v>
      </c>
      <c r="B581" s="161"/>
      <c r="C581" s="161"/>
      <c r="D581" s="161"/>
      <c r="E581" s="161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250</v>
      </c>
      <c r="O581" s="74"/>
    </row>
    <row r="582" spans="1:15" ht="15" customHeight="1" x14ac:dyDescent="0.3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4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5">IFERROR(IF(K582="","",IF(L582="",MOD(NOW()-K582,1),IF(L582&gt;=K582,L582-K582,L582+1-K582))),"")</f>
        <v/>
      </c>
      <c r="N582" s="80"/>
      <c r="O582" s="81"/>
    </row>
    <row r="583" spans="1:15" ht="15" customHeight="1" x14ac:dyDescent="0.35">
      <c r="A583" s="18">
        <v>46256</v>
      </c>
      <c r="B583" s="68">
        <f t="shared" ref="B583:B593" si="126">B582+TIME(0,60,0)</f>
        <v>0.87499999999999967</v>
      </c>
      <c r="C583" s="61"/>
      <c r="D583" s="62"/>
      <c r="E583" s="62"/>
      <c r="F583" s="63"/>
      <c r="G583" s="69" t="str">
        <f t="shared" si="124"/>
        <v/>
      </c>
      <c r="H583" s="70"/>
      <c r="I583" s="70"/>
      <c r="J583" s="70"/>
      <c r="K583" s="65"/>
      <c r="L583" s="65"/>
      <c r="M583" s="71" t="str">
        <f t="shared" ca="1" si="125"/>
        <v/>
      </c>
      <c r="N583" s="80"/>
      <c r="O583" s="81"/>
    </row>
    <row r="584" spans="1:15" ht="15" customHeight="1" x14ac:dyDescent="0.35">
      <c r="A584" s="59">
        <v>46256</v>
      </c>
      <c r="B584" s="60">
        <f t="shared" si="126"/>
        <v>0.9166666666666663</v>
      </c>
      <c r="C584" s="61"/>
      <c r="D584" s="62"/>
      <c r="E584" s="62"/>
      <c r="F584" s="63"/>
      <c r="G584" s="64" t="str">
        <f t="shared" si="124"/>
        <v/>
      </c>
      <c r="H584" s="61"/>
      <c r="I584" s="61"/>
      <c r="J584" s="61"/>
      <c r="K584" s="65"/>
      <c r="L584" s="65"/>
      <c r="M584" s="66" t="str">
        <f t="shared" ca="1" si="125"/>
        <v/>
      </c>
      <c r="N584" s="80"/>
      <c r="O584" s="81"/>
    </row>
    <row r="585" spans="1:15" ht="15" customHeight="1" x14ac:dyDescent="0.35">
      <c r="A585" s="18">
        <v>46256</v>
      </c>
      <c r="B585" s="68">
        <f t="shared" si="126"/>
        <v>0.95833333333333293</v>
      </c>
      <c r="C585" s="61"/>
      <c r="D585" s="62"/>
      <c r="E585" s="62"/>
      <c r="F585" s="63"/>
      <c r="G585" s="69" t="str">
        <f t="shared" si="124"/>
        <v/>
      </c>
      <c r="H585" s="70"/>
      <c r="I585" s="70"/>
      <c r="J585" s="70"/>
      <c r="K585" s="65"/>
      <c r="L585" s="65"/>
      <c r="M585" s="71" t="str">
        <f t="shared" ca="1" si="125"/>
        <v/>
      </c>
      <c r="N585" s="80"/>
      <c r="O585" s="81"/>
    </row>
    <row r="586" spans="1:15" ht="15" customHeight="1" x14ac:dyDescent="0.35">
      <c r="A586" s="59">
        <v>46256</v>
      </c>
      <c r="B586" s="60">
        <f t="shared" si="126"/>
        <v>0.99999999999999956</v>
      </c>
      <c r="C586" s="61"/>
      <c r="D586" s="62"/>
      <c r="E586" s="62"/>
      <c r="F586" s="63"/>
      <c r="G586" s="64" t="str">
        <f t="shared" si="124"/>
        <v/>
      </c>
      <c r="H586" s="61"/>
      <c r="I586" s="61"/>
      <c r="J586" s="61"/>
      <c r="K586" s="65"/>
      <c r="L586" s="65"/>
      <c r="M586" s="66" t="str">
        <f t="shared" ca="1" si="125"/>
        <v/>
      </c>
      <c r="N586" s="80"/>
      <c r="O586" s="81"/>
    </row>
    <row r="587" spans="1:15" ht="15" customHeight="1" x14ac:dyDescent="0.35">
      <c r="A587" s="18">
        <v>46256</v>
      </c>
      <c r="B587" s="68">
        <f t="shared" si="126"/>
        <v>1.0416666666666663</v>
      </c>
      <c r="C587" s="61"/>
      <c r="D587" s="62"/>
      <c r="E587" s="62"/>
      <c r="F587" s="63"/>
      <c r="G587" s="69" t="str">
        <f t="shared" si="124"/>
        <v/>
      </c>
      <c r="H587" s="70"/>
      <c r="I587" s="70"/>
      <c r="J587" s="70"/>
      <c r="K587" s="65"/>
      <c r="L587" s="65"/>
      <c r="M587" s="71" t="str">
        <f t="shared" ca="1" si="125"/>
        <v/>
      </c>
      <c r="N587" s="80"/>
      <c r="O587" s="81"/>
    </row>
    <row r="588" spans="1:15" ht="15" customHeight="1" x14ac:dyDescent="0.35">
      <c r="A588" s="59">
        <v>46256</v>
      </c>
      <c r="B588" s="60">
        <f t="shared" si="126"/>
        <v>1.083333333333333</v>
      </c>
      <c r="C588" s="61"/>
      <c r="D588" s="62"/>
      <c r="E588" s="62"/>
      <c r="F588" s="63"/>
      <c r="G588" s="64" t="str">
        <f t="shared" si="124"/>
        <v/>
      </c>
      <c r="H588" s="61"/>
      <c r="I588" s="61"/>
      <c r="J588" s="61"/>
      <c r="K588" s="65"/>
      <c r="L588" s="65"/>
      <c r="M588" s="66" t="str">
        <f t="shared" ca="1" si="125"/>
        <v/>
      </c>
      <c r="N588" s="80"/>
      <c r="O588" s="81"/>
    </row>
    <row r="589" spans="1:15" ht="15" customHeight="1" x14ac:dyDescent="0.35">
      <c r="A589" s="18">
        <v>46256</v>
      </c>
      <c r="B589" s="68">
        <f t="shared" si="126"/>
        <v>1.1249999999999998</v>
      </c>
      <c r="C589" s="61"/>
      <c r="D589" s="62"/>
      <c r="E589" s="62"/>
      <c r="F589" s="63"/>
      <c r="G589" s="69" t="str">
        <f t="shared" si="124"/>
        <v/>
      </c>
      <c r="H589" s="70"/>
      <c r="I589" s="70"/>
      <c r="J589" s="70"/>
      <c r="K589" s="65"/>
      <c r="L589" s="65"/>
      <c r="M589" s="71" t="str">
        <f t="shared" ca="1" si="125"/>
        <v/>
      </c>
      <c r="N589" s="80"/>
      <c r="O589" s="81"/>
    </row>
    <row r="590" spans="1:15" ht="15" customHeight="1" x14ac:dyDescent="0.35">
      <c r="A590" s="59">
        <v>46256</v>
      </c>
      <c r="B590" s="60">
        <f t="shared" si="126"/>
        <v>1.1666666666666665</v>
      </c>
      <c r="C590" s="61"/>
      <c r="D590" s="62"/>
      <c r="E590" s="62"/>
      <c r="F590" s="63"/>
      <c r="G590" s="64" t="str">
        <f t="shared" si="124"/>
        <v/>
      </c>
      <c r="H590" s="61"/>
      <c r="I590" s="61"/>
      <c r="J590" s="61"/>
      <c r="K590" s="65"/>
      <c r="L590" s="65"/>
      <c r="M590" s="66" t="str">
        <f t="shared" ca="1" si="125"/>
        <v/>
      </c>
      <c r="N590" s="80"/>
      <c r="O590" s="81"/>
    </row>
    <row r="591" spans="1:15" ht="15" customHeight="1" x14ac:dyDescent="0.35">
      <c r="A591" s="18">
        <v>46256</v>
      </c>
      <c r="B591" s="68">
        <f t="shared" si="126"/>
        <v>1.2083333333333333</v>
      </c>
      <c r="C591" s="61"/>
      <c r="D591" s="62"/>
      <c r="E591" s="62"/>
      <c r="F591" s="63"/>
      <c r="G591" s="69" t="str">
        <f t="shared" si="124"/>
        <v/>
      </c>
      <c r="H591" s="70"/>
      <c r="I591" s="70"/>
      <c r="J591" s="70"/>
      <c r="K591" s="65"/>
      <c r="L591" s="65"/>
      <c r="M591" s="71" t="str">
        <f t="shared" ca="1" si="125"/>
        <v/>
      </c>
      <c r="N591" s="80"/>
      <c r="O591" s="81"/>
    </row>
    <row r="592" spans="1:15" ht="15" customHeight="1" x14ac:dyDescent="0.35">
      <c r="A592" s="59">
        <v>46256</v>
      </c>
      <c r="B592" s="60">
        <f t="shared" si="126"/>
        <v>1.25</v>
      </c>
      <c r="C592" s="61"/>
      <c r="D592" s="62"/>
      <c r="E592" s="62"/>
      <c r="F592" s="63"/>
      <c r="G592" s="64" t="str">
        <f t="shared" si="124"/>
        <v/>
      </c>
      <c r="H592" s="61"/>
      <c r="I592" s="61"/>
      <c r="J592" s="61"/>
      <c r="K592" s="65"/>
      <c r="L592" s="65"/>
      <c r="M592" s="66" t="str">
        <f t="shared" ca="1" si="125"/>
        <v/>
      </c>
      <c r="N592" s="80"/>
      <c r="O592" s="81"/>
    </row>
    <row r="593" spans="1:15" ht="15" customHeight="1" x14ac:dyDescent="0.35">
      <c r="A593" s="18">
        <v>46256</v>
      </c>
      <c r="B593" s="68">
        <f t="shared" si="126"/>
        <v>1.2916666666666667</v>
      </c>
      <c r="C593" s="61"/>
      <c r="D593" s="62"/>
      <c r="E593" s="62"/>
      <c r="F593" s="63"/>
      <c r="G593" s="69" t="str">
        <f t="shared" si="124"/>
        <v/>
      </c>
      <c r="H593" s="70"/>
      <c r="I593" s="70"/>
      <c r="J593" s="70"/>
      <c r="K593" s="65"/>
      <c r="L593" s="65"/>
      <c r="M593" s="71" t="str">
        <f t="shared" ca="1" si="125"/>
        <v/>
      </c>
      <c r="N593" s="80"/>
      <c r="O593" s="81"/>
    </row>
    <row r="594" spans="1:15" ht="15.75" customHeight="1" x14ac:dyDescent="0.35">
      <c r="A594" s="161" t="s">
        <v>252</v>
      </c>
      <c r="B594" s="161"/>
      <c r="C594" s="161"/>
      <c r="D594" s="161"/>
      <c r="E594" s="161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250</v>
      </c>
      <c r="O594" s="74"/>
    </row>
    <row r="595" spans="1:15" ht="18" customHeight="1" x14ac:dyDescent="0.35">
      <c r="A595" s="162" t="s">
        <v>253</v>
      </c>
      <c r="B595" s="162"/>
      <c r="C595" s="162"/>
      <c r="D595" s="162"/>
      <c r="E595" s="162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254</v>
      </c>
      <c r="O595" s="82">
        <f>IFERROR(O581+O594,"")</f>
        <v>0</v>
      </c>
    </row>
    <row r="596" spans="1:15" ht="15" customHeight="1" x14ac:dyDescent="0.3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7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8">IFERROR(IF(K596="","",IF(L596="",MOD(NOW()-K596,1),IF(L596&gt;=K596,L596-K596,L596+1-K596))),"")</f>
        <v/>
      </c>
      <c r="N596" s="80"/>
      <c r="O596" s="81"/>
    </row>
    <row r="597" spans="1:15" ht="15" customHeight="1" x14ac:dyDescent="0.35">
      <c r="A597" s="18">
        <v>46257</v>
      </c>
      <c r="B597" s="68">
        <f t="shared" ref="B597:B607" si="129">B596+TIME(0,60,0)</f>
        <v>0.37499999999999967</v>
      </c>
      <c r="C597" s="61"/>
      <c r="D597" s="62"/>
      <c r="E597" s="62"/>
      <c r="F597" s="63"/>
      <c r="G597" s="69" t="str">
        <f t="shared" si="127"/>
        <v/>
      </c>
      <c r="H597" s="70"/>
      <c r="I597" s="70"/>
      <c r="J597" s="70"/>
      <c r="K597" s="65"/>
      <c r="L597" s="65"/>
      <c r="M597" s="71" t="str">
        <f t="shared" ca="1" si="128"/>
        <v/>
      </c>
      <c r="N597" s="80"/>
      <c r="O597" s="81"/>
    </row>
    <row r="598" spans="1:15" ht="15" customHeight="1" x14ac:dyDescent="0.35">
      <c r="A598" s="59">
        <v>46257</v>
      </c>
      <c r="B598" s="60">
        <f t="shared" si="129"/>
        <v>0.41666666666666635</v>
      </c>
      <c r="C598" s="61"/>
      <c r="D598" s="62"/>
      <c r="E598" s="62"/>
      <c r="F598" s="63"/>
      <c r="G598" s="64" t="str">
        <f t="shared" si="127"/>
        <v/>
      </c>
      <c r="H598" s="61"/>
      <c r="I598" s="61"/>
      <c r="J598" s="61"/>
      <c r="K598" s="65"/>
      <c r="L598" s="65"/>
      <c r="M598" s="66" t="str">
        <f t="shared" ca="1" si="128"/>
        <v/>
      </c>
      <c r="N598" s="80"/>
      <c r="O598" s="81"/>
    </row>
    <row r="599" spans="1:15" ht="15" customHeight="1" x14ac:dyDescent="0.35">
      <c r="A599" s="18">
        <v>46257</v>
      </c>
      <c r="B599" s="68">
        <f t="shared" si="129"/>
        <v>0.45833333333333304</v>
      </c>
      <c r="C599" s="61"/>
      <c r="D599" s="62"/>
      <c r="E599" s="62"/>
      <c r="F599" s="63"/>
      <c r="G599" s="69" t="str">
        <f t="shared" si="127"/>
        <v/>
      </c>
      <c r="H599" s="70"/>
      <c r="I599" s="70"/>
      <c r="J599" s="70"/>
      <c r="K599" s="65"/>
      <c r="L599" s="65"/>
      <c r="M599" s="71" t="str">
        <f t="shared" ca="1" si="128"/>
        <v/>
      </c>
      <c r="N599" s="80"/>
      <c r="O599" s="81"/>
    </row>
    <row r="600" spans="1:15" ht="15" customHeight="1" x14ac:dyDescent="0.35">
      <c r="A600" s="59">
        <v>46257</v>
      </c>
      <c r="B600" s="60">
        <f t="shared" si="129"/>
        <v>0.49999999999999972</v>
      </c>
      <c r="C600" s="61"/>
      <c r="D600" s="62"/>
      <c r="E600" s="62"/>
      <c r="F600" s="63"/>
      <c r="G600" s="64" t="str">
        <f t="shared" si="127"/>
        <v/>
      </c>
      <c r="H600" s="61"/>
      <c r="I600" s="61"/>
      <c r="J600" s="61"/>
      <c r="K600" s="65"/>
      <c r="L600" s="65"/>
      <c r="M600" s="66" t="str">
        <f t="shared" ca="1" si="128"/>
        <v/>
      </c>
      <c r="N600" s="80"/>
      <c r="O600" s="81"/>
    </row>
    <row r="601" spans="1:15" ht="15" customHeight="1" x14ac:dyDescent="0.35">
      <c r="A601" s="18">
        <v>46257</v>
      </c>
      <c r="B601" s="68">
        <f t="shared" si="129"/>
        <v>0.54166666666666641</v>
      </c>
      <c r="C601" s="61"/>
      <c r="D601" s="62"/>
      <c r="E601" s="62"/>
      <c r="F601" s="63"/>
      <c r="G601" s="69" t="str">
        <f t="shared" si="127"/>
        <v/>
      </c>
      <c r="H601" s="70"/>
      <c r="I601" s="70"/>
      <c r="J601" s="70"/>
      <c r="K601" s="65"/>
      <c r="L601" s="65"/>
      <c r="M601" s="71" t="str">
        <f t="shared" ca="1" si="128"/>
        <v/>
      </c>
      <c r="N601" s="80"/>
      <c r="O601" s="81"/>
    </row>
    <row r="602" spans="1:15" ht="15" customHeight="1" x14ac:dyDescent="0.35">
      <c r="A602" s="59">
        <v>46257</v>
      </c>
      <c r="B602" s="60">
        <f t="shared" si="129"/>
        <v>0.58333333333333304</v>
      </c>
      <c r="C602" s="61"/>
      <c r="D602" s="62"/>
      <c r="E602" s="62"/>
      <c r="F602" s="63"/>
      <c r="G602" s="64" t="str">
        <f t="shared" si="127"/>
        <v/>
      </c>
      <c r="H602" s="61"/>
      <c r="I602" s="61"/>
      <c r="J602" s="61"/>
      <c r="K602" s="65"/>
      <c r="L602" s="65"/>
      <c r="M602" s="66" t="str">
        <f t="shared" ca="1" si="128"/>
        <v/>
      </c>
      <c r="N602" s="80"/>
      <c r="O602" s="81"/>
    </row>
    <row r="603" spans="1:15" ht="15" customHeight="1" x14ac:dyDescent="0.35">
      <c r="A603" s="18">
        <v>46257</v>
      </c>
      <c r="B603" s="68">
        <f t="shared" si="129"/>
        <v>0.62499999999999967</v>
      </c>
      <c r="C603" s="61"/>
      <c r="D603" s="62"/>
      <c r="E603" s="62"/>
      <c r="F603" s="63"/>
      <c r="G603" s="69" t="str">
        <f t="shared" si="127"/>
        <v/>
      </c>
      <c r="H603" s="70"/>
      <c r="I603" s="70"/>
      <c r="J603" s="70"/>
      <c r="K603" s="65"/>
      <c r="L603" s="65"/>
      <c r="M603" s="71" t="str">
        <f t="shared" ca="1" si="128"/>
        <v/>
      </c>
      <c r="N603" s="80"/>
      <c r="O603" s="81"/>
    </row>
    <row r="604" spans="1:15" ht="15" customHeight="1" x14ac:dyDescent="0.35">
      <c r="A604" s="59">
        <v>46257</v>
      </c>
      <c r="B604" s="60">
        <f t="shared" si="129"/>
        <v>0.6666666666666663</v>
      </c>
      <c r="C604" s="61"/>
      <c r="D604" s="62"/>
      <c r="E604" s="62"/>
      <c r="F604" s="63"/>
      <c r="G604" s="64" t="str">
        <f t="shared" si="127"/>
        <v/>
      </c>
      <c r="H604" s="61"/>
      <c r="I604" s="61"/>
      <c r="J604" s="61"/>
      <c r="K604" s="65"/>
      <c r="L604" s="65"/>
      <c r="M604" s="66" t="str">
        <f t="shared" ca="1" si="128"/>
        <v/>
      </c>
      <c r="N604" s="80"/>
      <c r="O604" s="81"/>
    </row>
    <row r="605" spans="1:15" ht="15" customHeight="1" x14ac:dyDescent="0.35">
      <c r="A605" s="18">
        <v>46257</v>
      </c>
      <c r="B605" s="68">
        <f t="shared" si="129"/>
        <v>0.70833333333333293</v>
      </c>
      <c r="C605" s="61"/>
      <c r="D605" s="62"/>
      <c r="E605" s="62"/>
      <c r="F605" s="63"/>
      <c r="G605" s="69" t="str">
        <f t="shared" si="127"/>
        <v/>
      </c>
      <c r="H605" s="70"/>
      <c r="I605" s="70"/>
      <c r="J605" s="70"/>
      <c r="K605" s="65"/>
      <c r="L605" s="65"/>
      <c r="M605" s="71" t="str">
        <f t="shared" ca="1" si="128"/>
        <v/>
      </c>
      <c r="N605" s="80"/>
      <c r="O605" s="81"/>
    </row>
    <row r="606" spans="1:15" ht="15" customHeight="1" x14ac:dyDescent="0.35">
      <c r="A606" s="59">
        <v>46257</v>
      </c>
      <c r="B606" s="60">
        <f t="shared" si="129"/>
        <v>0.74999999999999956</v>
      </c>
      <c r="C606" s="61"/>
      <c r="D606" s="62"/>
      <c r="E606" s="62"/>
      <c r="F606" s="63"/>
      <c r="G606" s="64" t="str">
        <f t="shared" si="127"/>
        <v/>
      </c>
      <c r="H606" s="61"/>
      <c r="I606" s="61"/>
      <c r="J606" s="61"/>
      <c r="K606" s="65"/>
      <c r="L606" s="65"/>
      <c r="M606" s="66" t="str">
        <f t="shared" ca="1" si="128"/>
        <v/>
      </c>
      <c r="N606" s="80"/>
      <c r="O606" s="81"/>
    </row>
    <row r="607" spans="1:15" ht="15" customHeight="1" x14ac:dyDescent="0.35">
      <c r="A607" s="18">
        <v>46257</v>
      </c>
      <c r="B607" s="68">
        <f t="shared" si="129"/>
        <v>0.79166666666666619</v>
      </c>
      <c r="C607" s="61"/>
      <c r="D607" s="62"/>
      <c r="E607" s="62"/>
      <c r="F607" s="63"/>
      <c r="G607" s="69" t="str">
        <f t="shared" si="127"/>
        <v/>
      </c>
      <c r="H607" s="70"/>
      <c r="I607" s="70"/>
      <c r="J607" s="70"/>
      <c r="K607" s="65"/>
      <c r="L607" s="65"/>
      <c r="M607" s="71" t="str">
        <f t="shared" ca="1" si="128"/>
        <v/>
      </c>
      <c r="N607" s="80"/>
      <c r="O607" s="81"/>
    </row>
    <row r="608" spans="1:15" ht="15.75" customHeight="1" x14ac:dyDescent="0.35">
      <c r="A608" s="161" t="s">
        <v>249</v>
      </c>
      <c r="B608" s="161"/>
      <c r="C608" s="161"/>
      <c r="D608" s="161"/>
      <c r="E608" s="161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250</v>
      </c>
      <c r="O608" s="74"/>
    </row>
    <row r="609" spans="1:15" ht="15" customHeight="1" x14ac:dyDescent="0.3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0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1">IFERROR(IF(K609="","",IF(L609="",MOD(NOW()-K609,1),IF(L609&gt;=K609,L609-K609,L609+1-K609))),"")</f>
        <v/>
      </c>
      <c r="N609" s="80"/>
      <c r="O609" s="81"/>
    </row>
    <row r="610" spans="1:15" ht="15" customHeight="1" x14ac:dyDescent="0.35">
      <c r="A610" s="59">
        <v>46257</v>
      </c>
      <c r="B610" s="60">
        <f t="shared" ref="B610:B620" si="132">B609+TIME(0,60,0)</f>
        <v>0.87499999999999967</v>
      </c>
      <c r="C610" s="70"/>
      <c r="D610" s="75"/>
      <c r="E610" s="75"/>
      <c r="F610" s="63"/>
      <c r="G610" s="64" t="str">
        <f t="shared" si="130"/>
        <v/>
      </c>
      <c r="H610" s="61"/>
      <c r="I610" s="61"/>
      <c r="J610" s="61"/>
      <c r="K610" s="65"/>
      <c r="L610" s="65"/>
      <c r="M610" s="66" t="str">
        <f t="shared" ca="1" si="131"/>
        <v/>
      </c>
      <c r="N610" s="80"/>
      <c r="O610" s="81"/>
    </row>
    <row r="611" spans="1:15" ht="15" customHeight="1" x14ac:dyDescent="0.35">
      <c r="A611" s="18">
        <v>46257</v>
      </c>
      <c r="B611" s="68">
        <f t="shared" si="132"/>
        <v>0.9166666666666663</v>
      </c>
      <c r="C611" s="70"/>
      <c r="D611" s="75"/>
      <c r="E611" s="75"/>
      <c r="F611" s="63"/>
      <c r="G611" s="69" t="str">
        <f t="shared" si="130"/>
        <v/>
      </c>
      <c r="H611" s="70"/>
      <c r="I611" s="70"/>
      <c r="J611" s="70"/>
      <c r="K611" s="65"/>
      <c r="L611" s="65"/>
      <c r="M611" s="71" t="str">
        <f t="shared" ca="1" si="131"/>
        <v/>
      </c>
      <c r="N611" s="80"/>
      <c r="O611" s="81"/>
    </row>
    <row r="612" spans="1:15" ht="15" customHeight="1" x14ac:dyDescent="0.35">
      <c r="A612" s="59">
        <v>46257</v>
      </c>
      <c r="B612" s="60">
        <f t="shared" si="132"/>
        <v>0.95833333333333293</v>
      </c>
      <c r="C612" s="70"/>
      <c r="D612" s="75"/>
      <c r="E612" s="75"/>
      <c r="F612" s="63"/>
      <c r="G612" s="64" t="str">
        <f t="shared" si="130"/>
        <v/>
      </c>
      <c r="H612" s="61"/>
      <c r="I612" s="61"/>
      <c r="J612" s="61"/>
      <c r="K612" s="65"/>
      <c r="L612" s="65"/>
      <c r="M612" s="66" t="str">
        <f t="shared" ca="1" si="131"/>
        <v/>
      </c>
      <c r="N612" s="80"/>
      <c r="O612" s="81"/>
    </row>
    <row r="613" spans="1:15" ht="15" customHeight="1" x14ac:dyDescent="0.35">
      <c r="A613" s="18">
        <v>46257</v>
      </c>
      <c r="B613" s="68">
        <f t="shared" si="132"/>
        <v>0.99999999999999956</v>
      </c>
      <c r="C613" s="70"/>
      <c r="D613" s="75"/>
      <c r="E613" s="75"/>
      <c r="F613" s="63"/>
      <c r="G613" s="69" t="str">
        <f t="shared" si="130"/>
        <v/>
      </c>
      <c r="H613" s="70"/>
      <c r="I613" s="70"/>
      <c r="J613" s="70"/>
      <c r="K613" s="65"/>
      <c r="L613" s="65"/>
      <c r="M613" s="71" t="str">
        <f t="shared" ca="1" si="131"/>
        <v/>
      </c>
      <c r="N613" s="80"/>
      <c r="O613" s="81"/>
    </row>
    <row r="614" spans="1:15" ht="15" customHeight="1" x14ac:dyDescent="0.35">
      <c r="A614" s="59">
        <v>46257</v>
      </c>
      <c r="B614" s="60">
        <f t="shared" si="132"/>
        <v>1.0416666666666663</v>
      </c>
      <c r="C614" s="70"/>
      <c r="D614" s="75"/>
      <c r="E614" s="75"/>
      <c r="F614" s="63"/>
      <c r="G614" s="64" t="str">
        <f t="shared" si="130"/>
        <v/>
      </c>
      <c r="H614" s="61"/>
      <c r="I614" s="61"/>
      <c r="J614" s="61"/>
      <c r="K614" s="65"/>
      <c r="L614" s="65"/>
      <c r="M614" s="66" t="str">
        <f t="shared" ca="1" si="131"/>
        <v/>
      </c>
      <c r="N614" s="80"/>
      <c r="O614" s="81"/>
    </row>
    <row r="615" spans="1:15" ht="15" customHeight="1" x14ac:dyDescent="0.35">
      <c r="A615" s="18">
        <v>46257</v>
      </c>
      <c r="B615" s="68">
        <f t="shared" si="132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1"/>
        <v/>
      </c>
      <c r="N615" s="80"/>
      <c r="O615" s="81"/>
    </row>
    <row r="616" spans="1:15" ht="15" customHeight="1" x14ac:dyDescent="0.35">
      <c r="A616" s="59">
        <v>46257</v>
      </c>
      <c r="B616" s="60">
        <f t="shared" si="132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1"/>
        <v/>
      </c>
      <c r="N616" s="80"/>
      <c r="O616" s="81"/>
    </row>
    <row r="617" spans="1:15" ht="15" customHeight="1" x14ac:dyDescent="0.35">
      <c r="A617" s="18">
        <v>46257</v>
      </c>
      <c r="B617" s="68">
        <f t="shared" si="132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1"/>
        <v/>
      </c>
      <c r="N617" s="80"/>
      <c r="O617" s="81"/>
    </row>
    <row r="618" spans="1:15" ht="15" customHeight="1" x14ac:dyDescent="0.35">
      <c r="A618" s="59">
        <v>46257</v>
      </c>
      <c r="B618" s="60">
        <f t="shared" si="132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1"/>
        <v/>
      </c>
      <c r="N618" s="80"/>
      <c r="O618" s="81"/>
    </row>
    <row r="619" spans="1:15" ht="15" customHeight="1" x14ac:dyDescent="0.35">
      <c r="A619" s="18">
        <v>46257</v>
      </c>
      <c r="B619" s="68">
        <f t="shared" si="132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1"/>
        <v/>
      </c>
      <c r="N619" s="80"/>
      <c r="O619" s="81"/>
    </row>
    <row r="620" spans="1:15" ht="15" customHeight="1" x14ac:dyDescent="0.35">
      <c r="A620" s="59">
        <v>46257</v>
      </c>
      <c r="B620" s="60">
        <f t="shared" si="132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1"/>
        <v/>
      </c>
      <c r="N620" s="80"/>
      <c r="O620" s="81"/>
    </row>
    <row r="621" spans="1:15" ht="15.75" customHeight="1" x14ac:dyDescent="0.35">
      <c r="A621" s="161" t="s">
        <v>252</v>
      </c>
      <c r="B621" s="161"/>
      <c r="C621" s="161"/>
      <c r="D621" s="161"/>
      <c r="E621" s="161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250</v>
      </c>
      <c r="O621" s="74"/>
    </row>
    <row r="622" spans="1:15" ht="18" customHeight="1" x14ac:dyDescent="0.35">
      <c r="A622" s="162" t="s">
        <v>253</v>
      </c>
      <c r="B622" s="162"/>
      <c r="C622" s="162"/>
      <c r="D622" s="162"/>
      <c r="E622" s="162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254</v>
      </c>
      <c r="O622" s="82">
        <f>IFERROR(O608+O621,"")</f>
        <v>0</v>
      </c>
    </row>
    <row r="623" spans="1:15" ht="15" customHeight="1" x14ac:dyDescent="0.3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3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4">IFERROR(IF(K623="","",IF(L623="",MOD(NOW()-K623,1),IF(L623&gt;=K623,L623-K623,L623+1-K623))),"")</f>
        <v/>
      </c>
      <c r="N623" s="80"/>
      <c r="O623" s="81"/>
    </row>
    <row r="624" spans="1:15" ht="15" customHeight="1" x14ac:dyDescent="0.35">
      <c r="A624" s="59">
        <v>46258</v>
      </c>
      <c r="B624" s="60">
        <f t="shared" ref="B624:B634" si="135">B623+TIME(0,60,0)</f>
        <v>0.37499999999999967</v>
      </c>
      <c r="C624" s="70"/>
      <c r="D624" s="75"/>
      <c r="E624" s="75"/>
      <c r="F624" s="63"/>
      <c r="G624" s="64" t="str">
        <f t="shared" si="133"/>
        <v/>
      </c>
      <c r="H624" s="61"/>
      <c r="I624" s="61"/>
      <c r="J624" s="61"/>
      <c r="K624" s="65"/>
      <c r="L624" s="65"/>
      <c r="M624" s="66" t="str">
        <f t="shared" ca="1" si="134"/>
        <v/>
      </c>
      <c r="N624" s="80"/>
      <c r="O624" s="81"/>
    </row>
    <row r="625" spans="1:15" ht="15" customHeight="1" x14ac:dyDescent="0.35">
      <c r="A625" s="18">
        <v>46258</v>
      </c>
      <c r="B625" s="68">
        <f t="shared" si="135"/>
        <v>0.41666666666666635</v>
      </c>
      <c r="C625" s="70"/>
      <c r="D625" s="75"/>
      <c r="E625" s="75"/>
      <c r="F625" s="63"/>
      <c r="G625" s="69" t="str">
        <f t="shared" si="133"/>
        <v/>
      </c>
      <c r="H625" s="70"/>
      <c r="I625" s="70"/>
      <c r="J625" s="70"/>
      <c r="K625" s="65"/>
      <c r="L625" s="65"/>
      <c r="M625" s="71" t="str">
        <f t="shared" ca="1" si="134"/>
        <v/>
      </c>
      <c r="N625" s="80"/>
      <c r="O625" s="81"/>
    </row>
    <row r="626" spans="1:15" ht="15" customHeight="1" x14ac:dyDescent="0.35">
      <c r="A626" s="59">
        <v>46258</v>
      </c>
      <c r="B626" s="60">
        <f t="shared" si="135"/>
        <v>0.45833333333333304</v>
      </c>
      <c r="C626" s="70"/>
      <c r="D626" s="75"/>
      <c r="E626" s="75"/>
      <c r="F626" s="63"/>
      <c r="G626" s="64" t="str">
        <f t="shared" si="133"/>
        <v/>
      </c>
      <c r="H626" s="61"/>
      <c r="I626" s="61"/>
      <c r="J626" s="61"/>
      <c r="K626" s="65"/>
      <c r="L626" s="65"/>
      <c r="M626" s="66" t="str">
        <f t="shared" ca="1" si="134"/>
        <v/>
      </c>
      <c r="N626" s="80"/>
      <c r="O626" s="81"/>
    </row>
    <row r="627" spans="1:15" ht="15" customHeight="1" x14ac:dyDescent="0.35">
      <c r="A627" s="18">
        <v>46258</v>
      </c>
      <c r="B627" s="68">
        <f t="shared" si="135"/>
        <v>0.49999999999999972</v>
      </c>
      <c r="C627" s="70"/>
      <c r="D627" s="75"/>
      <c r="E627" s="75"/>
      <c r="F627" s="63"/>
      <c r="G627" s="69" t="str">
        <f t="shared" si="133"/>
        <v/>
      </c>
      <c r="H627" s="70"/>
      <c r="I627" s="70"/>
      <c r="J627" s="70"/>
      <c r="K627" s="65"/>
      <c r="L627" s="65"/>
      <c r="M627" s="71" t="str">
        <f t="shared" ca="1" si="134"/>
        <v/>
      </c>
      <c r="N627" s="80"/>
      <c r="O627" s="81"/>
    </row>
    <row r="628" spans="1:15" ht="15" customHeight="1" x14ac:dyDescent="0.35">
      <c r="A628" s="59">
        <v>46258</v>
      </c>
      <c r="B628" s="60">
        <f t="shared" si="135"/>
        <v>0.54166666666666641</v>
      </c>
      <c r="C628" s="70"/>
      <c r="D628" s="75"/>
      <c r="E628" s="75"/>
      <c r="F628" s="63"/>
      <c r="G628" s="64" t="str">
        <f t="shared" si="133"/>
        <v/>
      </c>
      <c r="H628" s="61"/>
      <c r="I628" s="61"/>
      <c r="J628" s="61"/>
      <c r="K628" s="65"/>
      <c r="L628" s="65"/>
      <c r="M628" s="66" t="str">
        <f t="shared" ca="1" si="134"/>
        <v/>
      </c>
      <c r="N628" s="80"/>
      <c r="O628" s="81"/>
    </row>
    <row r="629" spans="1:15" ht="15" customHeight="1" x14ac:dyDescent="0.35">
      <c r="A629" s="18">
        <v>46258</v>
      </c>
      <c r="B629" s="68">
        <f t="shared" si="135"/>
        <v>0.58333333333333304</v>
      </c>
      <c r="C629" s="70"/>
      <c r="D629" s="75"/>
      <c r="E629" s="75"/>
      <c r="F629" s="63"/>
      <c r="G629" s="69" t="str">
        <f t="shared" si="133"/>
        <v/>
      </c>
      <c r="H629" s="70"/>
      <c r="I629" s="70"/>
      <c r="J629" s="70"/>
      <c r="K629" s="65"/>
      <c r="L629" s="65"/>
      <c r="M629" s="71" t="str">
        <f t="shared" ca="1" si="134"/>
        <v/>
      </c>
      <c r="N629" s="80"/>
      <c r="O629" s="81"/>
    </row>
    <row r="630" spans="1:15" ht="15" customHeight="1" x14ac:dyDescent="0.35">
      <c r="A630" s="59">
        <v>46258</v>
      </c>
      <c r="B630" s="60">
        <f t="shared" si="135"/>
        <v>0.62499999999999967</v>
      </c>
      <c r="C630" s="70"/>
      <c r="D630" s="75"/>
      <c r="E630" s="75"/>
      <c r="F630" s="63"/>
      <c r="G630" s="64" t="str">
        <f t="shared" si="133"/>
        <v/>
      </c>
      <c r="H630" s="61"/>
      <c r="I630" s="61"/>
      <c r="J630" s="61"/>
      <c r="K630" s="65"/>
      <c r="L630" s="65"/>
      <c r="M630" s="66" t="str">
        <f t="shared" ca="1" si="134"/>
        <v/>
      </c>
      <c r="N630" s="80"/>
      <c r="O630" s="81"/>
    </row>
    <row r="631" spans="1:15" ht="15" customHeight="1" x14ac:dyDescent="0.35">
      <c r="A631" s="18">
        <v>46258</v>
      </c>
      <c r="B631" s="68">
        <f t="shared" si="135"/>
        <v>0.6666666666666663</v>
      </c>
      <c r="C631" s="70"/>
      <c r="D631" s="75"/>
      <c r="E631" s="75"/>
      <c r="F631" s="63"/>
      <c r="G631" s="69" t="str">
        <f t="shared" si="133"/>
        <v/>
      </c>
      <c r="H631" s="70"/>
      <c r="I631" s="70"/>
      <c r="J631" s="70"/>
      <c r="K631" s="65"/>
      <c r="L631" s="65"/>
      <c r="M631" s="71" t="str">
        <f t="shared" ca="1" si="134"/>
        <v/>
      </c>
      <c r="N631" s="80"/>
      <c r="O631" s="81"/>
    </row>
    <row r="632" spans="1:15" ht="15" customHeight="1" x14ac:dyDescent="0.35">
      <c r="A632" s="59">
        <v>46258</v>
      </c>
      <c r="B632" s="60">
        <f t="shared" si="135"/>
        <v>0.70833333333333293</v>
      </c>
      <c r="C632" s="70"/>
      <c r="D632" s="75"/>
      <c r="E632" s="75"/>
      <c r="F632" s="63"/>
      <c r="G632" s="64" t="str">
        <f t="shared" si="133"/>
        <v/>
      </c>
      <c r="H632" s="61"/>
      <c r="I632" s="61"/>
      <c r="J632" s="61"/>
      <c r="K632" s="65"/>
      <c r="L632" s="65"/>
      <c r="M632" s="66" t="str">
        <f t="shared" ca="1" si="134"/>
        <v/>
      </c>
      <c r="N632" s="80"/>
      <c r="O632" s="81"/>
    </row>
    <row r="633" spans="1:15" ht="15" customHeight="1" x14ac:dyDescent="0.35">
      <c r="A633" s="18">
        <v>46258</v>
      </c>
      <c r="B633" s="68">
        <f t="shared" si="135"/>
        <v>0.74999999999999956</v>
      </c>
      <c r="C633" s="70"/>
      <c r="D633" s="75"/>
      <c r="E633" s="75"/>
      <c r="F633" s="63"/>
      <c r="G633" s="69" t="str">
        <f t="shared" si="133"/>
        <v/>
      </c>
      <c r="H633" s="70"/>
      <c r="I633" s="70"/>
      <c r="J633" s="70"/>
      <c r="K633" s="65"/>
      <c r="L633" s="65"/>
      <c r="M633" s="71" t="str">
        <f t="shared" ca="1" si="134"/>
        <v/>
      </c>
      <c r="N633" s="80"/>
      <c r="O633" s="81"/>
    </row>
    <row r="634" spans="1:15" ht="15" customHeight="1" x14ac:dyDescent="0.35">
      <c r="A634" s="59">
        <v>46258</v>
      </c>
      <c r="B634" s="60">
        <f t="shared" si="135"/>
        <v>0.79166666666666619</v>
      </c>
      <c r="C634" s="70"/>
      <c r="D634" s="75"/>
      <c r="E634" s="75"/>
      <c r="F634" s="63"/>
      <c r="G634" s="64" t="str">
        <f t="shared" si="133"/>
        <v/>
      </c>
      <c r="H634" s="61"/>
      <c r="I634" s="61"/>
      <c r="J634" s="61"/>
      <c r="K634" s="65"/>
      <c r="L634" s="65"/>
      <c r="M634" s="66" t="str">
        <f t="shared" ca="1" si="134"/>
        <v/>
      </c>
      <c r="N634" s="80"/>
      <c r="O634" s="81"/>
    </row>
    <row r="635" spans="1:15" ht="15.75" customHeight="1" x14ac:dyDescent="0.35">
      <c r="A635" s="161" t="s">
        <v>249</v>
      </c>
      <c r="B635" s="161"/>
      <c r="C635" s="161"/>
      <c r="D635" s="161"/>
      <c r="E635" s="161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250</v>
      </c>
      <c r="O635" s="74"/>
    </row>
    <row r="636" spans="1:15" ht="15" customHeight="1" x14ac:dyDescent="0.3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6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7">IFERROR(IF(K636="","",IF(L636="",MOD(NOW()-K636,1),IF(L636&gt;=K636,L636-K636,L636+1-K636))),"")</f>
        <v/>
      </c>
      <c r="N636" s="80"/>
      <c r="O636" s="81"/>
    </row>
    <row r="637" spans="1:15" ht="15" customHeight="1" x14ac:dyDescent="0.35">
      <c r="A637" s="18">
        <v>46258</v>
      </c>
      <c r="B637" s="68">
        <f t="shared" ref="B637:B647" si="138">B636+TIME(0,60,0)</f>
        <v>0.87499999999999967</v>
      </c>
      <c r="C637" s="61"/>
      <c r="D637" s="62"/>
      <c r="E637" s="62"/>
      <c r="F637" s="63"/>
      <c r="G637" s="69" t="str">
        <f t="shared" si="136"/>
        <v/>
      </c>
      <c r="H637" s="70"/>
      <c r="I637" s="70"/>
      <c r="J637" s="70"/>
      <c r="K637" s="65"/>
      <c r="L637" s="65"/>
      <c r="M637" s="71" t="str">
        <f t="shared" ca="1" si="137"/>
        <v/>
      </c>
      <c r="N637" s="80"/>
      <c r="O637" s="81"/>
    </row>
    <row r="638" spans="1:15" ht="15" customHeight="1" x14ac:dyDescent="0.35">
      <c r="A638" s="59">
        <v>46258</v>
      </c>
      <c r="B638" s="60">
        <f t="shared" si="138"/>
        <v>0.9166666666666663</v>
      </c>
      <c r="C638" s="61"/>
      <c r="D638" s="62"/>
      <c r="E638" s="62"/>
      <c r="F638" s="63"/>
      <c r="G638" s="64" t="str">
        <f t="shared" si="136"/>
        <v/>
      </c>
      <c r="H638" s="61"/>
      <c r="I638" s="61"/>
      <c r="J638" s="61"/>
      <c r="K638" s="65"/>
      <c r="L638" s="65"/>
      <c r="M638" s="66" t="str">
        <f t="shared" ca="1" si="137"/>
        <v/>
      </c>
      <c r="N638" s="80"/>
      <c r="O638" s="81"/>
    </row>
    <row r="639" spans="1:15" ht="15" customHeight="1" x14ac:dyDescent="0.35">
      <c r="A639" s="18">
        <v>46258</v>
      </c>
      <c r="B639" s="68">
        <f t="shared" si="138"/>
        <v>0.95833333333333293</v>
      </c>
      <c r="C639" s="61"/>
      <c r="D639" s="62"/>
      <c r="E639" s="62"/>
      <c r="F639" s="63"/>
      <c r="G639" s="69" t="str">
        <f t="shared" si="136"/>
        <v/>
      </c>
      <c r="H639" s="70"/>
      <c r="I639" s="70"/>
      <c r="J639" s="70"/>
      <c r="K639" s="65"/>
      <c r="L639" s="65"/>
      <c r="M639" s="71" t="str">
        <f t="shared" ca="1" si="137"/>
        <v/>
      </c>
      <c r="N639" s="80"/>
      <c r="O639" s="81"/>
    </row>
    <row r="640" spans="1:15" ht="15" customHeight="1" x14ac:dyDescent="0.35">
      <c r="A640" s="59">
        <v>46258</v>
      </c>
      <c r="B640" s="60">
        <f t="shared" si="138"/>
        <v>0.99999999999999956</v>
      </c>
      <c r="C640" s="61"/>
      <c r="D640" s="62"/>
      <c r="E640" s="62"/>
      <c r="F640" s="63"/>
      <c r="G640" s="64" t="str">
        <f t="shared" si="136"/>
        <v/>
      </c>
      <c r="H640" s="61"/>
      <c r="I640" s="61"/>
      <c r="J640" s="61"/>
      <c r="K640" s="65"/>
      <c r="L640" s="65"/>
      <c r="M640" s="66" t="str">
        <f t="shared" ca="1" si="137"/>
        <v/>
      </c>
      <c r="N640" s="80"/>
      <c r="O640" s="81"/>
    </row>
    <row r="641" spans="1:15" ht="15" customHeight="1" x14ac:dyDescent="0.35">
      <c r="A641" s="18">
        <v>46258</v>
      </c>
      <c r="B641" s="68">
        <f t="shared" si="138"/>
        <v>1.0416666666666663</v>
      </c>
      <c r="C641" s="61"/>
      <c r="D641" s="62"/>
      <c r="E641" s="62"/>
      <c r="F641" s="63"/>
      <c r="G641" s="69" t="str">
        <f t="shared" si="136"/>
        <v/>
      </c>
      <c r="H641" s="70"/>
      <c r="I641" s="70"/>
      <c r="J641" s="70"/>
      <c r="K641" s="65"/>
      <c r="L641" s="65"/>
      <c r="M641" s="71" t="str">
        <f t="shared" ca="1" si="137"/>
        <v/>
      </c>
      <c r="N641" s="80"/>
      <c r="O641" s="81"/>
    </row>
    <row r="642" spans="1:15" ht="15" customHeight="1" x14ac:dyDescent="0.35">
      <c r="A642" s="59">
        <v>46258</v>
      </c>
      <c r="B642" s="60">
        <f t="shared" si="138"/>
        <v>1.083333333333333</v>
      </c>
      <c r="C642" s="61"/>
      <c r="D642" s="62"/>
      <c r="E642" s="62"/>
      <c r="F642" s="63"/>
      <c r="G642" s="64" t="str">
        <f t="shared" si="136"/>
        <v/>
      </c>
      <c r="H642" s="61"/>
      <c r="I642" s="61"/>
      <c r="J642" s="61"/>
      <c r="K642" s="65"/>
      <c r="L642" s="65"/>
      <c r="M642" s="66" t="str">
        <f t="shared" ca="1" si="137"/>
        <v/>
      </c>
      <c r="N642" s="80"/>
      <c r="O642" s="81"/>
    </row>
    <row r="643" spans="1:15" ht="15" customHeight="1" x14ac:dyDescent="0.35">
      <c r="A643" s="18">
        <v>46258</v>
      </c>
      <c r="B643" s="68">
        <f t="shared" si="138"/>
        <v>1.1249999999999998</v>
      </c>
      <c r="C643" s="61"/>
      <c r="D643" s="62"/>
      <c r="E643" s="62"/>
      <c r="F643" s="63"/>
      <c r="G643" s="69" t="str">
        <f t="shared" si="136"/>
        <v/>
      </c>
      <c r="H643" s="70"/>
      <c r="I643" s="70"/>
      <c r="J643" s="70"/>
      <c r="K643" s="65"/>
      <c r="L643" s="65"/>
      <c r="M643" s="71" t="str">
        <f t="shared" ca="1" si="137"/>
        <v/>
      </c>
      <c r="N643" s="80"/>
      <c r="O643" s="81"/>
    </row>
    <row r="644" spans="1:15" ht="15" customHeight="1" x14ac:dyDescent="0.35">
      <c r="A644" s="59">
        <v>46258</v>
      </c>
      <c r="B644" s="60">
        <f t="shared" si="138"/>
        <v>1.1666666666666665</v>
      </c>
      <c r="C644" s="61"/>
      <c r="D644" s="62"/>
      <c r="E644" s="62"/>
      <c r="F644" s="63"/>
      <c r="G644" s="64" t="str">
        <f t="shared" si="136"/>
        <v/>
      </c>
      <c r="H644" s="61"/>
      <c r="I644" s="61"/>
      <c r="J644" s="61"/>
      <c r="K644" s="65"/>
      <c r="L644" s="65"/>
      <c r="M644" s="66" t="str">
        <f t="shared" ca="1" si="137"/>
        <v/>
      </c>
      <c r="N644" s="80"/>
      <c r="O644" s="81"/>
    </row>
    <row r="645" spans="1:15" ht="15" customHeight="1" x14ac:dyDescent="0.35">
      <c r="A645" s="18">
        <v>46258</v>
      </c>
      <c r="B645" s="68">
        <f t="shared" si="138"/>
        <v>1.2083333333333333</v>
      </c>
      <c r="C645" s="61"/>
      <c r="D645" s="62"/>
      <c r="E645" s="62"/>
      <c r="F645" s="63"/>
      <c r="G645" s="69" t="str">
        <f t="shared" si="136"/>
        <v/>
      </c>
      <c r="H645" s="70"/>
      <c r="I645" s="70"/>
      <c r="J645" s="70"/>
      <c r="K645" s="65"/>
      <c r="L645" s="65"/>
      <c r="M645" s="71" t="str">
        <f t="shared" ca="1" si="137"/>
        <v/>
      </c>
      <c r="N645" s="80"/>
      <c r="O645" s="81"/>
    </row>
    <row r="646" spans="1:15" ht="15" customHeight="1" x14ac:dyDescent="0.35">
      <c r="A646" s="59">
        <v>46258</v>
      </c>
      <c r="B646" s="60">
        <f t="shared" si="138"/>
        <v>1.25</v>
      </c>
      <c r="C646" s="61"/>
      <c r="D646" s="62"/>
      <c r="E646" s="62"/>
      <c r="F646" s="63"/>
      <c r="G646" s="64" t="str">
        <f t="shared" si="136"/>
        <v/>
      </c>
      <c r="H646" s="61"/>
      <c r="I646" s="61"/>
      <c r="J646" s="61"/>
      <c r="K646" s="65"/>
      <c r="L646" s="65"/>
      <c r="M646" s="66" t="str">
        <f t="shared" ca="1" si="137"/>
        <v/>
      </c>
      <c r="N646" s="80"/>
      <c r="O646" s="81"/>
    </row>
    <row r="647" spans="1:15" ht="15" customHeight="1" x14ac:dyDescent="0.35">
      <c r="A647" s="18">
        <v>46258</v>
      </c>
      <c r="B647" s="68">
        <f t="shared" si="138"/>
        <v>1.2916666666666667</v>
      </c>
      <c r="C647" s="61"/>
      <c r="D647" s="62"/>
      <c r="E647" s="62"/>
      <c r="F647" s="63"/>
      <c r="G647" s="69" t="str">
        <f t="shared" si="136"/>
        <v/>
      </c>
      <c r="H647" s="70"/>
      <c r="I647" s="70"/>
      <c r="J647" s="70"/>
      <c r="K647" s="65"/>
      <c r="L647" s="65"/>
      <c r="M647" s="71" t="str">
        <f t="shared" ca="1" si="137"/>
        <v/>
      </c>
      <c r="N647" s="80"/>
      <c r="O647" s="81"/>
    </row>
    <row r="648" spans="1:15" ht="15.75" customHeight="1" x14ac:dyDescent="0.35">
      <c r="A648" s="161" t="s">
        <v>252</v>
      </c>
      <c r="B648" s="161"/>
      <c r="C648" s="161"/>
      <c r="D648" s="161"/>
      <c r="E648" s="161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250</v>
      </c>
      <c r="O648" s="74"/>
    </row>
    <row r="649" spans="1:15" ht="18" customHeight="1" x14ac:dyDescent="0.35">
      <c r="A649" s="162" t="s">
        <v>253</v>
      </c>
      <c r="B649" s="162"/>
      <c r="C649" s="162"/>
      <c r="D649" s="162"/>
      <c r="E649" s="162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254</v>
      </c>
      <c r="O649" s="82">
        <f>IFERROR(O635+O648,"")</f>
        <v>0</v>
      </c>
    </row>
    <row r="650" spans="1:15" ht="15" customHeight="1" x14ac:dyDescent="0.3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39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0">IFERROR(IF(K650="","",IF(L650="",MOD(NOW()-K650,1),IF(L650&gt;=K650,L650-K650,L650+1-K650))),"")</f>
        <v/>
      </c>
      <c r="N650" s="80"/>
      <c r="O650" s="81"/>
    </row>
    <row r="651" spans="1:15" ht="15" customHeight="1" x14ac:dyDescent="0.35">
      <c r="A651" s="18">
        <v>46259</v>
      </c>
      <c r="B651" s="68">
        <f t="shared" ref="B651:B661" si="141">B650+TIME(0,60,0)</f>
        <v>0.37499999999999967</v>
      </c>
      <c r="C651" s="61"/>
      <c r="D651" s="62"/>
      <c r="E651" s="62"/>
      <c r="F651" s="63"/>
      <c r="G651" s="69" t="str">
        <f t="shared" si="139"/>
        <v/>
      </c>
      <c r="H651" s="70"/>
      <c r="I651" s="70"/>
      <c r="J651" s="70"/>
      <c r="K651" s="65"/>
      <c r="L651" s="65"/>
      <c r="M651" s="71" t="str">
        <f t="shared" ca="1" si="140"/>
        <v/>
      </c>
      <c r="N651" s="80"/>
      <c r="O651" s="81"/>
    </row>
    <row r="652" spans="1:15" ht="15" customHeight="1" x14ac:dyDescent="0.35">
      <c r="A652" s="59">
        <v>46259</v>
      </c>
      <c r="B652" s="60">
        <f t="shared" si="141"/>
        <v>0.41666666666666635</v>
      </c>
      <c r="C652" s="61"/>
      <c r="D652" s="62"/>
      <c r="E652" s="62"/>
      <c r="F652" s="63"/>
      <c r="G652" s="69" t="str">
        <f t="shared" si="139"/>
        <v/>
      </c>
      <c r="H652" s="61"/>
      <c r="I652" s="61"/>
      <c r="J652" s="61"/>
      <c r="K652" s="65"/>
      <c r="L652" s="65"/>
      <c r="M652" s="66" t="str">
        <f t="shared" ca="1" si="140"/>
        <v/>
      </c>
      <c r="N652" s="80"/>
      <c r="O652" s="81"/>
    </row>
    <row r="653" spans="1:15" ht="15" customHeight="1" x14ac:dyDescent="0.35">
      <c r="A653" s="18">
        <v>46259</v>
      </c>
      <c r="B653" s="68">
        <f t="shared" si="141"/>
        <v>0.45833333333333304</v>
      </c>
      <c r="C653" s="61"/>
      <c r="D653" s="62"/>
      <c r="E653" s="62"/>
      <c r="F653" s="63"/>
      <c r="G653" s="69" t="str">
        <f t="shared" si="139"/>
        <v/>
      </c>
      <c r="H653" s="70"/>
      <c r="I653" s="70"/>
      <c r="J653" s="70"/>
      <c r="K653" s="65"/>
      <c r="L653" s="65"/>
      <c r="M653" s="71" t="str">
        <f t="shared" ca="1" si="140"/>
        <v/>
      </c>
      <c r="N653" s="80"/>
      <c r="O653" s="81"/>
    </row>
    <row r="654" spans="1:15" ht="15" customHeight="1" x14ac:dyDescent="0.35">
      <c r="A654" s="59">
        <v>46259</v>
      </c>
      <c r="B654" s="60">
        <f t="shared" si="141"/>
        <v>0.49999999999999972</v>
      </c>
      <c r="C654" s="61"/>
      <c r="D654" s="62"/>
      <c r="E654" s="62"/>
      <c r="F654" s="63"/>
      <c r="G654" s="64" t="str">
        <f t="shared" si="139"/>
        <v/>
      </c>
      <c r="H654" s="61"/>
      <c r="I654" s="61"/>
      <c r="J654" s="61"/>
      <c r="K654" s="65"/>
      <c r="L654" s="65"/>
      <c r="M654" s="66" t="str">
        <f t="shared" ca="1" si="140"/>
        <v/>
      </c>
      <c r="N654" s="80"/>
      <c r="O654" s="81"/>
    </row>
    <row r="655" spans="1:15" ht="15" customHeight="1" x14ac:dyDescent="0.35">
      <c r="A655" s="18">
        <v>46259</v>
      </c>
      <c r="B655" s="68">
        <f t="shared" si="141"/>
        <v>0.54166666666666641</v>
      </c>
      <c r="C655" s="61"/>
      <c r="D655" s="62"/>
      <c r="E655" s="62"/>
      <c r="F655" s="63"/>
      <c r="G655" s="69" t="str">
        <f t="shared" si="139"/>
        <v/>
      </c>
      <c r="H655" s="70"/>
      <c r="I655" s="70"/>
      <c r="J655" s="70"/>
      <c r="K655" s="65"/>
      <c r="L655" s="65"/>
      <c r="M655" s="71" t="str">
        <f t="shared" ca="1" si="140"/>
        <v/>
      </c>
      <c r="N655" s="80"/>
      <c r="O655" s="81"/>
    </row>
    <row r="656" spans="1:15" ht="15" customHeight="1" x14ac:dyDescent="0.35">
      <c r="A656" s="59">
        <v>46259</v>
      </c>
      <c r="B656" s="60">
        <f t="shared" si="141"/>
        <v>0.58333333333333304</v>
      </c>
      <c r="C656" s="61"/>
      <c r="D656" s="62"/>
      <c r="E656" s="62"/>
      <c r="F656" s="63"/>
      <c r="G656" s="64" t="str">
        <f t="shared" si="139"/>
        <v/>
      </c>
      <c r="H656" s="61"/>
      <c r="I656" s="61"/>
      <c r="J656" s="61"/>
      <c r="K656" s="65"/>
      <c r="L656" s="65"/>
      <c r="M656" s="66" t="str">
        <f t="shared" ca="1" si="140"/>
        <v/>
      </c>
      <c r="N656" s="80"/>
      <c r="O656" s="81"/>
    </row>
    <row r="657" spans="1:15" ht="15" customHeight="1" x14ac:dyDescent="0.35">
      <c r="A657" s="18">
        <v>46259</v>
      </c>
      <c r="B657" s="68">
        <f t="shared" si="141"/>
        <v>0.62499999999999967</v>
      </c>
      <c r="C657" s="61"/>
      <c r="D657" s="62"/>
      <c r="E657" s="62"/>
      <c r="F657" s="63"/>
      <c r="G657" s="69" t="str">
        <f t="shared" si="139"/>
        <v/>
      </c>
      <c r="H657" s="70"/>
      <c r="I657" s="70"/>
      <c r="J657" s="70"/>
      <c r="K657" s="65"/>
      <c r="L657" s="65"/>
      <c r="M657" s="71" t="str">
        <f t="shared" ca="1" si="140"/>
        <v/>
      </c>
      <c r="N657" s="80"/>
      <c r="O657" s="81"/>
    </row>
    <row r="658" spans="1:15" ht="15" customHeight="1" x14ac:dyDescent="0.35">
      <c r="A658" s="59">
        <v>46259</v>
      </c>
      <c r="B658" s="60">
        <f t="shared" si="141"/>
        <v>0.6666666666666663</v>
      </c>
      <c r="C658" s="61"/>
      <c r="D658" s="62"/>
      <c r="E658" s="62"/>
      <c r="F658" s="63"/>
      <c r="G658" s="64" t="str">
        <f t="shared" si="139"/>
        <v/>
      </c>
      <c r="H658" s="61"/>
      <c r="I658" s="61"/>
      <c r="J658" s="61"/>
      <c r="K658" s="65"/>
      <c r="L658" s="65"/>
      <c r="M658" s="66" t="str">
        <f t="shared" ca="1" si="140"/>
        <v/>
      </c>
      <c r="N658" s="80"/>
      <c r="O658" s="81"/>
    </row>
    <row r="659" spans="1:15" ht="15" customHeight="1" x14ac:dyDescent="0.35">
      <c r="A659" s="18">
        <v>46259</v>
      </c>
      <c r="B659" s="68">
        <f t="shared" si="141"/>
        <v>0.70833333333333293</v>
      </c>
      <c r="C659" s="61"/>
      <c r="D659" s="62"/>
      <c r="E659" s="62"/>
      <c r="F659" s="63"/>
      <c r="G659" s="69" t="str">
        <f t="shared" si="139"/>
        <v/>
      </c>
      <c r="H659" s="70"/>
      <c r="I659" s="70"/>
      <c r="J659" s="70"/>
      <c r="K659" s="65"/>
      <c r="L659" s="65"/>
      <c r="M659" s="71" t="str">
        <f t="shared" ca="1" si="140"/>
        <v/>
      </c>
      <c r="N659" s="80"/>
      <c r="O659" s="81"/>
    </row>
    <row r="660" spans="1:15" ht="15" customHeight="1" x14ac:dyDescent="0.35">
      <c r="A660" s="59">
        <v>46259</v>
      </c>
      <c r="B660" s="60">
        <f t="shared" si="141"/>
        <v>0.74999999999999956</v>
      </c>
      <c r="C660" s="61"/>
      <c r="D660" s="62"/>
      <c r="E660" s="62"/>
      <c r="F660" s="63"/>
      <c r="G660" s="64" t="str">
        <f t="shared" si="139"/>
        <v/>
      </c>
      <c r="H660" s="61"/>
      <c r="I660" s="61"/>
      <c r="J660" s="61"/>
      <c r="K660" s="65"/>
      <c r="L660" s="65"/>
      <c r="M660" s="66" t="str">
        <f t="shared" ca="1" si="140"/>
        <v/>
      </c>
      <c r="N660" s="80"/>
      <c r="O660" s="81"/>
    </row>
    <row r="661" spans="1:15" ht="15" customHeight="1" x14ac:dyDescent="0.35">
      <c r="A661" s="18">
        <v>46259</v>
      </c>
      <c r="B661" s="68">
        <f t="shared" si="141"/>
        <v>0.79166666666666619</v>
      </c>
      <c r="C661" s="61"/>
      <c r="D661" s="62"/>
      <c r="E661" s="62"/>
      <c r="F661" s="63"/>
      <c r="G661" s="69" t="str">
        <f t="shared" si="139"/>
        <v/>
      </c>
      <c r="H661" s="70"/>
      <c r="I661" s="70"/>
      <c r="J661" s="70"/>
      <c r="K661" s="65"/>
      <c r="L661" s="65"/>
      <c r="M661" s="71" t="str">
        <f t="shared" ca="1" si="140"/>
        <v/>
      </c>
      <c r="N661" s="80"/>
      <c r="O661" s="81"/>
    </row>
    <row r="662" spans="1:15" ht="15.75" customHeight="1" x14ac:dyDescent="0.35">
      <c r="A662" s="161" t="s">
        <v>249</v>
      </c>
      <c r="B662" s="161"/>
      <c r="C662" s="161"/>
      <c r="D662" s="161"/>
      <c r="E662" s="161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250</v>
      </c>
      <c r="O662" s="74"/>
    </row>
    <row r="663" spans="1:15" ht="15" customHeight="1" x14ac:dyDescent="0.3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2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3">IFERROR(IF(K663="","",IF(L663="",MOD(NOW()-K663,1),IF(L663&gt;=K663,L663-K663,L663+1-K663))),"")</f>
        <v/>
      </c>
      <c r="N663" s="80"/>
      <c r="O663" s="81"/>
    </row>
    <row r="664" spans="1:15" ht="15" customHeight="1" x14ac:dyDescent="0.35">
      <c r="A664" s="59">
        <v>46259</v>
      </c>
      <c r="B664" s="60">
        <f t="shared" ref="B664:B674" si="144">B663+TIME(0,60,0)</f>
        <v>0.87499999999999967</v>
      </c>
      <c r="C664" s="70"/>
      <c r="D664" s="75"/>
      <c r="E664" s="75"/>
      <c r="F664" s="63"/>
      <c r="G664" s="64" t="str">
        <f t="shared" si="142"/>
        <v/>
      </c>
      <c r="H664" s="61"/>
      <c r="I664" s="61"/>
      <c r="J664" s="61"/>
      <c r="K664" s="65"/>
      <c r="L664" s="65"/>
      <c r="M664" s="66" t="str">
        <f t="shared" ca="1" si="143"/>
        <v/>
      </c>
      <c r="N664" s="80"/>
      <c r="O664" s="81"/>
    </row>
    <row r="665" spans="1:15" ht="15" customHeight="1" x14ac:dyDescent="0.35">
      <c r="A665" s="18">
        <v>46259</v>
      </c>
      <c r="B665" s="68">
        <f t="shared" si="144"/>
        <v>0.9166666666666663</v>
      </c>
      <c r="C665" s="70"/>
      <c r="D665" s="75"/>
      <c r="E665" s="75"/>
      <c r="F665" s="63"/>
      <c r="G665" s="69" t="str">
        <f t="shared" si="142"/>
        <v/>
      </c>
      <c r="H665" s="70"/>
      <c r="I665" s="70"/>
      <c r="J665" s="70"/>
      <c r="K665" s="65"/>
      <c r="L665" s="65"/>
      <c r="M665" s="71" t="str">
        <f t="shared" ca="1" si="143"/>
        <v/>
      </c>
      <c r="N665" s="80"/>
      <c r="O665" s="81"/>
    </row>
    <row r="666" spans="1:15" ht="15" customHeight="1" x14ac:dyDescent="0.35">
      <c r="A666" s="59">
        <v>46259</v>
      </c>
      <c r="B666" s="60">
        <f t="shared" si="144"/>
        <v>0.95833333333333293</v>
      </c>
      <c r="C666" s="70"/>
      <c r="D666" s="75"/>
      <c r="E666" s="75"/>
      <c r="F666" s="63"/>
      <c r="G666" s="64" t="str">
        <f t="shared" si="142"/>
        <v/>
      </c>
      <c r="H666" s="61"/>
      <c r="I666" s="61"/>
      <c r="J666" s="61"/>
      <c r="K666" s="65"/>
      <c r="L666" s="65"/>
      <c r="M666" s="66" t="str">
        <f t="shared" ca="1" si="143"/>
        <v/>
      </c>
      <c r="N666" s="80"/>
      <c r="O666" s="81"/>
    </row>
    <row r="667" spans="1:15" ht="15" customHeight="1" x14ac:dyDescent="0.35">
      <c r="A667" s="18">
        <v>46259</v>
      </c>
      <c r="B667" s="68">
        <f t="shared" si="144"/>
        <v>0.99999999999999956</v>
      </c>
      <c r="C667" s="70"/>
      <c r="D667" s="75"/>
      <c r="E667" s="75"/>
      <c r="F667" s="63"/>
      <c r="G667" s="69" t="str">
        <f t="shared" si="142"/>
        <v/>
      </c>
      <c r="H667" s="70"/>
      <c r="I667" s="70"/>
      <c r="J667" s="70"/>
      <c r="K667" s="65"/>
      <c r="L667" s="65"/>
      <c r="M667" s="71" t="str">
        <f t="shared" ca="1" si="143"/>
        <v/>
      </c>
      <c r="N667" s="80"/>
      <c r="O667" s="81"/>
    </row>
    <row r="668" spans="1:15" ht="15" customHeight="1" x14ac:dyDescent="0.35">
      <c r="A668" s="59">
        <v>46259</v>
      </c>
      <c r="B668" s="60">
        <f t="shared" si="144"/>
        <v>1.0416666666666663</v>
      </c>
      <c r="C668" s="70"/>
      <c r="D668" s="75"/>
      <c r="E668" s="75"/>
      <c r="F668" s="63"/>
      <c r="G668" s="64" t="str">
        <f t="shared" si="142"/>
        <v/>
      </c>
      <c r="H668" s="61"/>
      <c r="I668" s="61"/>
      <c r="J668" s="61"/>
      <c r="K668" s="65"/>
      <c r="L668" s="65"/>
      <c r="M668" s="66" t="str">
        <f t="shared" ca="1" si="143"/>
        <v/>
      </c>
      <c r="N668" s="80"/>
      <c r="O668" s="81"/>
    </row>
    <row r="669" spans="1:15" ht="15" customHeight="1" x14ac:dyDescent="0.35">
      <c r="A669" s="18">
        <v>46259</v>
      </c>
      <c r="B669" s="68">
        <f t="shared" si="144"/>
        <v>1.083333333333333</v>
      </c>
      <c r="C669" s="70"/>
      <c r="D669" s="75"/>
      <c r="E669" s="75"/>
      <c r="F669" s="63"/>
      <c r="G669" s="69" t="str">
        <f t="shared" si="142"/>
        <v/>
      </c>
      <c r="H669" s="70"/>
      <c r="I669" s="70"/>
      <c r="J669" s="70"/>
      <c r="K669" s="65"/>
      <c r="L669" s="65"/>
      <c r="M669" s="71" t="str">
        <f t="shared" ca="1" si="143"/>
        <v/>
      </c>
      <c r="N669" s="80"/>
      <c r="O669" s="81"/>
    </row>
    <row r="670" spans="1:15" ht="15" customHeight="1" x14ac:dyDescent="0.35">
      <c r="A670" s="59">
        <v>46259</v>
      </c>
      <c r="B670" s="60">
        <f t="shared" si="144"/>
        <v>1.1249999999999998</v>
      </c>
      <c r="C670" s="70"/>
      <c r="D670" s="75"/>
      <c r="E670" s="75"/>
      <c r="F670" s="63"/>
      <c r="G670" s="64" t="str">
        <f t="shared" si="142"/>
        <v/>
      </c>
      <c r="H670" s="61"/>
      <c r="I670" s="61"/>
      <c r="J670" s="61"/>
      <c r="K670" s="65"/>
      <c r="L670" s="65"/>
      <c r="M670" s="66" t="str">
        <f t="shared" ca="1" si="143"/>
        <v/>
      </c>
      <c r="N670" s="80"/>
      <c r="O670" s="81"/>
    </row>
    <row r="671" spans="1:15" ht="15" customHeight="1" x14ac:dyDescent="0.35">
      <c r="A671" s="18">
        <v>46259</v>
      </c>
      <c r="B671" s="68">
        <f t="shared" si="144"/>
        <v>1.1666666666666665</v>
      </c>
      <c r="C671" s="70"/>
      <c r="D671" s="75"/>
      <c r="E671" s="75"/>
      <c r="F671" s="63"/>
      <c r="G671" s="69" t="str">
        <f t="shared" si="142"/>
        <v/>
      </c>
      <c r="H671" s="70"/>
      <c r="I671" s="70"/>
      <c r="J671" s="70"/>
      <c r="K671" s="65"/>
      <c r="L671" s="65"/>
      <c r="M671" s="71" t="str">
        <f t="shared" ca="1" si="143"/>
        <v/>
      </c>
      <c r="N671" s="80"/>
      <c r="O671" s="81"/>
    </row>
    <row r="672" spans="1:15" ht="15" customHeight="1" x14ac:dyDescent="0.35">
      <c r="A672" s="59">
        <v>46259</v>
      </c>
      <c r="B672" s="60">
        <f t="shared" si="144"/>
        <v>1.2083333333333333</v>
      </c>
      <c r="C672" s="70"/>
      <c r="D672" s="75"/>
      <c r="E672" s="75"/>
      <c r="F672" s="63"/>
      <c r="G672" s="64" t="str">
        <f t="shared" si="142"/>
        <v/>
      </c>
      <c r="H672" s="61"/>
      <c r="I672" s="61"/>
      <c r="J672" s="61"/>
      <c r="K672" s="65"/>
      <c r="L672" s="65"/>
      <c r="M672" s="66" t="str">
        <f t="shared" ca="1" si="143"/>
        <v/>
      </c>
      <c r="N672" s="80"/>
      <c r="O672" s="81"/>
    </row>
    <row r="673" spans="1:15" ht="15" customHeight="1" x14ac:dyDescent="0.35">
      <c r="A673" s="18">
        <v>46259</v>
      </c>
      <c r="B673" s="68">
        <f t="shared" si="144"/>
        <v>1.25</v>
      </c>
      <c r="C673" s="70"/>
      <c r="D673" s="75"/>
      <c r="E673" s="75"/>
      <c r="F673" s="63"/>
      <c r="G673" s="69" t="str">
        <f t="shared" si="142"/>
        <v/>
      </c>
      <c r="H673" s="70"/>
      <c r="I673" s="70"/>
      <c r="J673" s="70"/>
      <c r="K673" s="65"/>
      <c r="L673" s="65"/>
      <c r="M673" s="71" t="str">
        <f t="shared" ca="1" si="143"/>
        <v/>
      </c>
      <c r="N673" s="80"/>
      <c r="O673" s="81"/>
    </row>
    <row r="674" spans="1:15" ht="15" customHeight="1" x14ac:dyDescent="0.35">
      <c r="A674" s="59">
        <v>46259</v>
      </c>
      <c r="B674" s="60">
        <f t="shared" si="144"/>
        <v>1.2916666666666667</v>
      </c>
      <c r="C674" s="61"/>
      <c r="D674" s="62"/>
      <c r="E674" s="62"/>
      <c r="F674" s="63"/>
      <c r="G674" s="64" t="str">
        <f t="shared" si="142"/>
        <v/>
      </c>
      <c r="H674" s="61"/>
      <c r="I674" s="61"/>
      <c r="J674" s="61"/>
      <c r="K674" s="65"/>
      <c r="L674" s="65"/>
      <c r="M674" s="66" t="str">
        <f t="shared" ca="1" si="143"/>
        <v/>
      </c>
      <c r="N674" s="80"/>
      <c r="O674" s="81"/>
    </row>
    <row r="675" spans="1:15" ht="15.75" customHeight="1" x14ac:dyDescent="0.35">
      <c r="A675" s="161" t="s">
        <v>252</v>
      </c>
      <c r="B675" s="161"/>
      <c r="C675" s="161"/>
      <c r="D675" s="161"/>
      <c r="E675" s="161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250</v>
      </c>
      <c r="O675" s="74"/>
    </row>
    <row r="676" spans="1:15" ht="18" customHeight="1" x14ac:dyDescent="0.35">
      <c r="A676" s="162" t="s">
        <v>253</v>
      </c>
      <c r="B676" s="162"/>
      <c r="C676" s="162"/>
      <c r="D676" s="162"/>
      <c r="E676" s="162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254</v>
      </c>
      <c r="O676" s="82">
        <f>IFERROR(O662+O675,"")</f>
        <v>0</v>
      </c>
    </row>
    <row r="677" spans="1:15" ht="15" customHeight="1" x14ac:dyDescent="0.3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5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6">IFERROR(IF(K677="","",IF(L677="",MOD(NOW()-K677,1),IF(L677&gt;=K677,L677-K677,L677+1-K677))),"")</f>
        <v/>
      </c>
      <c r="N677" s="80"/>
      <c r="O677" s="81"/>
    </row>
    <row r="678" spans="1:15" ht="15" customHeight="1" x14ac:dyDescent="0.35">
      <c r="A678" s="59">
        <v>46260</v>
      </c>
      <c r="B678" s="60">
        <f t="shared" ref="B678:B688" si="147">B677+TIME(0,60,0)</f>
        <v>0.37499999999999967</v>
      </c>
      <c r="C678" s="70"/>
      <c r="D678" s="75"/>
      <c r="E678" s="75"/>
      <c r="F678" s="63"/>
      <c r="G678" s="64" t="str">
        <f t="shared" si="145"/>
        <v/>
      </c>
      <c r="H678" s="61"/>
      <c r="I678" s="61"/>
      <c r="J678" s="61"/>
      <c r="K678" s="65"/>
      <c r="L678" s="65"/>
      <c r="M678" s="66" t="str">
        <f t="shared" ca="1" si="146"/>
        <v/>
      </c>
      <c r="N678" s="80"/>
      <c r="O678" s="81"/>
    </row>
    <row r="679" spans="1:15" ht="15" customHeight="1" x14ac:dyDescent="0.35">
      <c r="A679" s="18">
        <v>46260</v>
      </c>
      <c r="B679" s="68">
        <f t="shared" si="147"/>
        <v>0.41666666666666635</v>
      </c>
      <c r="C679" s="70"/>
      <c r="D679" s="75"/>
      <c r="E679" s="75"/>
      <c r="F679" s="63"/>
      <c r="G679" s="69" t="str">
        <f t="shared" si="145"/>
        <v/>
      </c>
      <c r="H679" s="70"/>
      <c r="I679" s="70"/>
      <c r="J679" s="70"/>
      <c r="K679" s="65"/>
      <c r="L679" s="65"/>
      <c r="M679" s="71" t="str">
        <f t="shared" ca="1" si="146"/>
        <v/>
      </c>
      <c r="N679" s="80"/>
      <c r="O679" s="81"/>
    </row>
    <row r="680" spans="1:15" ht="15" customHeight="1" x14ac:dyDescent="0.35">
      <c r="A680" s="59">
        <v>46260</v>
      </c>
      <c r="B680" s="60">
        <f t="shared" si="147"/>
        <v>0.45833333333333304</v>
      </c>
      <c r="C680" s="70"/>
      <c r="D680" s="75"/>
      <c r="E680" s="75"/>
      <c r="F680" s="63"/>
      <c r="G680" s="64" t="str">
        <f t="shared" si="145"/>
        <v/>
      </c>
      <c r="H680" s="61"/>
      <c r="I680" s="61"/>
      <c r="J680" s="61"/>
      <c r="K680" s="65"/>
      <c r="L680" s="65"/>
      <c r="M680" s="66" t="str">
        <f t="shared" ca="1" si="146"/>
        <v/>
      </c>
      <c r="N680" s="80"/>
      <c r="O680" s="81"/>
    </row>
    <row r="681" spans="1:15" ht="15" customHeight="1" x14ac:dyDescent="0.35">
      <c r="A681" s="18">
        <v>46260</v>
      </c>
      <c r="B681" s="68">
        <f t="shared" si="147"/>
        <v>0.49999999999999972</v>
      </c>
      <c r="C681" s="70"/>
      <c r="D681" s="75"/>
      <c r="E681" s="75"/>
      <c r="F681" s="63"/>
      <c r="G681" s="69" t="str">
        <f t="shared" si="145"/>
        <v/>
      </c>
      <c r="H681" s="70"/>
      <c r="I681" s="70"/>
      <c r="J681" s="70"/>
      <c r="K681" s="65"/>
      <c r="L681" s="65"/>
      <c r="M681" s="71" t="str">
        <f t="shared" ca="1" si="146"/>
        <v/>
      </c>
      <c r="N681" s="80"/>
      <c r="O681" s="81"/>
    </row>
    <row r="682" spans="1:15" ht="15" customHeight="1" x14ac:dyDescent="0.35">
      <c r="A682" s="59">
        <v>46260</v>
      </c>
      <c r="B682" s="60">
        <f t="shared" si="147"/>
        <v>0.54166666666666641</v>
      </c>
      <c r="C682" s="70"/>
      <c r="D682" s="75"/>
      <c r="E682" s="75"/>
      <c r="F682" s="63"/>
      <c r="G682" s="64" t="str">
        <f t="shared" si="145"/>
        <v/>
      </c>
      <c r="H682" s="61"/>
      <c r="I682" s="61"/>
      <c r="J682" s="61"/>
      <c r="K682" s="65"/>
      <c r="L682" s="65"/>
      <c r="M682" s="66" t="str">
        <f t="shared" ca="1" si="146"/>
        <v/>
      </c>
      <c r="N682" s="80"/>
      <c r="O682" s="81"/>
    </row>
    <row r="683" spans="1:15" ht="15" customHeight="1" x14ac:dyDescent="0.35">
      <c r="A683" s="18">
        <v>46260</v>
      </c>
      <c r="B683" s="68">
        <f t="shared" si="147"/>
        <v>0.58333333333333304</v>
      </c>
      <c r="C683" s="70"/>
      <c r="D683" s="75"/>
      <c r="E683" s="75"/>
      <c r="F683" s="63"/>
      <c r="G683" s="69" t="str">
        <f t="shared" si="145"/>
        <v/>
      </c>
      <c r="H683" s="70"/>
      <c r="I683" s="70"/>
      <c r="J683" s="70"/>
      <c r="K683" s="65"/>
      <c r="L683" s="65"/>
      <c r="M683" s="71" t="str">
        <f t="shared" ca="1" si="146"/>
        <v/>
      </c>
      <c r="N683" s="80"/>
      <c r="O683" s="81"/>
    </row>
    <row r="684" spans="1:15" ht="15" customHeight="1" x14ac:dyDescent="0.35">
      <c r="A684" s="59">
        <v>46260</v>
      </c>
      <c r="B684" s="60">
        <f t="shared" si="147"/>
        <v>0.62499999999999967</v>
      </c>
      <c r="C684" s="70"/>
      <c r="D684" s="75"/>
      <c r="E684" s="75"/>
      <c r="F684" s="63"/>
      <c r="G684" s="64" t="str">
        <f t="shared" si="145"/>
        <v/>
      </c>
      <c r="H684" s="61"/>
      <c r="I684" s="61"/>
      <c r="J684" s="61"/>
      <c r="K684" s="65"/>
      <c r="L684" s="65"/>
      <c r="M684" s="66" t="str">
        <f t="shared" ca="1" si="146"/>
        <v/>
      </c>
      <c r="N684" s="80"/>
      <c r="O684" s="81"/>
    </row>
    <row r="685" spans="1:15" ht="15" customHeight="1" x14ac:dyDescent="0.35">
      <c r="A685" s="18">
        <v>46260</v>
      </c>
      <c r="B685" s="68">
        <f t="shared" si="147"/>
        <v>0.6666666666666663</v>
      </c>
      <c r="C685" s="70"/>
      <c r="D685" s="75"/>
      <c r="E685" s="75"/>
      <c r="F685" s="63"/>
      <c r="G685" s="69" t="str">
        <f t="shared" si="145"/>
        <v/>
      </c>
      <c r="H685" s="70"/>
      <c r="I685" s="70"/>
      <c r="J685" s="70"/>
      <c r="K685" s="65"/>
      <c r="L685" s="65"/>
      <c r="M685" s="71" t="str">
        <f t="shared" ca="1" si="146"/>
        <v/>
      </c>
      <c r="N685" s="80"/>
      <c r="O685" s="81"/>
    </row>
    <row r="686" spans="1:15" ht="15" customHeight="1" x14ac:dyDescent="0.35">
      <c r="A686" s="59">
        <v>46260</v>
      </c>
      <c r="B686" s="60">
        <f t="shared" si="147"/>
        <v>0.70833333333333293</v>
      </c>
      <c r="C686" s="70"/>
      <c r="D686" s="75"/>
      <c r="E686" s="75"/>
      <c r="F686" s="63"/>
      <c r="G686" s="64" t="str">
        <f t="shared" si="145"/>
        <v/>
      </c>
      <c r="H686" s="61"/>
      <c r="I686" s="61"/>
      <c r="J686" s="61"/>
      <c r="K686" s="65"/>
      <c r="L686" s="65"/>
      <c r="M686" s="66" t="str">
        <f t="shared" ca="1" si="146"/>
        <v/>
      </c>
      <c r="N686" s="80"/>
      <c r="O686" s="81"/>
    </row>
    <row r="687" spans="1:15" ht="15" customHeight="1" x14ac:dyDescent="0.35">
      <c r="A687" s="18">
        <v>46260</v>
      </c>
      <c r="B687" s="68">
        <f t="shared" si="147"/>
        <v>0.74999999999999956</v>
      </c>
      <c r="C687" s="70"/>
      <c r="D687" s="75"/>
      <c r="E687" s="75"/>
      <c r="F687" s="63"/>
      <c r="G687" s="69" t="str">
        <f t="shared" si="145"/>
        <v/>
      </c>
      <c r="H687" s="70"/>
      <c r="I687" s="70"/>
      <c r="J687" s="70"/>
      <c r="K687" s="65"/>
      <c r="L687" s="65"/>
      <c r="M687" s="71" t="str">
        <f t="shared" ca="1" si="146"/>
        <v/>
      </c>
      <c r="N687" s="80"/>
      <c r="O687" s="81"/>
    </row>
    <row r="688" spans="1:15" ht="15" customHeight="1" x14ac:dyDescent="0.35">
      <c r="A688" s="59">
        <v>46260</v>
      </c>
      <c r="B688" s="60">
        <f t="shared" si="147"/>
        <v>0.79166666666666619</v>
      </c>
      <c r="C688" s="70"/>
      <c r="D688" s="75"/>
      <c r="E688" s="75"/>
      <c r="F688" s="63"/>
      <c r="G688" s="64" t="str">
        <f t="shared" si="145"/>
        <v/>
      </c>
      <c r="H688" s="61"/>
      <c r="I688" s="61"/>
      <c r="J688" s="61"/>
      <c r="K688" s="65"/>
      <c r="L688" s="65"/>
      <c r="M688" s="66" t="str">
        <f t="shared" ca="1" si="146"/>
        <v/>
      </c>
      <c r="N688" s="80"/>
      <c r="O688" s="81"/>
    </row>
    <row r="689" spans="1:15" ht="15.75" customHeight="1" x14ac:dyDescent="0.35">
      <c r="A689" s="161" t="s">
        <v>249</v>
      </c>
      <c r="B689" s="161"/>
      <c r="C689" s="161"/>
      <c r="D689" s="161"/>
      <c r="E689" s="161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250</v>
      </c>
      <c r="O689" s="74"/>
    </row>
    <row r="690" spans="1:15" ht="15" customHeight="1" x14ac:dyDescent="0.3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8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49">IFERROR(IF(K690="","",IF(L690="",MOD(NOW()-K690,1),IF(L690&gt;=K690,L690-K690,L690+1-K690))),"")</f>
        <v/>
      </c>
      <c r="N690" s="80"/>
      <c r="O690" s="81"/>
    </row>
    <row r="691" spans="1:15" ht="15" customHeight="1" x14ac:dyDescent="0.35">
      <c r="A691" s="18">
        <v>46260</v>
      </c>
      <c r="B691" s="68">
        <f t="shared" ref="B691:B701" si="150">B690+TIME(0,60,0)</f>
        <v>0.87499999999999967</v>
      </c>
      <c r="C691" s="61"/>
      <c r="D691" s="62"/>
      <c r="E691" s="62"/>
      <c r="F691" s="63"/>
      <c r="G691" s="69" t="str">
        <f t="shared" si="148"/>
        <v/>
      </c>
      <c r="H691" s="70"/>
      <c r="I691" s="70"/>
      <c r="J691" s="70"/>
      <c r="K691" s="65"/>
      <c r="L691" s="65"/>
      <c r="M691" s="71" t="str">
        <f t="shared" ca="1" si="149"/>
        <v/>
      </c>
      <c r="N691" s="80"/>
      <c r="O691" s="81"/>
    </row>
    <row r="692" spans="1:15" ht="15" customHeight="1" x14ac:dyDescent="0.35">
      <c r="A692" s="59">
        <v>46260</v>
      </c>
      <c r="B692" s="60">
        <f t="shared" si="150"/>
        <v>0.9166666666666663</v>
      </c>
      <c r="C692" s="61"/>
      <c r="D692" s="62"/>
      <c r="E692" s="62"/>
      <c r="F692" s="63"/>
      <c r="G692" s="64" t="str">
        <f t="shared" si="148"/>
        <v/>
      </c>
      <c r="H692" s="61"/>
      <c r="I692" s="61"/>
      <c r="J692" s="61"/>
      <c r="K692" s="65"/>
      <c r="L692" s="65"/>
      <c r="M692" s="66" t="str">
        <f t="shared" ca="1" si="149"/>
        <v/>
      </c>
      <c r="N692" s="80"/>
      <c r="O692" s="81"/>
    </row>
    <row r="693" spans="1:15" ht="15" customHeight="1" x14ac:dyDescent="0.35">
      <c r="A693" s="18">
        <v>46260</v>
      </c>
      <c r="B693" s="68">
        <f t="shared" si="150"/>
        <v>0.95833333333333293</v>
      </c>
      <c r="C693" s="61"/>
      <c r="D693" s="62"/>
      <c r="E693" s="62"/>
      <c r="F693" s="63"/>
      <c r="G693" s="69" t="str">
        <f t="shared" si="148"/>
        <v/>
      </c>
      <c r="H693" s="70"/>
      <c r="I693" s="70"/>
      <c r="J693" s="70"/>
      <c r="K693" s="65"/>
      <c r="L693" s="65"/>
      <c r="M693" s="71" t="str">
        <f t="shared" ca="1" si="149"/>
        <v/>
      </c>
      <c r="N693" s="80"/>
      <c r="O693" s="81"/>
    </row>
    <row r="694" spans="1:15" ht="15" customHeight="1" x14ac:dyDescent="0.35">
      <c r="A694" s="59">
        <v>46260</v>
      </c>
      <c r="B694" s="60">
        <f t="shared" si="150"/>
        <v>0.99999999999999956</v>
      </c>
      <c r="C694" s="61"/>
      <c r="D694" s="62"/>
      <c r="E694" s="62"/>
      <c r="F694" s="63"/>
      <c r="G694" s="64" t="str">
        <f t="shared" si="148"/>
        <v/>
      </c>
      <c r="H694" s="61"/>
      <c r="I694" s="61"/>
      <c r="J694" s="61"/>
      <c r="K694" s="65"/>
      <c r="L694" s="65"/>
      <c r="M694" s="66" t="str">
        <f t="shared" ca="1" si="149"/>
        <v/>
      </c>
      <c r="N694" s="80"/>
      <c r="O694" s="81"/>
    </row>
    <row r="695" spans="1:15" ht="15" customHeight="1" x14ac:dyDescent="0.35">
      <c r="A695" s="18">
        <v>46260</v>
      </c>
      <c r="B695" s="68">
        <f t="shared" si="150"/>
        <v>1.0416666666666663</v>
      </c>
      <c r="C695" s="61"/>
      <c r="D695" s="62"/>
      <c r="E695" s="62"/>
      <c r="F695" s="63"/>
      <c r="G695" s="69" t="str">
        <f t="shared" si="148"/>
        <v/>
      </c>
      <c r="H695" s="70"/>
      <c r="I695" s="70"/>
      <c r="J695" s="70"/>
      <c r="K695" s="65"/>
      <c r="L695" s="65"/>
      <c r="M695" s="71" t="str">
        <f t="shared" ca="1" si="149"/>
        <v/>
      </c>
      <c r="N695" s="80"/>
      <c r="O695" s="81"/>
    </row>
    <row r="696" spans="1:15" ht="15" customHeight="1" x14ac:dyDescent="0.35">
      <c r="A696" s="59">
        <v>46260</v>
      </c>
      <c r="B696" s="60">
        <f t="shared" si="150"/>
        <v>1.083333333333333</v>
      </c>
      <c r="C696" s="61"/>
      <c r="D696" s="62"/>
      <c r="E696" s="62"/>
      <c r="F696" s="63"/>
      <c r="G696" s="64" t="str">
        <f t="shared" si="148"/>
        <v/>
      </c>
      <c r="H696" s="61"/>
      <c r="I696" s="61"/>
      <c r="J696" s="61"/>
      <c r="K696" s="65"/>
      <c r="L696" s="65"/>
      <c r="M696" s="66" t="str">
        <f t="shared" ca="1" si="149"/>
        <v/>
      </c>
      <c r="N696" s="80"/>
      <c r="O696" s="81"/>
    </row>
    <row r="697" spans="1:15" ht="15" customHeight="1" x14ac:dyDescent="0.35">
      <c r="A697" s="18">
        <v>46260</v>
      </c>
      <c r="B697" s="68">
        <f t="shared" si="150"/>
        <v>1.1249999999999998</v>
      </c>
      <c r="C697" s="61"/>
      <c r="D697" s="62"/>
      <c r="E697" s="62"/>
      <c r="F697" s="63"/>
      <c r="G697" s="69" t="str">
        <f t="shared" si="148"/>
        <v/>
      </c>
      <c r="H697" s="70"/>
      <c r="I697" s="70"/>
      <c r="J697" s="70"/>
      <c r="K697" s="65"/>
      <c r="L697" s="65"/>
      <c r="M697" s="71" t="str">
        <f t="shared" ca="1" si="149"/>
        <v/>
      </c>
      <c r="N697" s="80"/>
      <c r="O697" s="81"/>
    </row>
    <row r="698" spans="1:15" ht="15" customHeight="1" x14ac:dyDescent="0.35">
      <c r="A698" s="59">
        <v>46260</v>
      </c>
      <c r="B698" s="60">
        <f t="shared" si="150"/>
        <v>1.1666666666666665</v>
      </c>
      <c r="C698" s="61"/>
      <c r="D698" s="62"/>
      <c r="E698" s="62"/>
      <c r="F698" s="63"/>
      <c r="G698" s="64" t="str">
        <f t="shared" si="148"/>
        <v/>
      </c>
      <c r="H698" s="61"/>
      <c r="I698" s="61"/>
      <c r="J698" s="61"/>
      <c r="K698" s="65"/>
      <c r="L698" s="65"/>
      <c r="M698" s="66" t="str">
        <f t="shared" ca="1" si="149"/>
        <v/>
      </c>
      <c r="N698" s="80"/>
      <c r="O698" s="81"/>
    </row>
    <row r="699" spans="1:15" ht="15" customHeight="1" x14ac:dyDescent="0.35">
      <c r="A699" s="18">
        <v>46260</v>
      </c>
      <c r="B699" s="68">
        <f t="shared" si="150"/>
        <v>1.2083333333333333</v>
      </c>
      <c r="C699" s="61"/>
      <c r="D699" s="62"/>
      <c r="E699" s="62"/>
      <c r="F699" s="63"/>
      <c r="G699" s="69" t="str">
        <f t="shared" si="148"/>
        <v/>
      </c>
      <c r="H699" s="70"/>
      <c r="I699" s="70"/>
      <c r="J699" s="70"/>
      <c r="K699" s="65"/>
      <c r="L699" s="65"/>
      <c r="M699" s="71" t="str">
        <f t="shared" ca="1" si="149"/>
        <v/>
      </c>
      <c r="N699" s="80"/>
      <c r="O699" s="81"/>
    </row>
    <row r="700" spans="1:15" ht="15" customHeight="1" x14ac:dyDescent="0.35">
      <c r="A700" s="59">
        <v>46260</v>
      </c>
      <c r="B700" s="60">
        <f t="shared" si="150"/>
        <v>1.25</v>
      </c>
      <c r="C700" s="61"/>
      <c r="D700" s="62"/>
      <c r="E700" s="62"/>
      <c r="F700" s="63"/>
      <c r="G700" s="64" t="str">
        <f t="shared" si="148"/>
        <v/>
      </c>
      <c r="H700" s="61"/>
      <c r="I700" s="61"/>
      <c r="J700" s="61"/>
      <c r="K700" s="65"/>
      <c r="L700" s="65"/>
      <c r="M700" s="66" t="str">
        <f t="shared" ca="1" si="149"/>
        <v/>
      </c>
      <c r="N700" s="80"/>
      <c r="O700" s="81"/>
    </row>
    <row r="701" spans="1:15" ht="15" customHeight="1" x14ac:dyDescent="0.35">
      <c r="A701" s="18">
        <v>46260</v>
      </c>
      <c r="B701" s="68">
        <f t="shared" si="150"/>
        <v>1.2916666666666667</v>
      </c>
      <c r="C701" s="61"/>
      <c r="D701" s="62"/>
      <c r="E701" s="62"/>
      <c r="F701" s="63"/>
      <c r="G701" s="69" t="str">
        <f t="shared" si="148"/>
        <v/>
      </c>
      <c r="H701" s="70"/>
      <c r="I701" s="70"/>
      <c r="J701" s="70"/>
      <c r="K701" s="65"/>
      <c r="L701" s="65"/>
      <c r="M701" s="71" t="str">
        <f t="shared" ca="1" si="149"/>
        <v/>
      </c>
      <c r="N701" s="80"/>
      <c r="O701" s="81"/>
    </row>
    <row r="702" spans="1:15" ht="15.75" customHeight="1" x14ac:dyDescent="0.35">
      <c r="A702" s="161" t="s">
        <v>252</v>
      </c>
      <c r="B702" s="161"/>
      <c r="C702" s="161"/>
      <c r="D702" s="161"/>
      <c r="E702" s="161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250</v>
      </c>
      <c r="O702" s="74"/>
    </row>
    <row r="703" spans="1:15" ht="18" customHeight="1" x14ac:dyDescent="0.35">
      <c r="A703" s="162" t="s">
        <v>253</v>
      </c>
      <c r="B703" s="162"/>
      <c r="C703" s="162"/>
      <c r="D703" s="162"/>
      <c r="E703" s="162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254</v>
      </c>
      <c r="O703" s="82">
        <f>IFERROR(O689+O702,"")</f>
        <v>0</v>
      </c>
    </row>
    <row r="704" spans="1:15" ht="15" customHeight="1" x14ac:dyDescent="0.3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1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2">IFERROR(IF(K704="","",IF(L704="",MOD(NOW()-K704,1),IF(L704&gt;=K704,L704-K704,L704+1-K704))),"")</f>
        <v/>
      </c>
      <c r="N704" s="80"/>
      <c r="O704" s="81"/>
    </row>
    <row r="705" spans="1:15" ht="15" customHeight="1" x14ac:dyDescent="0.35">
      <c r="A705" s="18">
        <v>46261</v>
      </c>
      <c r="B705" s="68">
        <f t="shared" ref="B705:B715" si="153">B704+TIME(0,60,0)</f>
        <v>0.37499999999999967</v>
      </c>
      <c r="C705" s="61"/>
      <c r="D705" s="62"/>
      <c r="E705" s="62"/>
      <c r="F705" s="63"/>
      <c r="G705" s="69" t="str">
        <f t="shared" si="151"/>
        <v/>
      </c>
      <c r="H705" s="70"/>
      <c r="I705" s="70"/>
      <c r="J705" s="70"/>
      <c r="K705" s="65"/>
      <c r="L705" s="65"/>
      <c r="M705" s="71" t="str">
        <f t="shared" ca="1" si="152"/>
        <v/>
      </c>
      <c r="N705" s="80"/>
      <c r="O705" s="81"/>
    </row>
    <row r="706" spans="1:15" ht="15" customHeight="1" x14ac:dyDescent="0.35">
      <c r="A706" s="59">
        <v>46261</v>
      </c>
      <c r="B706" s="60">
        <f t="shared" si="153"/>
        <v>0.41666666666666635</v>
      </c>
      <c r="C706" s="61"/>
      <c r="D706" s="62"/>
      <c r="E706" s="62"/>
      <c r="F706" s="63"/>
      <c r="G706" s="64" t="str">
        <f t="shared" si="151"/>
        <v/>
      </c>
      <c r="H706" s="61"/>
      <c r="I706" s="61"/>
      <c r="J706" s="61"/>
      <c r="K706" s="65"/>
      <c r="L706" s="65"/>
      <c r="M706" s="66" t="str">
        <f t="shared" ca="1" si="152"/>
        <v/>
      </c>
      <c r="N706" s="80"/>
      <c r="O706" s="81"/>
    </row>
    <row r="707" spans="1:15" ht="15" customHeight="1" x14ac:dyDescent="0.35">
      <c r="A707" s="18">
        <v>46261</v>
      </c>
      <c r="B707" s="68">
        <f t="shared" si="153"/>
        <v>0.45833333333333304</v>
      </c>
      <c r="C707" s="61"/>
      <c r="D707" s="62"/>
      <c r="E707" s="62"/>
      <c r="F707" s="63"/>
      <c r="G707" s="69" t="str">
        <f t="shared" si="151"/>
        <v/>
      </c>
      <c r="H707" s="70"/>
      <c r="I707" s="70"/>
      <c r="J707" s="70"/>
      <c r="K707" s="65"/>
      <c r="L707" s="65"/>
      <c r="M707" s="71" t="str">
        <f t="shared" ca="1" si="152"/>
        <v/>
      </c>
      <c r="N707" s="80"/>
      <c r="O707" s="81"/>
    </row>
    <row r="708" spans="1:15" ht="15" customHeight="1" x14ac:dyDescent="0.35">
      <c r="A708" s="59">
        <v>46261</v>
      </c>
      <c r="B708" s="60">
        <f t="shared" si="153"/>
        <v>0.49999999999999972</v>
      </c>
      <c r="C708" s="61"/>
      <c r="D708" s="62"/>
      <c r="E708" s="62"/>
      <c r="F708" s="63"/>
      <c r="G708" s="64" t="str">
        <f t="shared" si="151"/>
        <v/>
      </c>
      <c r="H708" s="61"/>
      <c r="I708" s="61"/>
      <c r="J708" s="61"/>
      <c r="K708" s="65"/>
      <c r="L708" s="65"/>
      <c r="M708" s="66" t="str">
        <f t="shared" ca="1" si="152"/>
        <v/>
      </c>
      <c r="N708" s="80"/>
      <c r="O708" s="81"/>
    </row>
    <row r="709" spans="1:15" ht="15" customHeight="1" x14ac:dyDescent="0.35">
      <c r="A709" s="18">
        <v>46261</v>
      </c>
      <c r="B709" s="68">
        <f t="shared" si="153"/>
        <v>0.54166666666666641</v>
      </c>
      <c r="C709" s="61"/>
      <c r="D709" s="62"/>
      <c r="E709" s="62"/>
      <c r="F709" s="63"/>
      <c r="G709" s="69" t="str">
        <f t="shared" si="151"/>
        <v/>
      </c>
      <c r="H709" s="70"/>
      <c r="I709" s="70"/>
      <c r="J709" s="70"/>
      <c r="K709" s="65"/>
      <c r="L709" s="65"/>
      <c r="M709" s="71" t="str">
        <f t="shared" ca="1" si="152"/>
        <v/>
      </c>
      <c r="N709" s="80"/>
      <c r="O709" s="81"/>
    </row>
    <row r="710" spans="1:15" ht="15" customHeight="1" x14ac:dyDescent="0.35">
      <c r="A710" s="59">
        <v>46261</v>
      </c>
      <c r="B710" s="60">
        <f t="shared" si="153"/>
        <v>0.58333333333333304</v>
      </c>
      <c r="C710" s="61"/>
      <c r="D710" s="62"/>
      <c r="E710" s="62"/>
      <c r="F710" s="63"/>
      <c r="G710" s="64" t="str">
        <f t="shared" si="151"/>
        <v/>
      </c>
      <c r="H710" s="61"/>
      <c r="I710" s="61"/>
      <c r="J710" s="61"/>
      <c r="K710" s="65"/>
      <c r="L710" s="65"/>
      <c r="M710" s="66" t="str">
        <f t="shared" ca="1" si="152"/>
        <v/>
      </c>
      <c r="N710" s="80"/>
      <c r="O710" s="81"/>
    </row>
    <row r="711" spans="1:15" ht="15" customHeight="1" x14ac:dyDescent="0.35">
      <c r="A711" s="18">
        <v>46261</v>
      </c>
      <c r="B711" s="68">
        <f t="shared" si="153"/>
        <v>0.62499999999999967</v>
      </c>
      <c r="C711" s="61"/>
      <c r="D711" s="62"/>
      <c r="E711" s="62"/>
      <c r="F711" s="63"/>
      <c r="G711" s="69" t="str">
        <f t="shared" si="151"/>
        <v/>
      </c>
      <c r="H711" s="70"/>
      <c r="I711" s="70"/>
      <c r="J711" s="70"/>
      <c r="K711" s="65"/>
      <c r="L711" s="65"/>
      <c r="M711" s="71" t="str">
        <f t="shared" ca="1" si="152"/>
        <v/>
      </c>
      <c r="N711" s="80"/>
      <c r="O711" s="81"/>
    </row>
    <row r="712" spans="1:15" ht="15" customHeight="1" x14ac:dyDescent="0.35">
      <c r="A712" s="59">
        <v>46261</v>
      </c>
      <c r="B712" s="60">
        <f t="shared" si="153"/>
        <v>0.6666666666666663</v>
      </c>
      <c r="C712" s="61"/>
      <c r="D712" s="62"/>
      <c r="E712" s="62"/>
      <c r="F712" s="63"/>
      <c r="G712" s="64" t="str">
        <f t="shared" si="151"/>
        <v/>
      </c>
      <c r="H712" s="61"/>
      <c r="I712" s="61"/>
      <c r="J712" s="61"/>
      <c r="K712" s="65"/>
      <c r="L712" s="65"/>
      <c r="M712" s="66" t="str">
        <f t="shared" ca="1" si="152"/>
        <v/>
      </c>
      <c r="N712" s="80"/>
      <c r="O712" s="81"/>
    </row>
    <row r="713" spans="1:15" ht="15" customHeight="1" x14ac:dyDescent="0.35">
      <c r="A713" s="18">
        <v>46261</v>
      </c>
      <c r="B713" s="68">
        <f t="shared" si="153"/>
        <v>0.70833333333333293</v>
      </c>
      <c r="C713" s="61"/>
      <c r="D713" s="62"/>
      <c r="E713" s="62"/>
      <c r="F713" s="63"/>
      <c r="G713" s="69" t="str">
        <f t="shared" si="151"/>
        <v/>
      </c>
      <c r="H713" s="70"/>
      <c r="I713" s="70"/>
      <c r="J713" s="70"/>
      <c r="K713" s="65"/>
      <c r="L713" s="65"/>
      <c r="M713" s="71" t="str">
        <f t="shared" ca="1" si="152"/>
        <v/>
      </c>
      <c r="N713" s="80"/>
      <c r="O713" s="81"/>
    </row>
    <row r="714" spans="1:15" ht="15" customHeight="1" x14ac:dyDescent="0.35">
      <c r="A714" s="59">
        <v>46261</v>
      </c>
      <c r="B714" s="60">
        <f t="shared" si="153"/>
        <v>0.74999999999999956</v>
      </c>
      <c r="C714" s="61"/>
      <c r="D714" s="62"/>
      <c r="E714" s="62"/>
      <c r="F714" s="63"/>
      <c r="G714" s="64" t="str">
        <f t="shared" si="151"/>
        <v/>
      </c>
      <c r="H714" s="61"/>
      <c r="I714" s="61"/>
      <c r="J714" s="61"/>
      <c r="K714" s="65"/>
      <c r="L714" s="65"/>
      <c r="M714" s="66" t="str">
        <f t="shared" ca="1" si="152"/>
        <v/>
      </c>
      <c r="N714" s="80"/>
      <c r="O714" s="81"/>
    </row>
    <row r="715" spans="1:15" ht="15" customHeight="1" x14ac:dyDescent="0.35">
      <c r="A715" s="18">
        <v>46261</v>
      </c>
      <c r="B715" s="68">
        <f t="shared" si="153"/>
        <v>0.79166666666666619</v>
      </c>
      <c r="C715" s="61"/>
      <c r="D715" s="62"/>
      <c r="E715" s="62"/>
      <c r="F715" s="63"/>
      <c r="G715" s="69" t="str">
        <f t="shared" si="151"/>
        <v/>
      </c>
      <c r="H715" s="70"/>
      <c r="I715" s="70"/>
      <c r="J715" s="70"/>
      <c r="K715" s="65"/>
      <c r="L715" s="65"/>
      <c r="M715" s="71" t="str">
        <f t="shared" ca="1" si="152"/>
        <v/>
      </c>
      <c r="N715" s="80"/>
      <c r="O715" s="81"/>
    </row>
    <row r="716" spans="1:15" ht="15.75" customHeight="1" x14ac:dyDescent="0.35">
      <c r="A716" s="161" t="s">
        <v>249</v>
      </c>
      <c r="B716" s="161"/>
      <c r="C716" s="161"/>
      <c r="D716" s="161"/>
      <c r="E716" s="161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250</v>
      </c>
      <c r="O716" s="74"/>
    </row>
    <row r="717" spans="1:15" ht="15" customHeight="1" x14ac:dyDescent="0.3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4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5">IFERROR(IF(K717="","",IF(L717="",MOD(NOW()-K717,1),IF(L717&gt;=K717,L717-K717,L717+1-K717))),"")</f>
        <v/>
      </c>
      <c r="N717" s="80"/>
      <c r="O717" s="81"/>
    </row>
    <row r="718" spans="1:15" ht="15" customHeight="1" x14ac:dyDescent="0.35">
      <c r="A718" s="59">
        <v>46261</v>
      </c>
      <c r="B718" s="60">
        <f t="shared" ref="B718:B728" si="156">B717+TIME(0,60,0)</f>
        <v>0.87499999999999967</v>
      </c>
      <c r="C718" s="61"/>
      <c r="D718" s="62"/>
      <c r="E718" s="62"/>
      <c r="F718" s="63"/>
      <c r="G718" s="64" t="str">
        <f t="shared" si="154"/>
        <v/>
      </c>
      <c r="H718" s="61"/>
      <c r="I718" s="61"/>
      <c r="J718" s="61"/>
      <c r="K718" s="65"/>
      <c r="L718" s="65"/>
      <c r="M718" s="66" t="str">
        <f t="shared" ca="1" si="155"/>
        <v/>
      </c>
      <c r="N718" s="80"/>
      <c r="O718" s="81"/>
    </row>
    <row r="719" spans="1:15" ht="15" customHeight="1" x14ac:dyDescent="0.35">
      <c r="A719" s="18">
        <v>46261</v>
      </c>
      <c r="B719" s="68">
        <f t="shared" si="156"/>
        <v>0.9166666666666663</v>
      </c>
      <c r="C719" s="70"/>
      <c r="D719" s="75"/>
      <c r="E719" s="75"/>
      <c r="F719" s="63"/>
      <c r="G719" s="69" t="str">
        <f t="shared" si="154"/>
        <v/>
      </c>
      <c r="H719" s="70"/>
      <c r="I719" s="70"/>
      <c r="J719" s="70"/>
      <c r="K719" s="65"/>
      <c r="L719" s="65"/>
      <c r="M719" s="71" t="str">
        <f t="shared" ca="1" si="155"/>
        <v/>
      </c>
      <c r="N719" s="80"/>
      <c r="O719" s="81"/>
    </row>
    <row r="720" spans="1:15" ht="15" customHeight="1" x14ac:dyDescent="0.35">
      <c r="A720" s="59">
        <v>46261</v>
      </c>
      <c r="B720" s="60">
        <f t="shared" si="156"/>
        <v>0.95833333333333293</v>
      </c>
      <c r="C720" s="61"/>
      <c r="D720" s="62"/>
      <c r="E720" s="62"/>
      <c r="F720" s="63"/>
      <c r="G720" s="64" t="str">
        <f t="shared" si="154"/>
        <v/>
      </c>
      <c r="H720" s="61"/>
      <c r="I720" s="61"/>
      <c r="J720" s="61"/>
      <c r="K720" s="65"/>
      <c r="L720" s="65"/>
      <c r="M720" s="66" t="str">
        <f t="shared" ca="1" si="155"/>
        <v/>
      </c>
      <c r="N720" s="80"/>
      <c r="O720" s="81"/>
    </row>
    <row r="721" spans="1:15" ht="15" customHeight="1" x14ac:dyDescent="0.35">
      <c r="A721" s="18">
        <v>46261</v>
      </c>
      <c r="B721" s="68">
        <f t="shared" si="156"/>
        <v>0.99999999999999956</v>
      </c>
      <c r="C721" s="70"/>
      <c r="D721" s="75"/>
      <c r="E721" s="75"/>
      <c r="F721" s="63"/>
      <c r="G721" s="69" t="str">
        <f t="shared" si="154"/>
        <v/>
      </c>
      <c r="H721" s="70"/>
      <c r="I721" s="70"/>
      <c r="J721" s="70"/>
      <c r="K721" s="65"/>
      <c r="L721" s="65"/>
      <c r="M721" s="71" t="str">
        <f t="shared" ca="1" si="155"/>
        <v/>
      </c>
      <c r="N721" s="80"/>
      <c r="O721" s="81"/>
    </row>
    <row r="722" spans="1:15" ht="15" customHeight="1" x14ac:dyDescent="0.35">
      <c r="A722" s="59">
        <v>46261</v>
      </c>
      <c r="B722" s="60">
        <f t="shared" si="156"/>
        <v>1.0416666666666663</v>
      </c>
      <c r="C722" s="61"/>
      <c r="D722" s="62"/>
      <c r="E722" s="62"/>
      <c r="F722" s="63"/>
      <c r="G722" s="64" t="str">
        <f t="shared" si="154"/>
        <v/>
      </c>
      <c r="H722" s="61"/>
      <c r="I722" s="61"/>
      <c r="J722" s="61"/>
      <c r="K722" s="65"/>
      <c r="L722" s="65"/>
      <c r="M722" s="66" t="str">
        <f t="shared" ca="1" si="155"/>
        <v/>
      </c>
      <c r="N722" s="80"/>
      <c r="O722" s="81"/>
    </row>
    <row r="723" spans="1:15" ht="15" customHeight="1" x14ac:dyDescent="0.35">
      <c r="A723" s="18">
        <v>46261</v>
      </c>
      <c r="B723" s="68">
        <f t="shared" si="156"/>
        <v>1.083333333333333</v>
      </c>
      <c r="C723" s="70"/>
      <c r="D723" s="75"/>
      <c r="E723" s="75"/>
      <c r="F723" s="63"/>
      <c r="G723" s="69" t="str">
        <f t="shared" si="154"/>
        <v/>
      </c>
      <c r="H723" s="70"/>
      <c r="I723" s="70"/>
      <c r="J723" s="70"/>
      <c r="K723" s="65"/>
      <c r="L723" s="65"/>
      <c r="M723" s="71" t="str">
        <f t="shared" ca="1" si="155"/>
        <v/>
      </c>
      <c r="N723" s="80"/>
      <c r="O723" s="81"/>
    </row>
    <row r="724" spans="1:15" ht="15" customHeight="1" x14ac:dyDescent="0.35">
      <c r="A724" s="59">
        <v>46261</v>
      </c>
      <c r="B724" s="60">
        <f t="shared" si="156"/>
        <v>1.1249999999999998</v>
      </c>
      <c r="C724" s="61"/>
      <c r="D724" s="62"/>
      <c r="E724" s="62"/>
      <c r="F724" s="63"/>
      <c r="G724" s="64" t="str">
        <f t="shared" si="154"/>
        <v/>
      </c>
      <c r="H724" s="61"/>
      <c r="I724" s="61"/>
      <c r="J724" s="61"/>
      <c r="K724" s="65"/>
      <c r="L724" s="65"/>
      <c r="M724" s="66" t="str">
        <f t="shared" ca="1" si="155"/>
        <v/>
      </c>
      <c r="N724" s="80"/>
      <c r="O724" s="81"/>
    </row>
    <row r="725" spans="1:15" ht="15" customHeight="1" x14ac:dyDescent="0.35">
      <c r="A725" s="18">
        <v>46261</v>
      </c>
      <c r="B725" s="68">
        <f t="shared" si="156"/>
        <v>1.1666666666666665</v>
      </c>
      <c r="C725" s="70"/>
      <c r="D725" s="75"/>
      <c r="E725" s="75"/>
      <c r="F725" s="63"/>
      <c r="G725" s="69" t="str">
        <f t="shared" si="154"/>
        <v/>
      </c>
      <c r="H725" s="70"/>
      <c r="I725" s="70"/>
      <c r="J725" s="70"/>
      <c r="K725" s="65"/>
      <c r="L725" s="65"/>
      <c r="M725" s="71" t="str">
        <f t="shared" ca="1" si="155"/>
        <v/>
      </c>
      <c r="N725" s="80"/>
      <c r="O725" s="81"/>
    </row>
    <row r="726" spans="1:15" ht="15" customHeight="1" x14ac:dyDescent="0.35">
      <c r="A726" s="59">
        <v>46261</v>
      </c>
      <c r="B726" s="60">
        <f t="shared" si="156"/>
        <v>1.2083333333333333</v>
      </c>
      <c r="C726" s="61"/>
      <c r="D726" s="62"/>
      <c r="E726" s="62"/>
      <c r="F726" s="63"/>
      <c r="G726" s="64" t="str">
        <f t="shared" si="154"/>
        <v/>
      </c>
      <c r="H726" s="61"/>
      <c r="I726" s="61"/>
      <c r="J726" s="61"/>
      <c r="K726" s="65"/>
      <c r="L726" s="65"/>
      <c r="M726" s="66" t="str">
        <f t="shared" ca="1" si="155"/>
        <v/>
      </c>
      <c r="N726" s="80"/>
      <c r="O726" s="81"/>
    </row>
    <row r="727" spans="1:15" ht="15" customHeight="1" x14ac:dyDescent="0.35">
      <c r="A727" s="18">
        <v>46261</v>
      </c>
      <c r="B727" s="68">
        <f t="shared" si="156"/>
        <v>1.25</v>
      </c>
      <c r="C727" s="70"/>
      <c r="D727" s="75"/>
      <c r="E727" s="75"/>
      <c r="F727" s="63"/>
      <c r="G727" s="69" t="str">
        <f t="shared" si="154"/>
        <v/>
      </c>
      <c r="H727" s="70"/>
      <c r="I727" s="70"/>
      <c r="J727" s="70"/>
      <c r="K727" s="65"/>
      <c r="L727" s="65"/>
      <c r="M727" s="71" t="str">
        <f t="shared" ca="1" si="155"/>
        <v/>
      </c>
      <c r="N727" s="80"/>
      <c r="O727" s="81"/>
    </row>
    <row r="728" spans="1:15" ht="15" customHeight="1" x14ac:dyDescent="0.35">
      <c r="A728" s="59">
        <v>46261</v>
      </c>
      <c r="B728" s="60">
        <f t="shared" si="156"/>
        <v>1.2916666666666667</v>
      </c>
      <c r="C728" s="61"/>
      <c r="D728" s="62"/>
      <c r="E728" s="62"/>
      <c r="F728" s="63"/>
      <c r="G728" s="64" t="str">
        <f t="shared" si="154"/>
        <v/>
      </c>
      <c r="H728" s="61"/>
      <c r="I728" s="61"/>
      <c r="J728" s="61"/>
      <c r="K728" s="65"/>
      <c r="L728" s="65"/>
      <c r="M728" s="66" t="str">
        <f t="shared" ca="1" si="155"/>
        <v/>
      </c>
      <c r="N728" s="80"/>
      <c r="O728" s="81"/>
    </row>
    <row r="729" spans="1:15" ht="15.75" customHeight="1" x14ac:dyDescent="0.35">
      <c r="A729" s="161" t="s">
        <v>252</v>
      </c>
      <c r="B729" s="161"/>
      <c r="C729" s="161"/>
      <c r="D729" s="161"/>
      <c r="E729" s="161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250</v>
      </c>
      <c r="O729" s="74"/>
    </row>
    <row r="730" spans="1:15" ht="18" customHeight="1" x14ac:dyDescent="0.35">
      <c r="A730" s="162" t="s">
        <v>253</v>
      </c>
      <c r="B730" s="162"/>
      <c r="C730" s="162"/>
      <c r="D730" s="162"/>
      <c r="E730" s="162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254</v>
      </c>
      <c r="O730" s="82">
        <f>IFERROR(O716+O729,"")</f>
        <v>0</v>
      </c>
    </row>
    <row r="731" spans="1:15" ht="15" customHeight="1" x14ac:dyDescent="0.3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7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8">IFERROR(IF(K731="","",IF(L731="",MOD(NOW()-K731,1),IF(L731&gt;=K731,L731-K731,L731+1-K731))),"")</f>
        <v/>
      </c>
      <c r="N731" s="80"/>
      <c r="O731" s="81"/>
    </row>
    <row r="732" spans="1:15" ht="15" customHeight="1" x14ac:dyDescent="0.35">
      <c r="A732" s="59">
        <v>46262</v>
      </c>
      <c r="B732" s="60">
        <f t="shared" ref="B732:B742" si="159">B731+TIME(0,60,0)</f>
        <v>0.37499999999999967</v>
      </c>
      <c r="C732" s="61"/>
      <c r="D732" s="62"/>
      <c r="E732" s="62"/>
      <c r="F732" s="63"/>
      <c r="G732" s="64" t="str">
        <f t="shared" si="157"/>
        <v/>
      </c>
      <c r="H732" s="61"/>
      <c r="I732" s="61"/>
      <c r="J732" s="61"/>
      <c r="K732" s="65"/>
      <c r="L732" s="65"/>
      <c r="M732" s="66" t="str">
        <f t="shared" ca="1" si="158"/>
        <v/>
      </c>
      <c r="N732" s="80"/>
      <c r="O732" s="81"/>
    </row>
    <row r="733" spans="1:15" ht="15" customHeight="1" x14ac:dyDescent="0.35">
      <c r="A733" s="18">
        <v>46262</v>
      </c>
      <c r="B733" s="68">
        <f t="shared" si="159"/>
        <v>0.41666666666666635</v>
      </c>
      <c r="C733" s="70"/>
      <c r="D733" s="75"/>
      <c r="E733" s="75"/>
      <c r="F733" s="63"/>
      <c r="G733" s="69" t="str">
        <f t="shared" si="157"/>
        <v/>
      </c>
      <c r="H733" s="70"/>
      <c r="I733" s="70"/>
      <c r="J733" s="70"/>
      <c r="K733" s="65"/>
      <c r="L733" s="65"/>
      <c r="M733" s="71" t="str">
        <f t="shared" ca="1" si="158"/>
        <v/>
      </c>
      <c r="N733" s="80"/>
      <c r="O733" s="81"/>
    </row>
    <row r="734" spans="1:15" ht="15" customHeight="1" x14ac:dyDescent="0.35">
      <c r="A734" s="59">
        <v>46262</v>
      </c>
      <c r="B734" s="60">
        <f t="shared" si="159"/>
        <v>0.45833333333333304</v>
      </c>
      <c r="C734" s="61"/>
      <c r="D734" s="62"/>
      <c r="E734" s="62"/>
      <c r="F734" s="63"/>
      <c r="G734" s="64" t="str">
        <f t="shared" si="157"/>
        <v/>
      </c>
      <c r="H734" s="61"/>
      <c r="I734" s="61"/>
      <c r="J734" s="61"/>
      <c r="K734" s="65"/>
      <c r="L734" s="65"/>
      <c r="M734" s="66" t="str">
        <f t="shared" ca="1" si="158"/>
        <v/>
      </c>
      <c r="N734" s="80"/>
      <c r="O734" s="81"/>
    </row>
    <row r="735" spans="1:15" ht="15" customHeight="1" x14ac:dyDescent="0.35">
      <c r="A735" s="18">
        <v>46262</v>
      </c>
      <c r="B735" s="68">
        <f t="shared" si="159"/>
        <v>0.49999999999999972</v>
      </c>
      <c r="C735" s="70"/>
      <c r="D735" s="75"/>
      <c r="E735" s="75"/>
      <c r="F735" s="63"/>
      <c r="G735" s="69" t="str">
        <f t="shared" si="157"/>
        <v/>
      </c>
      <c r="H735" s="70"/>
      <c r="I735" s="70"/>
      <c r="J735" s="70"/>
      <c r="K735" s="65"/>
      <c r="L735" s="65"/>
      <c r="M735" s="71" t="str">
        <f t="shared" ca="1" si="158"/>
        <v/>
      </c>
      <c r="N735" s="80"/>
      <c r="O735" s="81"/>
    </row>
    <row r="736" spans="1:15" ht="15" customHeight="1" x14ac:dyDescent="0.35">
      <c r="A736" s="59">
        <v>46262</v>
      </c>
      <c r="B736" s="60">
        <f t="shared" si="159"/>
        <v>0.54166666666666641</v>
      </c>
      <c r="C736" s="61"/>
      <c r="D736" s="62"/>
      <c r="E736" s="62"/>
      <c r="F736" s="63"/>
      <c r="G736" s="64" t="str">
        <f t="shared" si="157"/>
        <v/>
      </c>
      <c r="H736" s="61"/>
      <c r="I736" s="61"/>
      <c r="J736" s="61"/>
      <c r="K736" s="65"/>
      <c r="L736" s="65"/>
      <c r="M736" s="66" t="str">
        <f t="shared" ca="1" si="158"/>
        <v/>
      </c>
      <c r="N736" s="80"/>
      <c r="O736" s="81"/>
    </row>
    <row r="737" spans="1:15" ht="15" customHeight="1" x14ac:dyDescent="0.35">
      <c r="A737" s="18">
        <v>46262</v>
      </c>
      <c r="B737" s="68">
        <f t="shared" si="159"/>
        <v>0.58333333333333304</v>
      </c>
      <c r="C737" s="70"/>
      <c r="D737" s="75"/>
      <c r="E737" s="75"/>
      <c r="F737" s="63"/>
      <c r="G737" s="69" t="str">
        <f t="shared" si="157"/>
        <v/>
      </c>
      <c r="H737" s="70"/>
      <c r="I737" s="70"/>
      <c r="J737" s="70"/>
      <c r="K737" s="65"/>
      <c r="L737" s="65"/>
      <c r="M737" s="71" t="str">
        <f t="shared" ca="1" si="158"/>
        <v/>
      </c>
      <c r="N737" s="80"/>
      <c r="O737" s="81"/>
    </row>
    <row r="738" spans="1:15" ht="15" customHeight="1" x14ac:dyDescent="0.35">
      <c r="A738" s="59">
        <v>46262</v>
      </c>
      <c r="B738" s="60">
        <f t="shared" si="159"/>
        <v>0.62499999999999967</v>
      </c>
      <c r="C738" s="61"/>
      <c r="D738" s="62"/>
      <c r="E738" s="62"/>
      <c r="F738" s="63"/>
      <c r="G738" s="64" t="str">
        <f t="shared" si="157"/>
        <v/>
      </c>
      <c r="H738" s="61"/>
      <c r="I738" s="61"/>
      <c r="J738" s="61"/>
      <c r="K738" s="65"/>
      <c r="L738" s="65"/>
      <c r="M738" s="66" t="str">
        <f t="shared" ca="1" si="158"/>
        <v/>
      </c>
      <c r="N738" s="80"/>
      <c r="O738" s="81"/>
    </row>
    <row r="739" spans="1:15" ht="15" customHeight="1" x14ac:dyDescent="0.35">
      <c r="A739" s="18">
        <v>46262</v>
      </c>
      <c r="B739" s="68">
        <f t="shared" si="159"/>
        <v>0.6666666666666663</v>
      </c>
      <c r="C739" s="70"/>
      <c r="D739" s="75"/>
      <c r="E739" s="75"/>
      <c r="F739" s="63"/>
      <c r="G739" s="69" t="str">
        <f t="shared" si="157"/>
        <v/>
      </c>
      <c r="H739" s="70"/>
      <c r="I739" s="70"/>
      <c r="J739" s="70"/>
      <c r="K739" s="65"/>
      <c r="L739" s="65"/>
      <c r="M739" s="71" t="str">
        <f t="shared" ca="1" si="158"/>
        <v/>
      </c>
      <c r="N739" s="80"/>
      <c r="O739" s="81"/>
    </row>
    <row r="740" spans="1:15" ht="15" customHeight="1" x14ac:dyDescent="0.35">
      <c r="A740" s="59">
        <v>46262</v>
      </c>
      <c r="B740" s="60">
        <f t="shared" si="159"/>
        <v>0.70833333333333293</v>
      </c>
      <c r="C740" s="61"/>
      <c r="D740" s="62"/>
      <c r="E740" s="62"/>
      <c r="F740" s="63"/>
      <c r="G740" s="64" t="str">
        <f t="shared" si="157"/>
        <v/>
      </c>
      <c r="H740" s="61"/>
      <c r="I740" s="61"/>
      <c r="J740" s="61"/>
      <c r="K740" s="65"/>
      <c r="L740" s="65"/>
      <c r="M740" s="66" t="str">
        <f t="shared" ca="1" si="158"/>
        <v/>
      </c>
      <c r="N740" s="80"/>
      <c r="O740" s="81"/>
    </row>
    <row r="741" spans="1:15" ht="15" customHeight="1" x14ac:dyDescent="0.35">
      <c r="A741" s="18">
        <v>46262</v>
      </c>
      <c r="B741" s="68">
        <f t="shared" si="159"/>
        <v>0.74999999999999956</v>
      </c>
      <c r="C741" s="70"/>
      <c r="D741" s="75"/>
      <c r="E741" s="75"/>
      <c r="F741" s="63"/>
      <c r="G741" s="69" t="str">
        <f t="shared" si="157"/>
        <v/>
      </c>
      <c r="H741" s="70"/>
      <c r="I741" s="70"/>
      <c r="J741" s="70"/>
      <c r="K741" s="65"/>
      <c r="L741" s="65"/>
      <c r="M741" s="71" t="str">
        <f t="shared" ca="1" si="158"/>
        <v/>
      </c>
      <c r="N741" s="80"/>
      <c r="O741" s="81"/>
    </row>
    <row r="742" spans="1:15" ht="15" customHeight="1" x14ac:dyDescent="0.35">
      <c r="A742" s="59">
        <v>46262</v>
      </c>
      <c r="B742" s="60">
        <f t="shared" si="159"/>
        <v>0.79166666666666619</v>
      </c>
      <c r="C742" s="61"/>
      <c r="D742" s="62"/>
      <c r="E742" s="62"/>
      <c r="F742" s="63"/>
      <c r="G742" s="64" t="str">
        <f t="shared" si="157"/>
        <v/>
      </c>
      <c r="H742" s="61"/>
      <c r="I742" s="61"/>
      <c r="J742" s="61"/>
      <c r="K742" s="65"/>
      <c r="L742" s="65"/>
      <c r="M742" s="66" t="str">
        <f t="shared" ca="1" si="158"/>
        <v/>
      </c>
      <c r="N742" s="80"/>
      <c r="O742" s="81"/>
    </row>
    <row r="743" spans="1:15" ht="15.75" customHeight="1" x14ac:dyDescent="0.35">
      <c r="A743" s="161" t="s">
        <v>249</v>
      </c>
      <c r="B743" s="161"/>
      <c r="C743" s="161"/>
      <c r="D743" s="161"/>
      <c r="E743" s="161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250</v>
      </c>
      <c r="O743" s="74"/>
    </row>
    <row r="744" spans="1:15" ht="15" customHeight="1" x14ac:dyDescent="0.3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0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1">IFERROR(IF(K744="","",IF(L744="",MOD(NOW()-K744,1),IF(L744&gt;=K744,L744-K744,L744+1-K744))),"")</f>
        <v/>
      </c>
      <c r="N744" s="80"/>
      <c r="O744" s="81"/>
    </row>
    <row r="745" spans="1:15" ht="15" customHeight="1" x14ac:dyDescent="0.35">
      <c r="A745" s="18">
        <v>46262</v>
      </c>
      <c r="B745" s="68">
        <f t="shared" ref="B745:B755" si="162">B744+TIME(0,60,0)</f>
        <v>0.87499999999999967</v>
      </c>
      <c r="C745" s="70"/>
      <c r="D745" s="75"/>
      <c r="E745" s="75"/>
      <c r="F745" s="63"/>
      <c r="G745" s="69" t="str">
        <f t="shared" si="160"/>
        <v/>
      </c>
      <c r="H745" s="70"/>
      <c r="I745" s="70"/>
      <c r="J745" s="70"/>
      <c r="K745" s="65"/>
      <c r="L745" s="65"/>
      <c r="M745" s="71" t="str">
        <f t="shared" ca="1" si="161"/>
        <v/>
      </c>
      <c r="N745" s="80"/>
      <c r="O745" s="81"/>
    </row>
    <row r="746" spans="1:15" ht="15" customHeight="1" x14ac:dyDescent="0.35">
      <c r="A746" s="59">
        <v>46262</v>
      </c>
      <c r="B746" s="60">
        <f t="shared" si="162"/>
        <v>0.9166666666666663</v>
      </c>
      <c r="C746" s="61"/>
      <c r="D746" s="62"/>
      <c r="E746" s="62"/>
      <c r="F746" s="63"/>
      <c r="G746" s="64" t="str">
        <f t="shared" si="160"/>
        <v/>
      </c>
      <c r="H746" s="61"/>
      <c r="I746" s="61"/>
      <c r="J746" s="61"/>
      <c r="K746" s="65"/>
      <c r="L746" s="65"/>
      <c r="M746" s="66" t="str">
        <f t="shared" ca="1" si="161"/>
        <v/>
      </c>
      <c r="N746" s="80"/>
      <c r="O746" s="81"/>
    </row>
    <row r="747" spans="1:15" ht="15" customHeight="1" x14ac:dyDescent="0.35">
      <c r="A747" s="18">
        <v>46262</v>
      </c>
      <c r="B747" s="68">
        <f t="shared" si="162"/>
        <v>0.95833333333333293</v>
      </c>
      <c r="C747" s="70"/>
      <c r="D747" s="75"/>
      <c r="E747" s="75"/>
      <c r="F747" s="63"/>
      <c r="G747" s="69" t="str">
        <f t="shared" si="160"/>
        <v/>
      </c>
      <c r="H747" s="70"/>
      <c r="I747" s="70"/>
      <c r="J747" s="70"/>
      <c r="K747" s="65"/>
      <c r="L747" s="65"/>
      <c r="M747" s="71" t="str">
        <f t="shared" ca="1" si="161"/>
        <v/>
      </c>
      <c r="N747" s="80"/>
      <c r="O747" s="81"/>
    </row>
    <row r="748" spans="1:15" ht="15" customHeight="1" x14ac:dyDescent="0.35">
      <c r="A748" s="59">
        <v>46262</v>
      </c>
      <c r="B748" s="60">
        <f t="shared" si="162"/>
        <v>0.99999999999999956</v>
      </c>
      <c r="C748" s="61"/>
      <c r="D748" s="62"/>
      <c r="E748" s="62"/>
      <c r="F748" s="63"/>
      <c r="G748" s="64" t="str">
        <f t="shared" si="160"/>
        <v/>
      </c>
      <c r="H748" s="61"/>
      <c r="I748" s="61"/>
      <c r="J748" s="61"/>
      <c r="K748" s="65"/>
      <c r="L748" s="65"/>
      <c r="M748" s="66" t="str">
        <f t="shared" ca="1" si="161"/>
        <v/>
      </c>
      <c r="N748" s="80"/>
      <c r="O748" s="81"/>
    </row>
    <row r="749" spans="1:15" ht="15" customHeight="1" x14ac:dyDescent="0.35">
      <c r="A749" s="18">
        <v>46262</v>
      </c>
      <c r="B749" s="68">
        <f t="shared" si="162"/>
        <v>1.0416666666666663</v>
      </c>
      <c r="C749" s="70"/>
      <c r="D749" s="75"/>
      <c r="E749" s="75"/>
      <c r="F749" s="63"/>
      <c r="G749" s="69" t="str">
        <f t="shared" si="160"/>
        <v/>
      </c>
      <c r="H749" s="70"/>
      <c r="I749" s="70"/>
      <c r="J749" s="70"/>
      <c r="K749" s="65"/>
      <c r="L749" s="65"/>
      <c r="M749" s="71" t="str">
        <f t="shared" ca="1" si="161"/>
        <v/>
      </c>
      <c r="N749" s="80"/>
      <c r="O749" s="81"/>
    </row>
    <row r="750" spans="1:15" ht="15" customHeight="1" x14ac:dyDescent="0.35">
      <c r="A750" s="59">
        <v>46262</v>
      </c>
      <c r="B750" s="60">
        <f t="shared" si="162"/>
        <v>1.083333333333333</v>
      </c>
      <c r="C750" s="61"/>
      <c r="D750" s="62"/>
      <c r="E750" s="62"/>
      <c r="F750" s="63"/>
      <c r="G750" s="64" t="str">
        <f t="shared" si="160"/>
        <v/>
      </c>
      <c r="H750" s="61"/>
      <c r="I750" s="61"/>
      <c r="J750" s="61"/>
      <c r="K750" s="65"/>
      <c r="L750" s="65"/>
      <c r="M750" s="66" t="str">
        <f t="shared" ca="1" si="161"/>
        <v/>
      </c>
      <c r="N750" s="80"/>
      <c r="O750" s="81"/>
    </row>
    <row r="751" spans="1:15" ht="15" customHeight="1" x14ac:dyDescent="0.35">
      <c r="A751" s="18">
        <v>46262</v>
      </c>
      <c r="B751" s="68">
        <f t="shared" si="162"/>
        <v>1.1249999999999998</v>
      </c>
      <c r="C751" s="70"/>
      <c r="D751" s="75"/>
      <c r="E751" s="75"/>
      <c r="F751" s="63"/>
      <c r="G751" s="69" t="str">
        <f t="shared" si="160"/>
        <v/>
      </c>
      <c r="H751" s="70"/>
      <c r="I751" s="70"/>
      <c r="J751" s="70"/>
      <c r="K751" s="65"/>
      <c r="L751" s="65"/>
      <c r="M751" s="71" t="str">
        <f t="shared" ca="1" si="161"/>
        <v/>
      </c>
      <c r="N751" s="80"/>
      <c r="O751" s="81"/>
    </row>
    <row r="752" spans="1:15" ht="15" customHeight="1" x14ac:dyDescent="0.35">
      <c r="A752" s="59">
        <v>46262</v>
      </c>
      <c r="B752" s="60">
        <f t="shared" si="162"/>
        <v>1.1666666666666665</v>
      </c>
      <c r="C752" s="61"/>
      <c r="D752" s="62"/>
      <c r="E752" s="62"/>
      <c r="F752" s="63"/>
      <c r="G752" s="64" t="str">
        <f t="shared" si="160"/>
        <v/>
      </c>
      <c r="H752" s="61"/>
      <c r="I752" s="61"/>
      <c r="J752" s="61"/>
      <c r="K752" s="65"/>
      <c r="L752" s="65"/>
      <c r="M752" s="66" t="str">
        <f t="shared" ca="1" si="161"/>
        <v/>
      </c>
      <c r="N752" s="80"/>
      <c r="O752" s="81"/>
    </row>
    <row r="753" spans="1:15" ht="15" customHeight="1" x14ac:dyDescent="0.35">
      <c r="A753" s="18">
        <v>46262</v>
      </c>
      <c r="B753" s="68">
        <f t="shared" si="162"/>
        <v>1.2083333333333333</v>
      </c>
      <c r="C753" s="70"/>
      <c r="D753" s="75"/>
      <c r="E753" s="75"/>
      <c r="F753" s="63"/>
      <c r="G753" s="69" t="str">
        <f t="shared" si="160"/>
        <v/>
      </c>
      <c r="H753" s="70"/>
      <c r="I753" s="70"/>
      <c r="J753" s="70"/>
      <c r="K753" s="65"/>
      <c r="L753" s="65"/>
      <c r="M753" s="71" t="str">
        <f t="shared" ca="1" si="161"/>
        <v/>
      </c>
      <c r="N753" s="80"/>
      <c r="O753" s="81"/>
    </row>
    <row r="754" spans="1:15" ht="15" customHeight="1" x14ac:dyDescent="0.35">
      <c r="A754" s="59">
        <v>46262</v>
      </c>
      <c r="B754" s="60">
        <f t="shared" si="162"/>
        <v>1.25</v>
      </c>
      <c r="C754" s="61"/>
      <c r="D754" s="62"/>
      <c r="E754" s="62"/>
      <c r="F754" s="63"/>
      <c r="G754" s="64" t="str">
        <f t="shared" si="160"/>
        <v/>
      </c>
      <c r="H754" s="61"/>
      <c r="I754" s="61"/>
      <c r="J754" s="61"/>
      <c r="K754" s="65"/>
      <c r="L754" s="65"/>
      <c r="M754" s="66" t="str">
        <f t="shared" ca="1" si="161"/>
        <v/>
      </c>
      <c r="N754" s="80"/>
      <c r="O754" s="81"/>
    </row>
    <row r="755" spans="1:15" ht="15" customHeight="1" x14ac:dyDescent="0.35">
      <c r="A755" s="18">
        <v>46262</v>
      </c>
      <c r="B755" s="68">
        <f t="shared" si="162"/>
        <v>1.2916666666666667</v>
      </c>
      <c r="C755" s="70"/>
      <c r="D755" s="75"/>
      <c r="E755" s="75"/>
      <c r="F755" s="63"/>
      <c r="G755" s="69" t="str">
        <f t="shared" si="160"/>
        <v/>
      </c>
      <c r="H755" s="70"/>
      <c r="I755" s="70"/>
      <c r="J755" s="70"/>
      <c r="K755" s="65"/>
      <c r="L755" s="65"/>
      <c r="M755" s="71" t="str">
        <f t="shared" ca="1" si="161"/>
        <v/>
      </c>
      <c r="N755" s="80"/>
      <c r="O755" s="81"/>
    </row>
    <row r="756" spans="1:15" ht="15.75" customHeight="1" x14ac:dyDescent="0.35">
      <c r="A756" s="161" t="s">
        <v>252</v>
      </c>
      <c r="B756" s="161"/>
      <c r="C756" s="161"/>
      <c r="D756" s="161"/>
      <c r="E756" s="161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250</v>
      </c>
      <c r="O756" s="74"/>
    </row>
    <row r="757" spans="1:15" ht="18" customHeight="1" x14ac:dyDescent="0.35">
      <c r="A757" s="162" t="s">
        <v>253</v>
      </c>
      <c r="B757" s="162"/>
      <c r="C757" s="162"/>
      <c r="D757" s="162"/>
      <c r="E757" s="162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254</v>
      </c>
      <c r="O757" s="82">
        <f>IFERROR(O743+O756,"")</f>
        <v>0</v>
      </c>
    </row>
    <row r="758" spans="1:15" ht="15" customHeight="1" x14ac:dyDescent="0.3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3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4">IFERROR(IF(K758="","",IF(L758="",MOD(NOW()-K758,1),IF(L758&gt;=K758,L758-K758,L758+1-K758))),"")</f>
        <v/>
      </c>
      <c r="N758" s="80"/>
      <c r="O758" s="81"/>
    </row>
    <row r="759" spans="1:15" ht="15" customHeight="1" x14ac:dyDescent="0.35">
      <c r="A759" s="18">
        <v>46263</v>
      </c>
      <c r="B759" s="68">
        <f t="shared" ref="B759:B769" si="165">B758+TIME(0,60,0)</f>
        <v>0.37499999999999967</v>
      </c>
      <c r="C759" s="70"/>
      <c r="D759" s="75"/>
      <c r="E759" s="75"/>
      <c r="F759" s="63"/>
      <c r="G759" s="69" t="str">
        <f t="shared" si="163"/>
        <v/>
      </c>
      <c r="H759" s="70"/>
      <c r="I759" s="70"/>
      <c r="J759" s="70"/>
      <c r="K759" s="65"/>
      <c r="L759" s="65"/>
      <c r="M759" s="71" t="str">
        <f t="shared" ca="1" si="164"/>
        <v/>
      </c>
      <c r="N759" s="80"/>
      <c r="O759" s="81"/>
    </row>
    <row r="760" spans="1:15" ht="15" customHeight="1" x14ac:dyDescent="0.35">
      <c r="A760" s="59">
        <v>46263</v>
      </c>
      <c r="B760" s="60">
        <f t="shared" si="165"/>
        <v>0.41666666666666635</v>
      </c>
      <c r="C760" s="61"/>
      <c r="D760" s="62"/>
      <c r="E760" s="62"/>
      <c r="F760" s="63"/>
      <c r="G760" s="64" t="str">
        <f t="shared" si="163"/>
        <v/>
      </c>
      <c r="H760" s="61"/>
      <c r="I760" s="61"/>
      <c r="J760" s="61"/>
      <c r="K760" s="65"/>
      <c r="L760" s="65"/>
      <c r="M760" s="66" t="str">
        <f t="shared" ca="1" si="164"/>
        <v/>
      </c>
      <c r="N760" s="80"/>
      <c r="O760" s="81"/>
    </row>
    <row r="761" spans="1:15" ht="15" customHeight="1" x14ac:dyDescent="0.35">
      <c r="A761" s="18">
        <v>46263</v>
      </c>
      <c r="B761" s="68">
        <f t="shared" si="165"/>
        <v>0.45833333333333304</v>
      </c>
      <c r="C761" s="70"/>
      <c r="D761" s="75"/>
      <c r="E761" s="75"/>
      <c r="F761" s="63"/>
      <c r="G761" s="69" t="str">
        <f t="shared" si="163"/>
        <v/>
      </c>
      <c r="H761" s="70"/>
      <c r="I761" s="70"/>
      <c r="J761" s="70"/>
      <c r="K761" s="65"/>
      <c r="L761" s="65"/>
      <c r="M761" s="71" t="str">
        <f t="shared" ca="1" si="164"/>
        <v/>
      </c>
      <c r="N761" s="80"/>
      <c r="O761" s="81"/>
    </row>
    <row r="762" spans="1:15" ht="15" customHeight="1" x14ac:dyDescent="0.35">
      <c r="A762" s="59">
        <v>46263</v>
      </c>
      <c r="B762" s="60">
        <f t="shared" si="165"/>
        <v>0.49999999999999972</v>
      </c>
      <c r="C762" s="61"/>
      <c r="D762" s="62"/>
      <c r="E762" s="62"/>
      <c r="F762" s="63"/>
      <c r="G762" s="64" t="str">
        <f t="shared" si="163"/>
        <v/>
      </c>
      <c r="H762" s="61"/>
      <c r="I762" s="61"/>
      <c r="J762" s="61"/>
      <c r="K762" s="65"/>
      <c r="L762" s="65"/>
      <c r="M762" s="66" t="str">
        <f t="shared" ca="1" si="164"/>
        <v/>
      </c>
      <c r="N762" s="80"/>
      <c r="O762" s="81"/>
    </row>
    <row r="763" spans="1:15" ht="15" customHeight="1" x14ac:dyDescent="0.35">
      <c r="A763" s="18">
        <v>46263</v>
      </c>
      <c r="B763" s="68">
        <f t="shared" si="165"/>
        <v>0.54166666666666641</v>
      </c>
      <c r="C763" s="70"/>
      <c r="D763" s="75"/>
      <c r="E763" s="75"/>
      <c r="F763" s="63"/>
      <c r="G763" s="69" t="str">
        <f t="shared" si="163"/>
        <v/>
      </c>
      <c r="H763" s="70"/>
      <c r="I763" s="70"/>
      <c r="J763" s="70"/>
      <c r="K763" s="65"/>
      <c r="L763" s="65"/>
      <c r="M763" s="71" t="str">
        <f t="shared" ca="1" si="164"/>
        <v/>
      </c>
      <c r="N763" s="80"/>
      <c r="O763" s="81"/>
    </row>
    <row r="764" spans="1:15" ht="15" customHeight="1" x14ac:dyDescent="0.35">
      <c r="A764" s="59">
        <v>46263</v>
      </c>
      <c r="B764" s="60">
        <f t="shared" si="165"/>
        <v>0.58333333333333304</v>
      </c>
      <c r="C764" s="61"/>
      <c r="D764" s="62"/>
      <c r="E764" s="62"/>
      <c r="F764" s="63"/>
      <c r="G764" s="64" t="str">
        <f t="shared" si="163"/>
        <v/>
      </c>
      <c r="H764" s="61"/>
      <c r="I764" s="61"/>
      <c r="J764" s="61"/>
      <c r="K764" s="65"/>
      <c r="L764" s="65"/>
      <c r="M764" s="66" t="str">
        <f t="shared" ca="1" si="164"/>
        <v/>
      </c>
      <c r="N764" s="80"/>
      <c r="O764" s="81"/>
    </row>
    <row r="765" spans="1:15" ht="15" customHeight="1" x14ac:dyDescent="0.35">
      <c r="A765" s="18">
        <v>46263</v>
      </c>
      <c r="B765" s="68">
        <f t="shared" si="165"/>
        <v>0.62499999999999967</v>
      </c>
      <c r="C765" s="70"/>
      <c r="D765" s="75"/>
      <c r="E765" s="75"/>
      <c r="F765" s="63"/>
      <c r="G765" s="69" t="str">
        <f t="shared" si="163"/>
        <v/>
      </c>
      <c r="H765" s="70"/>
      <c r="I765" s="70"/>
      <c r="J765" s="70"/>
      <c r="K765" s="65"/>
      <c r="L765" s="65"/>
      <c r="M765" s="71" t="str">
        <f t="shared" ca="1" si="164"/>
        <v/>
      </c>
      <c r="N765" s="80"/>
      <c r="O765" s="81"/>
    </row>
    <row r="766" spans="1:15" ht="15" customHeight="1" x14ac:dyDescent="0.35">
      <c r="A766" s="59">
        <v>46263</v>
      </c>
      <c r="B766" s="60">
        <f t="shared" si="165"/>
        <v>0.6666666666666663</v>
      </c>
      <c r="C766" s="61"/>
      <c r="D766" s="62"/>
      <c r="E766" s="62"/>
      <c r="F766" s="63"/>
      <c r="G766" s="64" t="str">
        <f t="shared" si="163"/>
        <v/>
      </c>
      <c r="H766" s="61"/>
      <c r="I766" s="61"/>
      <c r="J766" s="61"/>
      <c r="K766" s="65"/>
      <c r="L766" s="65"/>
      <c r="M766" s="66" t="str">
        <f t="shared" ca="1" si="164"/>
        <v/>
      </c>
      <c r="N766" s="80"/>
      <c r="O766" s="81"/>
    </row>
    <row r="767" spans="1:15" ht="15" customHeight="1" x14ac:dyDescent="0.35">
      <c r="A767" s="18">
        <v>46263</v>
      </c>
      <c r="B767" s="68">
        <f t="shared" si="165"/>
        <v>0.70833333333333293</v>
      </c>
      <c r="C767" s="70"/>
      <c r="D767" s="75"/>
      <c r="E767" s="75"/>
      <c r="F767" s="63"/>
      <c r="G767" s="69" t="str">
        <f t="shared" si="163"/>
        <v/>
      </c>
      <c r="H767" s="70"/>
      <c r="I767" s="70"/>
      <c r="J767" s="70"/>
      <c r="K767" s="65"/>
      <c r="L767" s="65"/>
      <c r="M767" s="71" t="str">
        <f t="shared" ca="1" si="164"/>
        <v/>
      </c>
      <c r="N767" s="80"/>
      <c r="O767" s="81"/>
    </row>
    <row r="768" spans="1:15" ht="15" customHeight="1" x14ac:dyDescent="0.35">
      <c r="A768" s="59">
        <v>46263</v>
      </c>
      <c r="B768" s="60">
        <f t="shared" si="165"/>
        <v>0.74999999999999956</v>
      </c>
      <c r="C768" s="61"/>
      <c r="D768" s="62"/>
      <c r="E768" s="62"/>
      <c r="F768" s="63"/>
      <c r="G768" s="64" t="str">
        <f t="shared" si="163"/>
        <v/>
      </c>
      <c r="H768" s="61"/>
      <c r="I768" s="61"/>
      <c r="J768" s="61"/>
      <c r="K768" s="65"/>
      <c r="L768" s="65"/>
      <c r="M768" s="66" t="str">
        <f t="shared" ca="1" si="164"/>
        <v/>
      </c>
      <c r="N768" s="80"/>
      <c r="O768" s="81"/>
    </row>
    <row r="769" spans="1:15" ht="15" customHeight="1" x14ac:dyDescent="0.35">
      <c r="A769" s="18">
        <v>46263</v>
      </c>
      <c r="B769" s="68">
        <f t="shared" si="165"/>
        <v>0.79166666666666619</v>
      </c>
      <c r="C769" s="70"/>
      <c r="D769" s="75"/>
      <c r="E769" s="75"/>
      <c r="F769" s="63"/>
      <c r="G769" s="69" t="str">
        <f t="shared" si="163"/>
        <v/>
      </c>
      <c r="H769" s="70"/>
      <c r="I769" s="70"/>
      <c r="J769" s="70"/>
      <c r="K769" s="65"/>
      <c r="L769" s="65"/>
      <c r="M769" s="71" t="str">
        <f t="shared" ca="1" si="164"/>
        <v/>
      </c>
      <c r="N769" s="80"/>
      <c r="O769" s="81"/>
    </row>
    <row r="770" spans="1:15" ht="15.75" customHeight="1" x14ac:dyDescent="0.35">
      <c r="A770" s="161" t="s">
        <v>249</v>
      </c>
      <c r="B770" s="161"/>
      <c r="C770" s="161"/>
      <c r="D770" s="161"/>
      <c r="E770" s="161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250</v>
      </c>
      <c r="O770" s="74"/>
    </row>
    <row r="771" spans="1:15" ht="15" customHeight="1" x14ac:dyDescent="0.3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6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7">IFERROR(IF(K771="","",IF(L771="",MOD(NOW()-K771,1),IF(L771&gt;=K771,L771-K771,L771+1-K771))),"")</f>
        <v/>
      </c>
      <c r="N771" s="80"/>
      <c r="O771" s="81"/>
    </row>
    <row r="772" spans="1:15" ht="15" customHeight="1" x14ac:dyDescent="0.35">
      <c r="A772" s="59">
        <v>46263</v>
      </c>
      <c r="B772" s="60">
        <f t="shared" ref="B772:B782" si="168">B771+TIME(0,60,0)</f>
        <v>0.87499999999999967</v>
      </c>
      <c r="C772" s="61"/>
      <c r="D772" s="62"/>
      <c r="E772" s="62"/>
      <c r="F772" s="63"/>
      <c r="G772" s="64" t="str">
        <f t="shared" si="166"/>
        <v/>
      </c>
      <c r="H772" s="61"/>
      <c r="I772" s="61"/>
      <c r="J772" s="61"/>
      <c r="K772" s="65"/>
      <c r="L772" s="65"/>
      <c r="M772" s="66" t="str">
        <f t="shared" ca="1" si="167"/>
        <v/>
      </c>
      <c r="N772" s="80"/>
      <c r="O772" s="81"/>
    </row>
    <row r="773" spans="1:15" ht="15" customHeight="1" x14ac:dyDescent="0.35">
      <c r="A773" s="18">
        <v>46263</v>
      </c>
      <c r="B773" s="68">
        <f t="shared" si="168"/>
        <v>0.9166666666666663</v>
      </c>
      <c r="C773" s="70"/>
      <c r="D773" s="75"/>
      <c r="E773" s="75"/>
      <c r="F773" s="63"/>
      <c r="G773" s="69" t="str">
        <f t="shared" si="166"/>
        <v/>
      </c>
      <c r="H773" s="70"/>
      <c r="I773" s="70"/>
      <c r="J773" s="70"/>
      <c r="K773" s="65"/>
      <c r="L773" s="65"/>
      <c r="M773" s="71" t="str">
        <f t="shared" ca="1" si="167"/>
        <v/>
      </c>
      <c r="N773" s="80"/>
      <c r="O773" s="81"/>
    </row>
    <row r="774" spans="1:15" ht="15" customHeight="1" x14ac:dyDescent="0.35">
      <c r="A774" s="59">
        <v>46263</v>
      </c>
      <c r="B774" s="60">
        <f t="shared" si="168"/>
        <v>0.95833333333333293</v>
      </c>
      <c r="C774" s="61"/>
      <c r="D774" s="62"/>
      <c r="E774" s="62"/>
      <c r="F774" s="63"/>
      <c r="G774" s="64" t="str">
        <f t="shared" si="166"/>
        <v/>
      </c>
      <c r="H774" s="61"/>
      <c r="I774" s="61"/>
      <c r="J774" s="61"/>
      <c r="K774" s="65"/>
      <c r="L774" s="65"/>
      <c r="M774" s="66" t="str">
        <f t="shared" ca="1" si="167"/>
        <v/>
      </c>
      <c r="N774" s="80"/>
      <c r="O774" s="81"/>
    </row>
    <row r="775" spans="1:15" ht="15" customHeight="1" x14ac:dyDescent="0.35">
      <c r="A775" s="18">
        <v>46263</v>
      </c>
      <c r="B775" s="68">
        <f t="shared" si="168"/>
        <v>0.99999999999999956</v>
      </c>
      <c r="C775" s="70"/>
      <c r="D775" s="75"/>
      <c r="E775" s="75"/>
      <c r="F775" s="63"/>
      <c r="G775" s="69" t="str">
        <f t="shared" si="166"/>
        <v/>
      </c>
      <c r="H775" s="70"/>
      <c r="I775" s="70"/>
      <c r="J775" s="70"/>
      <c r="K775" s="65"/>
      <c r="L775" s="65"/>
      <c r="M775" s="71" t="str">
        <f t="shared" ca="1" si="167"/>
        <v/>
      </c>
      <c r="N775" s="80"/>
      <c r="O775" s="81"/>
    </row>
    <row r="776" spans="1:15" ht="15" customHeight="1" x14ac:dyDescent="0.35">
      <c r="A776" s="59">
        <v>46263</v>
      </c>
      <c r="B776" s="60">
        <f t="shared" si="168"/>
        <v>1.0416666666666663</v>
      </c>
      <c r="C776" s="61"/>
      <c r="D776" s="62"/>
      <c r="E776" s="62"/>
      <c r="F776" s="63"/>
      <c r="G776" s="64" t="str">
        <f t="shared" si="166"/>
        <v/>
      </c>
      <c r="H776" s="61"/>
      <c r="I776" s="61"/>
      <c r="J776" s="61"/>
      <c r="K776" s="65"/>
      <c r="L776" s="65"/>
      <c r="M776" s="66" t="str">
        <f t="shared" ca="1" si="167"/>
        <v/>
      </c>
      <c r="N776" s="80"/>
      <c r="O776" s="81"/>
    </row>
    <row r="777" spans="1:15" ht="15" customHeight="1" x14ac:dyDescent="0.35">
      <c r="A777" s="18">
        <v>46263</v>
      </c>
      <c r="B777" s="68">
        <f t="shared" si="168"/>
        <v>1.083333333333333</v>
      </c>
      <c r="C777" s="70"/>
      <c r="D777" s="75"/>
      <c r="E777" s="75"/>
      <c r="F777" s="63"/>
      <c r="G777" s="69" t="str">
        <f t="shared" si="166"/>
        <v/>
      </c>
      <c r="H777" s="70"/>
      <c r="I777" s="70"/>
      <c r="J777" s="70"/>
      <c r="K777" s="65"/>
      <c r="L777" s="65"/>
      <c r="M777" s="71" t="str">
        <f t="shared" ca="1" si="167"/>
        <v/>
      </c>
      <c r="N777" s="80"/>
      <c r="O777" s="81"/>
    </row>
    <row r="778" spans="1:15" ht="15" customHeight="1" x14ac:dyDescent="0.35">
      <c r="A778" s="59">
        <v>46263</v>
      </c>
      <c r="B778" s="60">
        <f t="shared" si="168"/>
        <v>1.1249999999999998</v>
      </c>
      <c r="C778" s="61"/>
      <c r="D778" s="62"/>
      <c r="E778" s="62"/>
      <c r="F778" s="63"/>
      <c r="G778" s="64" t="str">
        <f t="shared" si="166"/>
        <v/>
      </c>
      <c r="H778" s="61"/>
      <c r="I778" s="61"/>
      <c r="J778" s="61"/>
      <c r="K778" s="65"/>
      <c r="L778" s="65"/>
      <c r="M778" s="66" t="str">
        <f t="shared" ca="1" si="167"/>
        <v/>
      </c>
      <c r="N778" s="80"/>
      <c r="O778" s="81"/>
    </row>
    <row r="779" spans="1:15" ht="15" customHeight="1" x14ac:dyDescent="0.35">
      <c r="A779" s="18">
        <v>46263</v>
      </c>
      <c r="B779" s="68">
        <f t="shared" si="168"/>
        <v>1.1666666666666665</v>
      </c>
      <c r="C779" s="70"/>
      <c r="D779" s="75"/>
      <c r="E779" s="75"/>
      <c r="F779" s="63"/>
      <c r="G779" s="69" t="str">
        <f t="shared" si="166"/>
        <v/>
      </c>
      <c r="H779" s="70"/>
      <c r="I779" s="70"/>
      <c r="J779" s="70"/>
      <c r="K779" s="65"/>
      <c r="L779" s="65"/>
      <c r="M779" s="71" t="str">
        <f t="shared" ca="1" si="167"/>
        <v/>
      </c>
      <c r="N779" s="80"/>
      <c r="O779" s="81"/>
    </row>
    <row r="780" spans="1:15" ht="15" customHeight="1" x14ac:dyDescent="0.35">
      <c r="A780" s="59">
        <v>46263</v>
      </c>
      <c r="B780" s="60">
        <f t="shared" si="168"/>
        <v>1.2083333333333333</v>
      </c>
      <c r="C780" s="61"/>
      <c r="D780" s="62"/>
      <c r="E780" s="62"/>
      <c r="F780" s="63"/>
      <c r="G780" s="64" t="str">
        <f t="shared" si="166"/>
        <v/>
      </c>
      <c r="H780" s="61"/>
      <c r="I780" s="61"/>
      <c r="J780" s="61"/>
      <c r="K780" s="65"/>
      <c r="L780" s="65"/>
      <c r="M780" s="66" t="str">
        <f t="shared" ca="1" si="167"/>
        <v/>
      </c>
      <c r="N780" s="80"/>
      <c r="O780" s="81"/>
    </row>
    <row r="781" spans="1:15" ht="15" customHeight="1" x14ac:dyDescent="0.35">
      <c r="A781" s="18">
        <v>46263</v>
      </c>
      <c r="B781" s="68">
        <f t="shared" si="168"/>
        <v>1.25</v>
      </c>
      <c r="C781" s="70"/>
      <c r="D781" s="75"/>
      <c r="E781" s="75"/>
      <c r="F781" s="63"/>
      <c r="G781" s="69" t="str">
        <f t="shared" si="166"/>
        <v/>
      </c>
      <c r="H781" s="70"/>
      <c r="I781" s="70"/>
      <c r="J781" s="70"/>
      <c r="K781" s="65"/>
      <c r="L781" s="65"/>
      <c r="M781" s="71" t="str">
        <f t="shared" ca="1" si="167"/>
        <v/>
      </c>
      <c r="N781" s="80"/>
      <c r="O781" s="81"/>
    </row>
    <row r="782" spans="1:15" ht="15" customHeight="1" x14ac:dyDescent="0.35">
      <c r="A782" s="59">
        <v>46263</v>
      </c>
      <c r="B782" s="60">
        <f t="shared" si="168"/>
        <v>1.2916666666666667</v>
      </c>
      <c r="C782" s="61"/>
      <c r="D782" s="62"/>
      <c r="E782" s="62"/>
      <c r="F782" s="63"/>
      <c r="G782" s="64" t="str">
        <f t="shared" si="166"/>
        <v/>
      </c>
      <c r="H782" s="61"/>
      <c r="I782" s="61"/>
      <c r="J782" s="61"/>
      <c r="K782" s="65"/>
      <c r="L782" s="65"/>
      <c r="M782" s="66" t="str">
        <f t="shared" ca="1" si="167"/>
        <v/>
      </c>
      <c r="N782" s="80"/>
      <c r="O782" s="81"/>
    </row>
    <row r="783" spans="1:15" ht="15.75" customHeight="1" x14ac:dyDescent="0.35">
      <c r="A783" s="161" t="s">
        <v>252</v>
      </c>
      <c r="B783" s="161"/>
      <c r="C783" s="161"/>
      <c r="D783" s="161"/>
      <c r="E783" s="161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250</v>
      </c>
      <c r="O783" s="74"/>
    </row>
    <row r="784" spans="1:15" ht="18" customHeight="1" x14ac:dyDescent="0.35">
      <c r="A784" s="162" t="s">
        <v>253</v>
      </c>
      <c r="B784" s="162"/>
      <c r="C784" s="162"/>
      <c r="D784" s="162"/>
      <c r="E784" s="162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254</v>
      </c>
      <c r="O784" s="82">
        <f>IFERROR(O770+O783,"")</f>
        <v>0</v>
      </c>
    </row>
    <row r="785" spans="1:15" ht="15" customHeight="1" x14ac:dyDescent="0.3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69">IFERROR(IF(K785="","",IF(L785="",MOD(NOW()-K785,1),IF(L785&gt;=K785,L785-K785,L785+1-K785))),"")</f>
        <v/>
      </c>
      <c r="N785" s="80"/>
      <c r="O785" s="81"/>
    </row>
    <row r="786" spans="1:15" ht="15" customHeight="1" x14ac:dyDescent="0.35">
      <c r="A786" s="59">
        <v>46264</v>
      </c>
      <c r="B786" s="60">
        <f t="shared" ref="B786:B796" si="170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69"/>
        <v/>
      </c>
      <c r="N786" s="80"/>
      <c r="O786" s="81"/>
    </row>
    <row r="787" spans="1:15" ht="15" customHeight="1" x14ac:dyDescent="0.35">
      <c r="A787" s="18">
        <v>46264</v>
      </c>
      <c r="B787" s="68">
        <f t="shared" si="170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69"/>
        <v/>
      </c>
      <c r="N787" s="80"/>
      <c r="O787" s="81"/>
    </row>
    <row r="788" spans="1:15" ht="15" customHeight="1" x14ac:dyDescent="0.35">
      <c r="A788" s="59">
        <v>46264</v>
      </c>
      <c r="B788" s="60">
        <f t="shared" si="170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69"/>
        <v/>
      </c>
      <c r="N788" s="80"/>
      <c r="O788" s="81"/>
    </row>
    <row r="789" spans="1:15" ht="15" customHeight="1" x14ac:dyDescent="0.35">
      <c r="A789" s="18">
        <v>46264</v>
      </c>
      <c r="B789" s="68">
        <f t="shared" si="170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69"/>
        <v/>
      </c>
      <c r="N789" s="80"/>
      <c r="O789" s="81"/>
    </row>
    <row r="790" spans="1:15" ht="15" customHeight="1" x14ac:dyDescent="0.35">
      <c r="A790" s="59">
        <v>46264</v>
      </c>
      <c r="B790" s="60">
        <f t="shared" si="170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69"/>
        <v/>
      </c>
      <c r="N790" s="80"/>
      <c r="O790" s="81"/>
    </row>
    <row r="791" spans="1:15" ht="15" customHeight="1" x14ac:dyDescent="0.35">
      <c r="A791" s="18">
        <v>46264</v>
      </c>
      <c r="B791" s="68">
        <f t="shared" si="170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69"/>
        <v/>
      </c>
      <c r="N791" s="80"/>
      <c r="O791" s="81"/>
    </row>
    <row r="792" spans="1:15" ht="15" customHeight="1" x14ac:dyDescent="0.35">
      <c r="A792" s="59">
        <v>46264</v>
      </c>
      <c r="B792" s="60">
        <f t="shared" si="170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69"/>
        <v/>
      </c>
      <c r="N792" s="80"/>
      <c r="O792" s="81"/>
    </row>
    <row r="793" spans="1:15" ht="15" customHeight="1" x14ac:dyDescent="0.35">
      <c r="A793" s="18">
        <v>46264</v>
      </c>
      <c r="B793" s="68">
        <f t="shared" si="170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69"/>
        <v/>
      </c>
      <c r="N793" s="80"/>
      <c r="O793" s="81"/>
    </row>
    <row r="794" spans="1:15" ht="15" customHeight="1" x14ac:dyDescent="0.35">
      <c r="A794" s="59">
        <v>46264</v>
      </c>
      <c r="B794" s="60">
        <f t="shared" si="170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69"/>
        <v/>
      </c>
      <c r="N794" s="80"/>
      <c r="O794" s="81"/>
    </row>
    <row r="795" spans="1:15" ht="15" customHeight="1" x14ac:dyDescent="0.35">
      <c r="A795" s="18">
        <v>46264</v>
      </c>
      <c r="B795" s="68">
        <f t="shared" si="170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69"/>
        <v/>
      </c>
      <c r="N795" s="80"/>
      <c r="O795" s="81"/>
    </row>
    <row r="796" spans="1:15" ht="15" customHeight="1" x14ac:dyDescent="0.35">
      <c r="A796" s="59">
        <v>46264</v>
      </c>
      <c r="B796" s="60">
        <f t="shared" si="170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69"/>
        <v/>
      </c>
      <c r="N796" s="80"/>
      <c r="O796" s="81"/>
    </row>
    <row r="797" spans="1:15" ht="15.75" customHeight="1" x14ac:dyDescent="0.35">
      <c r="A797" s="161" t="s">
        <v>249</v>
      </c>
      <c r="B797" s="161"/>
      <c r="C797" s="161"/>
      <c r="D797" s="161"/>
      <c r="E797" s="161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250</v>
      </c>
      <c r="O797" s="74"/>
    </row>
    <row r="798" spans="1:15" ht="15" customHeight="1" x14ac:dyDescent="0.3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1">IFERROR(IF(K798="","",IF(L798="",MOD(NOW()-K798,1),IF(L798&gt;=K798,L798-K798,L798+1-K798))),"")</f>
        <v/>
      </c>
      <c r="N798" s="80"/>
      <c r="O798" s="81"/>
    </row>
    <row r="799" spans="1:15" ht="15" customHeight="1" x14ac:dyDescent="0.35">
      <c r="A799" s="18">
        <v>46264</v>
      </c>
      <c r="B799" s="68">
        <f t="shared" ref="B799:B809" si="172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1"/>
        <v/>
      </c>
      <c r="N799" s="80"/>
      <c r="O799" s="81"/>
    </row>
    <row r="800" spans="1:15" ht="15" customHeight="1" x14ac:dyDescent="0.35">
      <c r="A800" s="59">
        <v>46264</v>
      </c>
      <c r="B800" s="60">
        <f t="shared" si="172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1"/>
        <v/>
      </c>
      <c r="N800" s="80"/>
      <c r="O800" s="81"/>
    </row>
    <row r="801" spans="1:15" ht="15" customHeight="1" x14ac:dyDescent="0.35">
      <c r="A801" s="18">
        <v>46264</v>
      </c>
      <c r="B801" s="68">
        <f t="shared" si="172"/>
        <v>0.95833333333333293</v>
      </c>
      <c r="C801" s="70"/>
      <c r="D801" s="75"/>
      <c r="E801" s="75"/>
      <c r="F801" s="63"/>
      <c r="G801" s="69" t="str">
        <f t="shared" ref="G801:G809" si="173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1"/>
        <v/>
      </c>
      <c r="N801" s="80"/>
      <c r="O801" s="81"/>
    </row>
    <row r="802" spans="1:15" ht="15" customHeight="1" x14ac:dyDescent="0.35">
      <c r="A802" s="59">
        <v>46264</v>
      </c>
      <c r="B802" s="60">
        <f t="shared" si="172"/>
        <v>0.99999999999999956</v>
      </c>
      <c r="C802" s="61"/>
      <c r="D802" s="62"/>
      <c r="E802" s="62"/>
      <c r="F802" s="63"/>
      <c r="G802" s="64" t="str">
        <f t="shared" si="173"/>
        <v/>
      </c>
      <c r="H802" s="61"/>
      <c r="I802" s="61"/>
      <c r="J802" s="61"/>
      <c r="K802" s="65"/>
      <c r="L802" s="65"/>
      <c r="M802" s="66" t="str">
        <f t="shared" ca="1" si="171"/>
        <v/>
      </c>
      <c r="N802" s="80"/>
      <c r="O802" s="81"/>
    </row>
    <row r="803" spans="1:15" ht="15" customHeight="1" x14ac:dyDescent="0.35">
      <c r="A803" s="18">
        <v>46264</v>
      </c>
      <c r="B803" s="68">
        <f t="shared" si="172"/>
        <v>1.0416666666666663</v>
      </c>
      <c r="C803" s="70"/>
      <c r="D803" s="75"/>
      <c r="E803" s="75"/>
      <c r="F803" s="63"/>
      <c r="G803" s="69" t="str">
        <f t="shared" si="173"/>
        <v/>
      </c>
      <c r="H803" s="70"/>
      <c r="I803" s="70"/>
      <c r="J803" s="70"/>
      <c r="K803" s="65"/>
      <c r="L803" s="65"/>
      <c r="M803" s="71" t="str">
        <f t="shared" ca="1" si="171"/>
        <v/>
      </c>
      <c r="N803" s="80"/>
      <c r="O803" s="81"/>
    </row>
    <row r="804" spans="1:15" ht="15" customHeight="1" x14ac:dyDescent="0.35">
      <c r="A804" s="59">
        <v>46264</v>
      </c>
      <c r="B804" s="60">
        <f t="shared" si="172"/>
        <v>1.083333333333333</v>
      </c>
      <c r="C804" s="61"/>
      <c r="D804" s="62"/>
      <c r="E804" s="62"/>
      <c r="F804" s="63"/>
      <c r="G804" s="64" t="str">
        <f t="shared" si="173"/>
        <v/>
      </c>
      <c r="H804" s="61"/>
      <c r="I804" s="61"/>
      <c r="J804" s="61"/>
      <c r="K804" s="65"/>
      <c r="L804" s="65"/>
      <c r="M804" s="66" t="str">
        <f t="shared" ca="1" si="171"/>
        <v/>
      </c>
      <c r="N804" s="80"/>
      <c r="O804" s="81"/>
    </row>
    <row r="805" spans="1:15" ht="15" customHeight="1" x14ac:dyDescent="0.35">
      <c r="A805" s="18">
        <v>46264</v>
      </c>
      <c r="B805" s="68">
        <f t="shared" si="172"/>
        <v>1.1249999999999998</v>
      </c>
      <c r="C805" s="70"/>
      <c r="D805" s="75"/>
      <c r="E805" s="75"/>
      <c r="F805" s="63"/>
      <c r="G805" s="69" t="str">
        <f t="shared" si="173"/>
        <v/>
      </c>
      <c r="H805" s="70"/>
      <c r="I805" s="70"/>
      <c r="J805" s="70"/>
      <c r="K805" s="65"/>
      <c r="L805" s="65"/>
      <c r="M805" s="71" t="str">
        <f t="shared" ca="1" si="171"/>
        <v/>
      </c>
      <c r="N805" s="80"/>
      <c r="O805" s="81"/>
    </row>
    <row r="806" spans="1:15" ht="15" customHeight="1" x14ac:dyDescent="0.35">
      <c r="A806" s="59">
        <v>46264</v>
      </c>
      <c r="B806" s="60">
        <f t="shared" si="172"/>
        <v>1.1666666666666665</v>
      </c>
      <c r="C806" s="61"/>
      <c r="D806" s="62"/>
      <c r="E806" s="62"/>
      <c r="F806" s="63"/>
      <c r="G806" s="64" t="str">
        <f t="shared" si="173"/>
        <v/>
      </c>
      <c r="H806" s="61"/>
      <c r="I806" s="61"/>
      <c r="J806" s="61"/>
      <c r="K806" s="65"/>
      <c r="L806" s="65"/>
      <c r="M806" s="66" t="str">
        <f t="shared" ca="1" si="171"/>
        <v/>
      </c>
      <c r="N806" s="80"/>
      <c r="O806" s="81"/>
    </row>
    <row r="807" spans="1:15" ht="15" customHeight="1" x14ac:dyDescent="0.35">
      <c r="A807" s="18">
        <v>46264</v>
      </c>
      <c r="B807" s="68">
        <f t="shared" si="172"/>
        <v>1.2083333333333333</v>
      </c>
      <c r="C807" s="70"/>
      <c r="D807" s="75"/>
      <c r="E807" s="75"/>
      <c r="F807" s="63"/>
      <c r="G807" s="69" t="str">
        <f t="shared" si="173"/>
        <v/>
      </c>
      <c r="H807" s="70"/>
      <c r="I807" s="70"/>
      <c r="J807" s="70"/>
      <c r="K807" s="65"/>
      <c r="L807" s="65"/>
      <c r="M807" s="71" t="str">
        <f t="shared" ca="1" si="171"/>
        <v/>
      </c>
      <c r="N807" s="80"/>
      <c r="O807" s="81"/>
    </row>
    <row r="808" spans="1:15" ht="15" customHeight="1" x14ac:dyDescent="0.35">
      <c r="A808" s="59">
        <v>46264</v>
      </c>
      <c r="B808" s="60">
        <f t="shared" si="172"/>
        <v>1.25</v>
      </c>
      <c r="C808" s="61"/>
      <c r="D808" s="62"/>
      <c r="E808" s="62"/>
      <c r="F808" s="63"/>
      <c r="G808" s="64" t="str">
        <f t="shared" si="173"/>
        <v/>
      </c>
      <c r="H808" s="61"/>
      <c r="I808" s="61"/>
      <c r="J808" s="61"/>
      <c r="K808" s="65"/>
      <c r="L808" s="65"/>
      <c r="M808" s="66" t="str">
        <f t="shared" ca="1" si="171"/>
        <v/>
      </c>
      <c r="N808" s="80"/>
      <c r="O808" s="81"/>
    </row>
    <row r="809" spans="1:15" ht="15" customHeight="1" x14ac:dyDescent="0.35">
      <c r="A809" s="18">
        <v>46264</v>
      </c>
      <c r="B809" s="68">
        <f t="shared" si="172"/>
        <v>1.2916666666666667</v>
      </c>
      <c r="C809" s="70"/>
      <c r="D809" s="75"/>
      <c r="E809" s="75"/>
      <c r="F809" s="63"/>
      <c r="G809" s="69" t="str">
        <f t="shared" si="173"/>
        <v/>
      </c>
      <c r="H809" s="70"/>
      <c r="I809" s="70"/>
      <c r="J809" s="70"/>
      <c r="K809" s="65"/>
      <c r="L809" s="65"/>
      <c r="M809" s="71" t="str">
        <f t="shared" ca="1" si="171"/>
        <v/>
      </c>
      <c r="N809" s="80"/>
      <c r="O809" s="81"/>
    </row>
    <row r="810" spans="1:15" ht="15.75" customHeight="1" x14ac:dyDescent="0.35">
      <c r="A810" s="161" t="s">
        <v>252</v>
      </c>
      <c r="B810" s="161"/>
      <c r="C810" s="161"/>
      <c r="D810" s="161"/>
      <c r="E810" s="161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250</v>
      </c>
      <c r="O810" s="74"/>
    </row>
    <row r="811" spans="1:15" ht="18" customHeight="1" x14ac:dyDescent="0.35">
      <c r="A811" s="162" t="s">
        <v>253</v>
      </c>
      <c r="B811" s="162"/>
      <c r="C811" s="162"/>
      <c r="D811" s="162"/>
      <c r="E811" s="162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254</v>
      </c>
      <c r="O811" s="30">
        <f>IFERROR(O797+O810,"")</f>
        <v>0</v>
      </c>
    </row>
    <row r="812" spans="1:15" ht="15" customHeight="1" x14ac:dyDescent="0.3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4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5">IFERROR(IF(K812="","",IF(L812="",MOD(NOW()-K812,1),IF(L812&gt;=K812,L812-K812,L812+1-K812))),"")</f>
        <v/>
      </c>
      <c r="N812" s="63"/>
      <c r="O812" s="67"/>
    </row>
    <row r="813" spans="1:15" ht="15" customHeight="1" x14ac:dyDescent="0.35">
      <c r="A813" s="18">
        <v>46265</v>
      </c>
      <c r="B813" s="68">
        <f t="shared" ref="B813:B823" si="176">B812+TIME(0,60,0)</f>
        <v>0.37499999999999967</v>
      </c>
      <c r="C813" s="61"/>
      <c r="D813" s="62"/>
      <c r="E813" s="62"/>
      <c r="F813" s="63"/>
      <c r="G813" s="69" t="str">
        <f t="shared" si="174"/>
        <v/>
      </c>
      <c r="H813" s="61"/>
      <c r="I813" s="61"/>
      <c r="J813" s="61"/>
      <c r="K813" s="65"/>
      <c r="L813" s="65"/>
      <c r="M813" s="66" t="str">
        <f t="shared" ca="1" si="175"/>
        <v/>
      </c>
      <c r="N813" s="63"/>
      <c r="O813" s="67"/>
    </row>
    <row r="814" spans="1:15" ht="15" customHeight="1" x14ac:dyDescent="0.35">
      <c r="A814" s="59">
        <v>46265</v>
      </c>
      <c r="B814" s="60">
        <f t="shared" si="176"/>
        <v>0.41666666666666635</v>
      </c>
      <c r="C814" s="61"/>
      <c r="D814" s="62"/>
      <c r="E814" s="62"/>
      <c r="F814" s="63"/>
      <c r="G814" s="64" t="str">
        <f t="shared" si="174"/>
        <v/>
      </c>
      <c r="H814" s="70"/>
      <c r="I814" s="70"/>
      <c r="J814" s="70"/>
      <c r="K814" s="65"/>
      <c r="L814" s="65"/>
      <c r="M814" s="71" t="str">
        <f t="shared" ca="1" si="175"/>
        <v/>
      </c>
      <c r="N814" s="63"/>
      <c r="O814" s="67"/>
    </row>
    <row r="815" spans="1:15" ht="15" customHeight="1" x14ac:dyDescent="0.35">
      <c r="A815" s="18">
        <v>46265</v>
      </c>
      <c r="B815" s="68">
        <f t="shared" si="176"/>
        <v>0.45833333333333304</v>
      </c>
      <c r="C815" s="61"/>
      <c r="D815" s="62"/>
      <c r="E815" s="62"/>
      <c r="F815" s="63"/>
      <c r="G815" s="69" t="str">
        <f t="shared" si="174"/>
        <v/>
      </c>
      <c r="H815" s="61"/>
      <c r="I815" s="61"/>
      <c r="J815" s="61"/>
      <c r="K815" s="65"/>
      <c r="L815" s="65"/>
      <c r="M815" s="66" t="str">
        <f t="shared" ca="1" si="175"/>
        <v/>
      </c>
      <c r="N815" s="63"/>
      <c r="O815" s="67"/>
    </row>
    <row r="816" spans="1:15" ht="15" customHeight="1" x14ac:dyDescent="0.35">
      <c r="A816" s="59">
        <v>46265</v>
      </c>
      <c r="B816" s="60">
        <f t="shared" si="176"/>
        <v>0.49999999999999972</v>
      </c>
      <c r="C816" s="61"/>
      <c r="D816" s="62"/>
      <c r="E816" s="62"/>
      <c r="F816" s="63"/>
      <c r="G816" s="64" t="str">
        <f t="shared" si="174"/>
        <v/>
      </c>
      <c r="H816" s="70"/>
      <c r="I816" s="70"/>
      <c r="J816" s="70"/>
      <c r="K816" s="65"/>
      <c r="L816" s="65"/>
      <c r="M816" s="71" t="str">
        <f t="shared" ca="1" si="175"/>
        <v/>
      </c>
      <c r="N816" s="63"/>
      <c r="O816" s="67"/>
    </row>
    <row r="817" spans="1:15" ht="15" customHeight="1" x14ac:dyDescent="0.35">
      <c r="A817" s="18">
        <v>46265</v>
      </c>
      <c r="B817" s="68">
        <f t="shared" si="176"/>
        <v>0.54166666666666641</v>
      </c>
      <c r="C817" s="61"/>
      <c r="D817" s="62"/>
      <c r="E817" s="62"/>
      <c r="F817" s="63"/>
      <c r="G817" s="69" t="str">
        <f t="shared" si="174"/>
        <v/>
      </c>
      <c r="H817" s="61"/>
      <c r="I817" s="61"/>
      <c r="J817" s="61"/>
      <c r="K817" s="65"/>
      <c r="L817" s="65"/>
      <c r="M817" s="66" t="str">
        <f t="shared" ca="1" si="175"/>
        <v/>
      </c>
      <c r="N817" s="63"/>
      <c r="O817" s="67"/>
    </row>
    <row r="818" spans="1:15" ht="15" customHeight="1" x14ac:dyDescent="0.35">
      <c r="A818" s="59">
        <v>46265</v>
      </c>
      <c r="B818" s="60">
        <f t="shared" si="176"/>
        <v>0.58333333333333304</v>
      </c>
      <c r="C818" s="61"/>
      <c r="D818" s="62"/>
      <c r="E818" s="62"/>
      <c r="F818" s="63"/>
      <c r="G818" s="64" t="str">
        <f t="shared" si="174"/>
        <v/>
      </c>
      <c r="H818" s="70"/>
      <c r="I818" s="70"/>
      <c r="J818" s="70"/>
      <c r="K818" s="65"/>
      <c r="L818" s="65"/>
      <c r="M818" s="71" t="str">
        <f t="shared" ca="1" si="175"/>
        <v/>
      </c>
      <c r="N818" s="63"/>
      <c r="O818" s="67"/>
    </row>
    <row r="819" spans="1:15" ht="15" customHeight="1" x14ac:dyDescent="0.35">
      <c r="A819" s="18">
        <v>46265</v>
      </c>
      <c r="B819" s="68">
        <f t="shared" si="176"/>
        <v>0.62499999999999967</v>
      </c>
      <c r="C819" s="61"/>
      <c r="D819" s="62"/>
      <c r="E819" s="62"/>
      <c r="F819" s="63"/>
      <c r="G819" s="69" t="str">
        <f t="shared" si="174"/>
        <v/>
      </c>
      <c r="H819" s="61"/>
      <c r="I819" s="61"/>
      <c r="J819" s="61"/>
      <c r="K819" s="65"/>
      <c r="L819" s="65"/>
      <c r="M819" s="66" t="str">
        <f t="shared" ca="1" si="175"/>
        <v/>
      </c>
      <c r="N819" s="63"/>
      <c r="O819" s="67"/>
    </row>
    <row r="820" spans="1:15" ht="15" customHeight="1" x14ac:dyDescent="0.35">
      <c r="A820" s="59">
        <v>46265</v>
      </c>
      <c r="B820" s="60">
        <f t="shared" si="176"/>
        <v>0.6666666666666663</v>
      </c>
      <c r="C820" s="61"/>
      <c r="D820" s="62"/>
      <c r="E820" s="62"/>
      <c r="F820" s="63"/>
      <c r="G820" s="64" t="str">
        <f t="shared" si="174"/>
        <v/>
      </c>
      <c r="H820" s="70"/>
      <c r="I820" s="70"/>
      <c r="J820" s="70"/>
      <c r="K820" s="65"/>
      <c r="L820" s="65"/>
      <c r="M820" s="71" t="str">
        <f t="shared" ca="1" si="175"/>
        <v/>
      </c>
      <c r="N820" s="63"/>
      <c r="O820" s="67"/>
    </row>
    <row r="821" spans="1:15" ht="15" customHeight="1" x14ac:dyDescent="0.35">
      <c r="A821" s="18">
        <v>46265</v>
      </c>
      <c r="B821" s="68">
        <f t="shared" si="176"/>
        <v>0.70833333333333293</v>
      </c>
      <c r="C821" s="61"/>
      <c r="D821" s="62"/>
      <c r="E821" s="62"/>
      <c r="F821" s="63"/>
      <c r="G821" s="69" t="str">
        <f t="shared" si="174"/>
        <v/>
      </c>
      <c r="H821" s="61"/>
      <c r="I821" s="61"/>
      <c r="J821" s="61"/>
      <c r="K821" s="65"/>
      <c r="L821" s="65"/>
      <c r="M821" s="66" t="str">
        <f t="shared" ca="1" si="175"/>
        <v/>
      </c>
      <c r="N821" s="63"/>
      <c r="O821" s="67"/>
    </row>
    <row r="822" spans="1:15" ht="15" customHeight="1" x14ac:dyDescent="0.35">
      <c r="A822" s="59">
        <v>46265</v>
      </c>
      <c r="B822" s="60">
        <f t="shared" si="176"/>
        <v>0.74999999999999956</v>
      </c>
      <c r="C822" s="61"/>
      <c r="D822" s="62"/>
      <c r="E822" s="62"/>
      <c r="F822" s="63"/>
      <c r="G822" s="64" t="str">
        <f t="shared" si="174"/>
        <v/>
      </c>
      <c r="H822" s="70"/>
      <c r="I822" s="70"/>
      <c r="J822" s="70"/>
      <c r="K822" s="65"/>
      <c r="L822" s="65"/>
      <c r="M822" s="71" t="str">
        <f t="shared" ca="1" si="175"/>
        <v/>
      </c>
      <c r="N822" s="63"/>
      <c r="O822" s="67"/>
    </row>
    <row r="823" spans="1:15" ht="15" customHeight="1" x14ac:dyDescent="0.35">
      <c r="A823" s="18">
        <v>46265</v>
      </c>
      <c r="B823" s="68">
        <f t="shared" si="176"/>
        <v>0.79166666666666619</v>
      </c>
      <c r="C823" s="61"/>
      <c r="D823" s="62"/>
      <c r="E823" s="62"/>
      <c r="F823" s="63"/>
      <c r="G823" s="69" t="str">
        <f t="shared" si="174"/>
        <v/>
      </c>
      <c r="H823" s="61"/>
      <c r="I823" s="61"/>
      <c r="J823" s="61"/>
      <c r="K823" s="65"/>
      <c r="L823" s="65"/>
      <c r="M823" s="66" t="str">
        <f t="shared" ca="1" si="175"/>
        <v/>
      </c>
      <c r="N823" s="63"/>
      <c r="O823" s="67"/>
    </row>
    <row r="824" spans="1:15" ht="15.75" customHeight="1" x14ac:dyDescent="0.35">
      <c r="A824" s="161" t="s">
        <v>249</v>
      </c>
      <c r="B824" s="161"/>
      <c r="C824" s="161"/>
      <c r="D824" s="161"/>
      <c r="E824" s="161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250</v>
      </c>
      <c r="O824" s="74"/>
    </row>
    <row r="825" spans="1:15" ht="15" customHeight="1" x14ac:dyDescent="0.3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7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8">IFERROR(IF(K825="","",IF(L825="",MOD(NOW()-K825,1),IF(L825&gt;=K825,L825-K825,L825+1-K825))),"")</f>
        <v/>
      </c>
      <c r="N825" s="63"/>
      <c r="O825" s="67"/>
    </row>
    <row r="826" spans="1:15" ht="15" customHeight="1" x14ac:dyDescent="0.35">
      <c r="A826" s="59">
        <v>46265</v>
      </c>
      <c r="B826" s="60">
        <f t="shared" ref="B826:B836" si="179">B825+TIME(0,60,0)</f>
        <v>0.87499999999999967</v>
      </c>
      <c r="C826" s="70"/>
      <c r="D826" s="75"/>
      <c r="E826" s="75"/>
      <c r="F826" s="63"/>
      <c r="G826" s="64" t="str">
        <f t="shared" si="177"/>
        <v/>
      </c>
      <c r="H826" s="70"/>
      <c r="I826" s="70"/>
      <c r="J826" s="70"/>
      <c r="K826" s="65"/>
      <c r="L826" s="65"/>
      <c r="M826" s="71" t="str">
        <f t="shared" ca="1" si="178"/>
        <v/>
      </c>
      <c r="N826" s="63"/>
      <c r="O826" s="67"/>
    </row>
    <row r="827" spans="1:15" ht="15" customHeight="1" x14ac:dyDescent="0.35">
      <c r="A827" s="18">
        <v>46265</v>
      </c>
      <c r="B827" s="68">
        <f t="shared" si="179"/>
        <v>0.9166666666666663</v>
      </c>
      <c r="C827" s="70"/>
      <c r="D827" s="75"/>
      <c r="E827" s="75"/>
      <c r="F827" s="63"/>
      <c r="G827" s="69" t="str">
        <f t="shared" si="177"/>
        <v/>
      </c>
      <c r="H827" s="61"/>
      <c r="I827" s="61"/>
      <c r="J827" s="61"/>
      <c r="K827" s="65"/>
      <c r="L827" s="65"/>
      <c r="M827" s="66" t="str">
        <f t="shared" ca="1" si="178"/>
        <v/>
      </c>
      <c r="N827" s="63"/>
      <c r="O827" s="67"/>
    </row>
    <row r="828" spans="1:15" ht="15" customHeight="1" x14ac:dyDescent="0.35">
      <c r="A828" s="59">
        <v>46265</v>
      </c>
      <c r="B828" s="60">
        <f t="shared" si="179"/>
        <v>0.95833333333333293</v>
      </c>
      <c r="C828" s="70"/>
      <c r="D828" s="75"/>
      <c r="E828" s="75"/>
      <c r="F828" s="63"/>
      <c r="G828" s="64" t="str">
        <f t="shared" si="177"/>
        <v/>
      </c>
      <c r="H828" s="70"/>
      <c r="I828" s="70"/>
      <c r="J828" s="70"/>
      <c r="K828" s="65"/>
      <c r="L828" s="65"/>
      <c r="M828" s="71" t="str">
        <f t="shared" ca="1" si="178"/>
        <v/>
      </c>
      <c r="N828" s="63"/>
      <c r="O828" s="67"/>
    </row>
    <row r="829" spans="1:15" ht="15" customHeight="1" x14ac:dyDescent="0.35">
      <c r="A829" s="18">
        <v>46265</v>
      </c>
      <c r="B829" s="68">
        <f t="shared" si="179"/>
        <v>0.99999999999999956</v>
      </c>
      <c r="C829" s="70"/>
      <c r="D829" s="75"/>
      <c r="E829" s="75"/>
      <c r="F829" s="63"/>
      <c r="G829" s="69" t="str">
        <f t="shared" si="177"/>
        <v/>
      </c>
      <c r="H829" s="61"/>
      <c r="I829" s="61"/>
      <c r="J829" s="61"/>
      <c r="K829" s="65"/>
      <c r="L829" s="65"/>
      <c r="M829" s="66" t="str">
        <f t="shared" ca="1" si="178"/>
        <v/>
      </c>
      <c r="N829" s="63"/>
      <c r="O829" s="67"/>
    </row>
    <row r="830" spans="1:15" ht="15" customHeight="1" x14ac:dyDescent="0.35">
      <c r="A830" s="59">
        <v>46265</v>
      </c>
      <c r="B830" s="60">
        <f t="shared" si="179"/>
        <v>1.0416666666666663</v>
      </c>
      <c r="C830" s="70"/>
      <c r="D830" s="75"/>
      <c r="E830" s="75"/>
      <c r="F830" s="63"/>
      <c r="G830" s="64" t="str">
        <f t="shared" si="177"/>
        <v/>
      </c>
      <c r="H830" s="70"/>
      <c r="I830" s="70"/>
      <c r="J830" s="70"/>
      <c r="K830" s="65"/>
      <c r="L830" s="65"/>
      <c r="M830" s="71" t="str">
        <f t="shared" ca="1" si="178"/>
        <v/>
      </c>
      <c r="N830" s="63"/>
      <c r="O830" s="67"/>
    </row>
    <row r="831" spans="1:15" ht="15" customHeight="1" x14ac:dyDescent="0.35">
      <c r="A831" s="18">
        <v>46265</v>
      </c>
      <c r="B831" s="68">
        <f t="shared" si="179"/>
        <v>1.083333333333333</v>
      </c>
      <c r="C831" s="70"/>
      <c r="D831" s="75"/>
      <c r="E831" s="75"/>
      <c r="F831" s="63"/>
      <c r="G831" s="69" t="str">
        <f t="shared" si="177"/>
        <v/>
      </c>
      <c r="H831" s="61"/>
      <c r="I831" s="61"/>
      <c r="J831" s="61"/>
      <c r="K831" s="65"/>
      <c r="L831" s="65"/>
      <c r="M831" s="66" t="str">
        <f t="shared" ca="1" si="178"/>
        <v/>
      </c>
      <c r="N831" s="63"/>
      <c r="O831" s="67"/>
    </row>
    <row r="832" spans="1:15" ht="15" customHeight="1" x14ac:dyDescent="0.35">
      <c r="A832" s="59">
        <v>46265</v>
      </c>
      <c r="B832" s="60">
        <f t="shared" si="179"/>
        <v>1.1249999999999998</v>
      </c>
      <c r="C832" s="70"/>
      <c r="D832" s="75"/>
      <c r="E832" s="75"/>
      <c r="F832" s="63"/>
      <c r="G832" s="64" t="str">
        <f t="shared" si="177"/>
        <v/>
      </c>
      <c r="H832" s="70"/>
      <c r="I832" s="70"/>
      <c r="J832" s="70"/>
      <c r="K832" s="65"/>
      <c r="L832" s="65"/>
      <c r="M832" s="71" t="str">
        <f t="shared" ca="1" si="178"/>
        <v/>
      </c>
      <c r="N832" s="63"/>
      <c r="O832" s="67"/>
    </row>
    <row r="833" spans="1:15" ht="15" customHeight="1" x14ac:dyDescent="0.35">
      <c r="A833" s="18">
        <v>46265</v>
      </c>
      <c r="B833" s="68">
        <f t="shared" si="179"/>
        <v>1.1666666666666665</v>
      </c>
      <c r="C833" s="70"/>
      <c r="D833" s="75"/>
      <c r="E833" s="75"/>
      <c r="F833" s="63"/>
      <c r="G833" s="69" t="str">
        <f t="shared" si="177"/>
        <v/>
      </c>
      <c r="H833" s="61"/>
      <c r="I833" s="61"/>
      <c r="J833" s="61"/>
      <c r="K833" s="65"/>
      <c r="L833" s="65"/>
      <c r="M833" s="66" t="str">
        <f t="shared" ca="1" si="178"/>
        <v/>
      </c>
      <c r="N833" s="63"/>
      <c r="O833" s="67"/>
    </row>
    <row r="834" spans="1:15" ht="15" customHeight="1" x14ac:dyDescent="0.35">
      <c r="A834" s="59">
        <v>46265</v>
      </c>
      <c r="B834" s="60">
        <f t="shared" si="179"/>
        <v>1.2083333333333333</v>
      </c>
      <c r="C834" s="70"/>
      <c r="D834" s="75"/>
      <c r="E834" s="75"/>
      <c r="F834" s="63"/>
      <c r="G834" s="64" t="str">
        <f t="shared" si="177"/>
        <v/>
      </c>
      <c r="H834" s="70"/>
      <c r="I834" s="70"/>
      <c r="J834" s="70"/>
      <c r="K834" s="65"/>
      <c r="L834" s="65"/>
      <c r="M834" s="71" t="str">
        <f t="shared" ca="1" si="178"/>
        <v/>
      </c>
      <c r="N834" s="63"/>
      <c r="O834" s="67"/>
    </row>
    <row r="835" spans="1:15" ht="15" customHeight="1" x14ac:dyDescent="0.35">
      <c r="A835" s="18">
        <v>46265</v>
      </c>
      <c r="B835" s="68">
        <f t="shared" si="179"/>
        <v>1.25</v>
      </c>
      <c r="C835" s="70"/>
      <c r="D835" s="75"/>
      <c r="E835" s="75"/>
      <c r="F835" s="63"/>
      <c r="G835" s="69" t="str">
        <f t="shared" si="177"/>
        <v/>
      </c>
      <c r="H835" s="61"/>
      <c r="I835" s="61"/>
      <c r="J835" s="61"/>
      <c r="K835" s="65"/>
      <c r="L835" s="65"/>
      <c r="M835" s="66" t="str">
        <f t="shared" ca="1" si="178"/>
        <v/>
      </c>
      <c r="N835" s="63"/>
      <c r="O835" s="67"/>
    </row>
    <row r="836" spans="1:15" ht="15" customHeight="1" x14ac:dyDescent="0.35">
      <c r="A836" s="59">
        <v>46265</v>
      </c>
      <c r="B836" s="60">
        <f t="shared" si="179"/>
        <v>1.2916666666666667</v>
      </c>
      <c r="C836" s="70"/>
      <c r="D836" s="75"/>
      <c r="E836" s="75"/>
      <c r="F836" s="63"/>
      <c r="G836" s="64" t="str">
        <f t="shared" si="177"/>
        <v/>
      </c>
      <c r="H836" s="70"/>
      <c r="I836" s="70"/>
      <c r="J836" s="70"/>
      <c r="K836" s="65"/>
      <c r="L836" s="65"/>
      <c r="M836" s="71" t="str">
        <f t="shared" ca="1" si="178"/>
        <v/>
      </c>
      <c r="N836" s="63"/>
      <c r="O836" s="67"/>
    </row>
    <row r="837" spans="1:15" ht="15.75" customHeight="1" x14ac:dyDescent="0.35">
      <c r="A837" s="161" t="s">
        <v>252</v>
      </c>
      <c r="B837" s="161"/>
      <c r="C837" s="161"/>
      <c r="D837" s="161"/>
      <c r="E837" s="161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250</v>
      </c>
      <c r="O837" s="74"/>
    </row>
    <row r="838" spans="1:15" ht="18" customHeight="1" x14ac:dyDescent="0.35">
      <c r="A838" s="162" t="s">
        <v>253</v>
      </c>
      <c r="B838" s="162"/>
      <c r="C838" s="162"/>
      <c r="D838" s="162"/>
      <c r="E838" s="162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254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L489" sqref="L489:P489"/>
    </sheetView>
  </sheetViews>
  <sheetFormatPr defaultColWidth="8.54296875" defaultRowHeight="14.5" x14ac:dyDescent="0.35"/>
  <cols>
    <col min="1" max="1" width="15.54296875" style="85" customWidth="1"/>
    <col min="2" max="2" width="9" style="54" customWidth="1"/>
    <col min="3" max="3" width="14" style="54" customWidth="1"/>
    <col min="4" max="5" width="16.08984375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9" width="16.08984375" style="54" hidden="1" customWidth="1"/>
    <col min="10" max="10" width="13.81640625" style="54" hidden="1" customWidth="1"/>
    <col min="11" max="11" width="14" style="54" customWidth="1"/>
    <col min="12" max="12" width="31.1796875" style="54" customWidth="1"/>
    <col min="13" max="13" width="29.08984375" style="54" customWidth="1"/>
    <col min="14" max="14" width="48.54296875" style="54" customWidth="1"/>
    <col min="15" max="15" width="15.453125" style="54" customWidth="1"/>
    <col min="16" max="16" width="12" style="55" customWidth="1"/>
    <col min="17" max="17" width="15.54296875" style="54" customWidth="1"/>
    <col min="18" max="18" width="48.54296875" style="54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285</v>
      </c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286</v>
      </c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287</v>
      </c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250</v>
      </c>
      <c r="S14" s="74">
        <v>481280</v>
      </c>
      <c r="T14" s="99"/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264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264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264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264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288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264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289</v>
      </c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264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264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264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264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264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264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250</v>
      </c>
      <c r="S27" s="74">
        <v>549860</v>
      </c>
      <c r="T27" s="99"/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254</v>
      </c>
      <c r="S28" s="30">
        <f>S14+S27</f>
        <v>1031140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250</v>
      </c>
      <c r="S41" s="113">
        <v>311070</v>
      </c>
      <c r="T41" s="114"/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290</v>
      </c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291</v>
      </c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292</v>
      </c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0.29735879629151896</v>
      </c>
      <c r="R53" s="80" t="s">
        <v>293</v>
      </c>
      <c r="S53" s="67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0.43624768518040669</v>
      </c>
      <c r="R54" s="2" t="s">
        <v>250</v>
      </c>
      <c r="S54" s="113">
        <v>352430</v>
      </c>
      <c r="T54" s="114"/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0.5209699074026295</v>
      </c>
      <c r="R55" s="1" t="s">
        <v>254</v>
      </c>
      <c r="S55" s="30">
        <f>IFERROR(S41+S54,"")</f>
        <v>663500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285</v>
      </c>
      <c r="S63" s="67"/>
    </row>
    <row r="64" spans="1:20" ht="15" customHeight="1" x14ac:dyDescent="0.3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5">
      <c r="A68" s="153" t="s">
        <v>249</v>
      </c>
      <c r="B68" s="153"/>
      <c r="C68" s="153"/>
      <c r="D68" s="153"/>
      <c r="E68" s="15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250</v>
      </c>
      <c r="S68" s="115">
        <v>565230</v>
      </c>
      <c r="T68" s="116"/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294</v>
      </c>
      <c r="S76" s="67"/>
    </row>
    <row r="77" spans="1:20" ht="15" customHeight="1" x14ac:dyDescent="0.3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264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5">
      <c r="A81" s="153" t="s">
        <v>252</v>
      </c>
      <c r="B81" s="153"/>
      <c r="C81" s="153"/>
      <c r="D81" s="153"/>
      <c r="E81" s="15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250</v>
      </c>
      <c r="S81" s="115">
        <v>634210</v>
      </c>
      <c r="T81" s="116"/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254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264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5">
      <c r="A95" s="153" t="s">
        <v>249</v>
      </c>
      <c r="B95" s="153"/>
      <c r="C95" s="153"/>
      <c r="D95" s="153"/>
      <c r="E95" s="15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250</v>
      </c>
      <c r="S95" s="115">
        <v>449600</v>
      </c>
      <c r="T95" s="116"/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295</v>
      </c>
      <c r="Q96" s="66" t="str">
        <f t="shared" ref="Q96:Q107" ca="1" si="22">IFERROR(IF(O96="","",IF(P96="",MOD(NOW()-O96,1),IF(P96&gt;=O96,P96-O96,P96+1-O96))),"")</f>
        <v/>
      </c>
      <c r="R96" s="80" t="s">
        <v>296</v>
      </c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251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297</v>
      </c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298</v>
      </c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251</v>
      </c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5">
      <c r="A108" s="153" t="s">
        <v>252</v>
      </c>
      <c r="B108" s="153"/>
      <c r="C108" s="153"/>
      <c r="D108" s="153"/>
      <c r="E108" s="15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250</v>
      </c>
      <c r="S108" s="115">
        <v>456830</v>
      </c>
      <c r="T108" s="116"/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254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299</v>
      </c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5">
      <c r="A122" s="153" t="s">
        <v>249</v>
      </c>
      <c r="B122" s="153"/>
      <c r="C122" s="153"/>
      <c r="D122" s="153"/>
      <c r="E122" s="15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250</v>
      </c>
      <c r="S122" s="115">
        <v>791070</v>
      </c>
      <c r="T122" s="116"/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5">
      <c r="A135" s="153" t="s">
        <v>252</v>
      </c>
      <c r="B135" s="153"/>
      <c r="C135" s="153"/>
      <c r="D135" s="153"/>
      <c r="E135" s="15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250</v>
      </c>
      <c r="S135" s="115">
        <v>756720</v>
      </c>
      <c r="T135" s="116"/>
    </row>
    <row r="136" spans="1:20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254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300</v>
      </c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301</v>
      </c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302</v>
      </c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5">
      <c r="A149" s="153" t="s">
        <v>249</v>
      </c>
      <c r="B149" s="153"/>
      <c r="C149" s="153"/>
      <c r="D149" s="153"/>
      <c r="E149" s="15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250</v>
      </c>
      <c r="S149" s="115">
        <v>533860</v>
      </c>
      <c r="T149" s="116"/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303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5">
      <c r="A162" s="153" t="s">
        <v>252</v>
      </c>
      <c r="B162" s="153"/>
      <c r="C162" s="153"/>
      <c r="D162" s="153"/>
      <c r="E162" s="15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250</v>
      </c>
      <c r="S162" s="115">
        <v>501750</v>
      </c>
      <c r="T162" s="116"/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254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264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264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264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264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264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264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264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264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264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264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250</v>
      </c>
      <c r="S176" s="74">
        <v>366290</v>
      </c>
      <c r="T176" s="99"/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264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264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304</v>
      </c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264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301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305</v>
      </c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264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250</v>
      </c>
      <c r="S189" s="74">
        <v>362530</v>
      </c>
      <c r="T189" s="99"/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254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306</v>
      </c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299</v>
      </c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250</v>
      </c>
      <c r="S203" s="74">
        <v>601390</v>
      </c>
      <c r="T203" s="99"/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250</v>
      </c>
      <c r="S216" s="74">
        <v>609740</v>
      </c>
      <c r="T216" s="99"/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254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294</v>
      </c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251</v>
      </c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307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308</v>
      </c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309</v>
      </c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250</v>
      </c>
      <c r="S230" s="74">
        <v>503310</v>
      </c>
      <c r="T230" s="99"/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251</v>
      </c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250</v>
      </c>
      <c r="S243" s="74">
        <v>825930</v>
      </c>
      <c r="T243" s="99"/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254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250</v>
      </c>
      <c r="S257" s="74">
        <v>898190</v>
      </c>
      <c r="T257" s="99"/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39</v>
      </c>
      <c r="E258" s="75" t="s">
        <v>264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264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264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264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264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264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264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264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264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264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264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264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732130</v>
      </c>
      <c r="T270" s="99"/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254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264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264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264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264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248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264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571950</v>
      </c>
      <c r="T284" s="99"/>
    </row>
    <row r="285" spans="1:20" ht="15" customHeight="1" x14ac:dyDescent="0.3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248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248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264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264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248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248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248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248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248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990260</v>
      </c>
      <c r="T297" s="99"/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264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264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264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264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264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264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264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264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264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264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264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250</v>
      </c>
      <c r="S311" s="74">
        <v>754870</v>
      </c>
      <c r="T311" s="99">
        <f>IFERROR(J311,"")</f>
        <v>129.92697372781066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264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264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264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264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264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264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264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264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264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264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250</v>
      </c>
      <c r="S324" s="74">
        <v>725030</v>
      </c>
      <c r="T324" s="99">
        <f>IFERROR(J324,"")</f>
        <v>104.40432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254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310</v>
      </c>
      <c r="S326" s="81"/>
    </row>
    <row r="327" spans="1:20" ht="15" customHeight="1" x14ac:dyDescent="0.3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311</v>
      </c>
      <c r="S328" s="81"/>
    </row>
    <row r="329" spans="1:20" ht="15" customHeight="1" x14ac:dyDescent="0.3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312</v>
      </c>
      <c r="S329" s="81"/>
    </row>
    <row r="330" spans="1:20" ht="15" customHeight="1" x14ac:dyDescent="0.3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313</v>
      </c>
      <c r="S331" s="81"/>
    </row>
    <row r="332" spans="1:20" ht="15" customHeight="1" x14ac:dyDescent="0.3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314</v>
      </c>
      <c r="S332" s="81"/>
    </row>
    <row r="333" spans="1:20" ht="15" customHeight="1" x14ac:dyDescent="0.3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250</v>
      </c>
      <c r="S338" s="74">
        <v>186890</v>
      </c>
      <c r="T338" s="99">
        <f>IFERROR(J338,"")</f>
        <v>39.246899999999989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306</v>
      </c>
      <c r="S341" s="81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301</v>
      </c>
      <c r="S343" s="81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250</v>
      </c>
      <c r="S351" s="74">
        <v>712170</v>
      </c>
      <c r="T351" s="99">
        <f>IFERROR(J351,"")</f>
        <v>149.5557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254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294</v>
      </c>
      <c r="S353" s="81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5">
      <c r="A365" s="153" t="s">
        <v>249</v>
      </c>
      <c r="B365" s="153"/>
      <c r="C365" s="153"/>
      <c r="D365" s="153"/>
      <c r="E365" s="15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250</v>
      </c>
      <c r="S365" s="74">
        <v>622270</v>
      </c>
      <c r="T365" s="99">
        <f>IFERROR(J365,"")</f>
        <v>130.67669999999998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315</v>
      </c>
      <c r="S367" s="81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250</v>
      </c>
      <c r="S378" s="74">
        <v>806300</v>
      </c>
      <c r="T378" s="99">
        <f>IFERROR(J378,"")</f>
        <v>169.32299999999998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254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264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264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316</v>
      </c>
      <c r="S385" s="81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250</v>
      </c>
      <c r="S392" s="74">
        <v>820320</v>
      </c>
      <c r="T392" s="99">
        <f>IFERROR(J392,"")</f>
        <v>162.80881156626504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317</v>
      </c>
      <c r="S396" s="81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250</v>
      </c>
      <c r="S405" s="74">
        <v>774540</v>
      </c>
      <c r="T405" s="99">
        <f>IFERROR(J405,"")</f>
        <v>156.22852721311477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254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250</v>
      </c>
      <c r="S419" s="74">
        <v>590830</v>
      </c>
      <c r="T419" s="99">
        <f>IFERROR(J419,"")</f>
        <v>85.079520000000002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318</v>
      </c>
      <c r="S420" s="81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5">
      <c r="A432" s="120" t="s">
        <v>252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250</v>
      </c>
      <c r="S432" s="74">
        <v>698420</v>
      </c>
      <c r="T432" s="99">
        <f>IFERROR(J432,"")</f>
        <v>100.57248</v>
      </c>
    </row>
    <row r="433" spans="1:20" ht="18" customHeight="1" x14ac:dyDescent="0.35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254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319</v>
      </c>
      <c r="S434" s="81"/>
    </row>
    <row r="435" spans="1:20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320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250</v>
      </c>
      <c r="S446" s="74">
        <v>449020</v>
      </c>
      <c r="T446" s="99">
        <f>IFERROR(J446,"")</f>
        <v>91.118987142857137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248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321</v>
      </c>
      <c r="S452" s="81"/>
    </row>
    <row r="453" spans="1:20" ht="15" customHeight="1" x14ac:dyDescent="0.3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322</v>
      </c>
      <c r="S453" s="81"/>
    </row>
    <row r="454" spans="1:20" ht="15" customHeight="1" x14ac:dyDescent="0.3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250</v>
      </c>
      <c r="S459" s="74">
        <v>738730</v>
      </c>
      <c r="T459" s="99">
        <f>IFERROR(J459,"")</f>
        <v>144.10511642857142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254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323</v>
      </c>
      <c r="S465" s="81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250</v>
      </c>
      <c r="S473" s="74">
        <v>824760</v>
      </c>
      <c r="T473" s="99">
        <f>IFERROR(J473,"")</f>
        <v>118.76543999999998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324</v>
      </c>
      <c r="S476" s="81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325</v>
      </c>
      <c r="S479" s="81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250</v>
      </c>
      <c r="S486" s="74">
        <v>617620</v>
      </c>
      <c r="T486" s="99">
        <f>IFERROR(J486,"")</f>
        <v>88.937280000000001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254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 x14ac:dyDescent="0.3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5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2"/>
        <v/>
      </c>
      <c r="K490" s="64" t="str">
        <f t="shared" si="123"/>
        <v/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 x14ac:dyDescent="0.35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 x14ac:dyDescent="0.35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 x14ac:dyDescent="0.35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5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5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5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5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5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5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5">
      <c r="A513" s="120" t="s">
        <v>252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22" t="s">
        <v>253</v>
      </c>
      <c r="B514" s="123"/>
      <c r="C514" s="123"/>
      <c r="D514" s="123"/>
      <c r="E514" s="12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113.4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S608+S621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S635+S648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113"/>
      <c r="T824" s="114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113"/>
      <c r="T837" s="114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0" sqref="G490"/>
    </sheetView>
  </sheetViews>
  <sheetFormatPr defaultColWidth="8.54296875" defaultRowHeight="14.5" x14ac:dyDescent="0.35"/>
  <cols>
    <col min="1" max="1" width="15.36328125" style="85" customWidth="1"/>
    <col min="2" max="2" width="9" style="54" customWidth="1"/>
    <col min="3" max="3" width="14" style="54" customWidth="1"/>
    <col min="4" max="5" width="16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10" width="13.81640625" style="54" hidden="1" customWidth="1"/>
    <col min="11" max="11" width="14" style="54" customWidth="1"/>
    <col min="12" max="12" width="32.81640625" style="54" customWidth="1"/>
    <col min="13" max="13" width="30.453125" style="54" customWidth="1"/>
    <col min="14" max="14" width="46.453125" style="54" customWidth="1"/>
    <col min="15" max="15" width="12" style="54" customWidth="1"/>
    <col min="16" max="16" width="16.453125" style="55" customWidth="1"/>
    <col min="17" max="17" width="14" style="54" customWidth="1"/>
    <col min="18" max="18" width="56.54296875" style="54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250</v>
      </c>
      <c r="S14" s="74">
        <v>326520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326</v>
      </c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288</v>
      </c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327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264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264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250</v>
      </c>
      <c r="S27" s="74">
        <v>358000</v>
      </c>
      <c r="T27" s="99">
        <f>IFERROR(J27,"")</f>
        <v>0</v>
      </c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254</v>
      </c>
      <c r="S28" s="30">
        <f>IFERROR(S14+S27,"")</f>
        <v>684520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250</v>
      </c>
      <c r="S41" s="74">
        <v>237080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294</v>
      </c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326</v>
      </c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326</v>
      </c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250</v>
      </c>
      <c r="S54" s="74">
        <v>279980</v>
      </c>
      <c r="T54" s="99">
        <f>IFERROR(J54,"")</f>
        <v>0</v>
      </c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254</v>
      </c>
      <c r="S55" s="30">
        <f>IFERROR(S41+S54,"")</f>
        <v>517060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264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264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264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264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264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328</v>
      </c>
      <c r="S62" s="67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264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264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264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264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5">
      <c r="A68" s="153" t="s">
        <v>249</v>
      </c>
      <c r="B68" s="153"/>
      <c r="C68" s="153"/>
      <c r="D68" s="153"/>
      <c r="E68" s="15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250</v>
      </c>
      <c r="S68" s="74">
        <v>221380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329</v>
      </c>
      <c r="S69" s="67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5">
      <c r="A81" s="153" t="s">
        <v>252</v>
      </c>
      <c r="B81" s="153"/>
      <c r="C81" s="153"/>
      <c r="D81" s="153"/>
      <c r="E81" s="15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250</v>
      </c>
      <c r="S81" s="74">
        <v>185920</v>
      </c>
      <c r="T81" s="99">
        <f>IFERROR(J81,"")</f>
        <v>0</v>
      </c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254</v>
      </c>
      <c r="S82" s="30">
        <f>IFERROR(S68+S81,"")</f>
        <v>407300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330</v>
      </c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331</v>
      </c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5">
      <c r="A95" s="153" t="s">
        <v>249</v>
      </c>
      <c r="B95" s="153"/>
      <c r="C95" s="153"/>
      <c r="D95" s="153"/>
      <c r="E95" s="15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250</v>
      </c>
      <c r="S95" s="74">
        <v>204160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332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5">
      <c r="A108" s="153" t="s">
        <v>252</v>
      </c>
      <c r="B108" s="153"/>
      <c r="C108" s="153"/>
      <c r="D108" s="153"/>
      <c r="E108" s="15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250</v>
      </c>
      <c r="S108" s="74">
        <v>434370</v>
      </c>
      <c r="T108" s="99">
        <f>IFERROR(J108,"")</f>
        <v>0</v>
      </c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254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5">
      <c r="A122" s="153" t="s">
        <v>249</v>
      </c>
      <c r="B122" s="153"/>
      <c r="C122" s="153"/>
      <c r="D122" s="153"/>
      <c r="E122" s="15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250</v>
      </c>
      <c r="S122" s="74">
        <v>320370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333</v>
      </c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5">
      <c r="A135" s="153" t="s">
        <v>252</v>
      </c>
      <c r="B135" s="153"/>
      <c r="C135" s="153"/>
      <c r="D135" s="153"/>
      <c r="E135" s="15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250</v>
      </c>
      <c r="S135" s="74">
        <v>416350</v>
      </c>
      <c r="T135" s="99">
        <f>IFERROR(J135,"")</f>
        <v>0</v>
      </c>
    </row>
    <row r="136" spans="1:20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254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334</v>
      </c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302</v>
      </c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53" t="s">
        <v>249</v>
      </c>
      <c r="B149" s="153"/>
      <c r="C149" s="153"/>
      <c r="D149" s="153"/>
      <c r="E149" s="15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250</v>
      </c>
      <c r="S149" s="74">
        <v>138890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294</v>
      </c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53" t="s">
        <v>252</v>
      </c>
      <c r="B162" s="153"/>
      <c r="C162" s="153"/>
      <c r="D162" s="153"/>
      <c r="E162" s="15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250</v>
      </c>
      <c r="S162" s="74">
        <v>169760</v>
      </c>
      <c r="T162" s="99">
        <f>IFERROR(J162,"")</f>
        <v>0</v>
      </c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254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335</v>
      </c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250</v>
      </c>
      <c r="S176" s="74">
        <v>271350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336</v>
      </c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305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305</v>
      </c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250</v>
      </c>
      <c r="S189" s="74">
        <v>72220</v>
      </c>
      <c r="T189" s="99">
        <f>IFERROR(J189,"")</f>
        <v>0</v>
      </c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254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250</v>
      </c>
      <c r="S203" s="74">
        <v>92510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337</v>
      </c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250</v>
      </c>
      <c r="S216" s="74">
        <v>148720</v>
      </c>
      <c r="T216" s="99">
        <f>IFERROR(J216,"")</f>
        <v>0</v>
      </c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254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338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339</v>
      </c>
      <c r="Q222" s="66" t="str">
        <f t="shared" ca="1" si="49"/>
        <v/>
      </c>
      <c r="R222" s="63" t="s">
        <v>340</v>
      </c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250</v>
      </c>
      <c r="S230" s="74">
        <v>329640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250</v>
      </c>
      <c r="S243" s="74">
        <v>352720</v>
      </c>
      <c r="T243" s="99">
        <f>IFERROR(J243,"")</f>
        <v>0</v>
      </c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254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341</v>
      </c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248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248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250</v>
      </c>
      <c r="S257" s="74">
        <v>549440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54" t="s">
        <v>264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264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264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264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264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264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264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264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264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264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264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264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327900</v>
      </c>
      <c r="T270" s="99">
        <f>IFERROR(J270,"")</f>
        <v>0</v>
      </c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254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248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373120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462190</v>
      </c>
      <c r="T297" s="99">
        <f>IFERROR(J297,"")</f>
        <v>0</v>
      </c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250</v>
      </c>
      <c r="S311" s="74">
        <v>567440</v>
      </c>
      <c r="T311" s="99">
        <f>IFERROR(J311,"")</f>
        <v>96.630879999999991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250</v>
      </c>
      <c r="S324" s="74">
        <v>289490</v>
      </c>
      <c r="T324" s="99">
        <f>IFERROR(J324,"")</f>
        <v>41.68656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254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312</v>
      </c>
      <c r="S326" s="81"/>
    </row>
    <row r="327" spans="1:20" ht="15" customHeight="1" x14ac:dyDescent="0.3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342</v>
      </c>
      <c r="S327" s="81"/>
    </row>
    <row r="328" spans="1:20" ht="15" customHeight="1" x14ac:dyDescent="0.3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313</v>
      </c>
      <c r="S329" s="81"/>
    </row>
    <row r="330" spans="1:20" ht="15" customHeight="1" x14ac:dyDescent="0.3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264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250</v>
      </c>
      <c r="S338" s="74">
        <v>387310</v>
      </c>
      <c r="T338" s="99">
        <f>IFERROR(J338,"")</f>
        <v>81.335099999999983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250</v>
      </c>
      <c r="S351" s="74">
        <v>256170</v>
      </c>
      <c r="T351" s="99">
        <f>IFERROR(J351,"")</f>
        <v>53.795699999999997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254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294</v>
      </c>
      <c r="S354" s="81"/>
    </row>
    <row r="355" spans="1:20" ht="15" customHeight="1" x14ac:dyDescent="0.3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5">
      <c r="A365" s="153" t="s">
        <v>249</v>
      </c>
      <c r="B365" s="153"/>
      <c r="C365" s="153"/>
      <c r="D365" s="153"/>
      <c r="E365" s="15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250</v>
      </c>
      <c r="S365" s="74">
        <v>332130</v>
      </c>
      <c r="T365" s="99">
        <f>IFERROR(J365,"")</f>
        <v>69.747299999999981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250</v>
      </c>
      <c r="S378" s="74">
        <v>360560</v>
      </c>
      <c r="T378" s="99">
        <f>IFERROR(J378,"")</f>
        <v>75.71759999999999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254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343</v>
      </c>
      <c r="S383" s="81"/>
    </row>
    <row r="384" spans="1:20" ht="15" customHeight="1" x14ac:dyDescent="0.3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316</v>
      </c>
      <c r="S384" s="81"/>
    </row>
    <row r="385" spans="1:20" ht="15" customHeight="1" x14ac:dyDescent="0.3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250</v>
      </c>
      <c r="S392" s="74">
        <v>479620</v>
      </c>
      <c r="T392" s="99">
        <f>IFERROR(J392,"")</f>
        <v>100.72019999999998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250</v>
      </c>
      <c r="S405" s="74">
        <v>489360</v>
      </c>
      <c r="T405" s="99">
        <f>IFERROR(J405,"")</f>
        <v>99.305125714285708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254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344</v>
      </c>
      <c r="S408" s="81"/>
    </row>
    <row r="409" spans="1:20" ht="15" customHeight="1" x14ac:dyDescent="0.3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250</v>
      </c>
      <c r="S419" s="74">
        <v>447620</v>
      </c>
      <c r="T419" s="99">
        <f>IFERROR(J419,"")</f>
        <v>64.457279999999997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345</v>
      </c>
    </row>
    <row r="421" spans="1:20" ht="15" customHeight="1" x14ac:dyDescent="0.3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5">
      <c r="A432" s="153" t="s">
        <v>252</v>
      </c>
      <c r="B432" s="153"/>
      <c r="C432" s="153"/>
      <c r="D432" s="153"/>
      <c r="E432" s="15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250</v>
      </c>
      <c r="S432" s="74">
        <v>180150</v>
      </c>
      <c r="T432" s="99">
        <f>IFERROR(J432,"")</f>
        <v>25.941599999999998</v>
      </c>
    </row>
    <row r="433" spans="1:20" ht="18" customHeight="1" x14ac:dyDescent="0.35">
      <c r="A433" s="154" t="s">
        <v>253</v>
      </c>
      <c r="B433" s="154"/>
      <c r="C433" s="154"/>
      <c r="D433" s="154"/>
      <c r="E433" s="15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254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346</v>
      </c>
      <c r="S434" s="81"/>
    </row>
    <row r="435" spans="1:20" ht="15" customHeight="1" x14ac:dyDescent="0.3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346</v>
      </c>
      <c r="S436" s="81"/>
    </row>
    <row r="437" spans="1:20" ht="15" customHeight="1" x14ac:dyDescent="0.3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250</v>
      </c>
      <c r="S446" s="74">
        <v>389280</v>
      </c>
      <c r="T446" s="99">
        <f>IFERROR(J446,"")</f>
        <v>74.494452705882338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347</v>
      </c>
      <c r="S449" s="81"/>
    </row>
    <row r="450" spans="1:20" ht="15" customHeight="1" x14ac:dyDescent="0.3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250</v>
      </c>
      <c r="S459" s="74">
        <v>471910</v>
      </c>
      <c r="T459" s="99">
        <f>IFERROR(J459,"")</f>
        <v>92.928007027027007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254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250</v>
      </c>
      <c r="S473" s="74">
        <v>353640</v>
      </c>
      <c r="T473" s="99">
        <f>IFERROR(J473,"")</f>
        <v>50.924159999999993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294</v>
      </c>
      <c r="S474" s="81"/>
    </row>
    <row r="475" spans="1:20" ht="15" customHeight="1" x14ac:dyDescent="0.3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348</v>
      </c>
      <c r="S477" s="81"/>
    </row>
    <row r="478" spans="1:20" ht="15" customHeight="1" x14ac:dyDescent="0.3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250</v>
      </c>
      <c r="S486" s="74">
        <v>261400</v>
      </c>
      <c r="T486" s="99">
        <f>IFERROR(J486,"")</f>
        <v>37.641599999999997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254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 x14ac:dyDescent="0.3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 x14ac:dyDescent="0.35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0"/>
        <v/>
      </c>
      <c r="K490" s="64" t="str">
        <f>IF(G490="","",IF(E490="PC 17",G490*4.2,IF(E490="PC 19",G490*5,IF(E490="CB",G490*24,""))))</f>
        <v/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 x14ac:dyDescent="0.35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0"/>
        <v/>
      </c>
      <c r="K491" s="69" t="str">
        <f>IF(G491="","",IF(E491="PC 17",G491*4.2,IF(E491="PC 19",G491*5,IF(E491="CB",G491*24,""))))</f>
        <v/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5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5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5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5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5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5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 x14ac:dyDescent="0.35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5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12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50.400000000000006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 x14ac:dyDescent="0.35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 x14ac:dyDescent="0.35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 x14ac:dyDescent="0.35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 x14ac:dyDescent="0.35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 x14ac:dyDescent="0.35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 x14ac:dyDescent="0.35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5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5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5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5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5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5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54" t="s">
        <v>253</v>
      </c>
      <c r="B514" s="154"/>
      <c r="C514" s="154"/>
      <c r="D514" s="154"/>
      <c r="E514" s="154"/>
      <c r="F514" s="108"/>
      <c r="G514" s="109">
        <f>G500+G513</f>
        <v>12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50.400000000000006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5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5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5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5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5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5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5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5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5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5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5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L506" sqref="L506"/>
    </sheetView>
  </sheetViews>
  <sheetFormatPr defaultColWidth="8.54296875" defaultRowHeight="14.5" x14ac:dyDescent="0.3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1640625" style="131" hidden="1" customWidth="1"/>
    <col min="7" max="7" width="13" style="131" customWidth="1"/>
    <col min="8" max="8" width="15.81640625" style="131" hidden="1" customWidth="1"/>
    <col min="9" max="10" width="13.81640625" style="131" hidden="1" customWidth="1"/>
    <col min="11" max="11" width="14" style="131" customWidth="1"/>
    <col min="12" max="12" width="36" style="131" customWidth="1"/>
    <col min="13" max="13" width="25.08984375" style="131" customWidth="1"/>
    <col min="14" max="14" width="42.08984375" style="131" customWidth="1"/>
    <col min="15" max="15" width="18.453125" style="131" customWidth="1"/>
    <col min="16" max="16" width="14" style="132" customWidth="1"/>
    <col min="17" max="17" width="14" style="131" customWidth="1"/>
    <col min="18" max="18" width="64.81640625" style="131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250</v>
      </c>
      <c r="S14" s="74">
        <v>561420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264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349</v>
      </c>
      <c r="S16" s="133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291</v>
      </c>
      <c r="S17" s="133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326</v>
      </c>
      <c r="S18" s="133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350</v>
      </c>
      <c r="S19" s="133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351</v>
      </c>
      <c r="S22" s="133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264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264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250</v>
      </c>
      <c r="S27" s="74">
        <v>491520</v>
      </c>
      <c r="T27" s="99">
        <f>IFERROR(J27,"")</f>
        <v>0</v>
      </c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254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264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264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264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264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264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264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264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264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264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264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264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250</v>
      </c>
      <c r="S41" s="74">
        <v>766800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352</v>
      </c>
      <c r="S45" s="133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250</v>
      </c>
      <c r="S54" s="74">
        <v>352430</v>
      </c>
      <c r="T54" s="99">
        <f>IFERROR(J54,"")</f>
        <v>0</v>
      </c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254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353</v>
      </c>
      <c r="S59" s="133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354</v>
      </c>
      <c r="S60" s="133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5">
      <c r="A68" s="153" t="s">
        <v>249</v>
      </c>
      <c r="B68" s="153"/>
      <c r="C68" s="153"/>
      <c r="D68" s="153"/>
      <c r="E68" s="15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250</v>
      </c>
      <c r="S68" s="74">
        <v>477090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355</v>
      </c>
      <c r="S69" s="133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326</v>
      </c>
      <c r="S72" s="133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5">
      <c r="A81" s="153" t="s">
        <v>252</v>
      </c>
      <c r="B81" s="153"/>
      <c r="C81" s="153"/>
      <c r="D81" s="153"/>
      <c r="E81" s="15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250</v>
      </c>
      <c r="S81" s="74">
        <v>612410</v>
      </c>
      <c r="T81" s="99">
        <f>IFERROR(J81,"")</f>
        <v>0</v>
      </c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254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5">
      <c r="A95" s="153" t="s">
        <v>249</v>
      </c>
      <c r="B95" s="153"/>
      <c r="C95" s="153"/>
      <c r="D95" s="153"/>
      <c r="E95" s="15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250</v>
      </c>
      <c r="S95" s="74">
        <v>786700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326</v>
      </c>
      <c r="S97" s="133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5">
      <c r="A108" s="153" t="s">
        <v>252</v>
      </c>
      <c r="B108" s="153"/>
      <c r="C108" s="153"/>
      <c r="D108" s="153"/>
      <c r="E108" s="15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250</v>
      </c>
      <c r="S108" s="74">
        <v>956070</v>
      </c>
      <c r="T108" s="99">
        <f>IFERROR(J108,"")</f>
        <v>0</v>
      </c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254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356</v>
      </c>
      <c r="S114" s="133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5">
      <c r="A122" s="153" t="s">
        <v>249</v>
      </c>
      <c r="B122" s="153"/>
      <c r="C122" s="153"/>
      <c r="D122" s="153"/>
      <c r="E122" s="15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250</v>
      </c>
      <c r="S122" s="74">
        <v>811580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357</v>
      </c>
      <c r="S124" s="133"/>
    </row>
    <row r="125" spans="1:20" ht="15" customHeight="1" x14ac:dyDescent="0.3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294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326</v>
      </c>
      <c r="S129" s="133"/>
    </row>
    <row r="130" spans="1:22" ht="15" customHeight="1" x14ac:dyDescent="0.3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5">
      <c r="A135" s="153" t="s">
        <v>252</v>
      </c>
      <c r="B135" s="153"/>
      <c r="C135" s="153"/>
      <c r="D135" s="153"/>
      <c r="E135" s="15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250</v>
      </c>
      <c r="S135" s="74">
        <v>912240</v>
      </c>
      <c r="T135" s="99">
        <f>IFERROR(J135,"")</f>
        <v>0</v>
      </c>
    </row>
    <row r="136" spans="1:22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254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358</v>
      </c>
      <c r="S138" s="67"/>
    </row>
    <row r="139" spans="1:22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359</v>
      </c>
      <c r="S139" s="67"/>
    </row>
    <row r="140" spans="1:22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302</v>
      </c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20" t="s">
        <v>249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250</v>
      </c>
      <c r="S149" s="74">
        <v>797860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360</v>
      </c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361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53" t="s">
        <v>252</v>
      </c>
      <c r="B162" s="153"/>
      <c r="C162" s="153"/>
      <c r="D162" s="153"/>
      <c r="E162" s="15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250</v>
      </c>
      <c r="S162" s="74">
        <v>573230</v>
      </c>
      <c r="T162" s="99">
        <f>IFERROR(J162,"")</f>
        <v>0</v>
      </c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254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362</v>
      </c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250</v>
      </c>
      <c r="S176" s="74">
        <v>659400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363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250</v>
      </c>
      <c r="S189" s="74">
        <v>692750</v>
      </c>
      <c r="T189" s="99">
        <f>IFERROR(J189,"")</f>
        <v>0</v>
      </c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254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364</v>
      </c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250</v>
      </c>
      <c r="S203" s="74">
        <v>790070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365</v>
      </c>
      <c r="S204" s="133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366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367</v>
      </c>
      <c r="S206" s="133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250</v>
      </c>
      <c r="S216" s="74">
        <v>607180</v>
      </c>
      <c r="T216" s="99">
        <f>IFERROR(J216,"")</f>
        <v>0</v>
      </c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254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368</v>
      </c>
      <c r="S220" s="133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369</v>
      </c>
      <c r="S221" s="133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250</v>
      </c>
      <c r="S230" s="74">
        <v>755220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370</v>
      </c>
      <c r="S231" s="133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371</v>
      </c>
      <c r="S232" s="133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250</v>
      </c>
      <c r="S243" s="74">
        <v>795250</v>
      </c>
      <c r="T243" s="99">
        <f>IFERROR(J243,"")</f>
        <v>0</v>
      </c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254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 t="s">
        <v>274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372</v>
      </c>
      <c r="S249" s="133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250</v>
      </c>
      <c r="S257" s="74">
        <v>803560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100" t="s">
        <v>264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264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264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264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264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264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264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264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264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264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264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264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250</v>
      </c>
      <c r="S270" s="74">
        <v>683360</v>
      </c>
      <c r="T270" s="99">
        <f>IFERROR(J270,"")</f>
        <v>0</v>
      </c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254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264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250</v>
      </c>
      <c r="S284" s="74">
        <v>762600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250</v>
      </c>
      <c r="S297" s="74">
        <v>904710</v>
      </c>
      <c r="T297" s="99">
        <f>IFERROR(J297,"")</f>
        <v>0</v>
      </c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254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250</v>
      </c>
      <c r="S311" s="74">
        <v>948950</v>
      </c>
      <c r="T311" s="99">
        <f>IFERROR(J311,"")</f>
        <v>159.15670781249997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250</v>
      </c>
      <c r="S324" s="74">
        <v>1049720</v>
      </c>
      <c r="T324" s="99">
        <f>IFERROR(J324,"")</f>
        <v>151.15967999999998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254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264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250</v>
      </c>
      <c r="S338" s="74">
        <v>1211360</v>
      </c>
      <c r="T338" s="99">
        <f>IFERROR(J338,"")</f>
        <v>254.38559999999993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373</v>
      </c>
      <c r="S346" s="133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374</v>
      </c>
      <c r="S347" s="133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250</v>
      </c>
      <c r="S351" s="74">
        <v>1058130</v>
      </c>
      <c r="T351" s="99">
        <f>IFERROR(J351,"")</f>
        <v>222.20729999999995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254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375</v>
      </c>
      <c r="S356" s="133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376</v>
      </c>
      <c r="S358" s="133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5">
      <c r="A365" s="120" t="s">
        <v>249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250</v>
      </c>
      <c r="S365" s="74">
        <v>885120</v>
      </c>
      <c r="T365" s="99">
        <f>IFERROR(J365,"")</f>
        <v>185.87519999999998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377</v>
      </c>
      <c r="S372" s="133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250</v>
      </c>
      <c r="S378" s="74">
        <v>1137080</v>
      </c>
      <c r="T378" s="99">
        <f>IFERROR(J378,"")</f>
        <v>238.78679999999994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254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264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316</v>
      </c>
      <c r="S384" s="133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378</v>
      </c>
      <c r="S385" s="133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250</v>
      </c>
      <c r="S392" s="74">
        <v>675670</v>
      </c>
      <c r="T392" s="99">
        <f>IFERROR(J392,"")</f>
        <v>141.89069999999998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379</v>
      </c>
      <c r="S394" s="133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250</v>
      </c>
      <c r="S405" s="74">
        <v>989450</v>
      </c>
      <c r="T405" s="99">
        <f>IFERROR(J405,"")</f>
        <v>195.72390675675675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254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380</v>
      </c>
      <c r="S407" s="133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250</v>
      </c>
      <c r="S419" s="74">
        <v>627410</v>
      </c>
      <c r="T419" s="99">
        <f>IFERROR(J419,"")</f>
        <v>90.347039999999993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381</v>
      </c>
      <c r="S423" s="133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5">
      <c r="A432" s="153" t="s">
        <v>252</v>
      </c>
      <c r="B432" s="153"/>
      <c r="C432" s="153"/>
      <c r="D432" s="153"/>
      <c r="E432" s="15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250</v>
      </c>
      <c r="S432" s="74">
        <v>766030</v>
      </c>
      <c r="T432" s="99">
        <f>IFERROR(J432,"")</f>
        <v>110.30832000000001</v>
      </c>
    </row>
    <row r="433" spans="1:21" ht="18" customHeight="1" x14ac:dyDescent="0.35">
      <c r="A433" s="154" t="s">
        <v>253</v>
      </c>
      <c r="B433" s="154"/>
      <c r="C433" s="154"/>
      <c r="D433" s="154"/>
      <c r="E433" s="15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254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264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250</v>
      </c>
      <c r="S446" s="74">
        <v>833920</v>
      </c>
      <c r="T446" s="99">
        <f>IFERROR(J446,"")</f>
        <v>161.58908852459015</v>
      </c>
    </row>
    <row r="447" spans="1:21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382</v>
      </c>
      <c r="S447" s="133"/>
    </row>
    <row r="448" spans="1:21" ht="15" customHeight="1" x14ac:dyDescent="0.3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376</v>
      </c>
      <c r="S451" s="133"/>
    </row>
    <row r="452" spans="1:20" ht="15" customHeight="1" x14ac:dyDescent="0.3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250</v>
      </c>
      <c r="S459" s="74">
        <v>1024280</v>
      </c>
      <c r="T459" s="99">
        <f>IFERROR(J459,"")</f>
        <v>202.88866044052861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254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250</v>
      </c>
      <c r="S473" s="74">
        <v>738810</v>
      </c>
      <c r="T473" s="99">
        <f>IFERROR(J473,"")</f>
        <v>106.38864000000001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383</v>
      </c>
      <c r="S476" s="133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348</v>
      </c>
      <c r="S479" s="133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250</v>
      </c>
      <c r="S486" s="74">
        <v>616050</v>
      </c>
      <c r="T486" s="99">
        <f>IFERROR(J486,"")</f>
        <v>88.711199999999977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254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 x14ac:dyDescent="0.3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2"/>
        <v/>
      </c>
      <c r="K490" s="64" t="str">
        <f t="shared" si="123"/>
        <v/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 x14ac:dyDescent="0.3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 x14ac:dyDescent="0.3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29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121.8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5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54" t="s">
        <v>253</v>
      </c>
      <c r="B514" s="154"/>
      <c r="C514" s="154"/>
      <c r="D514" s="154"/>
      <c r="E514" s="154"/>
      <c r="F514" s="108"/>
      <c r="G514" s="109">
        <f>G500+G513</f>
        <v>29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121.8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254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6" activePane="bottomLeft" state="frozen"/>
      <selection pane="bottomLeft" activeCell="I54" sqref="I54"/>
    </sheetView>
  </sheetViews>
  <sheetFormatPr defaultColWidth="8.6328125" defaultRowHeight="14.5" x14ac:dyDescent="0.3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5">
      <c r="A1" s="138" t="s">
        <v>12</v>
      </c>
      <c r="B1" s="138" t="s">
        <v>384</v>
      </c>
      <c r="C1" s="138" t="s">
        <v>385</v>
      </c>
      <c r="D1" s="138" t="s">
        <v>19</v>
      </c>
      <c r="E1" s="138" t="s">
        <v>386</v>
      </c>
      <c r="F1" s="138" t="s">
        <v>387</v>
      </c>
      <c r="G1" s="138" t="s">
        <v>388</v>
      </c>
      <c r="H1" s="138" t="s">
        <v>389</v>
      </c>
      <c r="I1" s="138" t="s">
        <v>390</v>
      </c>
      <c r="J1" s="138" t="s">
        <v>391</v>
      </c>
      <c r="K1" s="138" t="s">
        <v>246</v>
      </c>
    </row>
    <row r="2" spans="1:11" ht="15.75" customHeight="1" x14ac:dyDescent="0.35">
      <c r="A2" s="139">
        <v>46235</v>
      </c>
      <c r="B2" s="140" t="s">
        <v>392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5">
      <c r="A3" s="144">
        <v>46235</v>
      </c>
      <c r="B3" s="145" t="s">
        <v>393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5">
      <c r="A4" s="163" t="s">
        <v>253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5">
      <c r="A5" s="139">
        <v>46236</v>
      </c>
      <c r="B5" s="140" t="s">
        <v>392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5">
      <c r="A6" s="144">
        <v>46236</v>
      </c>
      <c r="B6" s="145" t="s">
        <v>393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5">
      <c r="A7" s="163" t="s">
        <v>253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5">
      <c r="A8" s="139">
        <v>46237</v>
      </c>
      <c r="B8" s="140" t="s">
        <v>392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5">
      <c r="A9" s="144">
        <v>46237</v>
      </c>
      <c r="B9" s="145" t="s">
        <v>393</v>
      </c>
      <c r="C9" s="146">
        <v>0.29166666666666702</v>
      </c>
      <c r="D9" s="145"/>
      <c r="E9" s="145"/>
      <c r="F9" s="147">
        <v>523</v>
      </c>
      <c r="G9" s="145">
        <v>6</v>
      </c>
      <c r="H9" s="145">
        <v>6</v>
      </c>
      <c r="I9" s="148">
        <f>IFERROR(IF(G9="","",F9/G9),"")</f>
        <v>87.166666666666671</v>
      </c>
      <c r="J9" s="145"/>
      <c r="K9" s="145"/>
    </row>
    <row r="10" spans="1:11" ht="18" customHeight="1" x14ac:dyDescent="0.35">
      <c r="A10" s="163" t="s">
        <v>253</v>
      </c>
      <c r="B10" s="163"/>
      <c r="C10" s="163"/>
      <c r="D10" s="163"/>
      <c r="E10" s="149">
        <f>SUM(E8:E9)</f>
        <v>0</v>
      </c>
      <c r="F10" s="150">
        <f>IFERROR(SUM(F8:F9),"")</f>
        <v>523</v>
      </c>
      <c r="G10" s="150">
        <f>SUM(G8:G9)</f>
        <v>6</v>
      </c>
      <c r="H10" s="150">
        <f>SUM(H8:H9)</f>
        <v>6</v>
      </c>
      <c r="I10" s="151">
        <f>IFERROR(IF(G10=0,"",F10/G10),"")</f>
        <v>87.166666666666671</v>
      </c>
      <c r="J10" s="152"/>
      <c r="K10" s="152"/>
    </row>
    <row r="11" spans="1:11" ht="15.75" customHeight="1" x14ac:dyDescent="0.35">
      <c r="A11" s="139">
        <v>46238</v>
      </c>
      <c r="B11" s="140" t="s">
        <v>392</v>
      </c>
      <c r="C11" s="141">
        <v>0.79166666666666696</v>
      </c>
      <c r="D11" s="140"/>
      <c r="E11" s="140"/>
      <c r="F11" s="142">
        <v>56</v>
      </c>
      <c r="G11" s="140">
        <v>1</v>
      </c>
      <c r="H11" s="140">
        <v>11</v>
      </c>
      <c r="I11" s="143">
        <f>IFERROR(IF(G11="","",F11/G11),"")</f>
        <v>56</v>
      </c>
      <c r="J11" s="140"/>
      <c r="K11" s="140"/>
    </row>
    <row r="12" spans="1:11" ht="15.75" customHeight="1" x14ac:dyDescent="0.35">
      <c r="A12" s="144">
        <v>46238</v>
      </c>
      <c r="B12" s="145" t="s">
        <v>393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5">
      <c r="A13" s="163" t="s">
        <v>253</v>
      </c>
      <c r="B13" s="163"/>
      <c r="C13" s="163"/>
      <c r="D13" s="163"/>
      <c r="E13" s="149">
        <f>SUM(E11:E12)</f>
        <v>0</v>
      </c>
      <c r="F13" s="150">
        <f>IFERROR(SUM(F11:F12),"")</f>
        <v>56</v>
      </c>
      <c r="G13" s="150">
        <f>SUM(G11:G12)</f>
        <v>1</v>
      </c>
      <c r="H13" s="150">
        <f>SUM(H11:H12)</f>
        <v>11</v>
      </c>
      <c r="I13" s="151">
        <f>IFERROR(IF(G13=0,"",F13/G13),"")</f>
        <v>56</v>
      </c>
      <c r="J13" s="152"/>
      <c r="K13" s="152"/>
    </row>
    <row r="14" spans="1:11" ht="15.75" customHeight="1" x14ac:dyDescent="0.35">
      <c r="A14" s="139">
        <v>46239</v>
      </c>
      <c r="B14" s="140" t="s">
        <v>392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5">
      <c r="A15" s="144">
        <v>46239</v>
      </c>
      <c r="B15" s="145" t="s">
        <v>393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5">
      <c r="A16" s="163" t="s">
        <v>253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5">
      <c r="A17" s="139">
        <v>46240</v>
      </c>
      <c r="B17" s="140" t="s">
        <v>392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5">
      <c r="A18" s="144">
        <v>46240</v>
      </c>
      <c r="B18" s="145" t="s">
        <v>393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5">
      <c r="A19" s="163" t="s">
        <v>253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5">
      <c r="A20" s="139">
        <v>46241</v>
      </c>
      <c r="B20" s="140" t="s">
        <v>392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5">
      <c r="A21" s="144">
        <v>46241</v>
      </c>
      <c r="B21" s="145" t="s">
        <v>393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5">
      <c r="A22" s="163" t="s">
        <v>253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5">
      <c r="A23" s="139">
        <v>46242</v>
      </c>
      <c r="B23" s="140" t="s">
        <v>392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5">
      <c r="A24" s="144">
        <v>46242</v>
      </c>
      <c r="B24" s="145" t="s">
        <v>393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5">
      <c r="A25" s="163" t="s">
        <v>253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5">
      <c r="A26" s="139">
        <v>46243</v>
      </c>
      <c r="B26" s="140" t="s">
        <v>392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5">
      <c r="A27" s="144">
        <v>46243</v>
      </c>
      <c r="B27" s="145" t="s">
        <v>393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5">
      <c r="A28" s="163" t="s">
        <v>253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5">
      <c r="A29" s="139">
        <v>46244</v>
      </c>
      <c r="B29" s="140" t="s">
        <v>392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5">
      <c r="A30" s="144">
        <v>46244</v>
      </c>
      <c r="B30" s="145" t="s">
        <v>393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5">
      <c r="A31" s="163" t="s">
        <v>253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5">
      <c r="A32" s="139">
        <v>46245</v>
      </c>
      <c r="B32" s="140" t="s">
        <v>392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5">
      <c r="A33" s="144">
        <v>46245</v>
      </c>
      <c r="B33" s="145" t="s">
        <v>393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5">
      <c r="A34" s="163" t="s">
        <v>253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5">
      <c r="A35" s="139">
        <v>46246</v>
      </c>
      <c r="B35" s="140" t="s">
        <v>392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5">
      <c r="A36" s="144">
        <v>46246</v>
      </c>
      <c r="B36" s="145" t="s">
        <v>393</v>
      </c>
      <c r="C36" s="146">
        <v>0.29166666666666702</v>
      </c>
      <c r="D36" s="145"/>
      <c r="E36" s="145"/>
      <c r="F36" s="147">
        <v>1017</v>
      </c>
      <c r="G36" s="145">
        <v>9</v>
      </c>
      <c r="H36" s="145">
        <v>3</v>
      </c>
      <c r="I36" s="148">
        <f>IFERROR(IF(G36="","",F36/G36),"")</f>
        <v>113</v>
      </c>
      <c r="J36" s="145"/>
      <c r="K36" s="145"/>
    </row>
    <row r="37" spans="1:11" ht="18" customHeight="1" x14ac:dyDescent="0.35">
      <c r="A37" s="163" t="s">
        <v>253</v>
      </c>
      <c r="B37" s="163"/>
      <c r="C37" s="163"/>
      <c r="D37" s="163"/>
      <c r="E37" s="149">
        <f>SUM(E35:E36)</f>
        <v>0</v>
      </c>
      <c r="F37" s="150">
        <f>IFERROR(SUM(F35:F36),"")</f>
        <v>1017</v>
      </c>
      <c r="G37" s="150">
        <f>SUM(G35:G36)</f>
        <v>9</v>
      </c>
      <c r="H37" s="150">
        <f>SUM(H35:H36)</f>
        <v>3</v>
      </c>
      <c r="I37" s="151">
        <f>IFERROR(IF(G37=0,"",F37/G37),"")</f>
        <v>113</v>
      </c>
      <c r="J37" s="152"/>
      <c r="K37" s="152"/>
    </row>
    <row r="38" spans="1:11" ht="15.75" customHeight="1" x14ac:dyDescent="0.35">
      <c r="A38" s="139">
        <v>46247</v>
      </c>
      <c r="B38" s="140" t="s">
        <v>392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5">
      <c r="A39" s="144">
        <v>46247</v>
      </c>
      <c r="B39" s="145" t="s">
        <v>393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5">
      <c r="A40" s="163" t="s">
        <v>253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5">
      <c r="A41" s="139">
        <v>46248</v>
      </c>
      <c r="B41" s="140" t="s">
        <v>392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5">
      <c r="A42" s="144">
        <v>46248</v>
      </c>
      <c r="B42" s="145" t="s">
        <v>393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5">
      <c r="A43" s="163" t="s">
        <v>253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5">
      <c r="A44" s="139">
        <v>46249</v>
      </c>
      <c r="B44" s="140" t="s">
        <v>392</v>
      </c>
      <c r="C44" s="141">
        <v>0.79166666666666696</v>
      </c>
      <c r="D44" s="140"/>
      <c r="E44" s="140"/>
      <c r="F44" s="142">
        <v>629</v>
      </c>
      <c r="G44" s="140">
        <v>6</v>
      </c>
      <c r="H44" s="140">
        <v>6</v>
      </c>
      <c r="I44" s="143">
        <f>IFERROR(IF(G44="","",F44/G44),"")</f>
        <v>104.83333333333333</v>
      </c>
      <c r="J44" s="140"/>
      <c r="K44" s="140"/>
    </row>
    <row r="45" spans="1:11" ht="15.75" customHeight="1" x14ac:dyDescent="0.35">
      <c r="A45" s="144">
        <v>46249</v>
      </c>
      <c r="B45" s="145" t="s">
        <v>393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5">
      <c r="A46" s="163" t="s">
        <v>253</v>
      </c>
      <c r="B46" s="163"/>
      <c r="C46" s="163"/>
      <c r="D46" s="163"/>
      <c r="E46" s="149">
        <f>SUM(E44:E45)</f>
        <v>0</v>
      </c>
      <c r="F46" s="150">
        <f>IFERROR(SUM(F44:F45),"")</f>
        <v>629</v>
      </c>
      <c r="G46" s="150">
        <f>SUM(G44:G45)</f>
        <v>6</v>
      </c>
      <c r="H46" s="150">
        <f>SUM(H44:H45)</f>
        <v>6</v>
      </c>
      <c r="I46" s="151">
        <f>IFERROR(IF(G46=0,"",F46/G46),"")</f>
        <v>104.83333333333333</v>
      </c>
      <c r="J46" s="152"/>
      <c r="K46" s="152"/>
    </row>
    <row r="47" spans="1:11" ht="15.75" customHeight="1" x14ac:dyDescent="0.35">
      <c r="A47" s="139">
        <v>46250</v>
      </c>
      <c r="B47" s="140" t="s">
        <v>392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5">
      <c r="A48" s="144">
        <v>46250</v>
      </c>
      <c r="B48" s="145" t="s">
        <v>393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5">
      <c r="A49" s="163" t="s">
        <v>253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5">
      <c r="A50" s="139">
        <v>46251</v>
      </c>
      <c r="B50" s="140" t="s">
        <v>392</v>
      </c>
      <c r="C50" s="141">
        <v>0.79166666666666696</v>
      </c>
      <c r="D50" s="140"/>
      <c r="E50" s="140"/>
      <c r="F50" s="142">
        <v>1385</v>
      </c>
      <c r="G50" s="140">
        <v>8</v>
      </c>
      <c r="H50" s="140">
        <v>2</v>
      </c>
      <c r="I50" s="143">
        <f>IFERROR(IF(G50="","",F50/G50),"")</f>
        <v>173.125</v>
      </c>
      <c r="J50" s="140"/>
      <c r="K50" s="140"/>
    </row>
    <row r="51" spans="1:11" ht="15.75" customHeight="1" x14ac:dyDescent="0.35">
      <c r="A51" s="144">
        <v>46251</v>
      </c>
      <c r="B51" s="145" t="s">
        <v>393</v>
      </c>
      <c r="C51" s="146">
        <v>0.29166666666666702</v>
      </c>
      <c r="D51" s="145"/>
      <c r="E51" s="145"/>
      <c r="F51" s="147">
        <v>1379</v>
      </c>
      <c r="G51" s="145">
        <v>11</v>
      </c>
      <c r="H51" s="145">
        <v>1</v>
      </c>
      <c r="I51" s="148">
        <f>IFERROR(IF(G51="","",F51/G51),"")</f>
        <v>125.36363636363636</v>
      </c>
      <c r="J51" s="145"/>
      <c r="K51" s="145"/>
    </row>
    <row r="52" spans="1:11" ht="18" customHeight="1" x14ac:dyDescent="0.35">
      <c r="A52" s="163" t="s">
        <v>253</v>
      </c>
      <c r="B52" s="163"/>
      <c r="C52" s="163"/>
      <c r="D52" s="163"/>
      <c r="E52" s="149">
        <f>SUM(E50:E51)</f>
        <v>0</v>
      </c>
      <c r="F52" s="150">
        <f>IFERROR(SUM(F50:F51),"")</f>
        <v>2764</v>
      </c>
      <c r="G52" s="150">
        <f>SUM(G50:G51)</f>
        <v>19</v>
      </c>
      <c r="H52" s="150">
        <f>SUM(H50:H51)</f>
        <v>3</v>
      </c>
      <c r="I52" s="151">
        <f>IFERROR(IF(G52=0,"",F52/G52),"")</f>
        <v>145.47368421052633</v>
      </c>
      <c r="J52" s="152"/>
      <c r="K52" s="152"/>
    </row>
    <row r="53" spans="1:11" ht="15.75" customHeight="1" x14ac:dyDescent="0.35">
      <c r="A53" s="139">
        <v>46252</v>
      </c>
      <c r="B53" s="140" t="s">
        <v>392</v>
      </c>
      <c r="C53" s="141">
        <v>0.79166666666666696</v>
      </c>
      <c r="D53" s="140"/>
      <c r="E53" s="140"/>
      <c r="F53" s="142">
        <v>243</v>
      </c>
      <c r="G53" s="140">
        <v>3.5</v>
      </c>
      <c r="H53" s="140">
        <v>6.5</v>
      </c>
      <c r="I53" s="143">
        <f>IFERROR(IF(G53="","",F53/G53),"")</f>
        <v>69.428571428571431</v>
      </c>
      <c r="J53" s="140"/>
      <c r="K53" s="140"/>
    </row>
    <row r="54" spans="1:11" ht="15.75" customHeight="1" x14ac:dyDescent="0.35">
      <c r="A54" s="144">
        <v>46252</v>
      </c>
      <c r="B54" s="145" t="s">
        <v>393</v>
      </c>
      <c r="C54" s="146">
        <v>0.29166666666666702</v>
      </c>
      <c r="D54" s="145"/>
      <c r="E54" s="145"/>
      <c r="F54" s="147">
        <v>1733</v>
      </c>
      <c r="G54" s="145">
        <v>10</v>
      </c>
      <c r="H54" s="145">
        <v>2</v>
      </c>
      <c r="I54" s="148">
        <f>IFERROR(IF(G54="","",F54/G54),"")</f>
        <v>173.3</v>
      </c>
      <c r="J54" s="145"/>
      <c r="K54" s="145"/>
    </row>
    <row r="55" spans="1:11" ht="18" customHeight="1" x14ac:dyDescent="0.35">
      <c r="A55" s="163" t="s">
        <v>253</v>
      </c>
      <c r="B55" s="163"/>
      <c r="C55" s="163"/>
      <c r="D55" s="163"/>
      <c r="E55" s="149">
        <f>SUM(E53:E54)</f>
        <v>0</v>
      </c>
      <c r="F55" s="150">
        <f>IFERROR(SUM(F53:F54),"")</f>
        <v>1976</v>
      </c>
      <c r="G55" s="150">
        <f>SUM(G53:G54)</f>
        <v>13.5</v>
      </c>
      <c r="H55" s="150">
        <f>SUM(H53:H54)</f>
        <v>8.5</v>
      </c>
      <c r="I55" s="151">
        <f>IFERROR(IF(G55=0,"",F55/G55),"")</f>
        <v>146.37037037037038</v>
      </c>
      <c r="J55" s="152"/>
      <c r="K55" s="152"/>
    </row>
    <row r="56" spans="1:11" ht="15.75" customHeight="1" x14ac:dyDescent="0.35">
      <c r="A56" s="139">
        <v>46253</v>
      </c>
      <c r="B56" s="140" t="s">
        <v>392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5">
      <c r="A57" s="144">
        <v>46253</v>
      </c>
      <c r="B57" s="145" t="s">
        <v>393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5">
      <c r="A58" s="163" t="s">
        <v>253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5">
      <c r="A59" s="139">
        <v>46254</v>
      </c>
      <c r="B59" s="140" t="s">
        <v>392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5">
      <c r="A60" s="144">
        <v>46254</v>
      </c>
      <c r="B60" s="145" t="s">
        <v>393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5">
      <c r="A61" s="163" t="s">
        <v>253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5">
      <c r="A62" s="139">
        <v>46255</v>
      </c>
      <c r="B62" s="140" t="s">
        <v>392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5">
      <c r="A63" s="144">
        <v>46255</v>
      </c>
      <c r="B63" s="145" t="s">
        <v>393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5">
      <c r="A64" s="163" t="s">
        <v>253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5">
      <c r="A65" s="139">
        <v>46256</v>
      </c>
      <c r="B65" s="140" t="s">
        <v>392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5">
      <c r="A66" s="144">
        <v>46256</v>
      </c>
      <c r="B66" s="145" t="s">
        <v>393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5">
      <c r="A67" s="163" t="s">
        <v>253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5">
      <c r="A68" s="139">
        <v>46257</v>
      </c>
      <c r="B68" s="140" t="s">
        <v>392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5">
      <c r="A69" s="144">
        <v>46257</v>
      </c>
      <c r="B69" s="145" t="s">
        <v>393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5">
      <c r="A70" s="163" t="s">
        <v>253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5">
      <c r="A71" s="139">
        <v>46258</v>
      </c>
      <c r="B71" s="140" t="s">
        <v>392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5">
      <c r="A72" s="144">
        <v>46258</v>
      </c>
      <c r="B72" s="145" t="s">
        <v>393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5">
      <c r="A73" s="163" t="s">
        <v>253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5">
      <c r="A74" s="139">
        <v>46259</v>
      </c>
      <c r="B74" s="140" t="s">
        <v>392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5">
      <c r="A75" s="144">
        <v>46259</v>
      </c>
      <c r="B75" s="145" t="s">
        <v>393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5">
      <c r="A76" s="163" t="s">
        <v>253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5">
      <c r="A77" s="139">
        <v>46260</v>
      </c>
      <c r="B77" s="140" t="s">
        <v>392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5">
      <c r="A78" s="144">
        <v>46260</v>
      </c>
      <c r="B78" s="145" t="s">
        <v>393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5">
      <c r="A79" s="163" t="s">
        <v>253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5">
      <c r="A80" s="139">
        <v>46261</v>
      </c>
      <c r="B80" s="140" t="s">
        <v>392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5">
      <c r="A81" s="144">
        <v>46261</v>
      </c>
      <c r="B81" s="145" t="s">
        <v>393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5">
      <c r="A82" s="163" t="s">
        <v>253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5">
      <c r="A83" s="139">
        <v>46262</v>
      </c>
      <c r="B83" s="140" t="s">
        <v>392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5">
      <c r="A84" s="144">
        <v>46262</v>
      </c>
      <c r="B84" s="145" t="s">
        <v>393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5">
      <c r="A85" s="163" t="s">
        <v>253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5">
      <c r="A86" s="139">
        <v>46263</v>
      </c>
      <c r="B86" s="140" t="s">
        <v>392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5">
      <c r="A87" s="144">
        <v>46263</v>
      </c>
      <c r="B87" s="145" t="s">
        <v>393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5">
      <c r="A88" s="163" t="s">
        <v>253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5">
      <c r="A89" s="139">
        <v>46264</v>
      </c>
      <c r="B89" s="140" t="s">
        <v>392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5">
      <c r="A90" s="144">
        <v>46264</v>
      </c>
      <c r="B90" s="145" t="s">
        <v>393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5">
      <c r="A91" s="163" t="s">
        <v>253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5">
      <c r="A92" s="139">
        <v>46265</v>
      </c>
      <c r="B92" s="140" t="s">
        <v>392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5">
      <c r="A93" s="144">
        <v>46265</v>
      </c>
      <c r="B93" s="145" t="s">
        <v>393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5">
      <c r="A94" s="163" t="s">
        <v>253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E539B55-D6A1-4759-9E49-6157AA924255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70475E4B-D869-43C9-9B5E-604B93C545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18BAB9-72F1-4D5A-93B7-24AA95375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</vt:lpstr>
      <vt:lpstr>Linha 1</vt:lpstr>
      <vt:lpstr>Linha 2</vt:lpstr>
      <vt:lpstr>Linha 3</vt:lpstr>
      <vt:lpstr>Britador Móvel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2026-08-19T14:03:51Z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