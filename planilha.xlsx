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38" documentId="8_{AF585B22-221D-4780-BB9C-493D365A6A02}" xr6:coauthVersionLast="47" xr6:coauthVersionMax="47" xr10:uidLastSave="{861C381D-7CA0-49A8-9B9C-3493DFB4AEA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<sst xmlns="http://schemas.openxmlformats.org/spreadsheetml/2006/main" count="9652" uniqueCount="383">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</sst>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0.26044062499568099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0.41807951388456988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0.52780173610679204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0.23891284722049022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0.40974618055382361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0.55488506944271254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/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M624" s="30" t="str">
        <f ca="1">IFERROR(IF(K624="","",IF(L623="",MOD(NOW()-K624,1),IF(L623&gt;=K624,L623-K624,L623+1-K624))),"")</f>
        <v/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H624" sqref="H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0.25071840277814772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0.45002395833370334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0.81738506944481437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18</v>
      </c>
      <c r="I624" s="26" t="s">
        <v>126</v>
      </c>
      <c r="J624" s="26"/>
      <c r="K624" s="29">
        <v>0.49236111111111114</v>
      </c>
      <c r="L624" s="29"/>
      <c r="M624" s="30">
        <f t="shared" ca="1" si="139"/>
        <v>7.662847223400604E-3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54</v>
      </c>
      <c r="G635" s="36">
        <f>SUM(G623:G634)</f>
        <v>226.8</v>
      </c>
      <c r="H635" s="37"/>
      <c r="I635" s="37"/>
      <c r="J635" s="37"/>
      <c r="K635" s="61"/>
      <c r="L635" s="61"/>
      <c r="M635" s="38">
        <f ca="1">IFERROR(SUM(M623:M634),"")</f>
        <v>1.1135069445622869E-2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</v>
      </c>
      <c r="G649" s="40">
        <f>G635+G648</f>
        <v>226.8</v>
      </c>
      <c r="H649" s="41"/>
      <c r="I649" s="41"/>
      <c r="J649" s="41"/>
      <c r="K649" s="63"/>
      <c r="L649" s="63"/>
      <c r="M649" s="42">
        <f ca="1">IFERROR(M635+M648,"")</f>
        <v>1.1135069445622869E-2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2026-07-24T16:01:46Z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