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24" documentId="8_{AF585B22-221D-4780-BB9C-493D365A6A02}" xr6:coauthVersionLast="47" xr6:coauthVersionMax="47" xr10:uidLastSave="{6BB02DA8-ADB1-4219-88F8-DAEEB255664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<sst xmlns="http://schemas.openxmlformats.org/spreadsheetml/2006/main" count="12177" uniqueCount="438">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</sst>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2" sqref="F80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/>
      <c r="G803" s="28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233</v>
      </c>
      <c r="F804" s="27"/>
      <c r="G804" s="28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233</v>
      </c>
      <c r="F805" s="27"/>
      <c r="G805" s="28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233</v>
      </c>
      <c r="F806" s="27"/>
      <c r="G806" s="28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170</v>
      </c>
      <c r="G810" s="36">
        <f>SUM(G798:G809)</f>
        <v>829.2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461</v>
      </c>
      <c r="G811" s="40">
        <f>G797+G810</f>
        <v>829.2</v>
      </c>
      <c r="H811" s="41"/>
      <c r="I811" s="41"/>
      <c r="J811" s="41"/>
      <c r="K811" s="41"/>
      <c r="L811" s="41"/>
      <c r="M811" s="42">
        <f ca="1">IFERROR(M797+M810,"")</f>
        <v>8.1249999999999933E-2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H2:H900 G824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1" activePane="bottomLeft" state="frozen"/>
      <selection pane="bottomLeft" activeCell="J799" sqref="J7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0.80028148148267064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0.95792037037155953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1.0676425925937818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0.77875370370747987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0.94958703704081326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1.0947259259297022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/>
      <c r="M799" s="35">
        <f t="shared" ca="1" si="177"/>
        <v>1.6703703731764108E-3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94</v>
      </c>
      <c r="G810" s="36">
        <f>SUM(G798:G809)</f>
        <v>394.8</v>
      </c>
      <c r="H810" s="37"/>
      <c r="I810" s="37"/>
      <c r="J810" s="37"/>
      <c r="K810" s="37"/>
      <c r="L810" s="37"/>
      <c r="M810" s="38">
        <f ca="1">IFERROR(SUM(M798:M809),"")</f>
        <v>1.2087037039843077E-2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248</v>
      </c>
      <c r="G811" s="40">
        <f>G797+G810</f>
        <v>1047.2</v>
      </c>
      <c r="H811" s="41"/>
      <c r="I811" s="41"/>
      <c r="J811" s="41"/>
      <c r="K811" s="41"/>
      <c r="L811" s="41"/>
      <c r="M811" s="42">
        <f ca="1">IFERROR(M797+M810,"")</f>
        <v>0.13292037037317631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3" sqref="F8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27</v>
      </c>
      <c r="G810" s="36">
        <f>SUM(G798:G809)</f>
        <v>113.4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121</v>
      </c>
      <c r="G811" s="40">
        <f>G797+G810</f>
        <v>513.79999999999995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3" sqref="F80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0.79055925926513737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0.989864814820693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1.357225925931804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33" t="s">
        <v>20</v>
      </c>
      <c r="I799" s="33"/>
      <c r="J799" s="33"/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/>
      <c r="G803" s="34" t="str">
        <f t="shared" si="176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/>
      <c r="G804" s="34" t="str">
        <f t="shared" si="176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/>
      <c r="G805" s="34" t="str">
        <f t="shared" si="176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/>
      <c r="G806" s="34" t="str">
        <f t="shared" si="176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44</v>
      </c>
      <c r="G810" s="36">
        <f>SUM(G798:G809)</f>
        <v>184.8</v>
      </c>
      <c r="H810" s="37"/>
      <c r="I810" s="37"/>
      <c r="J810" s="37"/>
      <c r="K810" s="61"/>
      <c r="L810" s="61"/>
      <c r="M810" s="38">
        <f ca="1">IFERROR(SUM(M798:M809),"")</f>
        <v>0.13888888888888895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66</v>
      </c>
      <c r="G811" s="40">
        <f>G797+G810</f>
        <v>277.20000000000005</v>
      </c>
      <c r="H811" s="41"/>
      <c r="I811" s="41"/>
      <c r="J811" s="41"/>
      <c r="K811" s="63"/>
      <c r="L811" s="63"/>
      <c r="M811" s="42">
        <f ca="1">IFERROR(M797+M810,"")</f>
        <v>0.58819444444444446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2026-07-31T04:57:57Z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