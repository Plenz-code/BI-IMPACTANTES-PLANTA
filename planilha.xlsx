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940" documentId="8_{C51EB6CB-002B-4D6B-B68F-DDEBDB4460C0}" xr6:coauthVersionLast="47" xr6:coauthVersionMax="47" xr10:uidLastSave="{9937814E-F02B-4CC8-B434-F132E1DB9D0B}"/>
  <bookViews>
    <workbookView xWindow="-120" yWindow="-12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<sst xmlns="http://schemas.openxmlformats.org/spreadsheetml/2006/main" count="5700" uniqueCount="340">
  <si>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</si>
  <si>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</si>
  <si>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</si>
  <si>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</si>
  <si>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</si>
  <si>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</si>
  <si>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</si>
  <si>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</si>
  <si>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</si>
  <si>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</si>
  <si>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</si>
  <si>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</si>
  <si>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</si>
  <si>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</si>
  <si>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</si>
  <si>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</si>
  <si>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</si>
  <si>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</si>
  <si>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</si>
  <si>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</si>
  <si>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</si>
  <si>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</si>
  <si>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</si>
  <si>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</si>
  <si>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</si>
  <si>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</si>
  <si>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</si>
  <si>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</si>
  <si>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</si>
  <si>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</si>
  <si>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</si>
  <si>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</si>
  <si>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</si>
  <si>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</si>
  <si>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</si>
  <si>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</si>
  <si>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</si>
  <si>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</si>
  <si>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</si>
  <si>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</si>
  <si>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</si>
  <si>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</si>
  <si>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</si>
  <si>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</si>
  <si>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</si>
  <si>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</si>
  <si>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</si>
  <si>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</si>
  <si>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</si>
  <si>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</si>
  <si>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</si>
  <si>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</si>
  <si>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</si>
  <si>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</si>
  <si>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</si>
  <si>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</si>
  <si>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</si>
  <si>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</si>
  <si>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</si>
  <si>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</si>
  <si>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</si>
  <si>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</si>
  <si>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</si>
  <si>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</si>
  <si>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</si>
  <si>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</si>
  <si>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</si>
  <si>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</si>
  <si>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</si>
  <si>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</si>
  <si>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</si>
  <si>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</si>
  <si>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</si>
  <si>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</si>
  <si>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</si>
  <si>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</si>
  <si>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</si>
  <si>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</si>
  <si>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</si>
  <si>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</si>
  <si>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</si>
  <si>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</si>
  <si>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</si>
  <si>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</si>
  <si>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</si>
  <si>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</si>
  <si>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</si>
  <si>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</si>
  <si>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</si>
  <si>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</si>
  <si>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</si>
  <si>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</si>
  <si>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</si>
  <si>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</si>
  <si>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</si>
  <si>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</si>
  <si>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</si>
  <si>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</si>
  <si>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</si>
  <si>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</si>
  <si>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</si>
  <si>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</si>
  <si>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</si>
  <si>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</si>
  <si>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</si>
  <si>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</si>
  <si>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</si>
  <si>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</si>
  <si>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</si>
  <si>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</si>
  <si>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</si>
  <si>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</si>
  <si>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</si>
  <si>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</si>
  <si>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</si>
  <si>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</si>
  <si>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</si>
  <si>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</si>
  <si>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</si>
  <si>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</si>
  <si>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</si>
  <si>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</si>
  <si>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</si>
  <si>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</si>
  <si>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</si>
  <si>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</si>
  <si>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</si>
  <si>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</si>
  <si>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</si>
  <si>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</si>
  <si>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</si>
  <si>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</si>
  <si>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</si>
  <si>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</si>
  <si>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</si>
  <si>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</si>
  <si>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</si>
  <si>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</si>
  <si>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</si>
  <si>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</si>
  <si>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</si>
  <si>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</si>
  <si>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</si>
  <si>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</si>
  <si>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</si>
  <si>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</si>
  <si>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</si>
  <si>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</si>
  <si>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</si>
  <si>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</si>
  <si>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</si>
  <si>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</si>
  <si>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</si>
  <si>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</si>
  <si>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</si>
  <si>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</si>
  <si>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</si>
  <si>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</si>
  <si>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</si>
  <si>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</si>
  <si>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</si>
  <si>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</si>
  <si>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</si>
  <si>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</si>
  <si>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</si>
  <si>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</si>
  <si>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</si>
  <si>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</si>
  <si>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</si>
  <si>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</si>
  <si>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</si>
  <si>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</si>
  <si>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</si>
  <si>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</si>
  <si>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</si>
  <si>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</si>
  <si>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</si>
  <si>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</si>
  <si>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</si>
  <si>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</si>
  <si>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</si>
  <si>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</si>
  <si>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</si>
  <si>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</si>
  <si>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</si>
  <si>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</si>
  <si>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</si>
  <si>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</si>
  <si>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</si>
  <si>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</si>
  <si>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</si>
  <si>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</si>
  <si>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</si>
  <si>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</si>
  <si>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</si>
  <si>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</si>
  <si>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</si>
  <si>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</si>
  <si>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</si>
  <si>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</si>
  <si>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</si>
  <si>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</si>
  <si>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</si>
  <si>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</si>
  <si>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</si>
  <si>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</si>
  <si>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</si>
  <si>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</si>
  <si>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</si>
  <si>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</si>
  <si>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</si>
  <si>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</si>
  <si>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</si>
  <si>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</si>
  <si>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</si>
  <si>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</si>
  <si>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</si>
  <si>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</si>
  <si>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</si>
  <si>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</si>
  <si>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</si>
  <si>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</si>
  <si>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</si>
  <si>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</si>
  <si>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</si>
  <si>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</si>
  <si>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</si>
  <si>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</si>
  <si>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</si>
  <si>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</si>
  <si>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</si>
  <si>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</si>
  <si>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</si>
  <si>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</si>
  <si>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</si>
  <si>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</si>
  <si>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</si>
  <si>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</si>
  <si>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</si>
  <si>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</si>
  <si>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</si>
  <si>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</si>
  <si>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</si>
  <si>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</si>
  <si>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</si>
  <si>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</si>
  <si>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</si>
  <si>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</si>
  <si>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</si>
  <si>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</si>
  <si>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</si>
  <si>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</si>
  <si>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</si>
  <si>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</si>
  <si>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</si>
  <si>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</si>
  <si>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</si>
  <si>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</si>
  <si>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</si>
  <si>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>rolamento do mancal</t>
  </si>
  <si>
    <t>3 viagens com caminhão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</si>
  <si>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</si>
  <si>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</si>
  <si>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</si>
  <si>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</si>
  <si>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</si>
  <si>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</si>
  <si>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</si>
  <si>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</si>
  <si>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</si>
  <si>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</si>
  <si>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</si>
  <si>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</si>
  <si>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</si>
  <si>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</si>
  <si>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</si>
  <si>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</si>
  <si>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</si>
  <si>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</si>
  <si>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</si>
  <si>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</si>
  <si>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</si>
  <si>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</si>
  <si>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</si>
  <si>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</si>
  <si>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</si>
  <si>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</si>
  <si>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</si>
  <si>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</si>
  <si>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</si>
  <si>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</si>
  <si>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</si>
  <si>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</si>
  <si>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</si>
  <si>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</si>
  <si>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</si>
  <si>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</si>
  <si>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</si>
  <si>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</si>
  <si>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</si>
  <si>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</si>
  <si>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</si>
  <si>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</si>
  <si>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</si>
  <si>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</si>
  <si>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</si>
  <si>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</si>
  <si>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</si>
  <si>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</si>
  <si>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</si>
  <si>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</si>
  <si>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</si>
  <si>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</si>
  <si>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</si>
  <si>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</si>
  <si>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</si>
  <si>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</si>
  <si>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</si>
  <si>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</si>
  <si>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</si>
  <si>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</si>
  <si>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</si>
  <si>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</si>
  <si>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</si>
  <si>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</si>
  <si>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</si>
  <si>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</si>
  <si>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</si>
  <si>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</si>
  <si>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</si>
  <si>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</si>
  <si>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</si>
  <si>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</si>
  <si>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</si>
  <si>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</si>
  <si>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</si>
  <si>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</si>
  <si>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</si>
  <si>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</si>
  <si>
    <t>troca de marttelo mm4\5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</si>
</sst>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37430140</v>
      </c>
      <c r="D35" s="13">
        <f>IFERROR(SUM(D4:D34),"")</f>
        <v>12845630</v>
      </c>
      <c r="E35" s="13">
        <f>IFERROR(SUM(E4:E34),"")</f>
        <v>6272590</v>
      </c>
      <c r="F35" s="13">
        <f>IFERROR(SUM(F4:F34),"")</f>
        <v>15553450</v>
      </c>
      <c r="G35" s="13">
        <f>IFERROR(SUM(G4:G34),"")</f>
        <v>34671670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2" activePane="bottomLeft" state="frozen"/>
      <selection pane="bottomLeft" activeCell="F310" sqref="F310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 t="s">
        <v>20</v>
      </c>
      <c r="I300" s="26" t="s">
        <v>23</v>
      </c>
      <c r="J300" s="26" t="s">
        <v>134</v>
      </c>
      <c r="K300" s="29">
        <v>0.61319444444444449</v>
      </c>
      <c r="L300" s="29">
        <v>0.61736111111111114</v>
      </c>
      <c r="M300" s="30">
        <f t="shared" ca="1" si="67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 t="s">
        <v>18</v>
      </c>
      <c r="I301" s="33" t="s">
        <v>23</v>
      </c>
      <c r="J301" s="33" t="s">
        <v>34</v>
      </c>
      <c r="K301" s="29">
        <v>0.71736111111111112</v>
      </c>
      <c r="L301" s="29"/>
      <c r="M301" s="35">
        <f t="shared" ca="1" si="67"/>
        <v>4.1811111106653698E-2</v>
      </c>
      <c r="N301" s="46" t="s">
        <v>259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 t="s">
        <v>260</v>
      </c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>
        <v>46</v>
      </c>
      <c r="G306" s="28">
        <f t="shared" si="66"/>
        <v>230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>
        <v>46</v>
      </c>
      <c r="G307" s="34">
        <f t="shared" si="66"/>
        <v>230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234</v>
      </c>
      <c r="F308" s="27">
        <v>59</v>
      </c>
      <c r="G308" s="28">
        <f t="shared" si="66"/>
        <v>295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234</v>
      </c>
      <c r="F309" s="27">
        <v>11</v>
      </c>
      <c r="G309" s="34">
        <f t="shared" si="66"/>
        <v>55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234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433</v>
      </c>
      <c r="G311" s="90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5.7088888884431477E-2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433</v>
      </c>
      <c r="G325" s="40">
        <f>G311+G324</f>
        <v>2165</v>
      </c>
      <c r="H325" s="41"/>
      <c r="I325" s="41"/>
      <c r="J325" s="41"/>
      <c r="K325" s="41"/>
      <c r="L325" s="41"/>
      <c r="M325" s="42">
        <f ca="1">IFERROR(M311+M324,"")</f>
        <v>5.7088888884431477E-2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87" activePane="bottomLeft" state="frozen"/>
      <selection pane="bottomLeft" activeCell="F310" sqref="F310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261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0.63764444443950197</v>
      </c>
      <c r="N53" s="46" t="s">
        <v>269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0.77653333332839081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0.86125555555061317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261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270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271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272</v>
      </c>
      <c r="M96" s="30" t="str">
        <f t="shared" ref="M96:M107" ca="1" si="22">IFERROR(IF(K96="","",IF(L96="",MOD(NOW()-K96,1),IF(L96&gt;=K96,L96-K96,L96+1-K96))),"")</f>
        <v/>
      </c>
      <c r="N96" s="46" t="s">
        <v>273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280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281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270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285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286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287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288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289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290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 t="s">
        <v>19</v>
      </c>
      <c r="I303" s="33" t="s">
        <v>39</v>
      </c>
      <c r="J303" s="33" t="s">
        <v>27</v>
      </c>
      <c r="K303" s="29">
        <v>0.73958333333333337</v>
      </c>
      <c r="L303" s="29">
        <v>0.75624999999999998</v>
      </c>
      <c r="M303" s="35">
        <f t="shared" ca="1" si="67"/>
        <v>1.6666666666666607E-2</v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 t="s">
        <v>17</v>
      </c>
      <c r="I304" s="26"/>
      <c r="J304" s="26" t="s">
        <v>25</v>
      </c>
      <c r="K304" s="29">
        <v>0.75624999999999998</v>
      </c>
      <c r="L304" s="29"/>
      <c r="M304" s="30">
        <f t="shared" ca="1" si="67"/>
        <v>2.9222222219686955E-3</v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20</v>
      </c>
      <c r="G306" s="28">
        <f t="shared" si="66"/>
        <v>84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16</v>
      </c>
      <c r="G307" s="34">
        <f t="shared" si="66"/>
        <v>67.2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14</v>
      </c>
      <c r="G308" s="28">
        <f t="shared" si="66"/>
        <v>58.800000000000004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4</v>
      </c>
      <c r="G309" s="34">
        <f t="shared" si="66"/>
        <v>16.8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164</v>
      </c>
      <c r="G311" s="36">
        <f>SUM(G299:G310)</f>
        <v>688.8</v>
      </c>
      <c r="H311" s="37"/>
      <c r="I311" s="37"/>
      <c r="J311" s="37"/>
      <c r="K311" s="37"/>
      <c r="L311" s="37"/>
      <c r="M311" s="38">
        <f ca="1">IFERROR(SUM(M299:M310),"")</f>
        <v>4.9449999999746419E-2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164</v>
      </c>
      <c r="G325" s="40">
        <f>G311+G324</f>
        <v>688.8</v>
      </c>
      <c r="H325" s="41"/>
      <c r="I325" s="41"/>
      <c r="J325" s="41"/>
      <c r="K325" s="41"/>
      <c r="L325" s="41"/>
      <c r="M325" s="42">
        <f ca="1">IFERROR(M311+M324,"")</f>
        <v>4.9449999999746419E-2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72" zoomScale="68" zoomScaleNormal="68" workbookViewId="0">
      <selection activeCell="F310" sqref="F310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291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292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270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291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291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293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294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295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296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298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299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270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300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301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302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303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304</v>
      </c>
      <c r="M222" s="30" t="str">
        <f t="shared" ca="1" si="49"/>
        <v/>
      </c>
      <c r="N222" s="27" t="s">
        <v>305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306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270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0.56472777777526062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0.62653333333081618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0.6876444444419274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307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>
        <v>0.61944444444444446</v>
      </c>
      <c r="M301" s="35">
        <f t="shared" ca="1" si="67"/>
        <v>1.1111111111111183E-2</v>
      </c>
      <c r="N301" s="27" t="s">
        <v>270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 t="s">
        <v>17</v>
      </c>
      <c r="I302" s="26"/>
      <c r="J302" s="26" t="s">
        <v>25</v>
      </c>
      <c r="K302" s="29">
        <v>0.75624999999999998</v>
      </c>
      <c r="L302" s="29"/>
      <c r="M302" s="30">
        <f t="shared" ca="1" si="67"/>
        <v>2.9222222219686955E-3</v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16</v>
      </c>
      <c r="G308" s="28">
        <f t="shared" si="66"/>
        <v>67.2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118</v>
      </c>
      <c r="G311" s="36">
        <f>SUM(G299:G310)</f>
        <v>495.59999999999997</v>
      </c>
      <c r="H311" s="37"/>
      <c r="I311" s="37"/>
      <c r="J311" s="37"/>
      <c r="K311" s="37"/>
      <c r="L311" s="37"/>
      <c r="M311" s="38">
        <f ca="1">IFERROR(SUM(M299:M310),"")</f>
        <v>2.4449999999746563E-2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118</v>
      </c>
      <c r="G325" s="40">
        <f>G311+G324</f>
        <v>495.59999999999997</v>
      </c>
      <c r="H325" s="41"/>
      <c r="I325" s="41"/>
      <c r="J325" s="41"/>
      <c r="K325" s="41"/>
      <c r="L325" s="41"/>
      <c r="M325" s="42">
        <f ca="1">IFERROR(M311+M324,"")</f>
        <v>2.4449999999746563E-2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78" activePane="bottomLeft" state="frozen"/>
      <selection pane="bottomLeft" activeCell="J302" sqref="J302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291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310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311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291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291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315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316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270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291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317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318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319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320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321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322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323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324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325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326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327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328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329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330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331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332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298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333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334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335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336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337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338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 t="s">
        <v>16</v>
      </c>
      <c r="I301" s="33"/>
      <c r="J301" s="33" t="s">
        <v>86</v>
      </c>
      <c r="K301" s="65">
        <v>0.66249999999999998</v>
      </c>
      <c r="L301" s="29">
        <v>0.71527777777777779</v>
      </c>
      <c r="M301" s="35">
        <f t="shared" ca="1" si="67"/>
        <v>5.2777777777777812E-2</v>
      </c>
      <c r="N301" s="27" t="s">
        <v>339</v>
      </c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 t="s">
        <v>17</v>
      </c>
      <c r="I302" s="26"/>
      <c r="J302" s="26" t="s">
        <v>25</v>
      </c>
      <c r="K302" s="29">
        <v>0.75624999999999998</v>
      </c>
      <c r="L302" s="29"/>
      <c r="M302" s="30">
        <f t="shared" ca="1" si="67"/>
        <v>2.9221064833109267E-3</v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10</v>
      </c>
      <c r="G306" s="28">
        <f t="shared" si="66"/>
        <v>42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15</v>
      </c>
      <c r="G307" s="34">
        <f t="shared" si="66"/>
        <v>63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14</v>
      </c>
      <c r="G309" s="34">
        <f t="shared" si="66"/>
        <v>58.800000000000004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182</v>
      </c>
      <c r="G311" s="36">
        <f>SUM(G299:G310)</f>
        <v>764.4</v>
      </c>
      <c r="H311" s="37"/>
      <c r="I311" s="37"/>
      <c r="J311" s="37"/>
      <c r="K311" s="61"/>
      <c r="L311" s="61"/>
      <c r="M311" s="38">
        <f ca="1">IFERROR(SUM(M299:M310),"")</f>
        <v>7.167210648331096E-2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182</v>
      </c>
      <c r="G325" s="40">
        <f>G311+G324</f>
        <v>764.4</v>
      </c>
      <c r="H325" s="41"/>
      <c r="I325" s="41"/>
      <c r="J325" s="41"/>
      <c r="K325" s="63"/>
      <c r="L325" s="63"/>
      <c r="M325" s="42">
        <f ca="1">IFERROR(M311+M324,"")</f>
        <v>7.167210648331096E-2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2026-08-12T22:13:33Z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