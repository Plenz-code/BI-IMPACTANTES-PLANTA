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800" documentId="8_{C51EB6CB-002B-4D6B-B68F-DDEBDB4460C0}" xr6:coauthVersionLast="47" xr6:coauthVersionMax="47" xr10:uidLastSave="{D04DC6C8-591A-4498-9EF7-4C9B0D99ECCC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<sst xmlns="http://schemas.openxmlformats.org/spreadsheetml/2006/main" count="1667" uniqueCount="253">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</sst>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1351560</v>
      </c>
      <c r="D5" s="11">
        <f>IFERROR('Linha 1'!O55,"")</f>
        <v>311070</v>
      </c>
      <c r="E5" s="11">
        <f>IFERROR('Linha 2'!O55,"")</f>
        <v>237080</v>
      </c>
      <c r="F5" s="11">
        <f>IFERROR('Linha 3'!O55,"")</f>
        <v>766800</v>
      </c>
      <c r="G5" s="12">
        <f t="shared" si="0"/>
        <v>1314950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3147235</v>
      </c>
      <c r="D35" s="13">
        <f>IFERROR(SUM(D4:D34),"")</f>
        <v>1342210</v>
      </c>
      <c r="E35" s="13">
        <f>IFERROR(SUM(E4:E34),"")</f>
        <v>921600</v>
      </c>
      <c r="F35" s="13">
        <f>IFERROR(SUM(F4:F34),"")</f>
        <v>1819740</v>
      </c>
      <c r="G35" s="13">
        <f>IFERROR(SUM(G4:G34),"")</f>
        <v>4083550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35" activePane="bottomLeft" state="frozen"/>
      <selection pane="bottomLeft" activeCell="D48" sqref="D4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253</v>
      </c>
      <c r="G55" s="40">
        <f>G41+G54</f>
        <v>695</v>
      </c>
      <c r="H55" s="41"/>
      <c r="I55" s="41"/>
      <c r="J55" s="41"/>
      <c r="K55" s="41"/>
      <c r="L55" s="41"/>
      <c r="M55" s="42">
        <f ca="1">IFERROR(M41+M54,"")</f>
        <v>5.9722222222222177E-2</v>
      </c>
      <c r="N55" s="40" t="s">
        <v>233</v>
      </c>
      <c r="O55" s="43">
        <f>IFERROR(O41+O54,"")</f>
        <v>1351560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8" activePane="bottomLeft" state="frozen"/>
      <selection pane="bottomLeft" activeCell="D49" sqref="D4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80</v>
      </c>
      <c r="G55" s="40">
        <f>G41+G54</f>
        <v>323.39999999999998</v>
      </c>
      <c r="H55" s="41"/>
      <c r="I55" s="41"/>
      <c r="J55" s="41"/>
      <c r="K55" s="41"/>
      <c r="L55" s="41"/>
      <c r="M55" s="42">
        <f ca="1">IFERROR(M41+M54,"")</f>
        <v>8.4722222222222324E-2</v>
      </c>
      <c r="N55" s="40" t="s">
        <v>233</v>
      </c>
      <c r="O55" s="82">
        <f>IFERROR(O41+O54,"")</f>
        <v>311070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35" zoomScale="50" zoomScaleNormal="50" workbookViewId="0">
      <selection activeCell="C42" sqref="C4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247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248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77</v>
      </c>
      <c r="G55" s="40">
        <f>G41+G54</f>
        <v>323.40000000000003</v>
      </c>
      <c r="H55" s="41"/>
      <c r="I55" s="41"/>
      <c r="J55" s="41"/>
      <c r="K55" s="41"/>
      <c r="L55" s="41"/>
      <c r="M55" s="42">
        <f ca="1">IFERROR(M41+M54,"")</f>
        <v>2.083333333333337E-2</v>
      </c>
      <c r="N55" s="40" t="s">
        <v>233</v>
      </c>
      <c r="O55" s="43">
        <f>IFERROR(O41+O54,"")</f>
        <v>237080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" activePane="bottomLeft" state="frozen"/>
      <selection pane="bottomLeft" activeCell="E48" sqref="E4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249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247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251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252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57">
        <v>8</v>
      </c>
      <c r="G39" s="28" t="str">
        <f>IF(F50="","",IF(E39="PC 17",F50*4.2,IF(E39="PC 19",F50*5,IF(E39="CB",F50*24,""))))</f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558.6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30</v>
      </c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/>
      <c r="F50" s="27"/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141</v>
      </c>
      <c r="G55" s="40">
        <f>G41+G54</f>
        <v>558.6</v>
      </c>
      <c r="H55" s="41"/>
      <c r="I55" s="41"/>
      <c r="J55" s="41"/>
      <c r="K55" s="63"/>
      <c r="L55" s="63"/>
      <c r="M55" s="42">
        <f ca="1">IFERROR(M41+M54,"")</f>
        <v>1.1111111111111072E-2</v>
      </c>
      <c r="N55" s="40" t="s">
        <v>233</v>
      </c>
      <c r="O55" s="48">
        <f>IFERROR(O41+O54,"")</f>
        <v>766800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2026-08-02T22:58:21Z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