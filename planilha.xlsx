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803" documentId="8_{AF585B22-221D-4780-BB9C-493D365A6A02}" xr6:coauthVersionLast="47" xr6:coauthVersionMax="47" xr10:uidLastSave="{E0C487AB-E200-4128-9783-75BC0B30F56B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<sst xmlns="http://schemas.openxmlformats.org/spreadsheetml/2006/main" count="4505" uniqueCount="285">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</sst>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631580</v>
      </c>
      <c r="E13" s="11">
        <f>IFERROR('Linha 2'!O271,"")</f>
        <v>456270</v>
      </c>
      <c r="F13" s="11">
        <f>IFERROR('Linha 3'!O271,"")</f>
        <v>874480</v>
      </c>
      <c r="G13" s="12">
        <f t="shared" si="0"/>
        <v>1962330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9850090</v>
      </c>
      <c r="E35" s="13">
        <f>IFERROR(SUM(E4:E34),"")</f>
        <v>6933540</v>
      </c>
      <c r="F35" s="13">
        <f>IFERROR(SUM(F4:F34),"")</f>
        <v>12384660</v>
      </c>
      <c r="G35" s="13">
        <f>IFERROR(SUM(G4:G34),"")</f>
        <v>29168290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9" activePane="bottomLeft" state="frozen"/>
      <selection pane="bottomLeft" activeCell="D258" sqref="D258:D2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3" activePane="bottomLeft" state="frozen"/>
      <selection pane="bottomLeft" activeCell="I258" sqref="I25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18</v>
      </c>
      <c r="I258" s="26" t="s">
        <v>39</v>
      </c>
      <c r="J258" s="26"/>
      <c r="K258" s="29">
        <v>0.79861111111111116</v>
      </c>
      <c r="L258" s="29"/>
      <c r="M258" s="30">
        <f t="shared" ref="M258:M269" ca="1" si="58">IFERROR(IF(K258="","",IF(L258="",MOD(NOW()-K258,1),IF(L258&gt;=K258,L258-K258,L258+1-K258))),"")</f>
        <v>2.3295370374398772E-2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2.3295370374398772E-2</v>
      </c>
      <c r="N270" s="36" t="s">
        <v>216</v>
      </c>
      <c r="O270" s="78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9.5517592596621015E-2</v>
      </c>
      <c r="N271" s="40" t="s">
        <v>219</v>
      </c>
      <c r="O271" s="84">
        <f>IFERROR(O257+O270,"")</f>
        <v>631580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41" zoomScale="50" zoomScaleNormal="50" workbookViewId="0">
      <selection activeCell="J259" sqref="J25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257</v>
      </c>
      <c r="N166" s="27" t="s">
        <v>258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1.1805555555555625E-2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7.9166666666666829E-2</v>
      </c>
      <c r="N271" s="40" t="s">
        <v>219</v>
      </c>
      <c r="O271" s="48">
        <f>IFERROR(O257+O270,"")</f>
        <v>456270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1" activePane="bottomLeft" state="frozen"/>
      <selection pane="bottomLeft" activeCell="E269" sqref="E26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264</v>
      </c>
      <c r="L58" s="29">
        <v>0.54097222222222219</v>
      </c>
      <c r="M58" s="30" t="str">
        <f t="shared" ca="1" si="13"/>
        <v/>
      </c>
      <c r="N58" s="27" t="s">
        <v>265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0.57260092593060108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0.7719064814861567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1.1392675925972677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/>
      <c r="G258" s="34" t="str">
        <f t="shared" ref="G258:G269" si="57">IF(F258="","",IF(E258="PC 17",F258*4.2,IF(E258="PC 19",F258*5,"")))</f>
        <v/>
      </c>
      <c r="H258" s="26" t="s">
        <v>20</v>
      </c>
      <c r="I258" s="26" t="s">
        <v>137</v>
      </c>
      <c r="J258" s="26" t="s">
        <v>74</v>
      </c>
      <c r="K258" s="29">
        <v>0.80208333333333337</v>
      </c>
      <c r="L258" s="29"/>
      <c r="M258" s="35">
        <f t="shared" ref="M258:M269" ca="1" si="58">IFERROR(IF(K258="","",IF(L258="",MOD(NOW()-K258,1),IF(L258&gt;=K258,L258-K258,L258+1-K258))),"")</f>
        <v>1.9823148148134351E-2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1.9823148148134351E-2</v>
      </c>
      <c r="N270" s="36" t="s">
        <v>216</v>
      </c>
      <c r="O270" s="39"/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0.13718425925924549</v>
      </c>
      <c r="N271" s="40" t="s">
        <v>219</v>
      </c>
      <c r="O271" s="48">
        <f>IFERROR(O257+O270,"")</f>
        <v>874480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2026-07-10T23:43:35Z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