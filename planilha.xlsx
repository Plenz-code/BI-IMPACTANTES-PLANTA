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33" documentId="8_{AF585B22-221D-4780-BB9C-493D365A6A02}" xr6:coauthVersionLast="47" xr6:coauthVersionMax="47" xr10:uidLastSave="{E061E388-10B5-40AF-8456-CC12E347FCAE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<sst xmlns="http://schemas.openxmlformats.org/spreadsheetml/2006/main" count="2144" uniqueCount="224">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</sst>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6" activePane="bottomLeft" state="frozen"/>
      <selection pane="bottomLeft" activeCell="H84" sqref="H8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/>
      <c r="G84" s="34" t="str">
        <f t="shared" si="18"/>
        <v/>
      </c>
      <c r="H84" s="26" t="s">
        <v>18</v>
      </c>
      <c r="I84" s="26" t="s">
        <v>23</v>
      </c>
      <c r="J84" s="26"/>
      <c r="K84" s="29">
        <v>0.37291666666666667</v>
      </c>
      <c r="L84" s="29"/>
      <c r="M84" s="30">
        <f t="shared" ca="1" si="19"/>
        <v>1.1884259220096283E-3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25</v>
      </c>
      <c r="G95" s="36">
        <f>SUM(G83:G94)</f>
        <v>125</v>
      </c>
      <c r="H95" s="37"/>
      <c r="I95" s="37"/>
      <c r="J95" s="37"/>
      <c r="K95" s="37"/>
      <c r="L95" s="37"/>
      <c r="M95" s="38">
        <f ca="1">IFERROR(SUM(M83:M94),"")</f>
        <v>1.7160648144231849E-2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25</v>
      </c>
      <c r="G109" s="40">
        <f>G95+G108</f>
        <v>125</v>
      </c>
      <c r="H109" s="41"/>
      <c r="I109" s="41"/>
      <c r="J109" s="41"/>
      <c r="K109" s="41"/>
      <c r="L109" s="41"/>
      <c r="M109" s="42">
        <f ca="1">IFERROR(M95+M108,"")</f>
        <v>1.7160648144231849E-2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F84" sqref="F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/>
      <c r="I83" s="33"/>
      <c r="J83" s="33"/>
      <c r="K83" s="29">
        <v>0.35625000000000001</v>
      </c>
      <c r="L83" s="29"/>
      <c r="M83" s="35">
        <f t="shared" ref="M83:M94" ca="1" si="19">IFERROR(IF(K83="","",IF(L83="",MOD(NOW()-K83,1),IF(L83&gt;=K83,L83-K83,L83+1-K83))),"")</f>
        <v>1.7855092592071742E-2</v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18</v>
      </c>
      <c r="G95" s="36">
        <f>SUM(G83:G94)</f>
        <v>75.600000000000009</v>
      </c>
      <c r="H95" s="37"/>
      <c r="I95" s="37"/>
      <c r="J95" s="37"/>
      <c r="K95" s="37"/>
      <c r="L95" s="37"/>
      <c r="M95" s="38">
        <f ca="1">IFERROR(SUM(M83:M94),"")</f>
        <v>1.7855092592071742E-2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18</v>
      </c>
      <c r="G109" s="40">
        <f>G95+G108</f>
        <v>75.600000000000009</v>
      </c>
      <c r="H109" s="41"/>
      <c r="I109" s="41"/>
      <c r="J109" s="41"/>
      <c r="K109" s="41"/>
      <c r="L109" s="41"/>
      <c r="M109" s="42">
        <f ca="1">IFERROR(M95+M108,"")</f>
        <v>1.7855092592071742E-2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K84" sqref="K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8.2438425924920011E-2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8.2438425924920011E-2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8.2438425924920011E-2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I83" sqref="I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218</v>
      </c>
      <c r="L58" s="29">
        <v>0.54097222222222219</v>
      </c>
      <c r="M58" s="30" t="str">
        <f t="shared" ca="1" si="13"/>
        <v/>
      </c>
      <c r="N58" s="27" t="s">
        <v>219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 t="s">
        <v>52</v>
      </c>
      <c r="J83" s="33"/>
      <c r="K83" s="29">
        <v>0.29166666666666669</v>
      </c>
      <c r="L83" s="29"/>
      <c r="M83" s="30">
        <f t="shared" ref="M83:M94" ca="1" si="19">IFERROR(IF(K83="","",IF(L83="",MOD(NOW()-K83,1),IF(L83&gt;=K83,L83-K83,L83+1-K83))),"")</f>
        <v>8.2438425924920011E-2</v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8.2438425924920011E-2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8.2438425924920011E-2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2026-07-04T12:58:45Z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