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064" documentId="8_{AF585B22-221D-4780-BB9C-493D365A6A02}" xr6:coauthVersionLast="47" xr6:coauthVersionMax="47" xr10:uidLastSave="{CFB67786-75E5-4B09-B0F0-F05FA2727448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73" i="3" l="1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<sst xmlns="http://schemas.openxmlformats.org/spreadsheetml/2006/main" count="11916" uniqueCount="431">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</sst>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J786" sqref="J78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90030618</v>
      </c>
      <c r="D35" s="13">
        <f>IFERROR(SUM(D4:D34),"")</f>
        <v>36092820</v>
      </c>
      <c r="E35" s="13">
        <f>IFERROR(SUM(E4:E34),"")</f>
        <v>20142540</v>
      </c>
      <c r="F35" s="13">
        <f>IFERROR(SUM(F4:F34),"")</f>
        <v>36790000</v>
      </c>
      <c r="G35" s="13">
        <f>IFERROR(SUM(G4:G34),"")</f>
        <v>93025360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13"/>
      <c r="I59" s="17"/>
      <c r="J59" s="17"/>
      <c r="K59" s="17" t="s">
        <v>208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209</v>
      </c>
      <c r="L61" s="17"/>
      <c r="M61" s="17"/>
    </row>
    <row r="62" spans="1:13" ht="15" customHeight="1">
      <c r="H62" s="113"/>
      <c r="I62" s="16"/>
      <c r="J62" s="16"/>
      <c r="K62" s="16" t="s">
        <v>210</v>
      </c>
      <c r="L62" s="16"/>
      <c r="M62" s="16"/>
    </row>
    <row r="63" spans="1:13" ht="15" customHeight="1">
      <c r="H63" s="113"/>
      <c r="I63" s="17"/>
      <c r="J63" s="17"/>
      <c r="K63" s="17" t="s">
        <v>211</v>
      </c>
      <c r="L63" s="17"/>
      <c r="M63" s="17"/>
    </row>
    <row r="64" spans="1:13" ht="15" customHeight="1">
      <c r="H64" s="113"/>
      <c r="I64" s="16"/>
      <c r="J64" s="16"/>
      <c r="K64" s="16" t="s">
        <v>212</v>
      </c>
      <c r="L64" s="16"/>
      <c r="M64" s="16"/>
    </row>
    <row r="65" spans="8:13" ht="15" customHeight="1">
      <c r="H65" s="113"/>
      <c r="I65" s="17"/>
      <c r="J65" s="17"/>
      <c r="K65" s="17" t="s">
        <v>213</v>
      </c>
      <c r="L65" s="17"/>
      <c r="M65" s="17"/>
    </row>
    <row r="66" spans="8:13" ht="15" customHeight="1">
      <c r="H66" s="113"/>
      <c r="I66" s="16"/>
      <c r="J66" s="16"/>
      <c r="K66" s="16" t="s">
        <v>214</v>
      </c>
      <c r="L66" s="16"/>
      <c r="M66" s="16"/>
    </row>
    <row r="67" spans="8:13" ht="15" customHeight="1">
      <c r="H67" s="113"/>
      <c r="I67" s="17"/>
      <c r="J67" s="17"/>
      <c r="K67" s="17" t="s">
        <v>215</v>
      </c>
      <c r="L67" s="17"/>
      <c r="M67" s="17"/>
    </row>
    <row r="68" spans="8:13" ht="15" customHeight="1">
      <c r="H68" s="113"/>
      <c r="I68" s="16"/>
      <c r="J68" s="16"/>
      <c r="K68" s="16" t="s">
        <v>216</v>
      </c>
      <c r="L68" s="16"/>
      <c r="M68" s="16"/>
    </row>
    <row r="69" spans="8:13" ht="15" customHeight="1">
      <c r="H69" s="113"/>
      <c r="I69" s="17"/>
      <c r="J69" s="17"/>
      <c r="K69" s="17" t="s">
        <v>217</v>
      </c>
      <c r="L69" s="17"/>
      <c r="M69" s="17"/>
    </row>
    <row r="70" spans="8:13" ht="15" customHeight="1">
      <c r="H70" s="113"/>
      <c r="I70" s="16"/>
      <c r="J70" s="16"/>
      <c r="K70" s="16" t="s">
        <v>218</v>
      </c>
      <c r="L70" s="16"/>
      <c r="M70" s="16"/>
    </row>
    <row r="71" spans="8:13" ht="15" customHeight="1">
      <c r="H71" s="113"/>
      <c r="I71" s="17"/>
      <c r="J71" s="17"/>
      <c r="K71" s="17" t="s">
        <v>219</v>
      </c>
      <c r="L71" s="17"/>
      <c r="M71" s="17"/>
    </row>
    <row r="72" spans="8:13" ht="15" customHeight="1">
      <c r="H72" s="113"/>
      <c r="I72" s="16"/>
      <c r="J72" s="16"/>
      <c r="K72" s="16" t="s">
        <v>220</v>
      </c>
      <c r="L72" s="16"/>
      <c r="M72" s="16"/>
    </row>
    <row r="73" spans="8:13" ht="15" customHeight="1">
      <c r="H73" s="113"/>
      <c r="I73" s="17"/>
      <c r="J73" s="17"/>
      <c r="K73" s="17" t="s">
        <v>221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65" activePane="bottomLeft" state="frozen"/>
      <selection pane="bottomLeft" activeCell="F786" sqref="F78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4</v>
      </c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4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59" t="s">
        <v>233</v>
      </c>
      <c r="B811" s="91"/>
      <c r="C811" s="91"/>
      <c r="D811" s="91"/>
      <c r="E811" s="92">
        <f>E797+E810</f>
        <v>0</v>
      </c>
      <c r="F811" s="40">
        <f>F797+F810</f>
        <v>4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756" activePane="bottomLeft" state="frozen"/>
      <selection pane="bottomLeft" activeCell="N788" sqref="N78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277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278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279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282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283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284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285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286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288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292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293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295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290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297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298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299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301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302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303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305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306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9.9057986109983176E-2</v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0.25669687499887206</v>
      </c>
      <c r="N378" s="36" t="s">
        <v>236</v>
      </c>
      <c r="O378" s="77">
        <v>511980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0.36641909722109423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290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307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308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7.7530208334792405E-2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0.24836354166812577</v>
      </c>
      <c r="N432" s="36" t="s">
        <v>236</v>
      </c>
      <c r="O432" s="77">
        <v>484540</v>
      </c>
    </row>
    <row r="433" spans="1:15" ht="18" customHeight="1">
      <c r="A433" s="93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0.39350243055701462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311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312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313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314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315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316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317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3" t="s">
        <v>238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318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319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320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321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323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326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327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260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329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235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330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331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332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333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334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335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336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338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339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340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341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342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/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343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/>
      <c r="G786" s="28"/>
      <c r="H786" s="26"/>
      <c r="I786" s="26" t="s">
        <v>157</v>
      </c>
      <c r="J786" s="26"/>
      <c r="K786" s="29">
        <v>0.33680555555555558</v>
      </c>
      <c r="L786" s="29"/>
      <c r="M786" s="30">
        <f t="shared" ca="1" si="174"/>
        <v>1.8357638909947127E-3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260</v>
      </c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11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1.0863541668772458E-2</v>
      </c>
      <c r="N797" s="36" t="s">
        <v>236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11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1.0863541668772458E-2</v>
      </c>
      <c r="N811" s="40" t="s">
        <v>239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73" zoomScale="50" zoomScaleNormal="50" workbookViewId="0">
      <selection activeCell="F786" sqref="F78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326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344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346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312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347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289</v>
      </c>
      <c r="K141" s="29">
        <v>0.71597222222222223</v>
      </c>
      <c r="L141" s="29" t="s">
        <v>349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351</v>
      </c>
      <c r="N166" s="27" t="s">
        <v>352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353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354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355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359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363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364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365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366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367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368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369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372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312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326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326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373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374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375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326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376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342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/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343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/>
      <c r="G786" s="28"/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260</v>
      </c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4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1.1111111111111072E-2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4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1.1111111111111072E-2</v>
      </c>
      <c r="N811" s="40" t="s">
        <v>239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77" activePane="bottomLeft" state="frozen"/>
      <selection pane="bottomLeft" activeCell="H792" sqref="H792:H79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377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312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378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379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380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381</v>
      </c>
      <c r="L58" s="29">
        <v>0.54097222222222219</v>
      </c>
      <c r="M58" s="30" t="str">
        <f t="shared" ca="1" si="13"/>
        <v/>
      </c>
      <c r="N58" s="27" t="s">
        <v>382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326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383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384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385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386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387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388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389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390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8.9335763892449904E-2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287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0.28864131944800553</v>
      </c>
      <c r="N135" s="36" t="s">
        <v>236</v>
      </c>
      <c r="O135" s="39">
        <v>729290</v>
      </c>
    </row>
    <row r="136" spans="1:18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0.65600243055911656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391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393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394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395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396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397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398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400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401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402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284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312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404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406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393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407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408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409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410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411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386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386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412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413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414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415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416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417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418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419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420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421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422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423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424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425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426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284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326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427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428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429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341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426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430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2026-07-30T12:07:42Z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