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3" documentId="8_{AF585B22-221D-4780-BB9C-493D365A6A02}" xr6:coauthVersionLast="47" xr6:coauthVersionMax="47" xr10:uidLastSave="{7C17F823-76AC-4078-BB9C-B8BD2E8CAD09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<sst xmlns="http://schemas.openxmlformats.org/spreadsheetml/2006/main" count="1819" uniqueCount="211">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</sst>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58" sqref="F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45</v>
      </c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57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57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2" activePane="bottomLeft" state="frozen"/>
      <selection pane="bottomLeft" activeCell="L56" sqref="L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/>
      <c r="M56" s="35">
        <f t="shared" ref="M56:M67" ca="1" si="13">IFERROR(IF(K56="","",IF(L56="",MOD(NOW()-K56,1),IF(L56&gt;=K56,L56-K56,L56+1-K56))),"")</f>
        <v>0.10056631944462424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0.10056631944462424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0.10056631944462424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F58" sqref="F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205</v>
      </c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16</v>
      </c>
      <c r="G68" s="36">
        <f>SUM(G56:G67)</f>
        <v>67.2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16</v>
      </c>
      <c r="G82" s="40">
        <f>G68+G81</f>
        <v>67.2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39" activePane="bottomLeft" state="frozen"/>
      <selection pane="bottomLeft" activeCell="F58" sqref="F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35</v>
      </c>
      <c r="G68" s="36">
        <f>SUM(G56:G67)</f>
        <v>147</v>
      </c>
      <c r="H68" s="37"/>
      <c r="I68" s="37"/>
      <c r="J68" s="37"/>
      <c r="K68" s="61"/>
      <c r="L68" s="61"/>
      <c r="M68" s="38">
        <f ca="1">IFERROR(SUM(M56:M67),"")</f>
        <v>2.9861111111111116E-2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35</v>
      </c>
      <c r="G82" s="40">
        <f>G68+G81</f>
        <v>147</v>
      </c>
      <c r="H82" s="41"/>
      <c r="I82" s="41"/>
      <c r="J82" s="41"/>
      <c r="K82" s="63"/>
      <c r="L82" s="63"/>
      <c r="M82" s="42">
        <f ca="1">IFERROR(M68+M81,"")</f>
        <v>2.9861111111111116E-2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2026-07-03T13:26:51Z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