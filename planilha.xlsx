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54" documentId="8_{AF585B22-221D-4780-BB9C-493D365A6A02}" xr6:coauthVersionLast="47" xr6:coauthVersionMax="47" xr10:uidLastSave="{28EFFEA4-EFE1-41CB-A6D6-49A305035C20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2" i="3" l="1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13" i="4"/>
  <c r="G12" i="4"/>
  <c r="G11" i="4"/>
  <c r="G10" i="4"/>
  <c r="G9" i="4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F4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<sst xmlns="http://schemas.openxmlformats.org/spreadsheetml/2006/main" count="1087" uniqueCount="195">
  <si>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</si>
  <si>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</si>
  <si>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</si>
  <si>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</si>
  <si>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</si>
  <si>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</si>
  <si>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</si>
  <si>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</si>
  <si>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</si>
  <si>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</si>
  <si>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</si>
  <si>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</si>
  <si>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</si>
  <si>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</si>
  <si>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</si>
  <si>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</si>
  <si>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</si>
  <si>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</si>
  <si>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</si>
  <si>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</si>
  <si>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</si>
  <si>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</si>
  <si>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</si>
  <si>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</si>
  <si>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</si>
  <si>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</si>
  <si>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</si>
  <si>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</si>
  <si>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</si>
  <si>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</si>
  <si>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</si>
  <si>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</si>
  <si>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</si>
  <si>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</si>
  <si>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</si>
  <si>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</si>
  <si>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</si>
  <si>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</si>
  <si>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</si>
  <si>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</si>
  <si>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</si>
  <si>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</si>
  <si>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</si>
  <si>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</si>
  <si>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</si>
  <si>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</si>
  <si>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</si>
  <si>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</si>
  <si>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</si>
  <si>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</si>
  <si>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</si>
  <si>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</si>
  <si>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</si>
  <si>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</si>
  <si>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</si>
  <si>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</si>
  <si>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</si>
  <si>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</si>
  <si>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</si>
  <si>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</si>
  <si>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</si>
  <si>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</si>
  <si>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</si>
  <si>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</si>
  <si>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</si>
  <si>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</si>
  <si>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</si>
  <si>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</si>
  <si>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</si>
  <si>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</si>
  <si>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</si>
  <si>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</si>
  <si>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</si>
  <si>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</si>
  <si>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</si>
  <si>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</si>
  <si>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</si>
  <si>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</si>
  <si>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</si>
  <si>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</si>
  <si>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</si>
  <si>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</si>
  <si>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</si>
  <si>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</si>
  <si>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</si>
  <si>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</si>
  <si>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</si>
  <si>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</si>
  <si>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</si>
  <si>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</si>
  <si>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</si>
  <si>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</si>
  <si>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</si>
  <si>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</si>
  <si>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</si>
  <si>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</si>
  <si>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</si>
  <si>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</si>
  <si>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</si>
  <si>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</si>
  <si>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</si>
  <si>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</si>
  <si>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</si>
  <si>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</si>
  <si>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</si>
  <si>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</si>
  <si>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</si>
  <si>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</si>
  <si>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</si>
  <si>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</si>
  <si>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</si>
  <si>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</si>
  <si>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</si>
  <si>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</si>
  <si>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</si>
  <si>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</si>
  <si>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</si>
  <si>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</si>
  <si>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</si>
  <si>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</si>
  <si>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</si>
  <si>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</si>
  <si>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</si>
  <si>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</si>
  <si>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</si>
  <si>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</si>
  <si>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</si>
  <si>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</si>
  <si>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</si>
  <si>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</si>
  <si>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</si>
  <si>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</si>
  <si>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</si>
  <si>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</si>
  <si>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</si>
  <si>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</si>
  <si>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</si>
  <si>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</si>
  <si>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</si>
  <si>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</si>
  <si>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</si>
  <si>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</si>
  <si>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</si>
  <si>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</si>
  <si>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</si>
  <si>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</si>
  <si>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</si>
  <si>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</si>
  <si>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</si>
  <si>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</si>
  <si>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</si>
  <si>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</si>
  <si>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</si>
  <si>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</si>
  <si>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</si>
  <si>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</si>
  <si>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</si>
  <si>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</si>
  <si>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</si>
  <si>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</si>
  <si>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</si>
  <si>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</si>
  <si>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</si>
  <si>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</si>
  <si>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</si>
  <si>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</si>
  <si>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</si>
  <si>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</si>
  <si>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</si>
  <si>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</si>
  <si>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</si>
  <si>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</si>
  <si>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</si>
  <si>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</si>
  <si>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</si>
  <si>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</si>
  <si>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</si>
  <si>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</si>
  <si>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</si>
  <si>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</si>
  <si>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</si>
  <si>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</si>
  <si>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</si>
  <si>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</si>
  <si>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</si>
  <si>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</si>
  <si>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</si>
  <si>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17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</si>
  <si>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</si>
  <si>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</si>
  <si>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</si>
  <si>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</si>
  <si>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</si>
  <si>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</si>
  <si>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9;10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</si>
</sst>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1:B104857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16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/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J3" sqref="J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186</v>
      </c>
      <c r="E2" s="59" t="s">
        <v>187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/>
      <c r="F3" s="27">
        <v>0</v>
      </c>
      <c r="G3" s="34" t="str">
        <f t="shared" si="0"/>
        <v/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/>
      <c r="M3" s="35">
        <f t="shared" ref="M2:M13" ca="1" si="2">IFERROR(IF(K3="","",IF(L3="",MOD(NOW()-K3,1),IF(L3&gt;=K3,L3-K3,L3+1-K3))),"")</f>
        <v>1.0951736112474464E-2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/>
      <c r="F4" s="27"/>
      <c r="G4" s="28" t="str">
        <f t="shared" si="0"/>
        <v/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0</v>
      </c>
      <c r="G14" s="36">
        <f>SUM(G2:G13)</f>
        <v>0</v>
      </c>
      <c r="H14" s="37"/>
      <c r="I14" s="37"/>
      <c r="J14" s="37"/>
      <c r="K14" s="37"/>
      <c r="L14" s="37"/>
      <c r="M14" s="38">
        <f ca="1">IFERROR(SUM(M2:M13),"")</f>
        <v>9.0812847223585569E-2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0</v>
      </c>
      <c r="G28" s="40">
        <f>G14+G27</f>
        <v>0</v>
      </c>
      <c r="H28" s="41"/>
      <c r="I28" s="41"/>
      <c r="J28" s="41"/>
      <c r="K28" s="41"/>
      <c r="L28" s="41"/>
      <c r="M28" s="42">
        <f ca="1">IFERROR(M14+M27,"")</f>
        <v>9.0812847223585569E-2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4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D15:D26 D3:D13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J2" sqref="J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/>
      <c r="F2" s="27">
        <v>0</v>
      </c>
      <c r="G2" s="28" t="str">
        <f t="shared" ref="G2:G13" si="0">IF(F2="","",IF(E2="PC 17",F2*4.2,IF(E2="PC 19",F2*5,"")))</f>
        <v/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/>
      <c r="F3" s="27">
        <v>10</v>
      </c>
      <c r="G3" s="34" t="str">
        <f t="shared" si="0"/>
        <v/>
      </c>
      <c r="H3" s="33"/>
      <c r="I3" s="33"/>
      <c r="J3" s="33"/>
      <c r="K3" s="29"/>
      <c r="L3" s="29"/>
      <c r="M3" s="30" t="str">
        <f t="shared" ca="1" si="1"/>
        <v/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/>
      <c r="F4" s="27"/>
      <c r="G4" s="28" t="str">
        <f t="shared" si="0"/>
        <v/>
      </c>
      <c r="H4" s="26"/>
      <c r="I4" s="26"/>
      <c r="J4" s="26"/>
      <c r="K4" s="29"/>
      <c r="L4" s="29"/>
      <c r="M4" s="35" t="str">
        <f t="shared" ca="1" si="1"/>
        <v/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10</v>
      </c>
      <c r="G14" s="36">
        <f>SUM(G2:G13)</f>
        <v>0</v>
      </c>
      <c r="H14" s="37"/>
      <c r="I14" s="37"/>
      <c r="J14" s="37"/>
      <c r="K14" s="37"/>
      <c r="L14" s="37"/>
      <c r="M14" s="38">
        <f ca="1">IFERROR(SUM(M2:M13),"")</f>
        <v>4.166666666666663E-2</v>
      </c>
      <c r="N14" s="36" t="s">
        <v>190</v>
      </c>
      <c r="O14" s="54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54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10</v>
      </c>
      <c r="G28" s="40">
        <f>G14+G27</f>
        <v>0</v>
      </c>
      <c r="H28" s="41"/>
      <c r="I28" s="41"/>
      <c r="J28" s="41"/>
      <c r="K28" s="41"/>
      <c r="L28" s="41"/>
      <c r="M28" s="42">
        <f ca="1">IFERROR(M14+M27,"")</f>
        <v>4.166666666666663E-2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54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54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54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54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5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" activePane="bottomLeft" state="frozen"/>
      <selection pane="bottomLeft" activeCell="J3" sqref="J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/>
      <c r="F2" s="27">
        <v>0</v>
      </c>
      <c r="G2" s="28" t="str">
        <f t="shared" ref="G2:G13" si="0">IF(F2="","",IF(E2="PC 17",F2*4.2,IF(E2="PC 19",F2*5,"")))</f>
        <v/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/>
      <c r="F3" s="27">
        <v>5</v>
      </c>
      <c r="G3" s="34" t="str">
        <f t="shared" si="0"/>
        <v/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/>
      <c r="F4" s="27"/>
      <c r="G4" s="28" t="str">
        <f t="shared" si="0"/>
        <v/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5</v>
      </c>
      <c r="G14" s="36">
        <f>SUM(G2:G13)</f>
        <v>0</v>
      </c>
      <c r="H14" s="37"/>
      <c r="I14" s="37"/>
      <c r="J14" s="37"/>
      <c r="K14" s="37"/>
      <c r="L14" s="37"/>
      <c r="M14" s="38">
        <f ca="1">IFERROR(SUM(M2:M13),"")</f>
        <v>4.513888888888884E-2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5</v>
      </c>
      <c r="G28" s="40">
        <f>G14+G27</f>
        <v>0</v>
      </c>
      <c r="H28" s="41"/>
      <c r="I28" s="41"/>
      <c r="J28" s="41"/>
      <c r="K28" s="41"/>
      <c r="L28" s="41"/>
      <c r="M28" s="42">
        <f ca="1">IFERROR(M14+M27,"")</f>
        <v>4.513888888888884E-2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39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" activePane="bottomLeft" state="frozen"/>
      <selection pane="bottomLeft" activeCell="N2" sqref="N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/>
      <c r="F2" s="27">
        <v>0</v>
      </c>
      <c r="G2" s="28" t="str">
        <f t="shared" ref="G2:G13" si="0">IF(F2="","",IF(E2="PC 17",F2*4.2,IF(E2="PC 19",F2*5,"")))</f>
        <v/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 t="s">
        <v>194</v>
      </c>
      <c r="M2" s="30" t="str">
        <f t="shared" ref="M2:M13" ca="1" si="1">IFERROR(IF(K2="","",IF(L2="",MOD(NOW()-K2,1),IF(L2&gt;=K2,L2-K2,L2+1-K2))),"")</f>
        <v/>
      </c>
      <c r="N2" s="27"/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/>
      <c r="F3" s="27">
        <v>0</v>
      </c>
      <c r="G3" s="34" t="str">
        <f t="shared" si="0"/>
        <v/>
      </c>
      <c r="H3" s="33"/>
      <c r="I3" s="33"/>
      <c r="J3" s="33"/>
      <c r="K3" s="29"/>
      <c r="L3" s="29"/>
      <c r="M3" s="35" t="str">
        <f t="shared" ca="1" si="1"/>
        <v/>
      </c>
      <c r="N3" s="27"/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/>
      <c r="F4" s="27"/>
      <c r="G4" s="28" t="str">
        <f t="shared" si="0"/>
        <v/>
      </c>
      <c r="H4" s="26"/>
      <c r="I4" s="26"/>
      <c r="J4" s="26"/>
      <c r="K4" s="29"/>
      <c r="L4" s="29"/>
      <c r="M4" s="30" t="str">
        <f t="shared" ca="1" si="1"/>
        <v/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0</v>
      </c>
      <c r="G14" s="36">
        <f>SUM(G2:G13)</f>
        <v>0</v>
      </c>
      <c r="H14" s="37"/>
      <c r="I14" s="37"/>
      <c r="J14" s="37"/>
      <c r="K14" s="61"/>
      <c r="L14" s="61"/>
      <c r="M14" s="38">
        <f ca="1">IFERROR(SUM(M2:M13),"")</f>
        <v>0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0</v>
      </c>
      <c r="G28" s="40">
        <f>G14+G27</f>
        <v>0</v>
      </c>
      <c r="H28" s="41"/>
      <c r="I28" s="41"/>
      <c r="J28" s="41"/>
      <c r="K28" s="63"/>
      <c r="L28" s="63"/>
      <c r="M28" s="42">
        <f ca="1">IFERROR(M14+M27,"")</f>
        <v>0</v>
      </c>
      <c r="N28" s="40" t="s">
        <v>193</v>
      </c>
      <c r="O28" s="48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193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193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193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190</v>
      </c>
      <c r="O432" s="39"/>
    </row>
    <row r="433" spans="1:17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2026-07-01T14:02:14Z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