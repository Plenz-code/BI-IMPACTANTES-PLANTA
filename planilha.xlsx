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98" documentId="13_ncr:1_{0A10D8D4-8450-4366-8075-B53B08E6B7EA}" xr6:coauthVersionLast="47" xr6:coauthVersionMax="47" xr10:uidLastSave="{3A6419D8-1D49-4E02-8DDD-B455698C53CE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91" i="6"/>
  <c r="J491" i="6" s="1"/>
  <c r="H492" i="6"/>
  <c r="J492" i="6" s="1"/>
  <c r="H493" i="6"/>
  <c r="J493" i="6" s="1"/>
  <c r="H494" i="6"/>
  <c r="J494" i="6" s="1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784" i="6"/>
  <c r="T784" i="6" s="1"/>
  <c r="T770" i="6"/>
  <c r="J541" i="5"/>
  <c r="T541" i="5" s="1"/>
  <c r="J784" i="5"/>
  <c r="T784" i="5" s="1"/>
  <c r="J730" i="4"/>
  <c r="T730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676" i="6"/>
  <c r="H676" i="5"/>
  <c r="H649" i="4"/>
  <c r="H730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H490" i="6" s="1"/>
  <c r="J490" i="6" s="1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H490" i="5" s="1"/>
  <c r="J490" i="5" s="1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H490" i="4" s="1"/>
  <c r="J490" i="4" s="1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8" i="6" l="1"/>
  <c r="H489" i="6"/>
  <c r="J489" i="6" s="1"/>
  <c r="H488" i="5"/>
  <c r="H489" i="5"/>
  <c r="J489" i="5" s="1"/>
  <c r="H488" i="4"/>
  <c r="H489" i="4"/>
  <c r="J489" i="4" s="1"/>
  <c r="J488" i="6"/>
  <c r="J500" i="6" s="1"/>
  <c r="H500" i="6"/>
  <c r="H514" i="6" s="1"/>
  <c r="J488" i="5"/>
  <c r="J500" i="5" s="1"/>
  <c r="H500" i="5"/>
  <c r="H514" i="5" s="1"/>
  <c r="J488" i="4"/>
  <c r="J500" i="4" s="1"/>
  <c r="H500" i="4"/>
  <c r="H514" i="4" s="1"/>
  <c r="H300" i="5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500" i="6" l="1"/>
  <c r="J514" i="6"/>
  <c r="T514" i="6" s="1"/>
  <c r="T500" i="5"/>
  <c r="J514" i="5"/>
  <c r="T514" i="5" s="1"/>
  <c r="J514" i="4"/>
  <c r="T514" i="4" s="1"/>
  <c r="H22" i="1" s="1"/>
  <c r="J22" i="1" s="1"/>
  <c r="T500" i="4"/>
  <c r="J312" i="5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<sst xmlns="http://schemas.openxmlformats.org/spreadsheetml/2006/main" count="8316" uniqueCount="382">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</sst>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2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2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2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2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2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2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2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2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2"/>
      <c r="N59" s="17"/>
      <c r="O59" s="17"/>
      <c r="P59" s="17" t="s">
        <v>220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221</v>
      </c>
      <c r="Q61" s="17"/>
      <c r="R61" s="17"/>
    </row>
    <row r="62" spans="1:18" ht="15" customHeight="1">
      <c r="M62" s="172"/>
      <c r="N62" s="16"/>
      <c r="O62" s="16"/>
      <c r="P62" s="16" t="s">
        <v>222</v>
      </c>
      <c r="Q62" s="16"/>
      <c r="R62" s="16"/>
    </row>
    <row r="63" spans="1:18" ht="15" customHeight="1">
      <c r="M63" s="172"/>
      <c r="N63" s="17"/>
      <c r="O63" s="17"/>
      <c r="P63" s="17" t="s">
        <v>223</v>
      </c>
      <c r="Q63" s="17"/>
      <c r="R63" s="17"/>
    </row>
    <row r="64" spans="1:18" ht="15" customHeight="1">
      <c r="M64" s="172"/>
      <c r="N64" s="16"/>
      <c r="O64" s="16"/>
      <c r="P64" s="16" t="s">
        <v>224</v>
      </c>
      <c r="Q64" s="16"/>
      <c r="R64" s="16"/>
    </row>
    <row r="65" spans="13:18" ht="15" customHeight="1">
      <c r="M65" s="172"/>
      <c r="N65" s="17"/>
      <c r="O65" s="17"/>
      <c r="P65" s="17" t="s">
        <v>225</v>
      </c>
      <c r="Q65" s="17"/>
      <c r="R65" s="17"/>
    </row>
    <row r="66" spans="13:18" ht="15" customHeight="1">
      <c r="M66" s="172"/>
      <c r="N66" s="16"/>
      <c r="O66" s="16"/>
      <c r="P66" s="16" t="s">
        <v>226</v>
      </c>
      <c r="Q66" s="16"/>
      <c r="R66" s="16"/>
    </row>
    <row r="67" spans="13:18" ht="15" customHeight="1">
      <c r="M67" s="172"/>
      <c r="N67" s="17"/>
      <c r="O67" s="17"/>
      <c r="P67" s="17" t="s">
        <v>227</v>
      </c>
      <c r="Q67" s="17"/>
      <c r="R67" s="17"/>
    </row>
    <row r="68" spans="13:18" ht="15" customHeight="1">
      <c r="M68" s="172"/>
      <c r="N68" s="16"/>
      <c r="O68" s="16"/>
      <c r="P68" s="16" t="s">
        <v>228</v>
      </c>
      <c r="Q68" s="16"/>
      <c r="R68" s="16"/>
    </row>
    <row r="69" spans="13:18" ht="15" customHeight="1">
      <c r="M69" s="172"/>
      <c r="N69" s="17"/>
      <c r="O69" s="17"/>
      <c r="P69" s="17" t="s">
        <v>229</v>
      </c>
      <c r="Q69" s="17"/>
      <c r="R69" s="17"/>
    </row>
    <row r="70" spans="13:18" ht="15" customHeight="1">
      <c r="M70" s="172"/>
      <c r="N70" s="16"/>
      <c r="O70" s="16"/>
      <c r="P70" s="16" t="s">
        <v>230</v>
      </c>
      <c r="Q70" s="16"/>
      <c r="R70" s="16"/>
    </row>
    <row r="71" spans="13:18" ht="15" customHeight="1">
      <c r="M71" s="172"/>
      <c r="N71" s="17"/>
      <c r="O71" s="17"/>
      <c r="P71" s="17" t="s">
        <v>231</v>
      </c>
      <c r="Q71" s="17"/>
      <c r="R71" s="17"/>
    </row>
    <row r="72" spans="13:18" ht="15" customHeight="1">
      <c r="M72" s="172"/>
      <c r="N72" s="16"/>
      <c r="O72" s="16"/>
      <c r="P72" s="16" t="s">
        <v>232</v>
      </c>
      <c r="Q72" s="16"/>
      <c r="R72" s="16"/>
    </row>
    <row r="73" spans="13:18" ht="15" customHeight="1">
      <c r="M73" s="172"/>
      <c r="N73" s="17"/>
      <c r="O73" s="17"/>
      <c r="P73" s="17" t="s">
        <v>233</v>
      </c>
      <c r="Q73" s="17"/>
      <c r="R73" s="17"/>
    </row>
    <row r="74" spans="13:18" ht="15" customHeight="1">
      <c r="M74" s="172"/>
      <c r="N74" s="16"/>
      <c r="O74" s="16"/>
      <c r="P74" s="16" t="s">
        <v>234</v>
      </c>
      <c r="Q74" s="16"/>
      <c r="R74" s="16"/>
    </row>
    <row r="75" spans="13:18" ht="15" customHeight="1">
      <c r="M75" s="172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F491" sqref="F49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247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250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3" t="s">
        <v>251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247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250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3" t="s">
        <v>251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247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250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3" t="s">
        <v>251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247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250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3" t="s">
        <v>251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247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250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3" t="s">
        <v>251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247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250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3" t="s">
        <v>251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247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250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3" t="s">
        <v>251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247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250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3" t="s">
        <v>251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247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250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3" t="s">
        <v>251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247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250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3" t="s">
        <v>251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247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250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3" t="s">
        <v>251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247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250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3" t="s">
        <v>251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247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250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3" t="s">
        <v>251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247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250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3" t="s">
        <v>251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247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250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3" t="s">
        <v>251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247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250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3" t="s">
        <v>251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247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250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3" t="s">
        <v>251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247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250</v>
      </c>
      <c r="B486" s="162"/>
      <c r="C486" s="162"/>
      <c r="D486" s="162"/>
      <c r="E486" s="174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3" t="s">
        <v>251</v>
      </c>
      <c r="B487" s="164"/>
      <c r="C487" s="164"/>
      <c r="D487" s="164"/>
      <c r="E487" s="175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>
        <v>0</v>
      </c>
      <c r="G488" s="28">
        <f t="shared" ref="G488:G499" si="104">IF(F488="","",IF(E488="PC 17",F488*4.2,IF(E488="PC 19",F488*5,IF(E488="CB",F488*35,""))))</f>
        <v>0</v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>
        <v>0.40347222222222223</v>
      </c>
      <c r="M488" s="30">
        <f t="shared" ref="M488:M499" ca="1" si="105">IFERROR(IF(K488="","",IF(L488="",MOD(NOW()-K488,1),IF(L488&gt;=K488,L488-K488,L488+1-K488))),"")</f>
        <v>9.2361111111111116E-2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>
        <v>0</v>
      </c>
      <c r="G489" s="34">
        <f t="shared" si="104"/>
        <v>0</v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>
        <v>6</v>
      </c>
      <c r="G490" s="28">
        <f t="shared" si="104"/>
        <v>30</v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247</v>
      </c>
      <c r="B500" s="162"/>
      <c r="C500" s="162"/>
      <c r="D500" s="162"/>
      <c r="E500" s="174">
        <f>SUM(E488:E499)</f>
        <v>0</v>
      </c>
      <c r="F500" s="36">
        <f>SUM(F488:F499)</f>
        <v>6</v>
      </c>
      <c r="G500" s="36">
        <f>SUM(G488:G499)</f>
        <v>30</v>
      </c>
      <c r="H500" s="37"/>
      <c r="I500" s="37"/>
      <c r="J500" s="37"/>
      <c r="K500" s="37"/>
      <c r="L500" s="37"/>
      <c r="M500" s="38">
        <f ca="1">IFERROR(SUM(M488:M499),"")</f>
        <v>9.2361111111111116E-2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250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3" t="s">
        <v>251</v>
      </c>
      <c r="B514" s="164"/>
      <c r="C514" s="164"/>
      <c r="D514" s="164"/>
      <c r="E514" s="175">
        <f>E500+E513</f>
        <v>0</v>
      </c>
      <c r="F514" s="40">
        <f>F500+F513</f>
        <v>6</v>
      </c>
      <c r="G514" s="40">
        <f>G500+G513</f>
        <v>30</v>
      </c>
      <c r="H514" s="41"/>
      <c r="I514" s="41"/>
      <c r="J514" s="41"/>
      <c r="K514" s="41"/>
      <c r="L514" s="41"/>
      <c r="M514" s="42">
        <f ca="1">IFERROR(M500+M513,"")</f>
        <v>9.2361111111111116E-2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247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250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3" t="s">
        <v>251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247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250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3" t="s">
        <v>251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247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250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3" t="s">
        <v>251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247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250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3" t="s">
        <v>251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247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250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3" t="s">
        <v>251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247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250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3" t="s">
        <v>251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247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250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3" t="s">
        <v>251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247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250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3" t="s">
        <v>251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247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250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3" t="s">
        <v>251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247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250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3" t="s">
        <v>251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247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250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77" t="s">
        <v>251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247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250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3" t="s">
        <v>251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91" sqref="G49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0.30104409722116543</v>
      </c>
      <c r="R53" s="46" t="s">
        <v>291</v>
      </c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0.43993298611005432</v>
      </c>
      <c r="R54" s="36" t="s">
        <v>248</v>
      </c>
      <c r="S54" s="75">
        <v>352430</v>
      </c>
      <c r="T54" s="117"/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0.52465520833227663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247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14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58.800000000000004</v>
      </c>
      <c r="L488" s="26" t="s">
        <v>27</v>
      </c>
      <c r="M488" s="26" t="s">
        <v>38</v>
      </c>
      <c r="N488" s="26" t="s">
        <v>181</v>
      </c>
      <c r="O488" s="29">
        <v>0.32361111111111113</v>
      </c>
      <c r="P488" s="29">
        <v>0.35972222222222222</v>
      </c>
      <c r="Q488" s="30">
        <f t="shared" ref="Q488:Q499" ca="1" si="124">IFERROR(IF(O488="","",IF(P488="",MOD(NOW()-O488,1),IF(P488&gt;=O488,P488-O488,P488+1-O488))),"")</f>
        <v>3.6111111111111094E-2</v>
      </c>
      <c r="R488" s="46" t="s">
        <v>299</v>
      </c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13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54.6</v>
      </c>
      <c r="L489" s="33" t="s">
        <v>27</v>
      </c>
      <c r="M489" s="33"/>
      <c r="N489" s="33" t="s">
        <v>81</v>
      </c>
      <c r="O489" s="29">
        <v>0.39583333333333331</v>
      </c>
      <c r="P489" s="29">
        <v>0.39930555555555558</v>
      </c>
      <c r="Q489" s="35">
        <f t="shared" ca="1" si="124"/>
        <v>3.4722222222222654E-3</v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>
        <v>10</v>
      </c>
      <c r="H490" s="134">
        <f>IFERROR(IF($G490="","",$G490*$S$500/$G$500/Cadastro!$E$33),"")</f>
        <v>0</v>
      </c>
      <c r="I490" s="135">
        <f>IFERROR(IF($D490="","",VLOOKUP($D490,Cadastro!$C$4:$G$7,5,FALSE)),"")</f>
        <v>0.6</v>
      </c>
      <c r="J490" s="136">
        <f t="shared" si="122"/>
        <v>0</v>
      </c>
      <c r="K490" s="28">
        <f t="shared" si="123"/>
        <v>42</v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37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155.4</v>
      </c>
      <c r="L500" s="37"/>
      <c r="M500" s="37"/>
      <c r="N500" s="37"/>
      <c r="O500" s="37"/>
      <c r="P500" s="37"/>
      <c r="Q500" s="38">
        <f ca="1">IFERROR(SUM(Q488:Q499),"")</f>
        <v>3.9583333333333359E-2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37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155.4</v>
      </c>
      <c r="L514" s="41"/>
      <c r="M514" s="41"/>
      <c r="N514" s="41"/>
      <c r="O514" s="41"/>
      <c r="P514" s="41"/>
      <c r="Q514" s="42">
        <f ca="1">IFERROR(Q500+Q513,"")</f>
        <v>3.9583333333333359E-2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7" activePane="bottomLeft" state="frozen"/>
      <selection pane="bottomLeft" activeCell="G491" sqref="G49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3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0">IFERROR(IF($H488="","",$H488*$F488*$I488),"")</f>
        <v>0</v>
      </c>
      <c r="K488" s="28">
        <f t="shared" ref="K488:K499" si="121">IF(G488="","",IF(E488="PC 17",G488*4.2,IF(E488="PC 19",G488*5,IF(E488="CB",G488*24,""))))</f>
        <v>12.600000000000001</v>
      </c>
      <c r="L488" s="26" t="s">
        <v>27</v>
      </c>
      <c r="M488" s="26"/>
      <c r="N488" s="26" t="s">
        <v>81</v>
      </c>
      <c r="O488" s="29">
        <v>0.39583333333333331</v>
      </c>
      <c r="P488" s="29">
        <v>0.39930555555555558</v>
      </c>
      <c r="Q488" s="30">
        <f t="shared" ref="Q488:Q499" ca="1" si="122">IFERROR(IF(O488="","",IF(P488="",MOD(NOW()-O488,1),IF(P488&gt;=O488,P488-O488,P488+1-O488))),"")</f>
        <v>3.4722222222222654E-3</v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>
        <v>9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0"/>
        <v>0</v>
      </c>
      <c r="K489" s="34">
        <f t="shared" si="121"/>
        <v>37.800000000000004</v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>
        <v>5</v>
      </c>
      <c r="H490" s="134">
        <f>IFERROR(IF($G490="","",$G490*$S$500/$G$500/Cadastro!$E$33),"")</f>
        <v>0</v>
      </c>
      <c r="I490" s="135">
        <f>IFERROR(IF($D490="","",VLOOKUP($D490,Cadastro!$C$4:$G$7,5,FALSE)),"")</f>
        <v>0.6</v>
      </c>
      <c r="J490" s="136">
        <f t="shared" si="120"/>
        <v>0</v>
      </c>
      <c r="K490" s="28">
        <f t="shared" si="121"/>
        <v>21</v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37</v>
      </c>
      <c r="E493" s="15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17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71.400000000000006</v>
      </c>
      <c r="L500" s="37"/>
      <c r="M500" s="37"/>
      <c r="N500" s="37"/>
      <c r="O500" s="37"/>
      <c r="P500" s="37"/>
      <c r="Q500" s="38">
        <f ca="1">IFERROR(SUM(Q488:Q499),"")</f>
        <v>3.4722222222222654E-3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17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71.400000000000006</v>
      </c>
      <c r="L514" s="41"/>
      <c r="M514" s="41"/>
      <c r="N514" s="41"/>
      <c r="O514" s="41"/>
      <c r="P514" s="41"/>
      <c r="Q514" s="42">
        <f ca="1">IFERROR(Q500+Q513,"")</f>
        <v>3.4722222222222654E-3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5" activePane="bottomLeft" state="frozen"/>
      <selection pane="bottomLeft" activeCell="G491" sqref="G49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247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247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19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79.8</v>
      </c>
      <c r="L488" s="26" t="s">
        <v>27</v>
      </c>
      <c r="M488" s="26"/>
      <c r="N488" s="26" t="s">
        <v>81</v>
      </c>
      <c r="O488" s="29">
        <v>0.33680555555555558</v>
      </c>
      <c r="P488" s="29">
        <v>0.34861111111111109</v>
      </c>
      <c r="Q488" s="30">
        <f ca="1">IFERROR(IF(O488="","",IF(P488="",MOD(NOW()-O488,1),IF(P488&gt;=O488,P488-O488,P488+1-O488))),"")</f>
        <v>1.1805555555555514E-2</v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10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42</v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>
        <v>23</v>
      </c>
      <c r="H490" s="134">
        <f>IFERROR(IF($G490="","",$G490*$S$500/$G$500/Cadastro!$E$33),"")</f>
        <v>0</v>
      </c>
      <c r="I490" s="135">
        <f>IFERROR(IF($D490="","",VLOOKUP($D490,Cadastro!$C$4:$G$7,5,FALSE)),"")</f>
        <v>0.6</v>
      </c>
      <c r="J490" s="136">
        <f t="shared" si="122"/>
        <v>0</v>
      </c>
      <c r="K490" s="28">
        <f t="shared" si="123"/>
        <v>96.600000000000009</v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52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218.4</v>
      </c>
      <c r="L500" s="37"/>
      <c r="M500" s="37"/>
      <c r="N500" s="37"/>
      <c r="O500" s="61"/>
      <c r="P500" s="61"/>
      <c r="Q500" s="38">
        <f ca="1">IFERROR(SUM(Q488:Q499),"")</f>
        <v>1.1805555555555514E-2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52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218.4</v>
      </c>
      <c r="L514" s="41"/>
      <c r="M514" s="41"/>
      <c r="N514" s="41"/>
      <c r="O514" s="63"/>
      <c r="P514" s="63"/>
      <c r="Q514" s="42">
        <f ca="1">IFERROR(Q500+Q513,"")</f>
        <v>1.1805555555555514E-2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2026-08-19T14:10:05Z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