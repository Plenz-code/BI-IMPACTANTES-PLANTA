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" documentId="13_ncr:1_{A6DBCFB4-28D9-4249-9038-216934055CA6}" xr6:coauthVersionLast="47" xr6:coauthVersionMax="47" xr10:uidLastSave="{C5445480-2B70-4084-9C91-1CC6A5617693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<sst xmlns="http://schemas.openxmlformats.org/spreadsheetml/2006/main" count="8422" uniqueCount="394">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</sst>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3" sqref="F49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/>
      <c r="G493" s="69" t="str">
        <f t="shared" si="106"/>
        <v/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/>
      <c r="G494" s="64" t="str">
        <f t="shared" si="106"/>
        <v/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/>
      <c r="G495" s="69" t="str">
        <f t="shared" si="106"/>
        <v/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57</v>
      </c>
      <c r="G500" s="2">
        <f>SUM(G488:G499)</f>
        <v>285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57</v>
      </c>
      <c r="G514" s="1">
        <f>G500+G513</f>
        <v>285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68" activePane="bottomLeft" state="frozen"/>
      <selection pane="bottomLeft" activeCell="D499" sqref="D49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0.39975023148144828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0.53863912037033601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0.62336134259255882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/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/>
      <c r="M490" s="61"/>
      <c r="N490" s="61"/>
      <c r="O490" s="65"/>
      <c r="P490" s="65"/>
      <c r="Q490" s="66" t="str">
        <f t="shared" ca="1" si="124"/>
        <v/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/>
      <c r="M491" s="70"/>
      <c r="N491" s="70"/>
      <c r="O491" s="65"/>
      <c r="P491" s="65"/>
      <c r="Q491" s="71" t="str">
        <f t="shared" ca="1" si="124"/>
        <v/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46.2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52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218.40000000000003</v>
      </c>
      <c r="L500" s="72"/>
      <c r="M500" s="72"/>
      <c r="N500" s="72"/>
      <c r="O500" s="72"/>
      <c r="P500" s="72"/>
      <c r="Q500" s="73">
        <f ca="1">IFERROR(SUM(Q488:Q499),"")</f>
        <v>3.9583333333333248E-2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52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218.40000000000003</v>
      </c>
      <c r="L514" s="76"/>
      <c r="M514" s="76"/>
      <c r="N514" s="76"/>
      <c r="O514" s="76"/>
      <c r="P514" s="76"/>
      <c r="Q514" s="77">
        <f ca="1">IFERROR(Q500+Q513,"")</f>
        <v>3.9583333333333248E-2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1" activePane="bottomLeft" state="frozen"/>
      <selection pane="bottomLeft" activeCell="G493" sqref="G49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/>
      <c r="M488" s="61"/>
      <c r="N488" s="61"/>
      <c r="O488" s="65"/>
      <c r="P488" s="65"/>
      <c r="Q488" s="66" t="str">
        <f t="shared" ref="Q488:Q499" ca="1" si="121">IFERROR(IF(O488="","",IF(P488="",MOD(NOW()-O488,1),IF(P488&gt;=O488,P488-O488,P488+1-O488))),"")</f>
        <v/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/>
      <c r="M489" s="70"/>
      <c r="N489" s="70"/>
      <c r="O489" s="65"/>
      <c r="P489" s="65"/>
      <c r="Q489" s="71" t="str">
        <f t="shared" ca="1" si="121"/>
        <v/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/>
      <c r="M490" s="61"/>
      <c r="N490" s="61"/>
      <c r="O490" s="65"/>
      <c r="P490" s="65"/>
      <c r="Q490" s="66" t="str">
        <f t="shared" ca="1" si="121"/>
        <v/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21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0"/>
        <v/>
      </c>
      <c r="K493" s="69" t="str">
        <f>IF(G493="","",IF(E494="PC 17",G493*4.2,IF(E494="PC 19",G493*5,IF(E494="CB",G493*24,""))))</f>
        <v/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0"/>
        <v/>
      </c>
      <c r="K495" s="69" t="str">
        <f>IF(G495="","",IF(E495="PC 17",G495*4.2,IF(E495="PC 19",G495*5,IF(E495="CB",G495*24,""))))</f>
        <v/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0"/>
        <v/>
      </c>
      <c r="K496" s="64" t="str">
        <f>IF(G496="","",IF(E496="PC 17",G496*4.2,IF(E496="PC 19",G496*5,IF(E496="CB",G496*24,""))))</f>
        <v/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113.4</v>
      </c>
      <c r="L500" s="72"/>
      <c r="M500" s="72"/>
      <c r="N500" s="72"/>
      <c r="O500" s="72"/>
      <c r="P500" s="72"/>
      <c r="Q500" s="73">
        <f ca="1">IFERROR(SUM(Q488:Q499),"")</f>
        <v>0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113.4</v>
      </c>
      <c r="L514" s="76"/>
      <c r="M514" s="76"/>
      <c r="N514" s="76"/>
      <c r="O514" s="76"/>
      <c r="P514" s="76"/>
      <c r="Q514" s="77">
        <f ca="1">IFERROR(Q500+Q513,"")</f>
        <v>0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3" sqref="G49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/>
      <c r="M490" s="61"/>
      <c r="N490" s="61"/>
      <c r="O490" s="65"/>
      <c r="P490" s="65"/>
      <c r="Q490" s="66" t="str">
        <f ca="1">IFERROR(IF(O490="","",IF(P490="",MOD(NOW()-O490,1),IF(P490&gt;=O490,P490-O490,P490+1-O490))),"")</f>
        <v/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274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29.400000000000002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/>
      <c r="H493" s="88" t="str">
        <f>IFERROR(IF($G493="","",$G493*$S$500/$G$500/Cadastro!$E$33),"")</f>
        <v/>
      </c>
      <c r="I493" s="90">
        <f>IFERROR(IF($D493="","",VLOOKUP($D493,Cadastro!$C$4:$G$7,5,FALSE())),"")</f>
        <v>0.6</v>
      </c>
      <c r="J493" s="91" t="str">
        <f t="shared" si="122"/>
        <v/>
      </c>
      <c r="K493" s="69" t="str">
        <f t="shared" si="123"/>
        <v/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2"/>
        <v/>
      </c>
      <c r="K494" s="64" t="str">
        <f t="shared" si="123"/>
        <v/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/>
      <c r="H495" s="88" t="str">
        <f>IFERROR(IF($G495="","",$G495*$S$500/$G$500/Cadastro!$E$33),"")</f>
        <v/>
      </c>
      <c r="I495" s="90">
        <f>IFERROR(IF($D495="","",VLOOKUP($D495,Cadastro!$C$4:$G$7,5,FALSE())),"")</f>
        <v>0.6</v>
      </c>
      <c r="J495" s="91" t="str">
        <f t="shared" si="122"/>
        <v/>
      </c>
      <c r="K495" s="69" t="str">
        <f t="shared" si="123"/>
        <v/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/>
      <c r="H496" s="88" t="str">
        <f>IFERROR(IF($G496="","",$G496*$S$500/$G$500/Cadastro!$E$33),"")</f>
        <v/>
      </c>
      <c r="I496" s="90">
        <f>IFERROR(IF($D496="","",VLOOKUP($D496,Cadastro!$C$4:$G$7,5,FALSE())),"")</f>
        <v>0.6</v>
      </c>
      <c r="J496" s="91" t="str">
        <f t="shared" si="122"/>
        <v/>
      </c>
      <c r="K496" s="64" t="str">
        <f t="shared" si="123"/>
        <v/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75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315</v>
      </c>
      <c r="L500" s="72"/>
      <c r="M500" s="72"/>
      <c r="N500" s="72"/>
      <c r="O500" s="134"/>
      <c r="P500" s="134"/>
      <c r="Q500" s="73">
        <f ca="1">IFERROR(SUM(Q488:Q499),"")</f>
        <v>3.9583333333332693E-2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75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315</v>
      </c>
      <c r="L514" s="76"/>
      <c r="M514" s="76"/>
      <c r="N514" s="76"/>
      <c r="O514" s="135"/>
      <c r="P514" s="135"/>
      <c r="Q514" s="77">
        <f ca="1">IFERROR(Q500+Q513,"")</f>
        <v>3.9583333333332693E-2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2026-08-19T16:31:11Z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