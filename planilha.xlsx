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936" documentId="8_{AF585B22-221D-4780-BB9C-493D365A6A02}" xr6:coauthVersionLast="47" xr6:coauthVersionMax="47" xr10:uidLastSave="{802ADCE1-1C4A-4EFF-9452-7FD4269BBCD6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<sst xmlns="http://schemas.openxmlformats.org/spreadsheetml/2006/main" count="6942" uniqueCount="336">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</sst>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9" sqref="G19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1600690</v>
      </c>
      <c r="D19" s="11">
        <f>IFERROR('Linha 1'!O433,"")</f>
        <v>700000</v>
      </c>
      <c r="E19" s="11">
        <f>IFERROR('Linha 2'!O433,"")</f>
        <v>209000</v>
      </c>
      <c r="F19" s="11">
        <f>IFERROR('Linha 3'!O433,"")</f>
        <v>491520</v>
      </c>
      <c r="G19" s="12">
        <f t="shared" si="0"/>
        <v>1400520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46522052</v>
      </c>
      <c r="D35" s="13">
        <f>IFERROR(SUM(D4:D34),"")</f>
        <v>17280590</v>
      </c>
      <c r="E35" s="13">
        <f>IFERROR(SUM(E4:E34),"")</f>
        <v>11416280</v>
      </c>
      <c r="F35" s="13">
        <f>IFERROR(SUM(F4:F34),"")</f>
        <v>21432540</v>
      </c>
      <c r="G35" s="13">
        <f>IFERROR(SUM(G4:G34),"")</f>
        <v>50129410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29" zoomScale="85" zoomScaleNormal="85" workbookViewId="0">
      <selection activeCell="K68" sqref="K6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4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4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4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4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4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4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4"/>
      <c r="I55" s="17"/>
      <c r="J55" s="17"/>
      <c r="K55" s="17" t="s">
        <v>200</v>
      </c>
      <c r="L55" s="17"/>
      <c r="M55" s="17"/>
    </row>
    <row r="56" spans="1:13" ht="15" customHeight="1">
      <c r="H56" s="104"/>
      <c r="I56" s="16"/>
      <c r="J56" s="16"/>
      <c r="K56" s="16" t="s">
        <v>201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202</v>
      </c>
      <c r="L58" s="16"/>
      <c r="M58" s="16"/>
    </row>
    <row r="59" spans="1:13" ht="15" customHeight="1">
      <c r="H59" s="104"/>
      <c r="I59" s="17"/>
      <c r="J59" s="17"/>
      <c r="K59" s="17" t="s">
        <v>203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204</v>
      </c>
      <c r="L61" s="17"/>
      <c r="M61" s="17"/>
    </row>
    <row r="62" spans="1:13" ht="15" customHeight="1">
      <c r="H62" s="104"/>
      <c r="I62" s="16"/>
      <c r="J62" s="16"/>
      <c r="K62" s="16" t="s">
        <v>205</v>
      </c>
      <c r="L62" s="16"/>
      <c r="M62" s="16"/>
    </row>
    <row r="63" spans="1:13" ht="15" customHeight="1">
      <c r="H63" s="104"/>
      <c r="I63" s="17"/>
      <c r="J63" s="17"/>
      <c r="K63" s="17" t="s">
        <v>206</v>
      </c>
      <c r="L63" s="17"/>
      <c r="M63" s="17"/>
    </row>
    <row r="64" spans="1:13" ht="15" customHeight="1">
      <c r="H64" s="104"/>
      <c r="I64" s="16"/>
      <c r="J64" s="16"/>
      <c r="K64" s="16" t="s">
        <v>207</v>
      </c>
      <c r="L64" s="16"/>
      <c r="M64" s="16"/>
    </row>
    <row r="65" spans="8:13" ht="15" customHeight="1">
      <c r="H65" s="104"/>
      <c r="I65" s="17"/>
      <c r="J65" s="17"/>
      <c r="K65" s="17" t="s">
        <v>208</v>
      </c>
      <c r="L65" s="17"/>
      <c r="M65" s="17"/>
    </row>
    <row r="66" spans="8:13" ht="15" customHeight="1">
      <c r="H66" s="104"/>
      <c r="I66" s="16"/>
      <c r="J66" s="16"/>
      <c r="K66" s="16" t="s">
        <v>209</v>
      </c>
      <c r="L66" s="16"/>
      <c r="M66" s="16"/>
    </row>
    <row r="67" spans="8:13" ht="15" customHeight="1">
      <c r="H67" s="104"/>
      <c r="I67" s="17"/>
      <c r="J67" s="17"/>
      <c r="K67" s="17" t="s">
        <v>210</v>
      </c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15" activePane="bottomLeft" state="frozen"/>
      <selection pane="bottomLeft" activeCell="F430" sqref="F43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211</v>
      </c>
      <c r="C1" s="23" t="s">
        <v>12</v>
      </c>
      <c r="D1" s="22" t="s">
        <v>13</v>
      </c>
      <c r="E1" s="22" t="s">
        <v>212</v>
      </c>
      <c r="F1" s="23" t="s">
        <v>213</v>
      </c>
      <c r="G1" s="23" t="s">
        <v>214</v>
      </c>
      <c r="H1" s="23" t="s">
        <v>14</v>
      </c>
      <c r="I1" s="23" t="s">
        <v>15</v>
      </c>
      <c r="J1" s="23" t="s">
        <v>215</v>
      </c>
      <c r="K1" s="23" t="s">
        <v>216</v>
      </c>
      <c r="L1" s="23" t="s">
        <v>217</v>
      </c>
      <c r="M1" s="24" t="s">
        <v>218</v>
      </c>
      <c r="N1" s="23" t="s">
        <v>219</v>
      </c>
      <c r="O1" s="23" t="s">
        <v>220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221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223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224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225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226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225</v>
      </c>
      <c r="O27" s="39">
        <v>1183060</v>
      </c>
    </row>
    <row r="28" spans="1:15" ht="18" customHeight="1">
      <c r="A28" s="97" t="s">
        <v>227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228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229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224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225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226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225</v>
      </c>
      <c r="O54" s="39">
        <v>959290</v>
      </c>
    </row>
    <row r="55" spans="1:15" ht="18" customHeight="1">
      <c r="A55" s="97" t="s">
        <v>227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228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224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225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230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226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225</v>
      </c>
      <c r="O81" s="39">
        <v>878050</v>
      </c>
    </row>
    <row r="82" spans="1:15" ht="18" customHeight="1">
      <c r="A82" s="97" t="s">
        <v>227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228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224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225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226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225</v>
      </c>
      <c r="O108" s="39">
        <v>1700000</v>
      </c>
    </row>
    <row r="109" spans="1:15" ht="18" customHeight="1">
      <c r="A109" s="97" t="s">
        <v>227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228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224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225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226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225</v>
      </c>
      <c r="O135" s="39">
        <v>862330</v>
      </c>
    </row>
    <row r="136" spans="1:15" ht="18" customHeight="1">
      <c r="A136" s="97" t="s">
        <v>227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228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224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225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226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225</v>
      </c>
      <c r="O162" s="44">
        <v>1546080</v>
      </c>
    </row>
    <row r="163" spans="1:15" ht="18" customHeight="1">
      <c r="A163" s="97" t="s">
        <v>227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228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224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225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226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225</v>
      </c>
      <c r="O189" s="39">
        <v>2355810</v>
      </c>
    </row>
    <row r="190" spans="1:15" ht="18" customHeight="1">
      <c r="A190" s="97" t="s">
        <v>227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228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224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225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226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225</v>
      </c>
      <c r="O216" s="45">
        <v>2013260</v>
      </c>
    </row>
    <row r="217" spans="1:15" ht="18" customHeight="1">
      <c r="A217" s="97" t="s">
        <v>227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228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224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225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226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225</v>
      </c>
      <c r="O243" s="39">
        <v>1545480</v>
      </c>
    </row>
    <row r="244" spans="1:15" ht="18" customHeight="1">
      <c r="A244" s="97" t="s">
        <v>227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228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224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225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226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225</v>
      </c>
      <c r="O270" s="39">
        <v>1182690</v>
      </c>
    </row>
    <row r="271" spans="1:15" ht="18" customHeight="1">
      <c r="A271" s="97" t="s">
        <v>227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228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224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225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235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236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236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236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236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236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236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236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236</v>
      </c>
      <c r="O296" s="47"/>
    </row>
    <row r="297" spans="1:15" ht="15.75" customHeight="1">
      <c r="A297" s="94" t="s">
        <v>226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225</v>
      </c>
      <c r="O297" s="39">
        <v>1843460</v>
      </c>
    </row>
    <row r="298" spans="1:15" ht="18" customHeight="1">
      <c r="A298" s="97" t="s">
        <v>227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228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237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238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224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225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239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239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239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239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239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239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226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225</v>
      </c>
      <c r="O324" s="39">
        <v>1940000</v>
      </c>
    </row>
    <row r="325" spans="1:15" ht="18" customHeight="1">
      <c r="A325" s="97" t="s">
        <v>227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228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240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224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225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226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225</v>
      </c>
      <c r="O351" s="39">
        <v>701874</v>
      </c>
    </row>
    <row r="352" spans="1:15" ht="18" customHeight="1">
      <c r="A352" s="97" t="s">
        <v>227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228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241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224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225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226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225</v>
      </c>
      <c r="O378" s="39">
        <v>1088710</v>
      </c>
    </row>
    <row r="379" spans="1:15" ht="18" customHeight="1">
      <c r="A379" s="97" t="s">
        <v>227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228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242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243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224</v>
      </c>
      <c r="B392" s="95"/>
      <c r="C392" s="95"/>
      <c r="D392" s="95"/>
      <c r="E392" s="96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225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244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226</v>
      </c>
      <c r="B405" s="95"/>
      <c r="C405" s="95"/>
      <c r="D405" s="95"/>
      <c r="E405" s="96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225</v>
      </c>
      <c r="O405" s="39">
        <v>1202270</v>
      </c>
    </row>
    <row r="406" spans="1:15" ht="18" customHeight="1">
      <c r="A406" s="97" t="s">
        <v>227</v>
      </c>
      <c r="B406" s="98"/>
      <c r="C406" s="98"/>
      <c r="D406" s="98"/>
      <c r="E406" s="99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228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245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246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247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247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224</v>
      </c>
      <c r="B419" s="95"/>
      <c r="C419" s="95"/>
      <c r="D419" s="95"/>
      <c r="E419" s="96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225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222</v>
      </c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226</v>
      </c>
      <c r="B432" s="95"/>
      <c r="C432" s="95"/>
      <c r="D432" s="95"/>
      <c r="E432" s="96">
        <f>SUM(E420:E431)</f>
        <v>0</v>
      </c>
      <c r="F432" s="36">
        <f>SUM(F420:F431)</f>
        <v>291</v>
      </c>
      <c r="G432" s="36">
        <f>SUM(G420:G431)</f>
        <v>1455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225</v>
      </c>
      <c r="O432" s="39"/>
    </row>
    <row r="433" spans="1:15" ht="18" customHeight="1">
      <c r="A433" s="97" t="s">
        <v>227</v>
      </c>
      <c r="B433" s="98"/>
      <c r="C433" s="98"/>
      <c r="D433" s="98"/>
      <c r="E433" s="99">
        <f>E419+E432</f>
        <v>0</v>
      </c>
      <c r="F433" s="40">
        <f>F419+F432</f>
        <v>512</v>
      </c>
      <c r="G433" s="40">
        <f>G419+G432</f>
        <v>2560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228</v>
      </c>
      <c r="O433" s="48">
        <f>IFERROR(O419+O432,"")</f>
        <v>1600690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224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226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225</v>
      </c>
      <c r="O459" s="39"/>
    </row>
    <row r="460" spans="1:15" ht="18" customHeight="1">
      <c r="A460" s="97" t="s">
        <v>227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224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226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225</v>
      </c>
      <c r="O486" s="39"/>
    </row>
    <row r="487" spans="1:15" ht="18" customHeight="1">
      <c r="A487" s="97" t="s">
        <v>227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224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226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225</v>
      </c>
      <c r="O513" s="39"/>
    </row>
    <row r="514" spans="1:15" ht="18" customHeight="1">
      <c r="A514" s="97" t="s">
        <v>227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224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226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225</v>
      </c>
      <c r="O540" s="39"/>
    </row>
    <row r="541" spans="1:15" ht="18" customHeight="1">
      <c r="A541" s="97" t="s">
        <v>227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224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226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225</v>
      </c>
      <c r="O567" s="39"/>
    </row>
    <row r="568" spans="1:15" ht="18" customHeight="1">
      <c r="A568" s="97" t="s">
        <v>227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224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226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225</v>
      </c>
      <c r="O594" s="39"/>
    </row>
    <row r="595" spans="1:15" ht="18" customHeight="1">
      <c r="A595" s="97" t="s">
        <v>227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224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226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225</v>
      </c>
      <c r="O621" s="39"/>
    </row>
    <row r="622" spans="1:15" ht="18" customHeight="1">
      <c r="A622" s="97" t="s">
        <v>227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224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226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225</v>
      </c>
      <c r="O648" s="39"/>
    </row>
    <row r="649" spans="1:15" ht="18" customHeight="1">
      <c r="A649" s="97" t="s">
        <v>227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224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226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225</v>
      </c>
      <c r="O675" s="39"/>
    </row>
    <row r="676" spans="1:15" ht="18" customHeight="1">
      <c r="A676" s="97" t="s">
        <v>227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224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226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225</v>
      </c>
      <c r="O702" s="39"/>
    </row>
    <row r="703" spans="1:15" ht="18" customHeight="1">
      <c r="A703" s="97" t="s">
        <v>227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224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226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225</v>
      </c>
      <c r="O729" s="39"/>
    </row>
    <row r="730" spans="1:15" ht="18" customHeight="1">
      <c r="A730" s="97" t="s">
        <v>227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224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226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225</v>
      </c>
      <c r="O756" s="39"/>
    </row>
    <row r="757" spans="1:15" ht="18" customHeight="1">
      <c r="A757" s="97" t="s">
        <v>227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224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226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225</v>
      </c>
      <c r="O783" s="39"/>
    </row>
    <row r="784" spans="1:15" ht="18" customHeight="1">
      <c r="A784" s="97" t="s">
        <v>227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224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226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225</v>
      </c>
      <c r="O810" s="39"/>
    </row>
    <row r="811" spans="1:15" ht="18" customHeight="1">
      <c r="A811" s="59" t="s">
        <v>222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228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28" activePane="bottomLeft" state="frozen"/>
      <selection pane="bottomLeft" activeCell="F468" sqref="F46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211</v>
      </c>
      <c r="C1" s="23" t="s">
        <v>12</v>
      </c>
      <c r="D1" s="22" t="s">
        <v>13</v>
      </c>
      <c r="E1" s="22" t="s">
        <v>212</v>
      </c>
      <c r="F1" s="23" t="s">
        <v>213</v>
      </c>
      <c r="G1" s="23" t="s">
        <v>214</v>
      </c>
      <c r="H1" s="23" t="s">
        <v>14</v>
      </c>
      <c r="I1" s="23" t="s">
        <v>15</v>
      </c>
      <c r="J1" s="23" t="s">
        <v>215</v>
      </c>
      <c r="K1" s="23" t="s">
        <v>216</v>
      </c>
      <c r="L1" s="23" t="s">
        <v>217</v>
      </c>
      <c r="M1" s="24" t="s">
        <v>218</v>
      </c>
      <c r="N1" s="23" t="s">
        <v>219</v>
      </c>
      <c r="O1" s="23" t="s">
        <v>220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248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248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224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225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248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226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225</v>
      </c>
      <c r="O27" s="78">
        <v>393200</v>
      </c>
    </row>
    <row r="28" spans="1:15" ht="18" customHeight="1">
      <c r="A28" s="97" t="s">
        <v>227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228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224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225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250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248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226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225</v>
      </c>
      <c r="O54" s="85">
        <v>276360</v>
      </c>
    </row>
    <row r="55" spans="1:15" ht="18" customHeight="1">
      <c r="A55" s="97" t="s">
        <v>227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228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251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252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224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225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248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226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225</v>
      </c>
      <c r="O81" s="54">
        <v>787860</v>
      </c>
    </row>
    <row r="82" spans="1:15" ht="18" customHeight="1">
      <c r="A82" s="97" t="s">
        <v>227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228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224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225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255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256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226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225</v>
      </c>
      <c r="O108" s="54">
        <v>1087080</v>
      </c>
    </row>
    <row r="109" spans="1:15" ht="18" customHeight="1">
      <c r="A109" s="97" t="s">
        <v>227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228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257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224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225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258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240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222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226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225</v>
      </c>
      <c r="O135" s="54">
        <v>794480</v>
      </c>
    </row>
    <row r="136" spans="1:15" ht="18" customHeight="1">
      <c r="A136" s="97" t="s">
        <v>227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228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224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225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226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225</v>
      </c>
      <c r="O162" s="54">
        <v>882280</v>
      </c>
    </row>
    <row r="163" spans="1:15" ht="18" customHeight="1">
      <c r="A163" s="97" t="s">
        <v>227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228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224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225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226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225</v>
      </c>
      <c r="O189" s="78"/>
    </row>
    <row r="190" spans="1:15" ht="18" customHeight="1">
      <c r="A190" s="97" t="s">
        <v>227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228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224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225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265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266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226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225</v>
      </c>
      <c r="O216" s="78">
        <v>648410</v>
      </c>
    </row>
    <row r="217" spans="1:15" ht="18" customHeight="1">
      <c r="A217" s="97" t="s">
        <v>227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228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268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224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225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248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248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263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226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225</v>
      </c>
      <c r="O243" s="78">
        <v>849060</v>
      </c>
    </row>
    <row r="244" spans="1:15" ht="18" customHeight="1">
      <c r="A244" s="97" t="s">
        <v>227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228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270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224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225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226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225</v>
      </c>
      <c r="O270" s="78">
        <v>625070</v>
      </c>
    </row>
    <row r="271" spans="1:15" ht="18" customHeight="1">
      <c r="A271" s="97" t="s">
        <v>227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228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271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272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224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225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273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226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225</v>
      </c>
      <c r="O297" s="78">
        <v>761660</v>
      </c>
    </row>
    <row r="298" spans="1:15" ht="18" customHeight="1">
      <c r="A298" s="97" t="s">
        <v>227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228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274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274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248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224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225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275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276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226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225</v>
      </c>
      <c r="O324" s="78">
        <v>524410</v>
      </c>
    </row>
    <row r="325" spans="1:15" ht="18" customHeight="1">
      <c r="A325" s="97" t="s">
        <v>227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228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248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277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224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225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278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279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226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225</v>
      </c>
      <c r="O351" s="78">
        <v>598420</v>
      </c>
    </row>
    <row r="352" spans="1:15" ht="18" customHeight="1">
      <c r="A352" s="97" t="s">
        <v>227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228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224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225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248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0.97047557870246237</v>
      </c>
      <c r="N377" s="46"/>
      <c r="O377" s="47"/>
    </row>
    <row r="378" spans="1:15" ht="15.75" customHeight="1">
      <c r="A378" s="94" t="s">
        <v>226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1.1281144675913513</v>
      </c>
      <c r="N378" s="36" t="s">
        <v>225</v>
      </c>
      <c r="O378" s="78">
        <v>511980</v>
      </c>
    </row>
    <row r="379" spans="1:15" ht="18" customHeight="1">
      <c r="A379" s="97" t="s">
        <v>227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1.2378366898135735</v>
      </c>
      <c r="N379" s="40" t="s">
        <v>228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248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263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248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280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224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225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248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281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240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226</v>
      </c>
      <c r="B405" s="95"/>
      <c r="C405" s="95"/>
      <c r="D405" s="95"/>
      <c r="E405" s="96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225</v>
      </c>
      <c r="O405" s="78">
        <v>552440</v>
      </c>
    </row>
    <row r="406" spans="1:15" ht="18" customHeight="1">
      <c r="A406" s="97" t="s">
        <v>227</v>
      </c>
      <c r="B406" s="98"/>
      <c r="C406" s="98"/>
      <c r="D406" s="98"/>
      <c r="E406" s="99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228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248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224</v>
      </c>
      <c r="B419" s="95"/>
      <c r="C419" s="95"/>
      <c r="D419" s="95"/>
      <c r="E419" s="96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225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248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248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282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248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248</v>
      </c>
      <c r="F423" s="27">
        <v>0</v>
      </c>
      <c r="G423" s="34">
        <f t="shared" si="93"/>
        <v>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248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248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248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248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248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248</v>
      </c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248</v>
      </c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248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226</v>
      </c>
      <c r="B432" s="95"/>
      <c r="C432" s="95"/>
      <c r="D432" s="95"/>
      <c r="E432" s="96">
        <f>SUM(E420:E431)</f>
        <v>0</v>
      </c>
      <c r="F432" s="36">
        <f>SUM(F420:F431)</f>
        <v>85</v>
      </c>
      <c r="G432" s="36">
        <f>SUM(G420:G431)</f>
        <v>357</v>
      </c>
      <c r="H432" s="37"/>
      <c r="I432" s="37"/>
      <c r="J432" s="37"/>
      <c r="K432" s="37"/>
      <c r="L432" s="37"/>
      <c r="M432" s="38">
        <f ca="1">IFERROR(SUM(M420:M431),"")</f>
        <v>0.17083333333333336</v>
      </c>
      <c r="N432" s="36" t="s">
        <v>225</v>
      </c>
      <c r="O432" s="78"/>
    </row>
    <row r="433" spans="1:15" ht="18" customHeight="1">
      <c r="A433" s="97" t="s">
        <v>227</v>
      </c>
      <c r="B433" s="98"/>
      <c r="C433" s="98"/>
      <c r="D433" s="98"/>
      <c r="E433" s="99">
        <f>E419+E432</f>
        <v>0</v>
      </c>
      <c r="F433" s="40">
        <f>F419+F432</f>
        <v>224</v>
      </c>
      <c r="G433" s="40">
        <f>G419+G432</f>
        <v>953.60000000000014</v>
      </c>
      <c r="H433" s="41"/>
      <c r="I433" s="41"/>
      <c r="J433" s="41"/>
      <c r="K433" s="41"/>
      <c r="L433" s="41"/>
      <c r="M433" s="42">
        <f ca="1">IFERROR(M419+M432,"")</f>
        <v>0.31597222222222221</v>
      </c>
      <c r="N433" s="40" t="s">
        <v>228</v>
      </c>
      <c r="O433" s="84">
        <f>IFERROR(O419+O432,"")</f>
        <v>700000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224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225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226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225</v>
      </c>
      <c r="O459" s="78"/>
    </row>
    <row r="460" spans="1:15" ht="18" customHeight="1">
      <c r="A460" s="97" t="s">
        <v>227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228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224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225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226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225</v>
      </c>
      <c r="O486" s="78"/>
    </row>
    <row r="487" spans="1:15" ht="18" customHeight="1">
      <c r="A487" s="97" t="s">
        <v>227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228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224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225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226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225</v>
      </c>
      <c r="O513" s="78"/>
    </row>
    <row r="514" spans="1:15" ht="18" customHeight="1">
      <c r="A514" s="97" t="s">
        <v>227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228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224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225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226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225</v>
      </c>
      <c r="O540" s="78"/>
    </row>
    <row r="541" spans="1:15" ht="18" customHeight="1">
      <c r="A541" s="97" t="s">
        <v>227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228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224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225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226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225</v>
      </c>
      <c r="O567" s="78"/>
    </row>
    <row r="568" spans="1:15" ht="18" customHeight="1">
      <c r="A568" s="97" t="s">
        <v>227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228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224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225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226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225</v>
      </c>
      <c r="O594" s="78"/>
    </row>
    <row r="595" spans="1:15" ht="18" customHeight="1">
      <c r="A595" s="97" t="s">
        <v>227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228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224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225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226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225</v>
      </c>
      <c r="O621" s="78"/>
    </row>
    <row r="622" spans="1:15" ht="18" customHeight="1">
      <c r="A622" s="97" t="s">
        <v>227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228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224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225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226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225</v>
      </c>
      <c r="O648" s="78"/>
    </row>
    <row r="649" spans="1:15" ht="18" customHeight="1">
      <c r="A649" s="97" t="s">
        <v>227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228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224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225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226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225</v>
      </c>
      <c r="O675" s="78"/>
    </row>
    <row r="676" spans="1:15" ht="18" customHeight="1">
      <c r="A676" s="97" t="s">
        <v>227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228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224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225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226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225</v>
      </c>
      <c r="O702" s="78"/>
    </row>
    <row r="703" spans="1:15" ht="18" customHeight="1">
      <c r="A703" s="97" t="s">
        <v>227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228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224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225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226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225</v>
      </c>
      <c r="O729" s="78"/>
    </row>
    <row r="730" spans="1:15" ht="18" customHeight="1">
      <c r="A730" s="97" t="s">
        <v>227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228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224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225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226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225</v>
      </c>
      <c r="O756" s="39"/>
    </row>
    <row r="757" spans="1:15" ht="18" customHeight="1">
      <c r="A757" s="97" t="s">
        <v>227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228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224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225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226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225</v>
      </c>
      <c r="O783" s="39"/>
    </row>
    <row r="784" spans="1:15" ht="18" customHeight="1">
      <c r="A784" s="97" t="s">
        <v>227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228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224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225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226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225</v>
      </c>
      <c r="O810" s="39"/>
    </row>
    <row r="811" spans="1:15" ht="18" customHeight="1">
      <c r="A811" s="97" t="s">
        <v>227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228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04" zoomScale="50" zoomScaleNormal="50" workbookViewId="0">
      <selection activeCell="F430" sqref="F43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211</v>
      </c>
      <c r="C1" s="23" t="s">
        <v>12</v>
      </c>
      <c r="D1" s="22" t="s">
        <v>13</v>
      </c>
      <c r="E1" s="22" t="s">
        <v>212</v>
      </c>
      <c r="F1" s="23" t="s">
        <v>213</v>
      </c>
      <c r="G1" s="23" t="s">
        <v>214</v>
      </c>
      <c r="H1" s="23" t="s">
        <v>14</v>
      </c>
      <c r="I1" s="23" t="s">
        <v>15</v>
      </c>
      <c r="J1" s="23" t="s">
        <v>215</v>
      </c>
      <c r="K1" s="23" t="s">
        <v>216</v>
      </c>
      <c r="L1" s="23" t="s">
        <v>217</v>
      </c>
      <c r="M1" s="24" t="s">
        <v>218</v>
      </c>
      <c r="N1" s="23" t="s">
        <v>219</v>
      </c>
      <c r="O1" s="23" t="s">
        <v>220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283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284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224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225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226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225</v>
      </c>
      <c r="O27" s="39">
        <v>308500</v>
      </c>
    </row>
    <row r="28" spans="1:15" ht="18" customHeight="1">
      <c r="A28" s="97" t="s">
        <v>227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228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285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224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225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226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225</v>
      </c>
      <c r="O54" s="39">
        <v>124290</v>
      </c>
    </row>
    <row r="55" spans="1:15" ht="18" customHeight="1">
      <c r="A55" s="97" t="s">
        <v>227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228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286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224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225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287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226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225</v>
      </c>
      <c r="O81" s="39">
        <v>396340</v>
      </c>
    </row>
    <row r="82" spans="1:15" ht="18" customHeight="1">
      <c r="A82" s="97" t="s">
        <v>227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228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288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224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225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226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225</v>
      </c>
      <c r="O108" s="39">
        <v>41230</v>
      </c>
    </row>
    <row r="109" spans="1:15" ht="18" customHeight="1">
      <c r="A109" s="97" t="s">
        <v>227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228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224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225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226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225</v>
      </c>
      <c r="O135" s="39">
        <v>381250</v>
      </c>
    </row>
    <row r="136" spans="1:15" ht="18" customHeight="1">
      <c r="A136" s="97" t="s">
        <v>227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228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262</v>
      </c>
      <c r="K141" s="29">
        <v>0.71597222222222223</v>
      </c>
      <c r="L141" s="29" t="s">
        <v>290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224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225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291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226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225</v>
      </c>
      <c r="O162" s="39">
        <v>337120</v>
      </c>
    </row>
    <row r="163" spans="1:15" ht="18" customHeight="1">
      <c r="A163" s="97" t="s">
        <v>227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228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292</v>
      </c>
      <c r="N166" s="27" t="s">
        <v>293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224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225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226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225</v>
      </c>
      <c r="O189" s="39">
        <v>747210</v>
      </c>
    </row>
    <row r="190" spans="1:15" ht="18" customHeight="1">
      <c r="A190" s="97" t="s">
        <v>227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228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294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224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225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226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225</v>
      </c>
      <c r="O216" s="39">
        <v>468430</v>
      </c>
    </row>
    <row r="217" spans="1:15" ht="18" customHeight="1">
      <c r="A217" s="97" t="s">
        <v>227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228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224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225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226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225</v>
      </c>
      <c r="O243" s="39">
        <v>575930</v>
      </c>
    </row>
    <row r="244" spans="1:15" ht="18" customHeight="1">
      <c r="A244" s="97" t="s">
        <v>227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228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224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225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295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296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226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225</v>
      </c>
      <c r="O270" s="39">
        <v>483510</v>
      </c>
    </row>
    <row r="271" spans="1:15" ht="18" customHeight="1">
      <c r="A271" s="97" t="s">
        <v>227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228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224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225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297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226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225</v>
      </c>
      <c r="O297" s="39">
        <v>487980</v>
      </c>
    </row>
    <row r="298" spans="1:15" ht="18" customHeight="1">
      <c r="A298" s="97" t="s">
        <v>227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228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224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225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300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301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226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225</v>
      </c>
      <c r="O324" s="39">
        <v>609460</v>
      </c>
    </row>
    <row r="325" spans="1:15" ht="18" customHeight="1">
      <c r="A325" s="97" t="s">
        <v>227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228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302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287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224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225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248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226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225</v>
      </c>
      <c r="O351" s="39">
        <v>437940</v>
      </c>
    </row>
    <row r="352" spans="1:15" ht="18" customHeight="1">
      <c r="A352" s="97" t="s">
        <v>227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228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224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225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226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225</v>
      </c>
      <c r="O378" s="39">
        <v>473310</v>
      </c>
    </row>
    <row r="379" spans="1:15" ht="18" customHeight="1">
      <c r="A379" s="97" t="s">
        <v>227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228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224</v>
      </c>
      <c r="B392" s="95"/>
      <c r="C392" s="95"/>
      <c r="D392" s="95"/>
      <c r="E392" s="96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225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226</v>
      </c>
      <c r="B405" s="95"/>
      <c r="C405" s="95"/>
      <c r="D405" s="95"/>
      <c r="E405" s="96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225</v>
      </c>
      <c r="O405" s="39">
        <v>507450</v>
      </c>
    </row>
    <row r="406" spans="1:15" ht="18" customHeight="1">
      <c r="A406" s="97" t="s">
        <v>227</v>
      </c>
      <c r="B406" s="98"/>
      <c r="C406" s="98"/>
      <c r="D406" s="98"/>
      <c r="E406" s="99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228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248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248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248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248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248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248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248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248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248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248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224</v>
      </c>
      <c r="B419" s="95"/>
      <c r="C419" s="95"/>
      <c r="D419" s="95"/>
      <c r="E419" s="96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225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222</v>
      </c>
      <c r="F420" s="27">
        <v>3</v>
      </c>
      <c r="G420" s="28">
        <f t="shared" ref="G420:G431" si="93">IF(F420="","",IF(E420="PC 17",F420*4.2,IF(E420="PC 19",F420*5,"")))</f>
        <v>15</v>
      </c>
      <c r="H420" s="26"/>
      <c r="I420" s="26"/>
      <c r="J420" s="26"/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39">
        <v>209000</v>
      </c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248</v>
      </c>
      <c r="F421" s="27">
        <v>0</v>
      </c>
      <c r="G421" s="34">
        <f t="shared" si="93"/>
        <v>0</v>
      </c>
      <c r="H421" s="33"/>
      <c r="I421" s="33"/>
      <c r="J421" s="33"/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282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248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248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248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248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248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248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248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248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248</v>
      </c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248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226</v>
      </c>
      <c r="B432" s="95"/>
      <c r="C432" s="95"/>
      <c r="D432" s="95"/>
      <c r="E432" s="96">
        <f>SUM(E420:E431)</f>
        <v>0</v>
      </c>
      <c r="F432" s="36">
        <f>SUM(F420:F431)</f>
        <v>43</v>
      </c>
      <c r="G432" s="36">
        <f>SUM(G420:G431)</f>
        <v>183.00000000000003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225</v>
      </c>
      <c r="O432" s="39"/>
    </row>
    <row r="433" spans="1:15" ht="18" customHeight="1">
      <c r="A433" s="97" t="s">
        <v>227</v>
      </c>
      <c r="B433" s="98"/>
      <c r="C433" s="98"/>
      <c r="D433" s="98"/>
      <c r="E433" s="99">
        <f>E419+E432</f>
        <v>0</v>
      </c>
      <c r="F433" s="40">
        <f>F419+F432</f>
        <v>104</v>
      </c>
      <c r="G433" s="40">
        <f>G419+G432</f>
        <v>443.20000000000005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228</v>
      </c>
      <c r="O433" s="48">
        <f>IFERROR(O420+O432,"")</f>
        <v>209000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224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226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225</v>
      </c>
      <c r="O459" s="39"/>
    </row>
    <row r="460" spans="1:15" ht="18" customHeight="1">
      <c r="A460" s="97" t="s">
        <v>227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224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226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225</v>
      </c>
      <c r="O486" s="39"/>
    </row>
    <row r="487" spans="1:15" ht="18" customHeight="1">
      <c r="A487" s="97" t="s">
        <v>227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224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226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225</v>
      </c>
      <c r="O513" s="39"/>
    </row>
    <row r="514" spans="1:15" ht="18" customHeight="1">
      <c r="A514" s="97" t="s">
        <v>227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224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226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225</v>
      </c>
      <c r="O540" s="39"/>
    </row>
    <row r="541" spans="1:15" ht="18" customHeight="1">
      <c r="A541" s="97" t="s">
        <v>227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224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226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225</v>
      </c>
      <c r="O567" s="39"/>
    </row>
    <row r="568" spans="1:15" ht="18" customHeight="1">
      <c r="A568" s="97" t="s">
        <v>227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224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226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225</v>
      </c>
      <c r="O594" s="39"/>
    </row>
    <row r="595" spans="1:15" ht="18" customHeight="1">
      <c r="A595" s="97" t="s">
        <v>227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224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226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225</v>
      </c>
      <c r="O621" s="39"/>
    </row>
    <row r="622" spans="1:15" ht="18" customHeight="1">
      <c r="A622" s="97" t="s">
        <v>227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224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226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225</v>
      </c>
      <c r="O648" s="39"/>
    </row>
    <row r="649" spans="1:15" ht="18" customHeight="1">
      <c r="A649" s="97" t="s">
        <v>227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224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226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225</v>
      </c>
      <c r="O675" s="39"/>
    </row>
    <row r="676" spans="1:15" ht="18" customHeight="1">
      <c r="A676" s="97" t="s">
        <v>227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224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226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225</v>
      </c>
      <c r="O702" s="39"/>
    </row>
    <row r="703" spans="1:15" ht="18" customHeight="1">
      <c r="A703" s="97" t="s">
        <v>227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224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226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225</v>
      </c>
      <c r="O729" s="39"/>
    </row>
    <row r="730" spans="1:15" ht="18" customHeight="1">
      <c r="A730" s="97" t="s">
        <v>227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224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226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225</v>
      </c>
      <c r="O756" s="39"/>
    </row>
    <row r="757" spans="1:15" ht="18" customHeight="1">
      <c r="A757" s="97" t="s">
        <v>227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224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226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225</v>
      </c>
      <c r="O783" s="39"/>
    </row>
    <row r="784" spans="1:15" ht="18" customHeight="1">
      <c r="A784" s="97" t="s">
        <v>227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224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226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225</v>
      </c>
      <c r="O810" s="39"/>
    </row>
    <row r="811" spans="1:15" ht="18" customHeight="1">
      <c r="A811" s="97" t="s">
        <v>227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400" activePane="bottomLeft" state="frozen"/>
      <selection pane="bottomLeft" activeCell="F430" sqref="F430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211</v>
      </c>
      <c r="C1" s="23" t="s">
        <v>12</v>
      </c>
      <c r="D1" s="22" t="s">
        <v>13</v>
      </c>
      <c r="E1" s="22" t="s">
        <v>212</v>
      </c>
      <c r="F1" s="23" t="s">
        <v>213</v>
      </c>
      <c r="G1" s="23" t="s">
        <v>214</v>
      </c>
      <c r="H1" s="23" t="s">
        <v>14</v>
      </c>
      <c r="I1" s="23" t="s">
        <v>15</v>
      </c>
      <c r="J1" s="23" t="s">
        <v>215</v>
      </c>
      <c r="K1" s="23" t="s">
        <v>216</v>
      </c>
      <c r="L1" s="23" t="s">
        <v>217</v>
      </c>
      <c r="M1" s="24" t="s">
        <v>218</v>
      </c>
      <c r="N1" s="23" t="s">
        <v>219</v>
      </c>
      <c r="O1" s="23" t="s">
        <v>220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303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248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224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225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304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226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225</v>
      </c>
      <c r="O27" s="39">
        <v>202230</v>
      </c>
    </row>
    <row r="28" spans="1:15" ht="18" customHeight="1">
      <c r="A28" s="97" t="s">
        <v>227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228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305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306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248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248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224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225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226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225</v>
      </c>
      <c r="O54" s="39">
        <v>473910</v>
      </c>
    </row>
    <row r="55" spans="1:15" ht="18" customHeight="1">
      <c r="A55" s="97" t="s">
        <v>227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228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307</v>
      </c>
      <c r="L58" s="29">
        <v>0.54097222222222219</v>
      </c>
      <c r="M58" s="30" t="str">
        <f t="shared" ca="1" si="13"/>
        <v/>
      </c>
      <c r="N58" s="27" t="s">
        <v>308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224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225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283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248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310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311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312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248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226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225</v>
      </c>
      <c r="O81" s="39">
        <v>565120</v>
      </c>
    </row>
    <row r="82" spans="1:15" ht="18" customHeight="1">
      <c r="A82" s="97" t="s">
        <v>227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228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313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224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225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226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225</v>
      </c>
      <c r="O108" s="39">
        <v>558590</v>
      </c>
    </row>
    <row r="109" spans="1:15" ht="18" customHeight="1">
      <c r="A109" s="97" t="s">
        <v>227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228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314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224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225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315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222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316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222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0.9607533564849291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226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1.1600589120404847</v>
      </c>
      <c r="N135" s="36" t="s">
        <v>225</v>
      </c>
      <c r="O135" s="39">
        <v>729290</v>
      </c>
    </row>
    <row r="136" spans="1:18" ht="18" customHeight="1">
      <c r="A136" s="97" t="s">
        <v>227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1.5274200231515958</v>
      </c>
      <c r="N136" s="40" t="s">
        <v>228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222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317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224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225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226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225</v>
      </c>
      <c r="O162" s="39">
        <v>697320</v>
      </c>
    </row>
    <row r="163" spans="1:15" ht="18" customHeight="1">
      <c r="A163" s="97" t="s">
        <v>227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228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248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248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224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225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248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248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226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225</v>
      </c>
      <c r="O189" s="39">
        <v>973580</v>
      </c>
    </row>
    <row r="190" spans="1:15" ht="18" customHeight="1">
      <c r="A190" s="97" t="s">
        <v>227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228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248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248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320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248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321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224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225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322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226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225</v>
      </c>
      <c r="O216" s="45">
        <v>1060630</v>
      </c>
    </row>
    <row r="217" spans="1:15" ht="18" customHeight="1">
      <c r="A217" s="97" t="s">
        <v>227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228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323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324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248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248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325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224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225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326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248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226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225</v>
      </c>
      <c r="O243" s="39">
        <v>982340</v>
      </c>
    </row>
    <row r="244" spans="1:15" ht="18" customHeight="1">
      <c r="A244" s="97" t="s">
        <v>227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228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327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248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248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224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225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248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226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225</v>
      </c>
      <c r="O270" s="39">
        <v>1208450</v>
      </c>
    </row>
    <row r="271" spans="1:15" ht="18" customHeight="1">
      <c r="A271" s="97" t="s">
        <v>227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228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248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224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225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248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226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225</v>
      </c>
      <c r="O297" s="39">
        <v>1049090</v>
      </c>
    </row>
    <row r="298" spans="1:15" ht="18" customHeight="1">
      <c r="A298" s="97" t="s">
        <v>227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228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328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248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224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225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248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257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248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248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226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225</v>
      </c>
      <c r="O324" s="39">
        <v>1063720</v>
      </c>
    </row>
    <row r="325" spans="1:15" ht="18" customHeight="1">
      <c r="A325" s="97" t="s">
        <v>227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228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248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287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224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225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248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248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330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226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225</v>
      </c>
      <c r="O351" s="39">
        <v>696140</v>
      </c>
    </row>
    <row r="352" spans="1:15" ht="18" customHeight="1">
      <c r="A352" s="97" t="s">
        <v>227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228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248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224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225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331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226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225</v>
      </c>
      <c r="O378" s="39">
        <v>704750</v>
      </c>
    </row>
    <row r="379" spans="1:15" ht="18" customHeight="1">
      <c r="A379" s="97" t="s">
        <v>227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228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332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319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248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224</v>
      </c>
      <c r="B392" s="95"/>
      <c r="C392" s="95"/>
      <c r="D392" s="95"/>
      <c r="E392" s="96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225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248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333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248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248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334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226</v>
      </c>
      <c r="B405" s="95"/>
      <c r="C405" s="95"/>
      <c r="D405" s="95"/>
      <c r="E405" s="96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225</v>
      </c>
      <c r="O405" s="39">
        <v>958130</v>
      </c>
    </row>
    <row r="406" spans="1:15" ht="18" customHeight="1">
      <c r="A406" s="97" t="s">
        <v>227</v>
      </c>
      <c r="B406" s="98"/>
      <c r="C406" s="98"/>
      <c r="D406" s="98"/>
      <c r="E406" s="99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228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248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224</v>
      </c>
      <c r="B419" s="95"/>
      <c r="C419" s="95"/>
      <c r="D419" s="95"/>
      <c r="E419" s="96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225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248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248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248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248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248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248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335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248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0.20555555555555555</v>
      </c>
      <c r="L426" s="29"/>
      <c r="M426" s="30">
        <f t="shared" ca="1" si="94"/>
        <v>4.5033564820187166E-3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248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248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248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226</v>
      </c>
      <c r="B432" s="95"/>
      <c r="C432" s="95"/>
      <c r="D432" s="95"/>
      <c r="E432" s="96">
        <f>SUM(E420:E431)</f>
        <v>0</v>
      </c>
      <c r="F432" s="36">
        <f>SUM(F420:F431)</f>
        <v>105</v>
      </c>
      <c r="G432" s="36">
        <f>SUM(G420:G431)</f>
        <v>441</v>
      </c>
      <c r="H432" s="37"/>
      <c r="I432" s="37"/>
      <c r="J432" s="37"/>
      <c r="K432" s="61"/>
      <c r="L432" s="61"/>
      <c r="M432" s="38">
        <f ca="1">IFERROR(SUM(M420:M431),"")</f>
        <v>0.20450335648201878</v>
      </c>
      <c r="N432" s="36" t="s">
        <v>225</v>
      </c>
      <c r="O432" s="39"/>
    </row>
    <row r="433" spans="1:17" ht="18" customHeight="1">
      <c r="A433" s="97" t="s">
        <v>227</v>
      </c>
      <c r="B433" s="98"/>
      <c r="C433" s="98"/>
      <c r="D433" s="98"/>
      <c r="E433" s="99">
        <f>E419+E432</f>
        <v>0</v>
      </c>
      <c r="F433" s="40">
        <f>F419+F432</f>
        <v>219</v>
      </c>
      <c r="G433" s="40">
        <f>G419+G432</f>
        <v>923</v>
      </c>
      <c r="H433" s="41"/>
      <c r="I433" s="41"/>
      <c r="J433" s="41"/>
      <c r="K433" s="63"/>
      <c r="L433" s="63"/>
      <c r="M433" s="42">
        <f ca="1">IFERROR(M419+M432,"")</f>
        <v>0.43853113425979656</v>
      </c>
      <c r="N433" s="40" t="s">
        <v>228</v>
      </c>
      <c r="O433" s="48">
        <f>IFERROR(O419+O432,"")</f>
        <v>491520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224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225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226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225</v>
      </c>
      <c r="O459" s="39"/>
    </row>
    <row r="460" spans="1:15" ht="18" customHeight="1">
      <c r="A460" s="97" t="s">
        <v>227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224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226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225</v>
      </c>
      <c r="O486" s="39"/>
    </row>
    <row r="487" spans="1:15" ht="18" customHeight="1">
      <c r="A487" s="97" t="s">
        <v>227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224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226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225</v>
      </c>
      <c r="O513" s="39"/>
    </row>
    <row r="514" spans="1:15" ht="18" customHeight="1">
      <c r="A514" s="97" t="s">
        <v>227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224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226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225</v>
      </c>
      <c r="O540" s="39"/>
    </row>
    <row r="541" spans="1:15" ht="18" customHeight="1">
      <c r="A541" s="97" t="s">
        <v>227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224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226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225</v>
      </c>
      <c r="O567" s="39"/>
    </row>
    <row r="568" spans="1:15" ht="18" customHeight="1">
      <c r="A568" s="97" t="s">
        <v>227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224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226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225</v>
      </c>
      <c r="O594" s="39"/>
    </row>
    <row r="595" spans="1:15" ht="18" customHeight="1">
      <c r="A595" s="97" t="s">
        <v>227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224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226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225</v>
      </c>
      <c r="O621" s="39"/>
    </row>
    <row r="622" spans="1:15" ht="18" customHeight="1">
      <c r="A622" s="97" t="s">
        <v>227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224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226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225</v>
      </c>
      <c r="O648" s="39"/>
    </row>
    <row r="649" spans="1:15" ht="18" customHeight="1">
      <c r="A649" s="97" t="s">
        <v>227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224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226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225</v>
      </c>
      <c r="O675" s="39"/>
    </row>
    <row r="676" spans="1:15" ht="18" customHeight="1">
      <c r="A676" s="97" t="s">
        <v>227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224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226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225</v>
      </c>
      <c r="O702" s="39"/>
    </row>
    <row r="703" spans="1:15" ht="18" customHeight="1">
      <c r="A703" s="97" t="s">
        <v>227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224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226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225</v>
      </c>
      <c r="O729" s="39"/>
    </row>
    <row r="730" spans="1:15" ht="18" customHeight="1">
      <c r="A730" s="97" t="s">
        <v>227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224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226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225</v>
      </c>
      <c r="O756" s="39"/>
    </row>
    <row r="757" spans="1:15" ht="18" customHeight="1">
      <c r="A757" s="97" t="s">
        <v>227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224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226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225</v>
      </c>
      <c r="O783" s="39"/>
    </row>
    <row r="784" spans="1:15" ht="18" customHeight="1">
      <c r="A784" s="97" t="s">
        <v>227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224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226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225</v>
      </c>
      <c r="O810" s="39"/>
    </row>
    <row r="811" spans="1:15" ht="18" customHeight="1">
      <c r="A811" s="97" t="s">
        <v>227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228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2026-07-17T09:02:35Z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