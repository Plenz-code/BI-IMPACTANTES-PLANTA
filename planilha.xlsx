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422" documentId="8_{AF585B22-221D-4780-BB9C-493D365A6A02}" xr6:coauthVersionLast="47" xr6:coauthVersionMax="47" xr10:uidLastSave="{584C6A93-A3D7-4D22-9399-577772BFA5F0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<sst xmlns="http://schemas.openxmlformats.org/spreadsheetml/2006/main" count="6542" uniqueCount="327">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</sst>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1576070</v>
      </c>
      <c r="D18" s="8">
        <f>IFERROR('Linha 1'!O406,"")</f>
        <v>281950</v>
      </c>
      <c r="E18" s="8">
        <f>IFERROR('Linha 2'!O406,"")</f>
        <v>399940</v>
      </c>
      <c r="F18" s="8">
        <f>IFERROR('Linha 3'!O406,"")</f>
        <v>565570</v>
      </c>
      <c r="G18" s="9">
        <f t="shared" si="0"/>
        <v>1247460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43719092</v>
      </c>
      <c r="D35" s="13">
        <f>IFERROR(SUM(D4:D34),"")</f>
        <v>16028150</v>
      </c>
      <c r="E35" s="13">
        <f>IFERROR(SUM(E4:E34),"")</f>
        <v>10699830</v>
      </c>
      <c r="F35" s="13">
        <f>IFERROR(SUM(F4:F34),"")</f>
        <v>19982890</v>
      </c>
      <c r="G35" s="13">
        <f>IFERROR(SUM(G4:G34),"")</f>
        <v>46710870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90" activePane="bottomLeft" state="frozen"/>
      <selection pane="bottomLeft" activeCell="J394" sqref="J39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/>
      <c r="I394" s="26"/>
      <c r="J394" s="26" t="s">
        <v>25</v>
      </c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134</v>
      </c>
      <c r="G405" s="36">
        <f>SUM(G393:G404)</f>
        <v>670</v>
      </c>
      <c r="H405" s="37"/>
      <c r="I405" s="37"/>
      <c r="J405" s="37"/>
      <c r="K405" s="37"/>
      <c r="L405" s="37"/>
      <c r="M405" s="38">
        <f ca="1">IFERROR(SUM(M393:M404),"")</f>
        <v>8.3333333333333037E-3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394</v>
      </c>
      <c r="G406" s="40">
        <f>G392+G405</f>
        <v>1970</v>
      </c>
      <c r="H406" s="41"/>
      <c r="I406" s="41"/>
      <c r="J406" s="41"/>
      <c r="K406" s="41"/>
      <c r="L406" s="41"/>
      <c r="M406" s="42">
        <f ca="1">IFERROR(M392+M405,"")</f>
        <v>0.12361111111111106</v>
      </c>
      <c r="N406" s="40" t="s">
        <v>226</v>
      </c>
      <c r="O406" s="48">
        <f>IFERROR(O392+O405,"")</f>
        <v>1576070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87" activePane="bottomLeft" state="frozen"/>
      <selection pane="bottomLeft" activeCell="F400" sqref="F40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0.88330277777276933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1.0409416666616582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1.1506638888838805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10</v>
      </c>
      <c r="G397" s="34">
        <f t="shared" si="87"/>
        <v>42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86</v>
      </c>
      <c r="G405" s="36">
        <f>SUM(G393:G404)</f>
        <v>361.2</v>
      </c>
      <c r="H405" s="37"/>
      <c r="I405" s="37"/>
      <c r="J405" s="37"/>
      <c r="K405" s="37"/>
      <c r="L405" s="37"/>
      <c r="M405" s="38">
        <f ca="1">IFERROR(SUM(M393:M404),"")</f>
        <v>0.14722222222222225</v>
      </c>
      <c r="N405" s="36" t="s">
        <v>223</v>
      </c>
      <c r="O405" s="78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160</v>
      </c>
      <c r="G406" s="40">
        <f>G392+G405</f>
        <v>672</v>
      </c>
      <c r="H406" s="41"/>
      <c r="I406" s="41"/>
      <c r="J406" s="41"/>
      <c r="K406" s="41"/>
      <c r="L406" s="41"/>
      <c r="M406" s="42">
        <f ca="1">IFERROR(M392+M405,"")</f>
        <v>0.48749999999999999</v>
      </c>
      <c r="N406" s="40" t="s">
        <v>226</v>
      </c>
      <c r="O406" s="84">
        <f>IFERROR(O392+O405,"")</f>
        <v>281950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8" zoomScale="50" zoomScaleNormal="50" workbookViewId="0">
      <selection activeCell="F400" sqref="F40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256</v>
      </c>
      <c r="K141" s="29">
        <v>0.71597222222222223</v>
      </c>
      <c r="L141" s="29" t="s">
        <v>283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285</v>
      </c>
      <c r="N166" s="27" t="s">
        <v>286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58</v>
      </c>
      <c r="G405" s="36">
        <f>SUM(G393:G404)</f>
        <v>253.20000000000002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153</v>
      </c>
      <c r="G406" s="40">
        <f>G392+G405</f>
        <v>652.20000000000005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399940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88" activePane="bottomLeft" state="frozen"/>
      <selection pane="bottomLeft" activeCell="H398" sqref="H39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300</v>
      </c>
      <c r="L58" s="29">
        <v>0.54097222222222219</v>
      </c>
      <c r="M58" s="30" t="str">
        <f t="shared" ca="1" si="13"/>
        <v/>
      </c>
      <c r="N58" s="27" t="s">
        <v>301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0.87358055555523606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1.0728861111107917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1.4402472222219027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>
        <v>15</v>
      </c>
      <c r="G398" s="28">
        <f t="shared" si="87"/>
        <v>63</v>
      </c>
      <c r="H398" s="26" t="s">
        <v>16</v>
      </c>
      <c r="I398" s="26" t="s">
        <v>31</v>
      </c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>
        <v>10</v>
      </c>
      <c r="G399" s="34">
        <f t="shared" si="87"/>
        <v>42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100</v>
      </c>
      <c r="G405" s="36">
        <f>SUM(G393:G404)</f>
        <v>440</v>
      </c>
      <c r="H405" s="37"/>
      <c r="I405" s="37"/>
      <c r="J405" s="37"/>
      <c r="K405" s="61"/>
      <c r="L405" s="61"/>
      <c r="M405" s="38">
        <f ca="1">IFERROR(SUM(M393:M404),"")</f>
        <v>9.1666666666666827E-2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243</v>
      </c>
      <c r="G406" s="40">
        <f>G392+G405</f>
        <v>1040.5999999999999</v>
      </c>
      <c r="H406" s="41"/>
      <c r="I406" s="41"/>
      <c r="J406" s="41"/>
      <c r="K406" s="63"/>
      <c r="L406" s="63"/>
      <c r="M406" s="42">
        <f ca="1">IFERROR(M392+M405,"")</f>
        <v>0.2743055555555558</v>
      </c>
      <c r="N406" s="40" t="s">
        <v>226</v>
      </c>
      <c r="O406" s="48">
        <f>IFERROR(O392+O405,"")</f>
        <v>565570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2026-07-16T06:57:29Z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