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8222" documentId="8_{1D11E9C4-FEA4-4128-910F-91CB6BBF9255}" xr6:coauthVersionLast="47" xr6:coauthVersionMax="47" xr10:uidLastSave="{E06923E0-5C1B-46DE-B4B1-D9B57B950B55}"/>
  <bookViews>
    <workbookView xWindow="-110" yWindow="-110" windowWidth="25820" windowHeight="15500" tabRatio="500" firstSheet="2" activeTab="4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75" i="5" l="1"/>
  <c r="F773" i="2"/>
  <c r="F772" i="3"/>
  <c r="F747" i="5"/>
  <c r="L744" i="3"/>
  <c r="L745" i="3"/>
  <c r="L746" i="3"/>
  <c r="L747" i="3"/>
  <c r="L748" i="3"/>
  <c r="L749" i="3"/>
  <c r="L750" i="3"/>
  <c r="L751" i="3"/>
  <c r="L752" i="3"/>
  <c r="L753" i="3"/>
  <c r="L754" i="3"/>
  <c r="F726" i="5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F754" i="3"/>
  <c r="F753" i="3"/>
  <c r="F752" i="3"/>
  <c r="F751" i="3"/>
  <c r="F750" i="3"/>
  <c r="F749" i="3"/>
  <c r="F748" i="3"/>
  <c r="F747" i="3"/>
  <c r="F746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G34" i="6" l="1"/>
  <c r="F109" i="2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<sst xmlns="http://schemas.openxmlformats.org/spreadsheetml/2006/main" count="8513" uniqueCount="376">
  <si>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</si>
  <si>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</si>
  <si>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</si>
  <si>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</si>
  <si>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</si>
  <si>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</si>
  <si>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</si>
  <si>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</si>
  <si>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</si>
  <si>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</si>
  <si>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</si>
  <si>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</si>
  <si>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</si>
  <si>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</si>
  <si>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</si>
  <si>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</si>
  <si>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</si>
  <si>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</si>
  <si>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</si>
  <si>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</si>
  <si>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</si>
  <si>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</si>
  <si>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</si>
  <si>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</si>
  <si>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</si>
  <si>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</si>
  <si>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</si>
  <si>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</si>
  <si>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</si>
  <si>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</si>
  <si>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</si>
  <si>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</si>
  <si>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</si>
  <si>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</si>
  <si>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</si>
  <si>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</si>
  <si>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</si>
  <si>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</si>
  <si>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</si>
  <si>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</si>
  <si>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</si>
  <si>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</si>
  <si>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</si>
  <si>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</si>
  <si>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</si>
  <si>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</si>
  <si>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</si>
  <si>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</si>
  <si>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</si>
  <si>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</si>
  <si>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</si>
  <si>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</si>
  <si>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</si>
  <si>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</si>
  <si>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</si>
  <si>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</si>
  <si>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</si>
  <si>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</si>
  <si>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</si>
  <si>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</si>
  <si>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</si>
  <si>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</si>
  <si>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</si>
  <si>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</si>
  <si>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</si>
  <si>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</si>
  <si>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</si>
  <si>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</si>
  <si>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</si>
  <si>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</si>
  <si>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</si>
  <si>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</si>
  <si>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</si>
  <si>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</si>
  <si>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</si>
  <si>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</si>
  <si>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</si>
  <si>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</si>
  <si>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</si>
  <si>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</si>
  <si>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</si>
  <si>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</si>
  <si>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</si>
  <si>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</si>
  <si>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</si>
  <si>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</si>
  <si>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</si>
  <si>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</si>
  <si>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</si>
  <si>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</si>
  <si>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</si>
  <si>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</si>
  <si>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</si>
  <si>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</si>
  <si>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</si>
  <si>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</si>
  <si>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</si>
  <si>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</si>
  <si>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</si>
  <si>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</si>
  <si>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</si>
  <si>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</si>
  <si>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</si>
  <si>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</si>
  <si>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</si>
  <si>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</si>
  <si>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</si>
  <si>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</si>
  <si>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</si>
  <si>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</si>
  <si>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arrenbentou as correia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</si>
  <si>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</si>
  <si>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</si>
  <si>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</si>
  <si>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</si>
  <si>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</si>
  <si>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</si>
  <si>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</si>
  <si>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</si>
  <si>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</si>
  <si>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</si>
  <si>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</si>
  <si>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</si>
  <si>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</si>
  <si>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</si>
  <si>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</si>
  <si>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</si>
  <si>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</si>
  <si>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</si>
  <si>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</si>
  <si>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</si>
  <si>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</si>
  <si>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</si>
  <si>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</si>
  <si>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</si>
  <si>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</si>
  <si>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</si>
  <si>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</si>
  <si>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</si>
  <si>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</si>
  <si>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</si>
  <si>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</si>
  <si>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</si>
  <si>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</si>
  <si>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</si>
  <si>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</si>
  <si>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</si>
  <si>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</si>
  <si>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</si>
  <si>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</si>
  <si>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</si>
  <si>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</si>
  <si>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</si>
  <si>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</si>
  <si>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</si>
  <si>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</si>
  <si>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</si>
  <si>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</si>
  <si>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</si>
  <si>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</si>
  <si>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</si>
  <si>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</si>
  <si>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</si>
  <si>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</si>
  <si>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</si>
  <si>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</si>
  <si>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</si>
  <si>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</si>
  <si>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</si>
  <si>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</si>
  <si>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</si>
  <si>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</si>
  <si>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</si>
  <si>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</si>
  <si>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Material atrapalhando a troca do componente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</si>
  <si>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</si>
  <si>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</si>
  <si>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</si>
  <si>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</si>
  <si>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</si>
  <si>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Colocamento da trava da tampa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</si>
  <si>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</si>
  <si>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</si>
  <si>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</si>
  <si>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</si>
  <si>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</si>
  <si>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</si>
  <si>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</si>
  <si>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</si>
  <si>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</si>
  <si>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</si>
  <si>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</si>
  <si>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</si>
  <si>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</si>
  <si>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</si>
  <si>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</si>
  <si>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</si>
  <si>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</si>
  <si>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</si>
  <si>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</si>
  <si>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</si>
  <si>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</si>
  <si>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</si>
  <si>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</si>
  <si>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</si>
  <si>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</si>
  <si>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</si>
  <si>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</si>
  <si>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</si>
  <si>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</si>
  <si>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</si>
  <si>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</si>
  <si>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</si>
  <si>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</si>
  <si>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</si>
  <si>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</si>
  <si>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</si>
  <si>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</si>
  <si>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</si>
  <si>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</si>
  <si>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</si>
  <si>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</si>
  <si>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</si>
  <si>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</si>
  <si>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</si>
  <si>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</si>
  <si>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</si>
  <si>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</si>
  <si>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</si>
  <si>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</si>
  <si>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colocamento da trava da tampa</t>
  </si>
  <si>
    <t>engraxamento nos mancais e solda nos mancais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</si>
  <si>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</si>
  <si>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</si>
  <si>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</si>
  <si>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</si>
  <si>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</si>
  <si>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</si>
  <si>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</si>
  <si>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</si>
  <si>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</si>
  <si>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</si>
  <si>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</si>
  <si>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</si>
  <si>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</si>
  <si>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</si>
  <si>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</si>
  <si>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</si>
  <si>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</si>
  <si>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</si>
  <si>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</si>
  <si>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</si>
  <si>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</si>
  <si>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</si>
  <si>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</si>
  <si>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</si>
  <si>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</si>
  <si>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</si>
  <si>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</si>
  <si>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</si>
  <si>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</si>
  <si>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</si>
  <si>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</si>
  <si>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</si>
  <si>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</si>
  <si>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</si>
  <si>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</si>
  <si>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</si>
  <si>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</si>
  <si>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</si>
  <si>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</si>
  <si>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</si>
  <si>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</si>
  <si>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</si>
  <si>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</si>
  <si>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</si>
  <si>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</si>
  <si>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</si>
  <si>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</si>
  <si>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</si>
  <si>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</si>
  <si>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</si>
  <si>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</si>
  <si>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</si>
  <si>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</si>
  <si>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</si>
  <si>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</si>
  <si>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</si>
  <si>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</si>
  <si>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</si>
  <si>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</si>
  <si>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</si>
  <si>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</si>
  <si>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</si>
  <si>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</si>
  <si>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</si>
  <si>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</si>
  <si>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</si>
  <si>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</si>
  <si>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</si>
  <si>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</si>
  <si>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</si>
  <si>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</si>
  <si>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 xml:space="preserve">falha ao partir </t>
  </si>
  <si>
    <t>troca de rolamento do moinho 01, operando apenas moinho 02</t>
  </si>
  <si>
    <t>troca de rolamento mm1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</si>
  <si>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</si>
  <si>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</si>
  <si>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</si>
  <si>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</si>
  <si>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</si>
  <si>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</si>
  <si>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</si>
  <si>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</si>
  <si>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</si>
  <si>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</si>
  <si>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</si>
  <si>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</si>
  <si>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</si>
  <si>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</si>
  <si>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</si>
  <si>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</si>
  <si>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</si>
  <si>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ao ligar moinho 3 desarma o moinho 5</t>
  </si>
  <si>
    <t>troca de martelo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</si>
  <si>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</si>
  <si>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</si>
  <si>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</si>
  <si>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</si>
  <si>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</si>
  <si>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</si>
  <si>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</si>
  <si>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</si>
  <si>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</si>
  <si>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</si>
  <si>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</si>
  <si>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</si>
  <si>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</si>
  <si>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</si>
  <si>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</si>
  <si>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</si>
  <si>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</si>
  <si>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</si>
  <si>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</si>
  <si>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</si>
  <si>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</si>
  <si>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</si>
  <si>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</si>
  <si>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</si>
  <si>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</si>
  <si>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</si>
  <si>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</si>
  <si>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</si>
  <si>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</si>
  <si>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</si>
  <si>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</si>
  <si>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</si>
  <si>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</si>
  <si>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</si>
  <si>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</si>
  <si>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</si>
  <si>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</si>
  <si>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</si>
  <si>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</si>
  <si>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</si>
  <si>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</si>
  <si>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</si>
  <si>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</si>
  <si>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</si>
  <si>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</si>
  <si>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</si>
  <si>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</si>
  <si>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</si>
  <si>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</si>
  <si>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</si>
  <si>
    <t>troca de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</si>
</sst>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19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9" t="s">
        <v>0</v>
      </c>
      <c r="B1" s="99"/>
      <c r="C1" s="99"/>
      <c r="D1" s="99"/>
      <c r="E1" s="99"/>
      <c r="F1" s="99"/>
      <c r="G1" s="99"/>
    </row>
    <row r="2" spans="1:7" ht="25.35" customHeight="1">
      <c r="A2" s="100"/>
      <c r="B2" s="100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2856080</v>
      </c>
      <c r="D31" s="53">
        <f>IFERROR('Linha 1'!N757,"")</f>
        <v>807120</v>
      </c>
      <c r="E31" s="53">
        <f>IFERROR('Linha 2'!N757,"")</f>
        <v>446080</v>
      </c>
      <c r="F31" s="53">
        <f>IFERROR('Linha 3'!N757,"")</f>
        <v>1473290</v>
      </c>
      <c r="G31" s="54">
        <f t="shared" si="0"/>
        <v>2726490</v>
      </c>
    </row>
    <row r="32" spans="1:7" ht="15.75" customHeight="1">
      <c r="A32" s="47">
        <v>29</v>
      </c>
      <c r="B32" s="48">
        <v>46202</v>
      </c>
      <c r="C32" s="49">
        <f>IFERROR(Britador!N784,"")</f>
        <v>2664350</v>
      </c>
      <c r="D32" s="49">
        <f>IFERROR('Linha 1'!N784,"")</f>
        <v>911560</v>
      </c>
      <c r="E32" s="49">
        <f>IFERROR('Linha 2'!N784,"")</f>
        <v>574310</v>
      </c>
      <c r="F32" s="49">
        <f>IFERROR('Linha 3'!N784,"")</f>
        <v>2087820</v>
      </c>
      <c r="G32" s="50">
        <f t="shared" si="0"/>
        <v>3573690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1" t="s">
        <v>9</v>
      </c>
      <c r="B34" s="101"/>
      <c r="C34" s="55">
        <f t="shared" ref="C34:G34" si="1">IFERROR(SUM(C4:C33),"")</f>
        <v>51466260</v>
      </c>
      <c r="D34" s="55">
        <f t="shared" si="1"/>
        <v>25109180</v>
      </c>
      <c r="E34" s="55">
        <f t="shared" si="1"/>
        <v>10231760</v>
      </c>
      <c r="F34" s="55">
        <f t="shared" si="1"/>
        <v>29902565</v>
      </c>
      <c r="G34" s="55">
        <f>IFERROR(SUM(G4:G33),"")</f>
        <v>65243505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1" zoomScale="85" zoomScaleNormal="85" workbookViewId="0">
      <selection activeCell="M46" sqref="M4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2" t="s">
        <v>10</v>
      </c>
      <c r="B1" s="102"/>
      <c r="C1" s="102"/>
      <c r="D1" s="102"/>
      <c r="E1" s="102"/>
      <c r="F1" s="102"/>
      <c r="G1" s="102"/>
      <c r="H1" s="103"/>
      <c r="I1" s="104" t="s">
        <v>11</v>
      </c>
      <c r="J1" s="104"/>
      <c r="K1" s="104"/>
      <c r="L1" s="104"/>
      <c r="M1" s="104"/>
    </row>
    <row r="2" spans="1:13" ht="4.5" customHeight="1">
      <c r="H2" s="103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3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3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3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3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3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3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3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3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3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3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3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3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3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3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3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3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3"/>
      <c r="I19" s="4"/>
      <c r="J19" s="4"/>
      <c r="K19" s="4" t="s">
        <v>109</v>
      </c>
      <c r="L19" s="4" t="s">
        <v>110</v>
      </c>
      <c r="M19" s="4" t="s">
        <v>111</v>
      </c>
    </row>
    <row r="20" spans="1:13" ht="15.75" customHeight="1">
      <c r="A20" s="3"/>
      <c r="C20" s="3"/>
      <c r="E20" s="3"/>
      <c r="G20" s="3" t="s">
        <v>112</v>
      </c>
      <c r="H20" s="103"/>
      <c r="I20" s="3"/>
      <c r="J20" s="3"/>
      <c r="K20" s="3" t="s">
        <v>113</v>
      </c>
      <c r="L20" s="3"/>
      <c r="M20" s="3" t="s">
        <v>114</v>
      </c>
    </row>
    <row r="21" spans="1:13" ht="15.75" customHeight="1">
      <c r="A21" s="4"/>
      <c r="C21" s="4"/>
      <c r="E21" s="4"/>
      <c r="G21" s="4" t="s">
        <v>115</v>
      </c>
      <c r="H21" s="103"/>
      <c r="I21" s="4"/>
      <c r="J21" s="4"/>
      <c r="K21" s="4" t="s">
        <v>116</v>
      </c>
      <c r="L21" s="4"/>
      <c r="M21" s="4" t="s">
        <v>117</v>
      </c>
    </row>
    <row r="22" spans="1:13" ht="15.75" customHeight="1">
      <c r="A22" s="3"/>
      <c r="C22" s="3"/>
      <c r="E22" s="3"/>
      <c r="G22" s="3" t="s">
        <v>118</v>
      </c>
      <c r="H22" s="103"/>
      <c r="I22" s="3"/>
      <c r="J22" s="3"/>
      <c r="K22" s="3" t="s">
        <v>119</v>
      </c>
      <c r="L22" s="3"/>
      <c r="M22" s="3" t="s">
        <v>120</v>
      </c>
    </row>
    <row r="23" spans="1:13" ht="15.75" customHeight="1">
      <c r="A23" s="4"/>
      <c r="C23" s="4"/>
      <c r="E23" s="4"/>
      <c r="G23" s="4" t="s">
        <v>121</v>
      </c>
      <c r="H23" s="103"/>
      <c r="I23" s="4"/>
      <c r="J23" s="4"/>
      <c r="K23" s="4" t="s">
        <v>122</v>
      </c>
      <c r="L23" s="4"/>
      <c r="M23" s="4" t="s">
        <v>123</v>
      </c>
    </row>
    <row r="24" spans="1:13" ht="15.75" customHeight="1">
      <c r="A24" s="3"/>
      <c r="C24" s="3"/>
      <c r="E24" s="3"/>
      <c r="G24" s="3" t="s">
        <v>124</v>
      </c>
      <c r="H24" s="103"/>
      <c r="I24" s="3"/>
      <c r="J24" s="3"/>
      <c r="K24" s="3" t="s">
        <v>125</v>
      </c>
      <c r="L24" s="3"/>
      <c r="M24" s="3" t="s">
        <v>126</v>
      </c>
    </row>
    <row r="25" spans="1:13" ht="15.75" customHeight="1">
      <c r="A25" s="4"/>
      <c r="C25" s="4"/>
      <c r="E25" s="4"/>
      <c r="G25" s="4" t="s">
        <v>127</v>
      </c>
      <c r="H25" s="103"/>
      <c r="I25" s="4"/>
      <c r="J25" s="4"/>
      <c r="K25" s="4" t="s">
        <v>128</v>
      </c>
      <c r="L25" s="4"/>
      <c r="M25" s="4" t="s">
        <v>129</v>
      </c>
    </row>
    <row r="26" spans="1:13" ht="15.75" customHeight="1">
      <c r="A26" s="3"/>
      <c r="C26" s="3"/>
      <c r="E26" s="3"/>
      <c r="G26" s="3" t="s">
        <v>130</v>
      </c>
      <c r="H26" s="103"/>
      <c r="I26" s="3"/>
      <c r="J26" s="3"/>
      <c r="K26" s="3" t="s">
        <v>131</v>
      </c>
      <c r="L26" s="3"/>
      <c r="M26" s="3"/>
    </row>
    <row r="27" spans="1:13" ht="15.75" customHeight="1">
      <c r="A27" s="4"/>
      <c r="C27" s="4"/>
      <c r="E27" s="4"/>
      <c r="G27" s="4" t="s">
        <v>132</v>
      </c>
      <c r="H27" s="103"/>
      <c r="I27" s="4"/>
      <c r="J27" s="4"/>
      <c r="K27" s="4" t="s">
        <v>123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133</v>
      </c>
      <c r="H28" s="103"/>
      <c r="I28" s="3"/>
      <c r="J28" s="3"/>
      <c r="K28" s="3" t="s">
        <v>126</v>
      </c>
      <c r="L28" s="3"/>
      <c r="M28" s="3" t="s">
        <v>134</v>
      </c>
    </row>
    <row r="29" spans="1:13" ht="15.75" customHeight="1">
      <c r="A29" s="4"/>
      <c r="C29" s="4"/>
      <c r="E29" s="4"/>
      <c r="G29" s="4" t="s">
        <v>135</v>
      </c>
      <c r="H29" s="103"/>
      <c r="I29" s="4"/>
      <c r="J29" s="4"/>
      <c r="K29" s="4" t="s">
        <v>136</v>
      </c>
      <c r="L29" s="4"/>
      <c r="M29" s="4" t="s">
        <v>137</v>
      </c>
    </row>
    <row r="30" spans="1:13" ht="15.75" customHeight="1">
      <c r="A30" s="3"/>
      <c r="C30" s="3"/>
      <c r="E30" s="3"/>
      <c r="G30" s="3" t="s">
        <v>138</v>
      </c>
      <c r="H30" s="103"/>
      <c r="I30" s="3"/>
      <c r="J30" s="3"/>
      <c r="K30" s="3" t="s">
        <v>139</v>
      </c>
      <c r="L30" s="3"/>
      <c r="M30" s="3" t="s">
        <v>140</v>
      </c>
    </row>
    <row r="31" spans="1:13" ht="15.75" customHeight="1">
      <c r="A31" s="4"/>
      <c r="C31" s="4"/>
      <c r="E31" s="4"/>
      <c r="G31" s="4" t="s">
        <v>141</v>
      </c>
      <c r="H31" s="103"/>
      <c r="I31" s="4"/>
      <c r="J31" s="4"/>
      <c r="K31" s="5" t="s">
        <v>142</v>
      </c>
      <c r="L31" s="4"/>
      <c r="M31" s="4" t="s">
        <v>143</v>
      </c>
    </row>
    <row r="32" spans="1:13" ht="15.75" customHeight="1">
      <c r="A32" s="3"/>
      <c r="C32" s="3"/>
      <c r="E32" s="3"/>
      <c r="G32" s="3" t="s">
        <v>144</v>
      </c>
      <c r="H32" s="103"/>
      <c r="I32" s="3"/>
      <c r="J32" s="3"/>
      <c r="K32" s="3" t="s">
        <v>145</v>
      </c>
      <c r="L32" s="3"/>
      <c r="M32" t="s">
        <v>146</v>
      </c>
    </row>
    <row r="33" spans="1:13" ht="15.75" customHeight="1">
      <c r="A33" s="4"/>
      <c r="C33" s="4"/>
      <c r="E33" s="4"/>
      <c r="G33" s="4" t="s">
        <v>147</v>
      </c>
      <c r="H33" s="103"/>
      <c r="I33" s="4"/>
      <c r="J33" s="4"/>
      <c r="K33" s="66" t="s">
        <v>148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149</v>
      </c>
      <c r="H34" s="103"/>
      <c r="I34" s="3"/>
      <c r="J34" s="3"/>
      <c r="K34" s="3" t="s">
        <v>79</v>
      </c>
      <c r="L34" s="3"/>
      <c r="M34" s="3" t="s">
        <v>150</v>
      </c>
    </row>
    <row r="35" spans="1:13" ht="15.75" customHeight="1">
      <c r="A35" s="4"/>
      <c r="C35" s="4"/>
      <c r="E35" s="4"/>
      <c r="G35" s="4" t="s">
        <v>151</v>
      </c>
      <c r="H35" s="103"/>
      <c r="I35" s="4"/>
      <c r="J35" s="4"/>
      <c r="K35" s="4" t="s">
        <v>152</v>
      </c>
      <c r="L35" s="4"/>
      <c r="M35" s="4" t="s">
        <v>153</v>
      </c>
    </row>
    <row r="36" spans="1:13" ht="15.75" customHeight="1">
      <c r="A36" s="3"/>
      <c r="C36" s="3"/>
      <c r="E36" s="3"/>
      <c r="G36" s="3" t="s">
        <v>154</v>
      </c>
      <c r="H36" s="103"/>
      <c r="I36" s="3"/>
      <c r="J36" s="3"/>
      <c r="K36" s="3" t="s">
        <v>155</v>
      </c>
      <c r="L36" s="3"/>
      <c r="M36" s="3" t="s">
        <v>156</v>
      </c>
    </row>
    <row r="37" spans="1:13" ht="15.75" customHeight="1">
      <c r="A37" s="4"/>
      <c r="C37" s="4"/>
      <c r="E37" s="4"/>
      <c r="G37" s="4" t="s">
        <v>157</v>
      </c>
      <c r="H37" s="103"/>
      <c r="I37" s="4"/>
      <c r="J37" s="4"/>
      <c r="K37" s="4" t="s">
        <v>158</v>
      </c>
      <c r="L37" s="4"/>
      <c r="M37" s="4" t="s">
        <v>159</v>
      </c>
    </row>
    <row r="38" spans="1:13" ht="15.75" customHeight="1">
      <c r="A38" s="3"/>
      <c r="C38" s="3"/>
      <c r="E38" s="3"/>
      <c r="G38" s="3"/>
      <c r="H38" s="103"/>
      <c r="I38" s="3"/>
      <c r="J38" s="3"/>
      <c r="K38" s="3" t="s">
        <v>160</v>
      </c>
      <c r="L38" s="3"/>
      <c r="M38" s="3" t="s">
        <v>161</v>
      </c>
    </row>
    <row r="39" spans="1:13" ht="15.75" customHeight="1">
      <c r="A39" s="4"/>
      <c r="C39" s="4"/>
      <c r="E39" s="4"/>
      <c r="G39" s="4"/>
      <c r="H39" s="103"/>
      <c r="I39" s="4"/>
      <c r="J39" s="4"/>
      <c r="K39" s="4" t="s">
        <v>162</v>
      </c>
      <c r="L39" s="4"/>
      <c r="M39" s="4" t="s">
        <v>163</v>
      </c>
    </row>
    <row r="40" spans="1:13" ht="15.75" customHeight="1">
      <c r="A40" s="3"/>
      <c r="C40" s="3"/>
      <c r="E40" s="3"/>
      <c r="G40" s="3"/>
      <c r="H40" s="103"/>
      <c r="I40" s="3"/>
      <c r="J40" s="3"/>
      <c r="K40" s="3" t="s">
        <v>164</v>
      </c>
      <c r="L40" s="3"/>
      <c r="M40" s="3" t="s">
        <v>165</v>
      </c>
    </row>
    <row r="41" spans="1:13" ht="15.75" customHeight="1">
      <c r="A41" s="4"/>
      <c r="C41" s="4"/>
      <c r="E41" s="4"/>
      <c r="G41" s="4"/>
      <c r="H41" s="103"/>
      <c r="I41" s="4"/>
      <c r="J41" s="4"/>
      <c r="K41" s="4" t="s">
        <v>166</v>
      </c>
      <c r="L41" s="4"/>
      <c r="M41" s="4" t="s">
        <v>167</v>
      </c>
    </row>
    <row r="42" spans="1:13" ht="15.75" customHeight="1">
      <c r="A42" s="3"/>
      <c r="C42" s="3"/>
      <c r="E42" s="3"/>
      <c r="G42" s="3"/>
      <c r="H42" s="103"/>
      <c r="I42" s="3"/>
      <c r="J42" s="3"/>
      <c r="K42" s="3" t="s">
        <v>168</v>
      </c>
      <c r="L42" s="3"/>
      <c r="M42" s="3" t="s">
        <v>169</v>
      </c>
    </row>
    <row r="43" spans="1:13" ht="15.75" customHeight="1">
      <c r="A43" s="4"/>
      <c r="C43" s="4"/>
      <c r="E43" s="4"/>
      <c r="G43" s="4"/>
      <c r="H43" s="103"/>
      <c r="I43" s="4"/>
      <c r="J43" s="4"/>
      <c r="K43" s="4" t="s">
        <v>170</v>
      </c>
      <c r="L43" s="4"/>
      <c r="M43" s="4" t="s">
        <v>171</v>
      </c>
    </row>
    <row r="44" spans="1:13" ht="15.75" customHeight="1">
      <c r="A44" s="3"/>
      <c r="C44" s="3"/>
      <c r="E44" s="3"/>
      <c r="G44" s="3"/>
      <c r="H44" s="103"/>
      <c r="I44" s="3"/>
      <c r="J44" s="3"/>
      <c r="K44" s="3" t="s">
        <v>172</v>
      </c>
      <c r="L44" s="3"/>
      <c r="M44" s="3" t="s">
        <v>173</v>
      </c>
    </row>
    <row r="45" spans="1:13" ht="15.75" customHeight="1">
      <c r="A45" s="4"/>
      <c r="C45" s="4"/>
      <c r="E45" s="4"/>
      <c r="G45" s="4"/>
      <c r="H45" s="103"/>
      <c r="I45" s="4"/>
      <c r="J45" s="4"/>
      <c r="K45" s="4"/>
      <c r="L45" s="4"/>
      <c r="M45" s="4" t="s">
        <v>174</v>
      </c>
    </row>
    <row r="46" spans="1:13" ht="15.75" customHeight="1">
      <c r="A46" s="3"/>
      <c r="C46" s="3"/>
      <c r="E46" s="3"/>
      <c r="G46" s="3"/>
      <c r="H46" s="103"/>
      <c r="I46" s="3"/>
      <c r="J46" s="3"/>
      <c r="K46" s="3" t="s">
        <v>175</v>
      </c>
      <c r="L46" s="3"/>
      <c r="M46" s="3"/>
    </row>
    <row r="47" spans="1:13" ht="15.75" customHeight="1">
      <c r="A47" s="4"/>
      <c r="C47" s="4"/>
      <c r="E47" s="4"/>
      <c r="G47" s="4"/>
      <c r="H47" s="103"/>
      <c r="I47" s="4"/>
      <c r="J47" s="4"/>
      <c r="K47" s="4" t="s">
        <v>176</v>
      </c>
      <c r="L47" s="4"/>
      <c r="M47" s="4"/>
    </row>
    <row r="48" spans="1:13" ht="15.75" customHeight="1">
      <c r="A48" s="3"/>
      <c r="C48" s="3"/>
      <c r="E48" s="3"/>
      <c r="G48" s="3"/>
      <c r="H48" s="103"/>
      <c r="I48" s="3"/>
      <c r="J48" s="3"/>
      <c r="K48" s="3" t="s">
        <v>177</v>
      </c>
      <c r="L48" s="3"/>
      <c r="M48" s="3"/>
    </row>
    <row r="49" spans="1:13" ht="18" customHeight="1">
      <c r="H49" s="103"/>
      <c r="I49" s="4"/>
      <c r="J49" s="4"/>
      <c r="K49" s="4" t="s">
        <v>178</v>
      </c>
      <c r="L49" s="4"/>
      <c r="M49" s="4"/>
    </row>
    <row r="50" spans="1:13" ht="21" customHeight="1">
      <c r="A50" s="6" t="s">
        <v>179</v>
      </c>
      <c r="B50" s="6"/>
      <c r="C50" s="6"/>
      <c r="D50" s="6"/>
      <c r="E50" s="6"/>
      <c r="F50" s="6"/>
      <c r="G50" s="6"/>
      <c r="H50" s="103"/>
      <c r="I50" s="3"/>
      <c r="J50" s="3"/>
      <c r="K50" s="3" t="s">
        <v>180</v>
      </c>
      <c r="L50" s="3"/>
      <c r="M50" s="3"/>
    </row>
    <row r="51" spans="1:13" ht="24" customHeight="1">
      <c r="H51" s="103"/>
      <c r="I51" s="4"/>
      <c r="J51" s="4"/>
      <c r="K51" s="4"/>
      <c r="L51" s="4"/>
      <c r="M51" s="4"/>
    </row>
    <row r="52" spans="1:13" ht="24" customHeight="1">
      <c r="H52" s="103"/>
      <c r="I52" s="3"/>
      <c r="J52" s="3"/>
      <c r="K52" s="3"/>
      <c r="L52" s="3"/>
      <c r="M52" s="3"/>
    </row>
    <row r="53" spans="1:13" ht="36" customHeight="1">
      <c r="H53" s="103"/>
      <c r="I53" s="4"/>
      <c r="J53" s="4"/>
      <c r="K53" s="4"/>
      <c r="L53" s="4"/>
      <c r="M53" s="4"/>
    </row>
    <row r="54" spans="1:13" ht="15" customHeight="1">
      <c r="H54" s="103"/>
      <c r="I54" s="3"/>
      <c r="J54" s="3"/>
      <c r="K54" s="3"/>
      <c r="L54" s="3"/>
      <c r="M54" s="3"/>
    </row>
    <row r="55" spans="1:13" ht="15" customHeight="1">
      <c r="H55" s="103"/>
      <c r="I55" s="4"/>
      <c r="J55" s="4"/>
      <c r="K55" s="4"/>
      <c r="L55" s="4"/>
      <c r="M55" s="4"/>
    </row>
    <row r="56" spans="1:13" ht="15" customHeight="1">
      <c r="H56" s="103"/>
      <c r="I56" s="3"/>
      <c r="J56" s="3"/>
      <c r="K56" s="3"/>
      <c r="L56" s="3"/>
      <c r="M56" s="3"/>
    </row>
    <row r="57" spans="1:13" ht="15" customHeight="1">
      <c r="H57" s="103"/>
      <c r="I57" s="4"/>
      <c r="J57" s="4"/>
      <c r="K57" s="4"/>
      <c r="L57" s="4"/>
      <c r="M57" s="4"/>
    </row>
    <row r="58" spans="1:13" ht="15" customHeight="1">
      <c r="H58" s="103"/>
      <c r="I58" s="3"/>
      <c r="J58" s="3"/>
      <c r="K58" s="3"/>
      <c r="L58" s="3"/>
      <c r="M58" s="3"/>
    </row>
    <row r="59" spans="1:13" ht="15" customHeight="1">
      <c r="H59" s="103"/>
      <c r="I59" s="4"/>
      <c r="J59" s="4"/>
      <c r="K59" s="4"/>
      <c r="L59" s="4"/>
      <c r="M59" s="4"/>
    </row>
    <row r="60" spans="1:13" ht="15" customHeight="1">
      <c r="H60" s="103"/>
      <c r="I60" s="3"/>
      <c r="J60" s="3"/>
      <c r="K60" s="3"/>
      <c r="L60" s="3"/>
      <c r="M60" s="3"/>
    </row>
    <row r="61" spans="1:13" ht="15" customHeight="1">
      <c r="H61" s="103"/>
      <c r="I61" s="4"/>
      <c r="J61" s="4"/>
      <c r="K61" s="4"/>
      <c r="L61" s="4"/>
      <c r="M61" s="4"/>
    </row>
    <row r="62" spans="1:13" ht="15" customHeight="1">
      <c r="H62" s="103"/>
      <c r="I62" s="3"/>
      <c r="J62" s="3"/>
      <c r="K62" s="3"/>
      <c r="L62" s="3"/>
      <c r="M62" s="3"/>
    </row>
    <row r="63" spans="1:13" ht="15" customHeight="1">
      <c r="H63" s="103"/>
      <c r="I63" s="4"/>
      <c r="J63" s="4"/>
      <c r="K63" s="4"/>
      <c r="L63" s="4"/>
      <c r="M63" s="4"/>
    </row>
    <row r="64" spans="1:13" ht="15" customHeight="1">
      <c r="H64" s="103"/>
      <c r="I64" s="3"/>
      <c r="J64" s="3"/>
      <c r="K64" s="3"/>
      <c r="L64" s="3"/>
      <c r="M64" s="3"/>
    </row>
    <row r="65" spans="8:13" ht="15" customHeight="1">
      <c r="H65" s="103"/>
      <c r="I65" s="4"/>
      <c r="J65" s="4"/>
      <c r="K65" s="4"/>
      <c r="L65" s="4"/>
      <c r="M65" s="4"/>
    </row>
    <row r="66" spans="8:13" ht="15" customHeight="1">
      <c r="H66" s="103"/>
      <c r="I66" s="3"/>
      <c r="J66" s="3"/>
      <c r="K66" s="3"/>
      <c r="L66" s="3"/>
      <c r="M66" s="3"/>
    </row>
    <row r="67" spans="8:13" ht="15" customHeight="1">
      <c r="H67" s="103"/>
      <c r="I67" s="4"/>
      <c r="J67" s="4"/>
      <c r="K67" s="4"/>
      <c r="L67" s="4"/>
      <c r="M67" s="4"/>
    </row>
    <row r="68" spans="8:13" ht="15" customHeight="1">
      <c r="H68" s="103"/>
      <c r="I68" s="3"/>
      <c r="J68" s="3"/>
      <c r="K68" s="3"/>
      <c r="L68" s="3"/>
      <c r="M68" s="3"/>
    </row>
    <row r="69" spans="8:13" ht="15" customHeight="1">
      <c r="H69" s="103"/>
      <c r="I69" s="4"/>
      <c r="J69" s="4"/>
      <c r="K69" s="4"/>
      <c r="L69" s="4"/>
      <c r="M69" s="4"/>
    </row>
    <row r="70" spans="8:13" ht="15" customHeight="1">
      <c r="H70" s="103"/>
      <c r="I70" s="3"/>
      <c r="J70" s="3"/>
      <c r="K70" s="3"/>
      <c r="L70" s="3"/>
      <c r="M70" s="3"/>
    </row>
    <row r="71" spans="8:13" ht="15" customHeight="1">
      <c r="H71" s="103"/>
      <c r="I71" s="4"/>
      <c r="J71" s="4"/>
      <c r="K71" s="4"/>
      <c r="L71" s="4"/>
      <c r="M71" s="4"/>
    </row>
    <row r="72" spans="8:13" ht="15" customHeight="1">
      <c r="H72" s="103"/>
      <c r="I72" s="3"/>
      <c r="J72" s="3"/>
      <c r="K72" s="3"/>
      <c r="L72" s="3"/>
      <c r="M72" s="3"/>
    </row>
    <row r="73" spans="8:13" ht="15" customHeight="1">
      <c r="H73" s="103"/>
      <c r="I73" s="4"/>
      <c r="J73" s="4"/>
      <c r="K73" s="4"/>
      <c r="L73" s="4"/>
      <c r="M73" s="4"/>
    </row>
    <row r="74" spans="8:13" ht="15" customHeight="1">
      <c r="H74" s="103"/>
      <c r="I74" s="3"/>
      <c r="J74" s="3"/>
      <c r="K74" s="3"/>
      <c r="L74" s="3"/>
      <c r="M74" s="3"/>
    </row>
    <row r="75" spans="8:13" ht="15" customHeight="1">
      <c r="H75" s="103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64" activePane="bottomLeft" state="frozen"/>
      <selection pane="bottomLeft" activeCell="E785" sqref="E785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181</v>
      </c>
      <c r="C1" s="8" t="s">
        <v>12</v>
      </c>
      <c r="D1" s="8" t="s">
        <v>13</v>
      </c>
      <c r="E1" s="8" t="s">
        <v>182</v>
      </c>
      <c r="F1" s="8" t="s">
        <v>183</v>
      </c>
      <c r="G1" s="8" t="s">
        <v>14</v>
      </c>
      <c r="H1" s="8" t="s">
        <v>15</v>
      </c>
      <c r="I1" s="8" t="s">
        <v>184</v>
      </c>
      <c r="J1" s="8" t="s">
        <v>185</v>
      </c>
      <c r="K1" s="8" t="s">
        <v>186</v>
      </c>
      <c r="L1" s="69" t="s">
        <v>187</v>
      </c>
      <c r="M1" s="8" t="s">
        <v>188</v>
      </c>
      <c r="N1" s="8" t="s">
        <v>189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190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97" t="s">
        <v>191</v>
      </c>
      <c r="B14" s="97"/>
      <c r="C14" s="97"/>
      <c r="D14" s="97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192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120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120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120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120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120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120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120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120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120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120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120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120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193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192</v>
      </c>
      <c r="N27" s="20">
        <v>0</v>
      </c>
    </row>
    <row r="28" spans="1:14" ht="18" customHeight="1">
      <c r="A28" s="98" t="s">
        <v>194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195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138</v>
      </c>
      <c r="I37" s="16" t="s">
        <v>196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191</v>
      </c>
      <c r="B41" s="97"/>
      <c r="C41" s="97"/>
      <c r="D41" s="97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192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193</v>
      </c>
      <c r="B54" s="97"/>
      <c r="C54" s="97"/>
      <c r="D54" s="97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192</v>
      </c>
      <c r="N54" s="20">
        <v>125660</v>
      </c>
    </row>
    <row r="55" spans="1:14" ht="18" customHeight="1">
      <c r="A55" s="98" t="s">
        <v>194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195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97" t="s">
        <v>191</v>
      </c>
      <c r="B68" s="97"/>
      <c r="C68" s="97"/>
      <c r="D68" s="97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192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97" t="s">
        <v>193</v>
      </c>
      <c r="B81" s="97"/>
      <c r="C81" s="97"/>
      <c r="D81" s="97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192</v>
      </c>
      <c r="N81" s="20">
        <v>580300</v>
      </c>
    </row>
    <row r="82" spans="1:14" ht="18" customHeight="1">
      <c r="A82" s="98" t="s">
        <v>194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195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190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97" t="s">
        <v>191</v>
      </c>
      <c r="B95" s="97"/>
      <c r="C95" s="97"/>
      <c r="D95" s="97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192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197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138</v>
      </c>
      <c r="I104" s="10" t="s">
        <v>196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97" t="s">
        <v>193</v>
      </c>
      <c r="B108" s="97"/>
      <c r="C108" s="97"/>
      <c r="D108" s="97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192</v>
      </c>
      <c r="N108" s="20">
        <v>652520</v>
      </c>
    </row>
    <row r="109" spans="1:14" ht="18" customHeight="1">
      <c r="A109" s="98" t="s">
        <v>194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195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198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97" t="s">
        <v>191</v>
      </c>
      <c r="B122" s="97"/>
      <c r="C122" s="97"/>
      <c r="D122" s="97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192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97" t="s">
        <v>193</v>
      </c>
      <c r="B135" s="97"/>
      <c r="C135" s="97"/>
      <c r="D135" s="97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192</v>
      </c>
      <c r="N135" s="20">
        <v>909050</v>
      </c>
    </row>
    <row r="136" spans="1:14" ht="18" customHeight="1">
      <c r="A136" s="98" t="s">
        <v>194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195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190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97" t="s">
        <v>191</v>
      </c>
      <c r="B149" s="97"/>
      <c r="C149" s="97"/>
      <c r="D149" s="97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192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138</v>
      </c>
      <c r="I150" s="10" t="s">
        <v>126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97" t="s">
        <v>193</v>
      </c>
      <c r="B162" s="97"/>
      <c r="C162" s="97"/>
      <c r="D162" s="97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192</v>
      </c>
      <c r="N162" s="27">
        <v>1048880</v>
      </c>
    </row>
    <row r="163" spans="1:14" ht="18" customHeight="1">
      <c r="A163" s="98" t="s">
        <v>194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195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198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138</v>
      </c>
      <c r="I165" s="16" t="s">
        <v>126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199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97" t="s">
        <v>191</v>
      </c>
      <c r="B176" s="97"/>
      <c r="C176" s="97"/>
      <c r="D176" s="97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192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97" t="s">
        <v>193</v>
      </c>
      <c r="B189" s="97"/>
      <c r="C189" s="97"/>
      <c r="D189" s="97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192</v>
      </c>
      <c r="N189" s="20">
        <v>797540</v>
      </c>
    </row>
    <row r="190" spans="1:14" ht="18" customHeight="1">
      <c r="A190" s="98" t="s">
        <v>194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195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198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200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138</v>
      </c>
      <c r="I192" s="10" t="s">
        <v>126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97" t="s">
        <v>191</v>
      </c>
      <c r="B203" s="97"/>
      <c r="C203" s="97"/>
      <c r="D203" s="97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192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97" t="s">
        <v>193</v>
      </c>
      <c r="B216" s="97"/>
      <c r="C216" s="97"/>
      <c r="D216" s="97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192</v>
      </c>
      <c r="N216" s="28">
        <v>203080</v>
      </c>
    </row>
    <row r="217" spans="1:14" ht="18" customHeight="1">
      <c r="A217" s="98" t="s">
        <v>194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195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97" t="s">
        <v>191</v>
      </c>
      <c r="B230" s="97"/>
      <c r="C230" s="97"/>
      <c r="D230" s="97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192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145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97" t="s">
        <v>193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192</v>
      </c>
      <c r="N243" s="20">
        <v>0</v>
      </c>
    </row>
    <row r="244" spans="1:14" ht="18" customHeight="1">
      <c r="A244" s="98" t="s">
        <v>194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195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145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148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151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97" t="s">
        <v>191</v>
      </c>
      <c r="B257" s="97"/>
      <c r="C257" s="97"/>
      <c r="D257" s="97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192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97" t="s">
        <v>193</v>
      </c>
      <c r="B270" s="97"/>
      <c r="C270" s="97"/>
      <c r="D270" s="97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192</v>
      </c>
      <c r="N270" s="20">
        <f>346400+269080</f>
        <v>615480</v>
      </c>
    </row>
    <row r="271" spans="1:14" ht="18" customHeight="1">
      <c r="A271" s="98" t="s">
        <v>194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195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129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201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97" t="s">
        <v>191</v>
      </c>
      <c r="B284" s="97"/>
      <c r="C284" s="97"/>
      <c r="D284" s="97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192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97" t="s">
        <v>193</v>
      </c>
      <c r="B297" s="97"/>
      <c r="C297" s="97"/>
      <c r="D297" s="97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192</v>
      </c>
      <c r="N297" s="20">
        <f>35160+383610</f>
        <v>418770</v>
      </c>
    </row>
    <row r="298" spans="1:14" ht="18" customHeight="1">
      <c r="A298" s="98" t="s">
        <v>194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195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122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202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97" t="s">
        <v>191</v>
      </c>
      <c r="B311" s="97"/>
      <c r="C311" s="97"/>
      <c r="D311" s="97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192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203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97" t="s">
        <v>193</v>
      </c>
      <c r="B324" s="97"/>
      <c r="C324" s="97"/>
      <c r="D324" s="97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192</v>
      </c>
      <c r="N324" s="20">
        <f>411220+466620</f>
        <v>877840</v>
      </c>
    </row>
    <row r="325" spans="1:14" ht="18" customHeight="1">
      <c r="A325" s="98" t="s">
        <v>194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195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204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97" t="s">
        <v>191</v>
      </c>
      <c r="B338" s="97"/>
      <c r="C338" s="97"/>
      <c r="D338" s="97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192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97" t="s">
        <v>193</v>
      </c>
      <c r="B351" s="97"/>
      <c r="C351" s="97"/>
      <c r="D351" s="97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192</v>
      </c>
      <c r="N351" s="20"/>
    </row>
    <row r="352" spans="1:14" ht="18" customHeight="1">
      <c r="A352" s="98" t="s">
        <v>194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195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138</v>
      </c>
      <c r="I353" s="16" t="s">
        <v>122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205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97" t="s">
        <v>191</v>
      </c>
      <c r="B365" s="97"/>
      <c r="C365" s="97"/>
      <c r="D365" s="97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192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117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206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126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207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97" t="s">
        <v>193</v>
      </c>
      <c r="B378" s="97"/>
      <c r="C378" s="97"/>
      <c r="D378" s="97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192</v>
      </c>
      <c r="N378" s="20">
        <v>1299920</v>
      </c>
    </row>
    <row r="379" spans="1:14" ht="18" customHeight="1">
      <c r="A379" s="98" t="s">
        <v>194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195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134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122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97" t="s">
        <v>191</v>
      </c>
      <c r="B392" s="97"/>
      <c r="C392" s="97"/>
      <c r="D392" s="97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192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137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137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97" t="s">
        <v>193</v>
      </c>
      <c r="B405" s="97"/>
      <c r="C405" s="97"/>
      <c r="D405" s="97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192</v>
      </c>
      <c r="N405" s="20">
        <v>1342790</v>
      </c>
    </row>
    <row r="406" spans="1:14" ht="18" customHeight="1">
      <c r="A406" s="98" t="s">
        <v>194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195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140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126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208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97" t="s">
        <v>191</v>
      </c>
      <c r="B419" s="97"/>
      <c r="C419" s="97"/>
      <c r="D419" s="97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192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137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137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209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97" t="s">
        <v>193</v>
      </c>
      <c r="B432" s="97"/>
      <c r="C432" s="97"/>
      <c r="D432" s="97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192</v>
      </c>
      <c r="N432" s="20">
        <v>963120</v>
      </c>
    </row>
    <row r="433" spans="1:14" ht="18" customHeight="1">
      <c r="A433" s="98" t="s">
        <v>194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195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191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192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137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137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97" t="s">
        <v>193</v>
      </c>
      <c r="B459" s="97"/>
      <c r="C459" s="97"/>
      <c r="D459" s="97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192</v>
      </c>
      <c r="N459" s="20">
        <v>534910</v>
      </c>
    </row>
    <row r="460" spans="1:14" ht="18" customHeight="1">
      <c r="A460" s="98" t="s">
        <v>194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195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210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134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211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97" t="s">
        <v>191</v>
      </c>
      <c r="B473" s="97"/>
      <c r="C473" s="97"/>
      <c r="D473" s="97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192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97" t="s">
        <v>193</v>
      </c>
      <c r="B486" s="97"/>
      <c r="C486" s="97"/>
      <c r="D486" s="97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192</v>
      </c>
      <c r="N486" s="20">
        <v>557170</v>
      </c>
    </row>
    <row r="487" spans="1:14" ht="18" customHeight="1">
      <c r="A487" s="98" t="s">
        <v>194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195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122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97" t="s">
        <v>191</v>
      </c>
      <c r="B500" s="97"/>
      <c r="C500" s="97"/>
      <c r="D500" s="97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192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122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212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97" t="s">
        <v>193</v>
      </c>
      <c r="B513" s="97"/>
      <c r="C513" s="97"/>
      <c r="D513" s="97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192</v>
      </c>
      <c r="N513" s="20">
        <v>701090</v>
      </c>
    </row>
    <row r="514" spans="1:14" ht="18" customHeight="1">
      <c r="A514" s="98" t="s">
        <v>194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195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213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213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214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97" t="s">
        <v>191</v>
      </c>
      <c r="B527" s="97"/>
      <c r="C527" s="97"/>
      <c r="D527" s="97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192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97" t="s">
        <v>193</v>
      </c>
      <c r="B540" s="97"/>
      <c r="C540" s="97"/>
      <c r="D540" s="97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192</v>
      </c>
      <c r="N540" s="20">
        <v>915770</v>
      </c>
    </row>
    <row r="541" spans="1:14" ht="18" customHeight="1">
      <c r="A541" s="98" t="s">
        <v>194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195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215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216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217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97" t="s">
        <v>191</v>
      </c>
      <c r="B554" s="97"/>
      <c r="C554" s="97"/>
      <c r="D554" s="97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192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153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97" t="s">
        <v>193</v>
      </c>
      <c r="B567" s="97"/>
      <c r="C567" s="97"/>
      <c r="D567" s="97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192</v>
      </c>
      <c r="N567" s="20">
        <v>636740</v>
      </c>
    </row>
    <row r="568" spans="1:14" ht="18" customHeight="1">
      <c r="A568" s="98" t="s">
        <v>194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195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153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218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219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97" t="s">
        <v>191</v>
      </c>
      <c r="B581" s="97"/>
      <c r="C581" s="97"/>
      <c r="D581" s="97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192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137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126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220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97" t="s">
        <v>193</v>
      </c>
      <c r="B594" s="97"/>
      <c r="C594" s="97"/>
      <c r="D594" s="97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192</v>
      </c>
      <c r="N594" s="20">
        <v>394820</v>
      </c>
    </row>
    <row r="595" spans="1:14" ht="18" customHeight="1">
      <c r="A595" s="98" t="s">
        <v>194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195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221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126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222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126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222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158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223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97" t="s">
        <v>191</v>
      </c>
      <c r="B608" s="97"/>
      <c r="C608" s="97"/>
      <c r="D608" s="97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192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224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175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122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97" t="s">
        <v>193</v>
      </c>
      <c r="B621" s="97"/>
      <c r="C621" s="97"/>
      <c r="D621" s="97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192</v>
      </c>
      <c r="N621" s="20">
        <v>587370</v>
      </c>
    </row>
    <row r="622" spans="1:14" ht="18" customHeight="1">
      <c r="A622" s="98" t="s">
        <v>194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195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176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165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148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97" t="s">
        <v>191</v>
      </c>
      <c r="B635" s="97"/>
      <c r="C635" s="97"/>
      <c r="D635" s="97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192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122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122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225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158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97" t="s">
        <v>193</v>
      </c>
      <c r="B648" s="97"/>
      <c r="C648" s="97"/>
      <c r="D648" s="97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192</v>
      </c>
      <c r="N648" s="20">
        <v>635110</v>
      </c>
    </row>
    <row r="649" spans="1:14" ht="18" customHeight="1">
      <c r="A649" s="98" t="s">
        <v>194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195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126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97" t="s">
        <v>191</v>
      </c>
      <c r="B662" s="97"/>
      <c r="C662" s="97"/>
      <c r="D662" s="97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192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97" t="s">
        <v>193</v>
      </c>
      <c r="B675" s="97"/>
      <c r="C675" s="97"/>
      <c r="D675" s="97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192</v>
      </c>
      <c r="N675" s="20">
        <v>1608610</v>
      </c>
    </row>
    <row r="676" spans="1:14" ht="18" customHeight="1">
      <c r="A676" s="98" t="s">
        <v>194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195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176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178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226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227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97" t="s">
        <v>191</v>
      </c>
      <c r="B689" s="97"/>
      <c r="C689" s="97"/>
      <c r="D689" s="97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192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129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97" t="s">
        <v>193</v>
      </c>
      <c r="B702" s="97"/>
      <c r="C702" s="97"/>
      <c r="D702" s="97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192</v>
      </c>
      <c r="N702" s="20">
        <f>316300+609860</f>
        <v>926160</v>
      </c>
    </row>
    <row r="703" spans="1:14" ht="18" customHeight="1">
      <c r="A703" s="98" t="s">
        <v>194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195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228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122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229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97" t="s">
        <v>191</v>
      </c>
      <c r="B716" s="97"/>
      <c r="C716" s="97"/>
      <c r="D716" s="97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192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150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97" t="s">
        <v>193</v>
      </c>
      <c r="B729" s="97"/>
      <c r="C729" s="97"/>
      <c r="D729" s="97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192</v>
      </c>
      <c r="N729" s="20">
        <v>706600</v>
      </c>
    </row>
    <row r="730" spans="1:14" ht="18" customHeight="1">
      <c r="A730" s="98" t="s">
        <v>194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195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158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158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173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97" t="s">
        <v>191</v>
      </c>
      <c r="B743" s="97"/>
      <c r="C743" s="97"/>
      <c r="D743" s="97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192</v>
      </c>
      <c r="N743" s="20">
        <v>1209410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50</v>
      </c>
      <c r="F744" s="12">
        <f t="shared" ref="F744:F755" si="168">IF(E744="","",E744*5)</f>
        <v>250</v>
      </c>
      <c r="G744" s="10" t="s">
        <v>17</v>
      </c>
      <c r="H744" s="10" t="s">
        <v>23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9">IFERROR(IF(K744="","",IF(K744&gt;=J744,K744-J744,K744+1-J744)),"")</f>
        <v>6.944444444444442E-2</v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8"/>
        <v>0</v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 t="s">
        <v>45</v>
      </c>
      <c r="D746" s="10" t="s">
        <v>30</v>
      </c>
      <c r="E746" s="11">
        <v>40</v>
      </c>
      <c r="F746" s="12">
        <f t="shared" si="168"/>
        <v>200</v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 t="s">
        <v>45</v>
      </c>
      <c r="D747" s="10" t="s">
        <v>30</v>
      </c>
      <c r="E747" s="11">
        <v>28</v>
      </c>
      <c r="F747" s="17">
        <f t="shared" si="168"/>
        <v>140</v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 t="s">
        <v>45</v>
      </c>
      <c r="D748" s="10" t="s">
        <v>30</v>
      </c>
      <c r="E748" s="11">
        <v>26</v>
      </c>
      <c r="F748" s="12">
        <f t="shared" si="168"/>
        <v>130</v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 t="s">
        <v>45</v>
      </c>
      <c r="D749" s="10" t="s">
        <v>30</v>
      </c>
      <c r="E749" s="11">
        <v>40</v>
      </c>
      <c r="F749" s="17">
        <f t="shared" si="168"/>
        <v>200</v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 t="s">
        <v>45</v>
      </c>
      <c r="D750" s="10" t="s">
        <v>30</v>
      </c>
      <c r="E750" s="11">
        <v>40</v>
      </c>
      <c r="F750" s="12">
        <f t="shared" si="168"/>
        <v>200</v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 t="s">
        <v>45</v>
      </c>
      <c r="D751" s="10" t="s">
        <v>30</v>
      </c>
      <c r="E751" s="11">
        <v>0</v>
      </c>
      <c r="F751" s="17">
        <f t="shared" si="168"/>
        <v>0</v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 t="s">
        <v>45</v>
      </c>
      <c r="D752" s="10" t="s">
        <v>30</v>
      </c>
      <c r="E752" s="11">
        <v>16</v>
      </c>
      <c r="F752" s="12">
        <f t="shared" si="168"/>
        <v>80</v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 t="s">
        <v>45</v>
      </c>
      <c r="D753" s="10" t="s">
        <v>30</v>
      </c>
      <c r="E753" s="11">
        <v>44</v>
      </c>
      <c r="F753" s="17">
        <f t="shared" si="168"/>
        <v>220</v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 t="s">
        <v>45</v>
      </c>
      <c r="D754" s="10" t="s">
        <v>30</v>
      </c>
      <c r="E754" s="11">
        <v>17</v>
      </c>
      <c r="F754" s="12">
        <f t="shared" si="168"/>
        <v>85</v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 t="s">
        <v>45</v>
      </c>
      <c r="D755" s="10" t="s">
        <v>30</v>
      </c>
      <c r="E755" s="11">
        <v>5</v>
      </c>
      <c r="F755" s="17">
        <f t="shared" si="168"/>
        <v>25</v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193</v>
      </c>
      <c r="B756" s="82"/>
      <c r="C756" s="82"/>
      <c r="D756" s="82"/>
      <c r="E756" s="19">
        <f>SUM(E744:E755)</f>
        <v>306</v>
      </c>
      <c r="F756" s="19">
        <f>SUM(F744:F755)</f>
        <v>1530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192</v>
      </c>
      <c r="N756" s="20">
        <v>1646670</v>
      </c>
    </row>
    <row r="757" spans="1:14" ht="18" customHeight="1">
      <c r="A757" s="22" t="s">
        <v>194</v>
      </c>
      <c r="B757" s="22"/>
      <c r="C757" s="22"/>
      <c r="D757" s="22"/>
      <c r="E757" s="22">
        <f>E743+E756</f>
        <v>534</v>
      </c>
      <c r="F757" s="22">
        <f>F743+F756</f>
        <v>2670</v>
      </c>
      <c r="G757" s="21"/>
      <c r="H757" s="21"/>
      <c r="I757" s="21"/>
      <c r="J757" s="21"/>
      <c r="K757" s="21"/>
      <c r="L757" s="73">
        <f>IFERROR(L743+L756,"")</f>
        <v>0.22013888888888894</v>
      </c>
      <c r="M757" s="22" t="s">
        <v>195</v>
      </c>
      <c r="N757" s="31">
        <f>IFERROR(N743+N756,"")</f>
        <v>2856080</v>
      </c>
    </row>
    <row r="758" spans="1:14" ht="15" customHeight="1">
      <c r="A758" s="58">
        <v>46202</v>
      </c>
      <c r="B758" s="9">
        <v>0.33333333333333331</v>
      </c>
      <c r="C758" s="10" t="s">
        <v>21</v>
      </c>
      <c r="D758" s="10" t="s">
        <v>30</v>
      </c>
      <c r="E758" s="11">
        <v>0</v>
      </c>
      <c r="F758" s="12">
        <f t="shared" ref="F758:F769" si="171">IF(E758="","",E758*5)</f>
        <v>0</v>
      </c>
      <c r="G758" s="10" t="s">
        <v>18</v>
      </c>
      <c r="H758" s="10" t="s">
        <v>23</v>
      </c>
      <c r="I758" s="10" t="s">
        <v>180</v>
      </c>
      <c r="J758" s="13">
        <v>0.29166666666666669</v>
      </c>
      <c r="K758" s="13">
        <v>0.36249999999999999</v>
      </c>
      <c r="L758" s="70">
        <f t="shared" ref="L758:L769" si="172">IFERROR(IF(K758="","",IF(K758&gt;=J758,K758-J758,K758+1-J758)),"")</f>
        <v>7.0833333333333304E-2</v>
      </c>
      <c r="M758" s="29" t="s">
        <v>230</v>
      </c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 t="s">
        <v>21</v>
      </c>
      <c r="D759" s="10" t="s">
        <v>30</v>
      </c>
      <c r="E759" s="11">
        <v>17</v>
      </c>
      <c r="F759" s="17">
        <f t="shared" si="171"/>
        <v>85</v>
      </c>
      <c r="G759" s="16" t="s">
        <v>18</v>
      </c>
      <c r="H759" s="16" t="s">
        <v>23</v>
      </c>
      <c r="I759" s="16" t="s">
        <v>113</v>
      </c>
      <c r="J759" s="13">
        <v>0.51041666666666663</v>
      </c>
      <c r="K759" s="13">
        <v>0.57986111111111116</v>
      </c>
      <c r="L759" s="71">
        <f t="shared" si="172"/>
        <v>6.9444444444444531E-2</v>
      </c>
      <c r="M759" s="29" t="s">
        <v>231</v>
      </c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 t="s">
        <v>21</v>
      </c>
      <c r="D760" s="10" t="s">
        <v>30</v>
      </c>
      <c r="E760" s="11">
        <v>24</v>
      </c>
      <c r="F760" s="12">
        <f t="shared" si="171"/>
        <v>120</v>
      </c>
      <c r="G760" s="10" t="s">
        <v>20</v>
      </c>
      <c r="H760" s="10" t="s">
        <v>23</v>
      </c>
      <c r="I760" s="10" t="s">
        <v>173</v>
      </c>
      <c r="J760" s="13">
        <v>0.6875</v>
      </c>
      <c r="K760" s="13">
        <v>0.72569444444444442</v>
      </c>
      <c r="L760" s="70">
        <f t="shared" si="172"/>
        <v>3.819444444444442E-2</v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 t="s">
        <v>21</v>
      </c>
      <c r="D761" s="10" t="s">
        <v>30</v>
      </c>
      <c r="E761" s="11">
        <v>19</v>
      </c>
      <c r="F761" s="17">
        <f t="shared" si="171"/>
        <v>95</v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 t="s">
        <v>21</v>
      </c>
      <c r="D762" s="10" t="s">
        <v>30</v>
      </c>
      <c r="E762" s="11">
        <v>15</v>
      </c>
      <c r="F762" s="12">
        <f t="shared" si="171"/>
        <v>75</v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 t="s">
        <v>21</v>
      </c>
      <c r="D763" s="10" t="s">
        <v>30</v>
      </c>
      <c r="E763" s="11">
        <v>0</v>
      </c>
      <c r="F763" s="17">
        <f t="shared" si="171"/>
        <v>0</v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 t="s">
        <v>21</v>
      </c>
      <c r="D764" s="10" t="s">
        <v>30</v>
      </c>
      <c r="E764" s="11">
        <v>10</v>
      </c>
      <c r="F764" s="12">
        <f t="shared" si="171"/>
        <v>50</v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 t="s">
        <v>21</v>
      </c>
      <c r="D765" s="10" t="s">
        <v>30</v>
      </c>
      <c r="E765" s="11">
        <v>21</v>
      </c>
      <c r="F765" s="17">
        <f t="shared" si="171"/>
        <v>105</v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 t="s">
        <v>21</v>
      </c>
      <c r="D766" s="10" t="s">
        <v>30</v>
      </c>
      <c r="E766" s="11">
        <v>20</v>
      </c>
      <c r="F766" s="12">
        <f t="shared" si="171"/>
        <v>100</v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 t="s">
        <v>21</v>
      </c>
      <c r="D767" s="10" t="s">
        <v>30</v>
      </c>
      <c r="E767" s="11">
        <v>4</v>
      </c>
      <c r="F767" s="17">
        <f t="shared" si="171"/>
        <v>20</v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 t="s">
        <v>21</v>
      </c>
      <c r="D768" s="10" t="s">
        <v>30</v>
      </c>
      <c r="E768" s="11">
        <v>16</v>
      </c>
      <c r="F768" s="12">
        <f t="shared" si="171"/>
        <v>80</v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 t="s">
        <v>21</v>
      </c>
      <c r="D769" s="10" t="s">
        <v>30</v>
      </c>
      <c r="E769" s="11">
        <v>0</v>
      </c>
      <c r="F769" s="17">
        <f t="shared" si="171"/>
        <v>0</v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191</v>
      </c>
      <c r="B770" s="82"/>
      <c r="C770" s="82"/>
      <c r="D770" s="82"/>
      <c r="E770" s="19">
        <f>SUM(E758:E769)</f>
        <v>146</v>
      </c>
      <c r="F770" s="19">
        <f>SUM(F758:F769)</f>
        <v>730</v>
      </c>
      <c r="G770" s="18"/>
      <c r="H770" s="18"/>
      <c r="I770" s="18"/>
      <c r="J770" s="18"/>
      <c r="K770" s="18"/>
      <c r="L770" s="72">
        <f>IFERROR(SUM(L758:L769),"")</f>
        <v>0.17847222222222225</v>
      </c>
      <c r="M770" s="19" t="s">
        <v>192</v>
      </c>
      <c r="N770" s="20">
        <v>928270</v>
      </c>
    </row>
    <row r="771" spans="1:14" ht="15" customHeight="1">
      <c r="A771" s="59">
        <v>46202</v>
      </c>
      <c r="B771" s="15">
        <v>0.83333333333333304</v>
      </c>
      <c r="C771" s="10" t="s">
        <v>45</v>
      </c>
      <c r="D771" s="16" t="s">
        <v>30</v>
      </c>
      <c r="E771" s="11">
        <v>20</v>
      </c>
      <c r="F771" s="17">
        <f t="shared" ref="F771:F782" si="174">IF(E771="","",E771*5)</f>
        <v>100</v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 t="s">
        <v>45</v>
      </c>
      <c r="D772" s="16" t="s">
        <v>30</v>
      </c>
      <c r="E772" s="11">
        <v>28</v>
      </c>
      <c r="F772" s="12">
        <f t="shared" si="174"/>
        <v>140</v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0" t="s">
        <v>45</v>
      </c>
      <c r="D773" s="16" t="s">
        <v>30</v>
      </c>
      <c r="E773" s="11">
        <v>0</v>
      </c>
      <c r="F773" s="12">
        <f t="shared" si="174"/>
        <v>0</v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 t="s">
        <v>45</v>
      </c>
      <c r="D774" s="16" t="s">
        <v>30</v>
      </c>
      <c r="E774" s="11">
        <v>66</v>
      </c>
      <c r="F774" s="12">
        <f t="shared" si="174"/>
        <v>330</v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0" t="s">
        <v>45</v>
      </c>
      <c r="D775" s="16" t="s">
        <v>30</v>
      </c>
      <c r="E775" s="11">
        <v>35</v>
      </c>
      <c r="F775" s="17">
        <f t="shared" si="174"/>
        <v>175</v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 t="s">
        <v>45</v>
      </c>
      <c r="D776" s="16" t="s">
        <v>30</v>
      </c>
      <c r="E776" s="11">
        <v>34</v>
      </c>
      <c r="F776" s="12">
        <f t="shared" si="174"/>
        <v>170</v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0" t="s">
        <v>45</v>
      </c>
      <c r="D777" s="16" t="s">
        <v>30</v>
      </c>
      <c r="E777" s="11">
        <v>70</v>
      </c>
      <c r="F777" s="17">
        <f t="shared" si="174"/>
        <v>350</v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 t="s">
        <v>45</v>
      </c>
      <c r="D778" s="16" t="s">
        <v>30</v>
      </c>
      <c r="E778" s="11">
        <v>35</v>
      </c>
      <c r="F778" s="12">
        <f t="shared" si="174"/>
        <v>175</v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0" t="s">
        <v>45</v>
      </c>
      <c r="D779" s="16" t="s">
        <v>30</v>
      </c>
      <c r="E779" s="11">
        <v>45</v>
      </c>
      <c r="F779" s="17">
        <f t="shared" si="174"/>
        <v>225</v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 t="s">
        <v>45</v>
      </c>
      <c r="D780" s="16" t="s">
        <v>30</v>
      </c>
      <c r="E780" s="11">
        <v>50</v>
      </c>
      <c r="F780" s="12">
        <f t="shared" si="174"/>
        <v>250</v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0" t="s">
        <v>45</v>
      </c>
      <c r="D781" s="16" t="s">
        <v>30</v>
      </c>
      <c r="E781" s="11">
        <v>40</v>
      </c>
      <c r="F781" s="17">
        <f t="shared" si="174"/>
        <v>200</v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 t="s">
        <v>45</v>
      </c>
      <c r="D782" s="16" t="s">
        <v>30</v>
      </c>
      <c r="E782" s="11">
        <v>30</v>
      </c>
      <c r="F782" s="12">
        <f t="shared" si="174"/>
        <v>150</v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97" t="s">
        <v>193</v>
      </c>
      <c r="B783" s="97"/>
      <c r="C783" s="97"/>
      <c r="D783" s="97"/>
      <c r="E783" s="19">
        <f>SUM(E771:E782)</f>
        <v>453</v>
      </c>
      <c r="F783" s="19">
        <f>SUM(F771:F782)</f>
        <v>2265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192</v>
      </c>
      <c r="N783" s="20">
        <v>1736080</v>
      </c>
    </row>
    <row r="784" spans="1:14" ht="18" customHeight="1">
      <c r="A784" s="98" t="s">
        <v>194</v>
      </c>
      <c r="B784" s="98"/>
      <c r="C784" s="98"/>
      <c r="D784" s="98"/>
      <c r="E784" s="22">
        <f>E770+E783</f>
        <v>599</v>
      </c>
      <c r="F784" s="22">
        <f>F770+F783</f>
        <v>2995</v>
      </c>
      <c r="G784" s="21"/>
      <c r="H784" s="21"/>
      <c r="I784" s="21"/>
      <c r="J784" s="21"/>
      <c r="K784" s="21"/>
      <c r="L784" s="73">
        <f>IFERROR(L770+L783,"")</f>
        <v>0.17847222222222225</v>
      </c>
      <c r="M784" s="22" t="s">
        <v>195</v>
      </c>
      <c r="N784" s="31">
        <f>IFERROR(N770+N783,"")</f>
        <v>2664350</v>
      </c>
    </row>
    <row r="785" spans="1:14" ht="15" customHeight="1">
      <c r="A785" s="59">
        <v>46203</v>
      </c>
      <c r="B785" s="15">
        <v>0.33333333333333331</v>
      </c>
      <c r="C785" s="16" t="s">
        <v>21</v>
      </c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6" t="s">
        <v>21</v>
      </c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 t="s">
        <v>21</v>
      </c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6" t="s">
        <v>21</v>
      </c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 t="s">
        <v>21</v>
      </c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6" t="s">
        <v>21</v>
      </c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 t="s">
        <v>21</v>
      </c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6" t="s">
        <v>21</v>
      </c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 t="s">
        <v>21</v>
      </c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6" t="s">
        <v>21</v>
      </c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 t="s">
        <v>21</v>
      </c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6" t="s">
        <v>21</v>
      </c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97" t="s">
        <v>191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192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97" t="s">
        <v>193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192</v>
      </c>
      <c r="N810" s="20"/>
    </row>
    <row r="811" spans="1:14" ht="18" customHeight="1">
      <c r="A811" s="98" t="s">
        <v>194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195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784:D784"/>
    <mergeCell ref="A797:D797"/>
    <mergeCell ref="A810:D810"/>
    <mergeCell ref="A811:D811"/>
    <mergeCell ref="A743:D743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19:D419"/>
    <mergeCell ref="A432:D432"/>
    <mergeCell ref="A433:D433"/>
    <mergeCell ref="A459:D459"/>
    <mergeCell ref="A460:D460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C447:C756 D756 C758:C769 C771:C900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C756:D756 D2:D755 C770 C757 D757:D900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770" zoomScale="85" zoomScaleNormal="85" workbookViewId="0">
      <selection activeCell="J786" sqref="J786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181</v>
      </c>
      <c r="C1" s="8" t="s">
        <v>12</v>
      </c>
      <c r="D1" s="8" t="s">
        <v>13</v>
      </c>
      <c r="E1" s="8" t="s">
        <v>182</v>
      </c>
      <c r="F1" s="8" t="s">
        <v>232</v>
      </c>
      <c r="G1" s="8" t="s">
        <v>14</v>
      </c>
      <c r="H1" s="8" t="s">
        <v>15</v>
      </c>
      <c r="I1" s="8" t="s">
        <v>184</v>
      </c>
      <c r="J1" s="8" t="s">
        <v>185</v>
      </c>
      <c r="K1" s="8" t="s">
        <v>186</v>
      </c>
      <c r="L1" s="69" t="s">
        <v>187</v>
      </c>
      <c r="M1" s="8" t="s">
        <v>188</v>
      </c>
      <c r="N1" s="8" t="s">
        <v>189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135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123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105" t="s">
        <v>191</v>
      </c>
      <c r="B14" s="105"/>
      <c r="C14" s="105"/>
      <c r="D14" s="105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192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122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105" t="s">
        <v>193</v>
      </c>
      <c r="B27" s="105"/>
      <c r="C27" s="105"/>
      <c r="D27" s="105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192</v>
      </c>
      <c r="N27" s="20">
        <v>1035240</v>
      </c>
    </row>
    <row r="28" spans="1:14" ht="18" customHeight="1">
      <c r="A28" s="98" t="s">
        <v>194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195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233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191</v>
      </c>
      <c r="B41" s="105"/>
      <c r="C41" s="105"/>
      <c r="D41" s="105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192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118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193</v>
      </c>
      <c r="B54" s="105"/>
      <c r="C54" s="105"/>
      <c r="D54" s="105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192</v>
      </c>
      <c r="N54" s="20">
        <v>871960</v>
      </c>
    </row>
    <row r="55" spans="1:14" ht="18" customHeight="1">
      <c r="A55" s="98" t="s">
        <v>194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195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115</v>
      </c>
      <c r="I62" s="10" t="s">
        <v>234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136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105" t="s">
        <v>191</v>
      </c>
      <c r="B68" s="105"/>
      <c r="C68" s="105"/>
      <c r="D68" s="105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192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149</v>
      </c>
      <c r="I71" s="16" t="s">
        <v>235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147</v>
      </c>
      <c r="I74" s="10" t="s">
        <v>114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105" t="s">
        <v>193</v>
      </c>
      <c r="B81" s="105"/>
      <c r="C81" s="105"/>
      <c r="D81" s="105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192</v>
      </c>
      <c r="N81" s="20">
        <v>482250</v>
      </c>
    </row>
    <row r="82" spans="1:14" ht="18" customHeight="1">
      <c r="A82" s="98" t="s">
        <v>194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195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236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149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105" t="s">
        <v>191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192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237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126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105" t="s">
        <v>193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192</v>
      </c>
      <c r="N108" s="20">
        <v>529500</v>
      </c>
    </row>
    <row r="109" spans="1:14" ht="18" customHeight="1">
      <c r="A109" s="98" t="s">
        <v>194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195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237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237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105" t="s">
        <v>191</v>
      </c>
      <c r="B122" s="105"/>
      <c r="C122" s="105"/>
      <c r="D122" s="105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192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237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238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105" t="s">
        <v>193</v>
      </c>
      <c r="B135" s="105"/>
      <c r="C135" s="105"/>
      <c r="D135" s="105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192</v>
      </c>
      <c r="N135" s="20">
        <v>666150</v>
      </c>
    </row>
    <row r="136" spans="1:14" ht="18" customHeight="1">
      <c r="A136" s="98" t="s">
        <v>194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195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116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236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239</v>
      </c>
      <c r="I139" s="16" t="s">
        <v>240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237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118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135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105" t="s">
        <v>191</v>
      </c>
      <c r="B149" s="105"/>
      <c r="C149" s="105"/>
      <c r="D149" s="105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192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135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105" t="s">
        <v>193</v>
      </c>
      <c r="B162" s="105"/>
      <c r="C162" s="105"/>
      <c r="D162" s="105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192</v>
      </c>
      <c r="N162" s="35">
        <v>183240</v>
      </c>
    </row>
    <row r="163" spans="1:14" ht="18" customHeight="1">
      <c r="A163" s="98" t="s">
        <v>194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195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105" t="s">
        <v>191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192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118</v>
      </c>
      <c r="I181" s="16" t="s">
        <v>241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118</v>
      </c>
      <c r="I182" s="10" t="s">
        <v>241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118</v>
      </c>
      <c r="I183" s="16" t="s">
        <v>241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118</v>
      </c>
      <c r="I184" s="10" t="s">
        <v>241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118</v>
      </c>
      <c r="I185" s="16" t="s">
        <v>241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118</v>
      </c>
      <c r="I186" s="10" t="s">
        <v>241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118</v>
      </c>
      <c r="I187" s="16" t="s">
        <v>241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118</v>
      </c>
      <c r="I188" s="10" t="s">
        <v>241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105" t="s">
        <v>193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192</v>
      </c>
      <c r="N189" s="20">
        <v>0</v>
      </c>
    </row>
    <row r="190" spans="1:14" ht="18" customHeight="1">
      <c r="A190" s="98" t="s">
        <v>194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195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118</v>
      </c>
      <c r="I191" s="10" t="s">
        <v>241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135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135</v>
      </c>
      <c r="I193" s="10" t="s">
        <v>242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105" t="s">
        <v>191</v>
      </c>
      <c r="B203" s="105"/>
      <c r="C203" s="105"/>
      <c r="D203" s="105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192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105" t="s">
        <v>193</v>
      </c>
      <c r="B216" s="105"/>
      <c r="C216" s="105"/>
      <c r="D216" s="105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192</v>
      </c>
      <c r="N216" s="28">
        <v>525070</v>
      </c>
    </row>
    <row r="217" spans="1:14" ht="18" customHeight="1">
      <c r="A217" s="98" t="s">
        <v>194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195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126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135</v>
      </c>
      <c r="I219" s="16" t="s">
        <v>142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243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123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105" t="s">
        <v>191</v>
      </c>
      <c r="B230" s="105"/>
      <c r="C230" s="105"/>
      <c r="D230" s="105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192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105" t="s">
        <v>193</v>
      </c>
      <c r="B243" s="105"/>
      <c r="C243" s="105"/>
      <c r="D243" s="105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192</v>
      </c>
      <c r="N243" s="20">
        <v>244000</v>
      </c>
    </row>
    <row r="244" spans="1:14" ht="18" customHeight="1">
      <c r="A244" s="98" t="s">
        <v>194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195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151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244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245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105" t="s">
        <v>191</v>
      </c>
      <c r="B257" s="105"/>
      <c r="C257" s="105"/>
      <c r="D257" s="105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192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126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246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135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105" t="s">
        <v>193</v>
      </c>
      <c r="B270" s="105"/>
      <c r="C270" s="105"/>
      <c r="D270" s="105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192</v>
      </c>
      <c r="N270" s="20">
        <v>8130</v>
      </c>
    </row>
    <row r="271" spans="1:14" ht="18" customHeight="1">
      <c r="A271" s="98" t="s">
        <v>194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195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247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105" t="s">
        <v>191</v>
      </c>
      <c r="B284" s="105"/>
      <c r="C284" s="105"/>
      <c r="D284" s="105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192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105" t="s">
        <v>193</v>
      </c>
      <c r="B297" s="105"/>
      <c r="C297" s="105"/>
      <c r="D297" s="105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192</v>
      </c>
      <c r="N297" s="20">
        <f>229280+228660</f>
        <v>457940</v>
      </c>
    </row>
    <row r="298" spans="1:14" ht="18" customHeight="1">
      <c r="A298" s="98" t="s">
        <v>194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195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248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249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249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250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105" t="s">
        <v>191</v>
      </c>
      <c r="B311" s="105"/>
      <c r="C311" s="105"/>
      <c r="D311" s="105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192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251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252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253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254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105" t="s">
        <v>193</v>
      </c>
      <c r="B324" s="105"/>
      <c r="C324" s="105"/>
      <c r="D324" s="105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192</v>
      </c>
      <c r="N324" s="20">
        <f>217310+197670</f>
        <v>414980</v>
      </c>
    </row>
    <row r="325" spans="1:14" ht="18" customHeight="1">
      <c r="A325" s="98" t="s">
        <v>194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195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29" t="s">
        <v>255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112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256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105" t="s">
        <v>191</v>
      </c>
      <c r="B338" s="105"/>
      <c r="C338" s="105"/>
      <c r="D338" s="105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192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147</v>
      </c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257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151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258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105" t="s">
        <v>193</v>
      </c>
      <c r="B351" s="105"/>
      <c r="C351" s="105"/>
      <c r="D351" s="105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192</v>
      </c>
      <c r="N351" s="20">
        <f>135270+304860</f>
        <v>440130</v>
      </c>
    </row>
    <row r="352" spans="1:14" ht="18" customHeight="1">
      <c r="A352" s="98" t="s">
        <v>194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195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259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260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147</v>
      </c>
      <c r="I356" s="10" t="s">
        <v>114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261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105" t="s">
        <v>191</v>
      </c>
      <c r="B365" s="105"/>
      <c r="C365" s="105"/>
      <c r="D365" s="105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192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151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105" t="s">
        <v>193</v>
      </c>
      <c r="B378" s="105"/>
      <c r="C378" s="105"/>
      <c r="D378" s="105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192</v>
      </c>
      <c r="N378" s="20">
        <f>291750+291000</f>
        <v>582750</v>
      </c>
    </row>
    <row r="379" spans="1:14" ht="18" customHeight="1">
      <c r="A379" s="98" t="s">
        <v>194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195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152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105" t="s">
        <v>191</v>
      </c>
      <c r="B392" s="105"/>
      <c r="C392" s="105"/>
      <c r="D392" s="105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192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152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262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157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263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105" t="s">
        <v>193</v>
      </c>
      <c r="B405" s="105"/>
      <c r="C405" s="105"/>
      <c r="D405" s="105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192</v>
      </c>
      <c r="N405" s="20">
        <v>305810</v>
      </c>
    </row>
    <row r="406" spans="1:14" ht="18" customHeight="1">
      <c r="A406" s="98" t="s">
        <v>194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195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155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264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126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265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266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105" t="s">
        <v>191</v>
      </c>
      <c r="B419" s="105"/>
      <c r="C419" s="105"/>
      <c r="D419" s="105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192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122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267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268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105" t="s">
        <v>193</v>
      </c>
      <c r="B432" s="105"/>
      <c r="C432" s="105"/>
      <c r="D432" s="105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192</v>
      </c>
      <c r="N432" s="20">
        <v>522180</v>
      </c>
    </row>
    <row r="433" spans="1:14" ht="18" customHeight="1">
      <c r="A433" s="98" t="s">
        <v>194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195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269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270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113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271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105" t="s">
        <v>191</v>
      </c>
      <c r="B446" s="105"/>
      <c r="C446" s="105"/>
      <c r="D446" s="105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192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148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272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151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149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105" t="s">
        <v>193</v>
      </c>
      <c r="B459" s="105"/>
      <c r="C459" s="105"/>
      <c r="D459" s="105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192</v>
      </c>
      <c r="N459" s="20">
        <v>560220</v>
      </c>
    </row>
    <row r="460" spans="1:14" ht="18" customHeight="1">
      <c r="A460" s="98" t="s">
        <v>194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195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158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115</v>
      </c>
      <c r="I465" s="16" t="s">
        <v>273</v>
      </c>
      <c r="J465" s="13">
        <v>0.70833333333333337</v>
      </c>
      <c r="K465" s="13" t="s">
        <v>274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275</v>
      </c>
      <c r="N472" s="30"/>
    </row>
    <row r="473" spans="1:14" ht="15.75" customHeight="1">
      <c r="A473" s="105" t="s">
        <v>191</v>
      </c>
      <c r="B473" s="105"/>
      <c r="C473" s="105"/>
      <c r="D473" s="105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192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151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276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115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277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105" t="s">
        <v>193</v>
      </c>
      <c r="B486" s="105"/>
      <c r="C486" s="105"/>
      <c r="D486" s="105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192</v>
      </c>
      <c r="N486" s="20">
        <v>400000</v>
      </c>
    </row>
    <row r="487" spans="1:14" ht="18" customHeight="1">
      <c r="A487" s="98" t="s">
        <v>194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195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105" t="s">
        <v>191</v>
      </c>
      <c r="B500" s="105"/>
      <c r="C500" s="105"/>
      <c r="D500" s="105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192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151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151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148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278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105" t="s">
        <v>193</v>
      </c>
      <c r="B513" s="105"/>
      <c r="C513" s="105"/>
      <c r="D513" s="105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192</v>
      </c>
      <c r="N513" s="20">
        <f>1031250+71560</f>
        <v>1102810</v>
      </c>
    </row>
    <row r="514" spans="1:14" ht="18" customHeight="1">
      <c r="A514" s="98" t="s">
        <v>194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195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213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213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213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105" t="s">
        <v>191</v>
      </c>
      <c r="B527" s="105"/>
      <c r="C527" s="105"/>
      <c r="D527" s="105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192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170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279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141</v>
      </c>
      <c r="I529" s="16" t="s">
        <v>126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280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281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127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282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283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283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149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105" t="s">
        <v>193</v>
      </c>
      <c r="B540" s="105"/>
      <c r="C540" s="105"/>
      <c r="D540" s="105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192</v>
      </c>
      <c r="N540" s="20">
        <v>504470</v>
      </c>
    </row>
    <row r="541" spans="1:14" ht="18" customHeight="1">
      <c r="A541" s="98" t="s">
        <v>194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195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284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105" t="s">
        <v>191</v>
      </c>
      <c r="B554" s="105"/>
      <c r="C554" s="105"/>
      <c r="D554" s="105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192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127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151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105" t="s">
        <v>193</v>
      </c>
      <c r="B567" s="105"/>
      <c r="C567" s="105"/>
      <c r="D567" s="105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192</v>
      </c>
      <c r="N567" s="20">
        <v>0</v>
      </c>
    </row>
    <row r="568" spans="1:14" ht="18" customHeight="1">
      <c r="A568" s="98" t="s">
        <v>194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195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130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105" t="s">
        <v>191</v>
      </c>
      <c r="B581" s="105"/>
      <c r="C581" s="105"/>
      <c r="D581" s="105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192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130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141</v>
      </c>
      <c r="I583" s="16" t="s">
        <v>126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285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105" t="s">
        <v>193</v>
      </c>
      <c r="B594" s="105"/>
      <c r="C594" s="105"/>
      <c r="D594" s="105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192</v>
      </c>
      <c r="N594" s="20">
        <v>258960</v>
      </c>
    </row>
    <row r="595" spans="1:14" ht="18" customHeight="1">
      <c r="A595" s="98" t="s">
        <v>194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195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172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286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287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148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288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105" t="s">
        <v>191</v>
      </c>
      <c r="B608" s="105"/>
      <c r="C608" s="105"/>
      <c r="D608" s="105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192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151</v>
      </c>
      <c r="I609" s="16" t="s">
        <v>162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289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158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290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105" t="s">
        <v>193</v>
      </c>
      <c r="B621" s="105"/>
      <c r="C621" s="105"/>
      <c r="D621" s="105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192</v>
      </c>
      <c r="N621" s="20">
        <v>687740</v>
      </c>
    </row>
    <row r="622" spans="1:14" ht="18" customHeight="1">
      <c r="A622" s="98" t="s">
        <v>194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195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151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291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105" t="s">
        <v>191</v>
      </c>
      <c r="B635" s="105"/>
      <c r="C635" s="105"/>
      <c r="D635" s="105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192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151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292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162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293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162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294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105" t="s">
        <v>193</v>
      </c>
      <c r="B648" s="105"/>
      <c r="C648" s="105"/>
      <c r="D648" s="105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192</v>
      </c>
      <c r="N648" s="20">
        <f>47050+58630</f>
        <v>105680</v>
      </c>
    </row>
    <row r="649" spans="1:14" ht="18" customHeight="1">
      <c r="A649" s="98" t="s">
        <v>194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195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135</v>
      </c>
      <c r="I650" s="16" t="s">
        <v>122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130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105" t="s">
        <v>191</v>
      </c>
      <c r="B662" s="105"/>
      <c r="C662" s="105"/>
      <c r="D662" s="105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192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295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296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123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167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167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123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123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297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105" t="s">
        <v>193</v>
      </c>
      <c r="B675" s="105"/>
      <c r="C675" s="105"/>
      <c r="D675" s="105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192</v>
      </c>
      <c r="N675" s="20">
        <v>546550</v>
      </c>
    </row>
    <row r="676" spans="1:14" ht="18" customHeight="1">
      <c r="A676" s="98" t="s">
        <v>194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195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151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123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148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298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151</v>
      </c>
      <c r="I680" s="10" t="s">
        <v>158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105" t="s">
        <v>191</v>
      </c>
      <c r="B689" s="105"/>
      <c r="C689" s="105"/>
      <c r="D689" s="105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192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151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299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300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123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105" t="s">
        <v>193</v>
      </c>
      <c r="B702" s="105"/>
      <c r="C702" s="105"/>
      <c r="D702" s="105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192</v>
      </c>
      <c r="N702" s="20">
        <f>430070+116100</f>
        <v>546170</v>
      </c>
    </row>
    <row r="703" spans="1:14" ht="18" customHeight="1">
      <c r="A703" s="98" t="s">
        <v>194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195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151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301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106" t="s">
        <v>191</v>
      </c>
      <c r="B716" s="107"/>
      <c r="C716" s="107"/>
      <c r="D716" s="108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192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105" t="s">
        <v>193</v>
      </c>
      <c r="B729" s="105"/>
      <c r="C729" s="105"/>
      <c r="D729" s="105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192</v>
      </c>
      <c r="N729" s="20">
        <v>477920</v>
      </c>
    </row>
    <row r="730" spans="1:14" ht="18" customHeight="1">
      <c r="A730" s="98" t="s">
        <v>194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195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302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151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105" t="s">
        <v>191</v>
      </c>
      <c r="B743" s="105"/>
      <c r="C743" s="105"/>
      <c r="D743" s="105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192</v>
      </c>
      <c r="N743" s="20">
        <v>427230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10</v>
      </c>
      <c r="F744" s="12">
        <f t="shared" ref="F744:F755" si="166">IF(E744="","",E744*4)</f>
        <v>40</v>
      </c>
      <c r="G744" s="10" t="s">
        <v>17</v>
      </c>
      <c r="H744" s="10" t="s">
        <v>80</v>
      </c>
      <c r="I744" s="16" t="s">
        <v>25</v>
      </c>
      <c r="J744" s="13">
        <v>0.84722222222222221</v>
      </c>
      <c r="K744" s="13">
        <v>0.91666666666666663</v>
      </c>
      <c r="L744" s="71">
        <f t="shared" ref="L744:L755" si="167">IFERROR(IF(K744="","",IF(K744&gt;=J744,K744-J744,K744+1-J744)),"")</f>
        <v>6.944444444444442E-2</v>
      </c>
      <c r="M744" s="29" t="s">
        <v>303</v>
      </c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151</v>
      </c>
      <c r="I745" s="16" t="s">
        <v>27</v>
      </c>
      <c r="J745" s="13">
        <v>0.22222222222222221</v>
      </c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10" t="s">
        <v>30</v>
      </c>
      <c r="E746" s="11">
        <v>0</v>
      </c>
      <c r="F746" s="12">
        <f t="shared" si="166"/>
        <v>0</v>
      </c>
      <c r="G746" s="10"/>
      <c r="H746" s="16"/>
      <c r="I746" s="16"/>
      <c r="J746" s="13"/>
      <c r="K746" s="13"/>
      <c r="L746" s="71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10" t="s">
        <v>30</v>
      </c>
      <c r="E747" s="11">
        <v>0</v>
      </c>
      <c r="F747" s="17">
        <f t="shared" si="166"/>
        <v>0</v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10" t="s">
        <v>30</v>
      </c>
      <c r="E748" s="11">
        <v>10</v>
      </c>
      <c r="F748" s="12">
        <f t="shared" si="166"/>
        <v>40</v>
      </c>
      <c r="G748" s="10"/>
      <c r="H748" s="16"/>
      <c r="I748" s="16"/>
      <c r="J748" s="13"/>
      <c r="K748" s="13"/>
      <c r="L748" s="71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10" t="s">
        <v>30</v>
      </c>
      <c r="E749" s="11">
        <v>8</v>
      </c>
      <c r="F749" s="17">
        <f t="shared" si="166"/>
        <v>32</v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10" t="s">
        <v>30</v>
      </c>
      <c r="E750" s="11">
        <v>4</v>
      </c>
      <c r="F750" s="12">
        <f t="shared" si="166"/>
        <v>16</v>
      </c>
      <c r="G750" s="10"/>
      <c r="H750" s="16"/>
      <c r="I750" s="16"/>
      <c r="J750" s="13"/>
      <c r="K750" s="13"/>
      <c r="L750" s="71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10" t="s">
        <v>30</v>
      </c>
      <c r="E751" s="11">
        <v>13</v>
      </c>
      <c r="F751" s="17">
        <f t="shared" si="166"/>
        <v>52</v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10" t="s">
        <v>30</v>
      </c>
      <c r="E752" s="11">
        <v>3</v>
      </c>
      <c r="F752" s="12">
        <f t="shared" si="166"/>
        <v>12</v>
      </c>
      <c r="G752" s="10"/>
      <c r="H752" s="16"/>
      <c r="I752" s="16"/>
      <c r="J752" s="13"/>
      <c r="K752" s="13"/>
      <c r="L752" s="71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10" t="s">
        <v>30</v>
      </c>
      <c r="E753" s="11">
        <v>5</v>
      </c>
      <c r="F753" s="17">
        <f t="shared" si="166"/>
        <v>20</v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10" t="s">
        <v>30</v>
      </c>
      <c r="E754" s="11">
        <v>3</v>
      </c>
      <c r="F754" s="12">
        <f t="shared" si="166"/>
        <v>12</v>
      </c>
      <c r="G754" s="10"/>
      <c r="H754" s="16"/>
      <c r="I754" s="16"/>
      <c r="J754" s="13"/>
      <c r="K754" s="13"/>
      <c r="L754" s="71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10" t="s">
        <v>30</v>
      </c>
      <c r="E755" s="11">
        <v>1</v>
      </c>
      <c r="F755" s="17">
        <f t="shared" si="166"/>
        <v>4</v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105" t="s">
        <v>193</v>
      </c>
      <c r="B756" s="105"/>
      <c r="C756" s="105"/>
      <c r="D756" s="105"/>
      <c r="E756" s="19">
        <f>SUM(E744:E755)</f>
        <v>57</v>
      </c>
      <c r="F756" s="19">
        <f>SUM(F744:F755)</f>
        <v>228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192</v>
      </c>
      <c r="N756" s="20">
        <v>379890</v>
      </c>
    </row>
    <row r="757" spans="1:14" ht="18" customHeight="1">
      <c r="A757" s="98" t="s">
        <v>194</v>
      </c>
      <c r="B757" s="98"/>
      <c r="C757" s="98"/>
      <c r="D757" s="98"/>
      <c r="E757" s="22">
        <f>E743+E756</f>
        <v>170</v>
      </c>
      <c r="F757" s="22">
        <f>F743+F756</f>
        <v>680</v>
      </c>
      <c r="G757" s="21"/>
      <c r="H757" s="21"/>
      <c r="I757" s="21"/>
      <c r="J757" s="21"/>
      <c r="K757" s="21"/>
      <c r="L757" s="73">
        <f>IFERROR(L743+L756,"")</f>
        <v>0.2451388888888888</v>
      </c>
      <c r="M757" s="22" t="s">
        <v>195</v>
      </c>
      <c r="N757" s="31">
        <f>IFERROR(N743+N756,"")</f>
        <v>807120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30</v>
      </c>
      <c r="E758" s="11">
        <v>13</v>
      </c>
      <c r="F758" s="12">
        <f t="shared" ref="F758:F769" si="169">IF(E758="","",E758*4)</f>
        <v>52</v>
      </c>
      <c r="G758" s="10" t="s">
        <v>18</v>
      </c>
      <c r="H758" s="10" t="s">
        <v>151</v>
      </c>
      <c r="I758" s="10" t="s">
        <v>139</v>
      </c>
      <c r="J758" s="13">
        <v>0.40486111111111112</v>
      </c>
      <c r="K758" s="13">
        <v>0.45833333333333331</v>
      </c>
      <c r="L758" s="70">
        <f t="shared" ref="L758:L769" si="170">IFERROR(IF(K758="","",IF(K758&gt;=J758,K758-J758,K758+1-J758)),"")</f>
        <v>5.3472222222222199E-2</v>
      </c>
      <c r="M758" s="29" t="s">
        <v>304</v>
      </c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10" t="s">
        <v>30</v>
      </c>
      <c r="E759" s="11">
        <v>10</v>
      </c>
      <c r="F759" s="17">
        <f t="shared" si="169"/>
        <v>40</v>
      </c>
      <c r="G759" s="16" t="s">
        <v>20</v>
      </c>
      <c r="H759" s="10" t="s">
        <v>151</v>
      </c>
      <c r="I759" s="10" t="s">
        <v>174</v>
      </c>
      <c r="J759" s="13">
        <v>0.68055555555555558</v>
      </c>
      <c r="K759" s="13">
        <v>0.74583333333333335</v>
      </c>
      <c r="L759" s="71">
        <f t="shared" si="170"/>
        <v>6.5277777777777768E-2</v>
      </c>
      <c r="M759" s="29" t="s">
        <v>305</v>
      </c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10" t="s">
        <v>30</v>
      </c>
      <c r="E760" s="11">
        <v>10</v>
      </c>
      <c r="F760" s="12">
        <f t="shared" si="169"/>
        <v>40</v>
      </c>
      <c r="G760" s="16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10" t="s">
        <v>30</v>
      </c>
      <c r="E761" s="11">
        <v>2</v>
      </c>
      <c r="F761" s="17">
        <f t="shared" si="169"/>
        <v>8</v>
      </c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10" t="s">
        <v>30</v>
      </c>
      <c r="E762" s="11">
        <v>16</v>
      </c>
      <c r="F762" s="12">
        <f t="shared" si="169"/>
        <v>64</v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10" t="s">
        <v>30</v>
      </c>
      <c r="E763" s="11">
        <v>6</v>
      </c>
      <c r="F763" s="17">
        <f t="shared" si="169"/>
        <v>24</v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10" t="s">
        <v>30</v>
      </c>
      <c r="E764" s="11">
        <v>4</v>
      </c>
      <c r="F764" s="12">
        <f t="shared" si="169"/>
        <v>16</v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10" t="s">
        <v>30</v>
      </c>
      <c r="E765" s="11">
        <v>9</v>
      </c>
      <c r="F765" s="17">
        <f t="shared" si="169"/>
        <v>36</v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10" t="s">
        <v>30</v>
      </c>
      <c r="E766" s="11">
        <v>5</v>
      </c>
      <c r="F766" s="12">
        <f t="shared" si="169"/>
        <v>20</v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10" t="s">
        <v>30</v>
      </c>
      <c r="E767" s="11">
        <v>5</v>
      </c>
      <c r="F767" s="17">
        <f t="shared" si="169"/>
        <v>20</v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10" t="s">
        <v>30</v>
      </c>
      <c r="E768" s="11">
        <v>0</v>
      </c>
      <c r="F768" s="12">
        <f t="shared" si="169"/>
        <v>0</v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10" t="s">
        <v>30</v>
      </c>
      <c r="E769" s="11">
        <v>0</v>
      </c>
      <c r="F769" s="17">
        <f t="shared" si="169"/>
        <v>0</v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105" t="s">
        <v>191</v>
      </c>
      <c r="B770" s="105"/>
      <c r="C770" s="105"/>
      <c r="D770" s="105"/>
      <c r="E770" s="19">
        <f>SUM(E758:E769)</f>
        <v>80</v>
      </c>
      <c r="F770" s="19">
        <f>SUM(F758:F769)</f>
        <v>320</v>
      </c>
      <c r="G770" s="18"/>
      <c r="H770" s="18"/>
      <c r="I770" s="18"/>
      <c r="J770" s="18"/>
      <c r="K770" s="18"/>
      <c r="L770" s="72">
        <f>IFERROR(SUM(L758:L769),"")</f>
        <v>0.11874999999999997</v>
      </c>
      <c r="M770" s="19" t="s">
        <v>192</v>
      </c>
      <c r="N770" s="20">
        <v>309470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18</v>
      </c>
      <c r="F771" s="17">
        <f t="shared" ref="F771:F782" si="172">IF(E771="","",E771*4)</f>
        <v>72</v>
      </c>
      <c r="G771" s="16" t="s">
        <v>19</v>
      </c>
      <c r="H771" s="16" t="s">
        <v>151</v>
      </c>
      <c r="I771" s="16" t="s">
        <v>27</v>
      </c>
      <c r="J771" s="13">
        <v>0.23958333333333334</v>
      </c>
      <c r="K771" s="13">
        <v>0.25347222222222221</v>
      </c>
      <c r="L771" s="71">
        <f t="shared" ref="L771:L782" si="173">IFERROR(IF(K771="","",IF(K771&gt;=J771,K771-J771,K771+1-J771)),"")</f>
        <v>1.3888888888888867E-2</v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16" t="s">
        <v>30</v>
      </c>
      <c r="E772" s="11">
        <v>7</v>
      </c>
      <c r="F772" s="17">
        <f t="shared" si="172"/>
        <v>28</v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16" t="s">
        <v>30</v>
      </c>
      <c r="E773" s="11">
        <v>7</v>
      </c>
      <c r="F773" s="17">
        <f t="shared" si="172"/>
        <v>28</v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16" t="s">
        <v>30</v>
      </c>
      <c r="E774" s="11">
        <v>7</v>
      </c>
      <c r="F774" s="12">
        <f t="shared" si="172"/>
        <v>28</v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16" t="s">
        <v>30</v>
      </c>
      <c r="E775" s="11">
        <v>6</v>
      </c>
      <c r="F775" s="17">
        <f t="shared" si="172"/>
        <v>24</v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16" t="s">
        <v>30</v>
      </c>
      <c r="E776" s="11">
        <v>5</v>
      </c>
      <c r="F776" s="12">
        <f t="shared" si="172"/>
        <v>20</v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16" t="s">
        <v>30</v>
      </c>
      <c r="E777" s="11">
        <v>10</v>
      </c>
      <c r="F777" s="17">
        <f t="shared" si="172"/>
        <v>40</v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16" t="s">
        <v>30</v>
      </c>
      <c r="E778" s="11">
        <v>7</v>
      </c>
      <c r="F778" s="12">
        <f t="shared" si="172"/>
        <v>28</v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16" t="s">
        <v>30</v>
      </c>
      <c r="E779" s="11">
        <v>7</v>
      </c>
      <c r="F779" s="17">
        <f t="shared" si="172"/>
        <v>28</v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16" t="s">
        <v>30</v>
      </c>
      <c r="E780" s="11">
        <v>15</v>
      </c>
      <c r="F780" s="12">
        <f t="shared" si="172"/>
        <v>60</v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16" t="s">
        <v>30</v>
      </c>
      <c r="E781" s="11">
        <v>9</v>
      </c>
      <c r="F781" s="17">
        <f t="shared" si="172"/>
        <v>36</v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16" t="s">
        <v>30</v>
      </c>
      <c r="E782" s="11">
        <v>0</v>
      </c>
      <c r="F782" s="12">
        <f t="shared" si="172"/>
        <v>0</v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105" t="s">
        <v>193</v>
      </c>
      <c r="B783" s="105"/>
      <c r="C783" s="105"/>
      <c r="D783" s="105"/>
      <c r="E783" s="19">
        <f>SUM(E771:E782)</f>
        <v>98</v>
      </c>
      <c r="F783" s="19">
        <f>SUM(F771:F782)</f>
        <v>392</v>
      </c>
      <c r="G783" s="18"/>
      <c r="H783" s="18"/>
      <c r="I783" s="18"/>
      <c r="J783" s="18"/>
      <c r="K783" s="18"/>
      <c r="L783" s="72">
        <f>IFERROR(SUM(L771:L782),"")</f>
        <v>1.3888888888888867E-2</v>
      </c>
      <c r="M783" s="19" t="s">
        <v>192</v>
      </c>
      <c r="N783" s="20">
        <v>602090</v>
      </c>
    </row>
    <row r="784" spans="1:14" ht="18" customHeight="1">
      <c r="A784" s="98" t="s">
        <v>194</v>
      </c>
      <c r="B784" s="98"/>
      <c r="C784" s="98"/>
      <c r="D784" s="98"/>
      <c r="E784" s="22">
        <f>E770+E783</f>
        <v>178</v>
      </c>
      <c r="F784" s="22">
        <f>F770+F783</f>
        <v>712</v>
      </c>
      <c r="G784" s="21"/>
      <c r="H784" s="21"/>
      <c r="I784" s="21"/>
      <c r="J784" s="21"/>
      <c r="K784" s="21"/>
      <c r="L784" s="73">
        <f>IFERROR(L770+L783,"")</f>
        <v>0.13263888888888883</v>
      </c>
      <c r="M784" s="22" t="s">
        <v>195</v>
      </c>
      <c r="N784" s="31">
        <f>IFERROR(N770+N783,"")</f>
        <v>911560</v>
      </c>
    </row>
    <row r="785" spans="1:14" ht="15" customHeight="1">
      <c r="A785" s="59">
        <v>46203</v>
      </c>
      <c r="B785" s="15">
        <v>0.33333333333333298</v>
      </c>
      <c r="C785" s="7" t="s">
        <v>21</v>
      </c>
      <c r="D785" s="67" t="s">
        <v>30</v>
      </c>
      <c r="E785" s="11">
        <v>18</v>
      </c>
      <c r="F785" s="93">
        <f>IF(E785="","",E785*4)</f>
        <v>72</v>
      </c>
      <c r="G785" s="67"/>
      <c r="H785" s="67"/>
      <c r="I785" s="67"/>
      <c r="J785" s="13">
        <v>0.44305555555555554</v>
      </c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" t="s">
        <v>21</v>
      </c>
      <c r="D786" s="67" t="s">
        <v>30</v>
      </c>
      <c r="E786" s="11">
        <v>6</v>
      </c>
      <c r="F786" s="80">
        <f>IF(E786="","",E786*4)</f>
        <v>24</v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7" t="s">
        <v>21</v>
      </c>
      <c r="D787" s="67" t="s">
        <v>30</v>
      </c>
      <c r="E787" s="11">
        <v>11</v>
      </c>
      <c r="F787" s="93">
        <f>IF(E787="","",E787*4)</f>
        <v>44</v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" t="s">
        <v>21</v>
      </c>
      <c r="D788" s="67" t="s">
        <v>30</v>
      </c>
      <c r="E788" s="11">
        <v>4</v>
      </c>
      <c r="F788" s="80">
        <f>IF(E788="","",E788*4)</f>
        <v>16</v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7" t="s">
        <v>21</v>
      </c>
      <c r="D789" s="67" t="s">
        <v>30</v>
      </c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" t="s">
        <v>21</v>
      </c>
      <c r="D790" s="67" t="s">
        <v>30</v>
      </c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7" t="s">
        <v>21</v>
      </c>
      <c r="D791" s="67" t="s">
        <v>30</v>
      </c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" t="s">
        <v>21</v>
      </c>
      <c r="D792" s="67" t="s">
        <v>30</v>
      </c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7" t="s">
        <v>21</v>
      </c>
      <c r="D793" s="67" t="s">
        <v>30</v>
      </c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" t="s">
        <v>21</v>
      </c>
      <c r="D794" s="67" t="s">
        <v>30</v>
      </c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7" t="s">
        <v>21</v>
      </c>
      <c r="D795" s="67" t="s">
        <v>30</v>
      </c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" t="s">
        <v>21</v>
      </c>
      <c r="D796" s="67" t="s">
        <v>30</v>
      </c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105" t="s">
        <v>191</v>
      </c>
      <c r="B797" s="105"/>
      <c r="C797" s="105"/>
      <c r="D797" s="105"/>
      <c r="E797" s="19">
        <f>SUM(E785:E796)</f>
        <v>39</v>
      </c>
      <c r="F797" s="19">
        <f>SUM(F785:F796)</f>
        <v>156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192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105" t="s">
        <v>193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192</v>
      </c>
      <c r="N810" s="20"/>
    </row>
    <row r="811" spans="1:14" ht="18" customHeight="1">
      <c r="A811" s="98" t="s">
        <v>194</v>
      </c>
      <c r="B811" s="98"/>
      <c r="C811" s="98"/>
      <c r="D811" s="98"/>
      <c r="E811" s="22">
        <f>E797+E810</f>
        <v>39</v>
      </c>
      <c r="F811" s="22">
        <f>F797+F810</f>
        <v>156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195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783:D783"/>
    <mergeCell ref="A784:D784"/>
    <mergeCell ref="A797:D797"/>
    <mergeCell ref="A810:D810"/>
    <mergeCell ref="A811:D811"/>
    <mergeCell ref="A730:D730"/>
    <mergeCell ref="A743:D743"/>
    <mergeCell ref="A756:D756"/>
    <mergeCell ref="A757:D757"/>
    <mergeCell ref="A770:D770"/>
    <mergeCell ref="A689:D689"/>
    <mergeCell ref="A702:D702"/>
    <mergeCell ref="A703:D703"/>
    <mergeCell ref="A716:D716"/>
    <mergeCell ref="A729:D729"/>
    <mergeCell ref="A648:D648"/>
    <mergeCell ref="A649:D649"/>
    <mergeCell ref="A662:D662"/>
    <mergeCell ref="A675:D675"/>
    <mergeCell ref="A676:D676"/>
    <mergeCell ref="A595:D595"/>
    <mergeCell ref="A608:D608"/>
    <mergeCell ref="A621:D621"/>
    <mergeCell ref="A622:D622"/>
    <mergeCell ref="A635:D635"/>
    <mergeCell ref="A554:D554"/>
    <mergeCell ref="A567:D567"/>
    <mergeCell ref="A568:D568"/>
    <mergeCell ref="A581:D581"/>
    <mergeCell ref="A594:D594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681 I683:I900" xr:uid="{E4D8C6DE-5EAA-4CC4-B2D9-75E053B04982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7E1F6087-2BE4-4999-A02E-8EF8D0FFD49B}">
          <x14:formula1>
            <xm:f>Cadastro!$E$4:$E$10</xm:f>
          </x14:formula1>
          <x14:formula2>
            <xm:f>0</xm:f>
          </x14:formula2>
          <xm:sqref>H682:I682 G762:G900 G2:G760</xm:sqref>
        </x14:dataValidation>
        <x14:dataValidation type="list" allowBlank="1" showErrorMessage="1" errorTitle="Valor inválido" error="Selecione da lista." xr:uid="{315E14AD-77A1-4CF4-8ADF-1E7207CB4CAB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D16F2A10-0B55-4C3D-A1BE-D015F7B1B202}">
          <x14:formula1>
            <xm:f>Cadastro!$A$4:$A$50</xm:f>
          </x14:formula1>
          <x14:formula2>
            <xm:f>0</xm:f>
          </x14:formula2>
          <xm:sqref>D542:D553 C2:C784 C786:C900</xm:sqref>
        </x14:dataValidation>
        <x14:dataValidation type="list" allowBlank="1" showErrorMessage="1" errorTitle="Valor inválido" error="Selecione da lista." xr:uid="{F8CBD7A6-28F7-4DAA-A64A-E5BF2AC04DB4}">
          <x14:formula1>
            <xm:f>Cadastro!$C$4:$C$10</xm:f>
          </x14:formula1>
          <x14:formula2>
            <xm:f>0</xm:f>
          </x14:formula2>
          <xm:sqref>D2:D900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tabSelected="1" zoomScale="80" zoomScaleNormal="80" workbookViewId="0">
      <pane ySplit="1" topLeftCell="A763" activePane="bottomLeft" state="frozen"/>
      <selection pane="bottomLeft" activeCell="J786" sqref="J786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181</v>
      </c>
      <c r="C1" s="8" t="s">
        <v>12</v>
      </c>
      <c r="D1" s="8" t="s">
        <v>13</v>
      </c>
      <c r="E1" s="8" t="s">
        <v>182</v>
      </c>
      <c r="F1" s="8" t="s">
        <v>306</v>
      </c>
      <c r="G1" s="8" t="s">
        <v>14</v>
      </c>
      <c r="H1" s="8" t="s">
        <v>15</v>
      </c>
      <c r="I1" s="8" t="s">
        <v>184</v>
      </c>
      <c r="J1" s="8" t="s">
        <v>185</v>
      </c>
      <c r="K1" s="8" t="s">
        <v>186</v>
      </c>
      <c r="L1" s="69" t="s">
        <v>187</v>
      </c>
      <c r="M1" s="8" t="s">
        <v>188</v>
      </c>
      <c r="N1" s="8" t="s">
        <v>189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191</v>
      </c>
      <c r="B14" s="105"/>
      <c r="C14" s="105"/>
      <c r="D14" s="105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192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193</v>
      </c>
      <c r="B27" s="105"/>
      <c r="C27" s="105"/>
      <c r="D27" s="105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192</v>
      </c>
      <c r="N27" s="20"/>
    </row>
    <row r="28" spans="1:14" ht="18" customHeight="1">
      <c r="A28" s="98" t="s">
        <v>194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195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191</v>
      </c>
      <c r="B41" s="105"/>
      <c r="C41" s="105"/>
      <c r="D41" s="105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192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193</v>
      </c>
      <c r="B54" s="105"/>
      <c r="C54" s="105"/>
      <c r="D54" s="105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192</v>
      </c>
      <c r="N54" s="20"/>
    </row>
    <row r="55" spans="1:14" ht="18" customHeight="1">
      <c r="A55" s="98" t="s">
        <v>194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195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191</v>
      </c>
      <c r="B68" s="105"/>
      <c r="C68" s="105"/>
      <c r="D68" s="105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192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135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126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307</v>
      </c>
      <c r="I80" s="10" t="s">
        <v>235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105" t="s">
        <v>193</v>
      </c>
      <c r="B81" s="105"/>
      <c r="C81" s="105"/>
      <c r="D81" s="105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192</v>
      </c>
      <c r="N81" s="20">
        <v>206440</v>
      </c>
    </row>
    <row r="82" spans="1:14" ht="18" customHeight="1">
      <c r="A82" s="98" t="s">
        <v>194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195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191</v>
      </c>
      <c r="B95" s="105"/>
      <c r="C95" s="105"/>
      <c r="D95" s="105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192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193</v>
      </c>
      <c r="B108" s="105"/>
      <c r="C108" s="105"/>
      <c r="D108" s="105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192</v>
      </c>
      <c r="N108" s="20"/>
    </row>
    <row r="109" spans="1:14" ht="18" customHeight="1">
      <c r="A109" s="98" t="s">
        <v>194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195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191</v>
      </c>
      <c r="B122" s="105"/>
      <c r="C122" s="105"/>
      <c r="D122" s="105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192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193</v>
      </c>
      <c r="B135" s="105"/>
      <c r="C135" s="105"/>
      <c r="D135" s="105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192</v>
      </c>
      <c r="N135" s="20"/>
    </row>
    <row r="136" spans="1:14" ht="18" customHeight="1">
      <c r="A136" s="98" t="s">
        <v>194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195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191</v>
      </c>
      <c r="B149" s="105"/>
      <c r="C149" s="105"/>
      <c r="D149" s="105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192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193</v>
      </c>
      <c r="B162" s="105"/>
      <c r="C162" s="105"/>
      <c r="D162" s="105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192</v>
      </c>
      <c r="N162" s="20">
        <v>0</v>
      </c>
    </row>
    <row r="163" spans="1:14" ht="18" customHeight="1">
      <c r="A163" s="98" t="s">
        <v>194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195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191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192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193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192</v>
      </c>
      <c r="N189" s="20">
        <v>0</v>
      </c>
    </row>
    <row r="190" spans="1:14" ht="18" customHeight="1">
      <c r="A190" s="98" t="s">
        <v>194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195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191</v>
      </c>
      <c r="B203" s="105"/>
      <c r="C203" s="105"/>
      <c r="D203" s="105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192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105" t="s">
        <v>193</v>
      </c>
      <c r="B216" s="105"/>
      <c r="C216" s="105"/>
      <c r="D216" s="105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192</v>
      </c>
      <c r="N216" s="20"/>
    </row>
    <row r="217" spans="1:14" ht="18" customHeight="1">
      <c r="A217" s="98" t="s">
        <v>194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195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135</v>
      </c>
      <c r="I218" s="10" t="s">
        <v>142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105" t="s">
        <v>191</v>
      </c>
      <c r="B230" s="105"/>
      <c r="C230" s="105"/>
      <c r="D230" s="105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192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105" t="s">
        <v>193</v>
      </c>
      <c r="B243" s="105"/>
      <c r="C243" s="105"/>
      <c r="D243" s="105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192</v>
      </c>
      <c r="N243" s="20">
        <v>180000</v>
      </c>
    </row>
    <row r="244" spans="1:14" ht="18" customHeight="1">
      <c r="A244" s="98" t="s">
        <v>194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195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135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308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135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308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105" t="s">
        <v>191</v>
      </c>
      <c r="B257" s="105"/>
      <c r="C257" s="105"/>
      <c r="D257" s="105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192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123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246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105" t="s">
        <v>193</v>
      </c>
      <c r="B270" s="105"/>
      <c r="C270" s="105"/>
      <c r="D270" s="105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192</v>
      </c>
      <c r="N270" s="20">
        <f>103170+137770</f>
        <v>240940</v>
      </c>
    </row>
    <row r="271" spans="1:14" ht="18" customHeight="1">
      <c r="A271" s="98" t="s">
        <v>194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195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141</v>
      </c>
      <c r="I276" s="10" t="s">
        <v>126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105" t="s">
        <v>191</v>
      </c>
      <c r="B284" s="105"/>
      <c r="C284" s="105"/>
      <c r="D284" s="105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192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309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105" t="s">
        <v>193</v>
      </c>
      <c r="B297" s="105"/>
      <c r="C297" s="105"/>
      <c r="D297" s="105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192</v>
      </c>
      <c r="N297" s="20">
        <f>110740+118380</f>
        <v>229120</v>
      </c>
    </row>
    <row r="298" spans="1:14" ht="18" customHeight="1">
      <c r="A298" s="98" t="s">
        <v>194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195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310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105" t="s">
        <v>191</v>
      </c>
      <c r="B311" s="105"/>
      <c r="C311" s="105"/>
      <c r="D311" s="105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192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311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253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105" t="s">
        <v>193</v>
      </c>
      <c r="B324" s="105"/>
      <c r="C324" s="105"/>
      <c r="D324" s="105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192</v>
      </c>
      <c r="N324" s="20">
        <f>119730+227060</f>
        <v>346790</v>
      </c>
    </row>
    <row r="325" spans="1:14" ht="18" customHeight="1">
      <c r="A325" s="98" t="s">
        <v>194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195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112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105" t="s">
        <v>191</v>
      </c>
      <c r="B338" s="105"/>
      <c r="C338" s="105"/>
      <c r="D338" s="105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192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147</v>
      </c>
      <c r="I344" s="10" t="s">
        <v>114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147</v>
      </c>
      <c r="I345" s="16" t="s">
        <v>114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111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258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105" t="s">
        <v>193</v>
      </c>
      <c r="B351" s="105"/>
      <c r="C351" s="105"/>
      <c r="D351" s="105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192</v>
      </c>
      <c r="N351" s="20">
        <f>50730+24450</f>
        <v>75180</v>
      </c>
    </row>
    <row r="352" spans="1:14" ht="18" customHeight="1">
      <c r="A352" s="98" t="s">
        <v>194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195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261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312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105" t="s">
        <v>191</v>
      </c>
      <c r="B365" s="105"/>
      <c r="C365" s="105"/>
      <c r="D365" s="105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192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147</v>
      </c>
      <c r="I366" s="10" t="s">
        <v>114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105" t="s">
        <v>193</v>
      </c>
      <c r="B378" s="105"/>
      <c r="C378" s="105"/>
      <c r="D378" s="105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192</v>
      </c>
      <c r="N378" s="20">
        <f>151130+160740</f>
        <v>311870</v>
      </c>
    </row>
    <row r="379" spans="1:14" ht="18" customHeight="1">
      <c r="A379" s="98" t="s">
        <v>194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195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191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192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105" t="s">
        <v>193</v>
      </c>
      <c r="B405" s="105"/>
      <c r="C405" s="105"/>
      <c r="D405" s="105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192</v>
      </c>
      <c r="N405" s="20">
        <v>340530</v>
      </c>
    </row>
    <row r="406" spans="1:14" ht="18" customHeight="1">
      <c r="A406" s="98" t="s">
        <v>194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195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105" t="s">
        <v>191</v>
      </c>
      <c r="B419" s="105"/>
      <c r="C419" s="105"/>
      <c r="D419" s="105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192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147</v>
      </c>
      <c r="I423" s="16" t="s">
        <v>114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147</v>
      </c>
      <c r="I431" s="16" t="s">
        <v>114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105" t="s">
        <v>193</v>
      </c>
      <c r="B432" s="105"/>
      <c r="C432" s="105"/>
      <c r="D432" s="105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192</v>
      </c>
      <c r="N432" s="20">
        <v>169230</v>
      </c>
    </row>
    <row r="433" spans="1:14" ht="18" customHeight="1">
      <c r="A433" s="98" t="s">
        <v>194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195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313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271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105" t="s">
        <v>191</v>
      </c>
      <c r="B446" s="105"/>
      <c r="C446" s="105"/>
      <c r="D446" s="105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192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314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149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105" t="s">
        <v>193</v>
      </c>
      <c r="B459" s="105"/>
      <c r="C459" s="105"/>
      <c r="D459" s="105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192</v>
      </c>
      <c r="N459" s="20">
        <v>221750</v>
      </c>
    </row>
    <row r="460" spans="1:14" ht="18" customHeight="1">
      <c r="A460" s="98" t="s">
        <v>194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195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115</v>
      </c>
      <c r="I464" s="10" t="s">
        <v>273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275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275</v>
      </c>
      <c r="N472" s="30"/>
    </row>
    <row r="473" spans="1:14" ht="15.75" customHeight="1">
      <c r="A473" s="105" t="s">
        <v>191</v>
      </c>
      <c r="B473" s="105"/>
      <c r="C473" s="105"/>
      <c r="D473" s="105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192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105" t="s">
        <v>193</v>
      </c>
      <c r="B486" s="105"/>
      <c r="C486" s="105"/>
      <c r="D486" s="105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192</v>
      </c>
      <c r="N486" s="20">
        <v>240000</v>
      </c>
    </row>
    <row r="487" spans="1:14" ht="18" customHeight="1">
      <c r="A487" s="98" t="s">
        <v>194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195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105" t="s">
        <v>191</v>
      </c>
      <c r="B500" s="105"/>
      <c r="C500" s="105"/>
      <c r="D500" s="105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192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105" t="s">
        <v>193</v>
      </c>
      <c r="B513" s="105"/>
      <c r="C513" s="105"/>
      <c r="D513" s="105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192</v>
      </c>
      <c r="N513" s="20">
        <v>3930</v>
      </c>
    </row>
    <row r="514" spans="1:14" ht="18" customHeight="1">
      <c r="A514" s="98" t="s">
        <v>194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195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105" t="s">
        <v>191</v>
      </c>
      <c r="B527" s="105"/>
      <c r="C527" s="105"/>
      <c r="D527" s="105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192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141</v>
      </c>
      <c r="I528" s="10" t="s">
        <v>126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315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281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149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105" t="s">
        <v>193</v>
      </c>
      <c r="B540" s="105"/>
      <c r="C540" s="105"/>
      <c r="D540" s="105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192</v>
      </c>
      <c r="N540" s="20">
        <v>304230</v>
      </c>
    </row>
    <row r="541" spans="1:14" ht="18" customHeight="1">
      <c r="A541" s="98" t="s">
        <v>194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195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269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105" t="s">
        <v>191</v>
      </c>
      <c r="B554" s="105"/>
      <c r="C554" s="105"/>
      <c r="D554" s="105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192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130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130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105" t="s">
        <v>193</v>
      </c>
      <c r="B567" s="105"/>
      <c r="C567" s="105"/>
      <c r="D567" s="105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192</v>
      </c>
      <c r="N567" s="20">
        <v>437260</v>
      </c>
    </row>
    <row r="568" spans="1:14" ht="18" customHeight="1">
      <c r="A568" s="98" t="s">
        <v>194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195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159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316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161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105" t="s">
        <v>191</v>
      </c>
      <c r="B581" s="105"/>
      <c r="C581" s="105"/>
      <c r="D581" s="105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192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127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317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127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253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105" t="s">
        <v>193</v>
      </c>
      <c r="B594" s="105"/>
      <c r="C594" s="105"/>
      <c r="D594" s="105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192</v>
      </c>
      <c r="N594" s="20">
        <v>269570</v>
      </c>
    </row>
    <row r="595" spans="1:14" ht="18" customHeight="1">
      <c r="A595" s="98" t="s">
        <v>194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195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148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159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105" t="s">
        <v>191</v>
      </c>
      <c r="B608" s="105"/>
      <c r="C608" s="105"/>
      <c r="D608" s="105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192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123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163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162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318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105" t="s">
        <v>193</v>
      </c>
      <c r="B621" s="105"/>
      <c r="C621" s="105"/>
      <c r="D621" s="105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192</v>
      </c>
      <c r="N621" s="20">
        <v>176650</v>
      </c>
    </row>
    <row r="622" spans="1:14" ht="18" customHeight="1">
      <c r="A622" s="98" t="s">
        <v>194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195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319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105" t="s">
        <v>191</v>
      </c>
      <c r="B635" s="105"/>
      <c r="C635" s="105"/>
      <c r="D635" s="105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192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320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105" t="s">
        <v>193</v>
      </c>
      <c r="B648" s="105"/>
      <c r="C648" s="105"/>
      <c r="D648" s="105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192</v>
      </c>
      <c r="N648" s="20">
        <f>154590+56700</f>
        <v>211290</v>
      </c>
    </row>
    <row r="649" spans="1:14" ht="18" customHeight="1">
      <c r="A649" s="98" t="s">
        <v>194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195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130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105" t="s">
        <v>191</v>
      </c>
      <c r="B662" s="105"/>
      <c r="C662" s="105"/>
      <c r="D662" s="105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192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123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105" t="s">
        <v>193</v>
      </c>
      <c r="B675" s="105"/>
      <c r="C675" s="105"/>
      <c r="D675" s="105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192</v>
      </c>
      <c r="N675" s="20">
        <v>234010</v>
      </c>
    </row>
    <row r="676" spans="1:14" ht="18" customHeight="1">
      <c r="A676" s="98" t="s">
        <v>194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195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159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321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169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105" t="s">
        <v>191</v>
      </c>
      <c r="B689" s="105"/>
      <c r="C689" s="105"/>
      <c r="D689" s="105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192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123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105" t="s">
        <v>193</v>
      </c>
      <c r="B702" s="105"/>
      <c r="C702" s="105"/>
      <c r="D702" s="105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192</v>
      </c>
      <c r="N702" s="20">
        <f>151740+85690</f>
        <v>237430</v>
      </c>
    </row>
    <row r="703" spans="1:14" ht="18" customHeight="1">
      <c r="A703" s="98" t="s">
        <v>194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195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223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105" t="s">
        <v>191</v>
      </c>
      <c r="B716" s="105"/>
      <c r="C716" s="105"/>
      <c r="D716" s="105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192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105" t="s">
        <v>193</v>
      </c>
      <c r="B729" s="105"/>
      <c r="C729" s="105"/>
      <c r="D729" s="105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192</v>
      </c>
      <c r="N729" s="20">
        <v>377030</v>
      </c>
    </row>
    <row r="730" spans="1:14" ht="18" customHeight="1">
      <c r="A730" s="98" t="s">
        <v>194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195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302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322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30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30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30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30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30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6" t="s">
        <v>30</v>
      </c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105" t="s">
        <v>191</v>
      </c>
      <c r="B743" s="105"/>
      <c r="C743" s="105"/>
      <c r="D743" s="105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192</v>
      </c>
      <c r="N743" s="20">
        <v>180990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7</v>
      </c>
      <c r="F744" s="12">
        <f t="shared" ref="F744:F755" si="165">IF(E744="","",E744*4)</f>
        <v>28</v>
      </c>
      <c r="G744" s="10" t="s">
        <v>17</v>
      </c>
      <c r="H744" s="10" t="s">
        <v>90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6">IFERROR(IF(K744="","",IF(K744&gt;=J744,K744-J744,K744+1-J744)),"")</f>
        <v>6.944444444444442E-2</v>
      </c>
      <c r="M744" s="11" t="s">
        <v>303</v>
      </c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5"/>
        <v>0</v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>
        <v>0</v>
      </c>
      <c r="F746" s="12">
        <f t="shared" si="165"/>
        <v>0</v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>
        <v>3</v>
      </c>
      <c r="F747" s="17">
        <f t="shared" si="165"/>
        <v>12</v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>
        <v>4</v>
      </c>
      <c r="F748" s="12">
        <f t="shared" si="165"/>
        <v>16</v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>
        <v>5</v>
      </c>
      <c r="F749" s="17">
        <f t="shared" si="165"/>
        <v>20</v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>
        <v>4</v>
      </c>
      <c r="F750" s="12">
        <f t="shared" si="165"/>
        <v>16</v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>
        <v>6</v>
      </c>
      <c r="F751" s="17">
        <f t="shared" si="165"/>
        <v>24</v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>
        <v>3</v>
      </c>
      <c r="F752" s="12">
        <f t="shared" si="165"/>
        <v>12</v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>
        <v>3</v>
      </c>
      <c r="F753" s="17">
        <f t="shared" si="165"/>
        <v>12</v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>
        <v>6</v>
      </c>
      <c r="F754" s="12">
        <f t="shared" si="165"/>
        <v>24</v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>
        <v>0</v>
      </c>
      <c r="F755" s="17">
        <f t="shared" si="165"/>
        <v>0</v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105" t="s">
        <v>193</v>
      </c>
      <c r="B756" s="105"/>
      <c r="C756" s="105"/>
      <c r="D756" s="105"/>
      <c r="E756" s="19">
        <f>SUM(E744:E755)</f>
        <v>41</v>
      </c>
      <c r="F756" s="19">
        <f>SUM(F744:F755)</f>
        <v>164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192</v>
      </c>
      <c r="N756" s="20">
        <v>265090</v>
      </c>
    </row>
    <row r="757" spans="1:14" ht="18" customHeight="1">
      <c r="A757" s="98" t="s">
        <v>194</v>
      </c>
      <c r="B757" s="98"/>
      <c r="C757" s="98"/>
      <c r="D757" s="98"/>
      <c r="E757" s="22">
        <f>E743+E756</f>
        <v>82</v>
      </c>
      <c r="F757" s="22">
        <f>F743+F756</f>
        <v>328</v>
      </c>
      <c r="G757" s="21"/>
      <c r="H757" s="21"/>
      <c r="I757" s="21"/>
      <c r="J757" s="21"/>
      <c r="K757" s="21"/>
      <c r="L757" s="73">
        <f>IFERROR(L743+L756,"")</f>
        <v>0.29305555555555562</v>
      </c>
      <c r="M757" s="22" t="s">
        <v>195</v>
      </c>
      <c r="N757" s="31">
        <f>IFERROR(N743+N756,"")</f>
        <v>446080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38</v>
      </c>
      <c r="E758" s="11">
        <v>4</v>
      </c>
      <c r="F758" s="12">
        <f t="shared" ref="F758:F769" si="168">IF(E758="","",E758*4)</f>
        <v>16</v>
      </c>
      <c r="G758" s="10" t="s">
        <v>17</v>
      </c>
      <c r="H758" s="10" t="s">
        <v>47</v>
      </c>
      <c r="I758" s="10" t="s">
        <v>49</v>
      </c>
      <c r="J758" s="13">
        <v>0.46388888888888891</v>
      </c>
      <c r="K758" s="13">
        <v>0.54374999999999996</v>
      </c>
      <c r="L758" s="70">
        <f t="shared" ref="L758:L769" si="169">IFERROR(IF(K758="","",IF(K758&gt;=J758,K758-J758,K758+1-J758)),"")</f>
        <v>7.9861111111111049E-2</v>
      </c>
      <c r="M758" s="11" t="s">
        <v>323</v>
      </c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0" t="s">
        <v>21</v>
      </c>
      <c r="D759" s="10" t="s">
        <v>38</v>
      </c>
      <c r="E759" s="11">
        <v>9</v>
      </c>
      <c r="F759" s="17">
        <f t="shared" si="168"/>
        <v>36</v>
      </c>
      <c r="G759" s="16" t="s">
        <v>20</v>
      </c>
      <c r="H759" s="16" t="s">
        <v>47</v>
      </c>
      <c r="I759" s="16" t="s">
        <v>28</v>
      </c>
      <c r="J759" s="13">
        <v>0.68472222222222223</v>
      </c>
      <c r="K759" s="13">
        <v>0.73611111111111116</v>
      </c>
      <c r="L759" s="71">
        <f t="shared" si="169"/>
        <v>5.1388888888888928E-2</v>
      </c>
      <c r="M759" s="11" t="s">
        <v>324</v>
      </c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 t="s">
        <v>21</v>
      </c>
      <c r="D760" s="10" t="s">
        <v>38</v>
      </c>
      <c r="E760" s="11">
        <v>6</v>
      </c>
      <c r="F760" s="12">
        <f t="shared" si="168"/>
        <v>24</v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0" t="s">
        <v>21</v>
      </c>
      <c r="D761" s="10" t="s">
        <v>38</v>
      </c>
      <c r="E761" s="11">
        <v>4</v>
      </c>
      <c r="F761" s="17">
        <f t="shared" si="168"/>
        <v>16</v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 t="s">
        <v>21</v>
      </c>
      <c r="D762" s="10" t="s">
        <v>38</v>
      </c>
      <c r="E762" s="11">
        <v>0</v>
      </c>
      <c r="F762" s="12">
        <f t="shared" si="168"/>
        <v>0</v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0" t="s">
        <v>21</v>
      </c>
      <c r="D763" s="10" t="s">
        <v>38</v>
      </c>
      <c r="E763" s="11">
        <v>4</v>
      </c>
      <c r="F763" s="17">
        <f t="shared" si="168"/>
        <v>16</v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 t="s">
        <v>21</v>
      </c>
      <c r="D764" s="10" t="s">
        <v>38</v>
      </c>
      <c r="E764" s="11">
        <v>7</v>
      </c>
      <c r="F764" s="12">
        <f t="shared" si="168"/>
        <v>28</v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0" t="s">
        <v>21</v>
      </c>
      <c r="D765" s="10" t="s">
        <v>38</v>
      </c>
      <c r="E765" s="11">
        <v>7</v>
      </c>
      <c r="F765" s="17">
        <f t="shared" si="168"/>
        <v>28</v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 t="s">
        <v>21</v>
      </c>
      <c r="D766" s="10" t="s">
        <v>38</v>
      </c>
      <c r="E766" s="11">
        <v>9</v>
      </c>
      <c r="F766" s="12">
        <f t="shared" si="168"/>
        <v>36</v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0" t="s">
        <v>21</v>
      </c>
      <c r="D767" s="10" t="s">
        <v>38</v>
      </c>
      <c r="E767" s="11">
        <v>3</v>
      </c>
      <c r="F767" s="17">
        <f t="shared" si="168"/>
        <v>12</v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 t="s">
        <v>21</v>
      </c>
      <c r="D768" s="10" t="s">
        <v>38</v>
      </c>
      <c r="E768" s="11">
        <v>4</v>
      </c>
      <c r="F768" s="12">
        <f t="shared" si="168"/>
        <v>16</v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0" t="s">
        <v>21</v>
      </c>
      <c r="D769" s="10" t="s">
        <v>38</v>
      </c>
      <c r="E769" s="11">
        <v>3</v>
      </c>
      <c r="F769" s="17">
        <f t="shared" si="168"/>
        <v>12</v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105" t="s">
        <v>191</v>
      </c>
      <c r="B770" s="105"/>
      <c r="C770" s="105"/>
      <c r="D770" s="105"/>
      <c r="E770" s="19">
        <f>SUM(E758:E769)</f>
        <v>60</v>
      </c>
      <c r="F770" s="19">
        <f>SUM(F758:F769)</f>
        <v>240</v>
      </c>
      <c r="G770" s="18"/>
      <c r="H770" s="18"/>
      <c r="I770" s="18"/>
      <c r="J770" s="18"/>
      <c r="K770" s="18"/>
      <c r="L770" s="72">
        <f>IFERROR(SUM(L758:L769),"")</f>
        <v>0.13124999999999998</v>
      </c>
      <c r="M770" s="19" t="s">
        <v>192</v>
      </c>
      <c r="N770" s="20">
        <v>216400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8</v>
      </c>
      <c r="F771" s="17">
        <f t="shared" ref="F771:F782" si="171">IF(E771="","",E771*4)</f>
        <v>32</v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6" t="s">
        <v>45</v>
      </c>
      <c r="D772" s="16" t="s">
        <v>30</v>
      </c>
      <c r="E772" s="11">
        <v>0</v>
      </c>
      <c r="F772" s="12">
        <f t="shared" si="171"/>
        <v>0</v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 t="s">
        <v>45</v>
      </c>
      <c r="D773" s="16" t="s">
        <v>30</v>
      </c>
      <c r="E773" s="11">
        <v>4</v>
      </c>
      <c r="F773" s="17">
        <f t="shared" si="171"/>
        <v>16</v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6" t="s">
        <v>45</v>
      </c>
      <c r="D774" s="16" t="s">
        <v>30</v>
      </c>
      <c r="E774" s="11">
        <v>4</v>
      </c>
      <c r="F774" s="12">
        <f t="shared" si="171"/>
        <v>16</v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 t="s">
        <v>45</v>
      </c>
      <c r="D775" s="16" t="s">
        <v>30</v>
      </c>
      <c r="E775" s="11">
        <v>4</v>
      </c>
      <c r="F775" s="17">
        <f t="shared" si="171"/>
        <v>16</v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6" t="s">
        <v>45</v>
      </c>
      <c r="D776" s="16" t="s">
        <v>30</v>
      </c>
      <c r="E776" s="11">
        <v>2</v>
      </c>
      <c r="F776" s="12">
        <f t="shared" si="171"/>
        <v>8</v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 t="s">
        <v>45</v>
      </c>
      <c r="D777" s="16" t="s">
        <v>30</v>
      </c>
      <c r="E777" s="11">
        <v>8</v>
      </c>
      <c r="F777" s="17">
        <f t="shared" si="171"/>
        <v>32</v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6" t="s">
        <v>45</v>
      </c>
      <c r="D778" s="16" t="s">
        <v>30</v>
      </c>
      <c r="E778" s="11">
        <v>3</v>
      </c>
      <c r="F778" s="12">
        <f t="shared" si="171"/>
        <v>12</v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 t="s">
        <v>45</v>
      </c>
      <c r="D779" s="16" t="s">
        <v>30</v>
      </c>
      <c r="E779" s="11">
        <v>4</v>
      </c>
      <c r="F779" s="17">
        <f t="shared" si="171"/>
        <v>16</v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6" t="s">
        <v>45</v>
      </c>
      <c r="D780" s="16" t="s">
        <v>30</v>
      </c>
      <c r="E780" s="11">
        <v>5</v>
      </c>
      <c r="F780" s="12">
        <f t="shared" si="171"/>
        <v>20</v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 t="s">
        <v>45</v>
      </c>
      <c r="D781" s="16" t="s">
        <v>30</v>
      </c>
      <c r="E781" s="11">
        <v>15</v>
      </c>
      <c r="F781" s="17">
        <f t="shared" si="171"/>
        <v>60</v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6" t="s">
        <v>45</v>
      </c>
      <c r="D782" s="16" t="s">
        <v>30</v>
      </c>
      <c r="E782" s="11">
        <v>3</v>
      </c>
      <c r="F782" s="12">
        <f t="shared" si="171"/>
        <v>12</v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105" t="s">
        <v>193</v>
      </c>
      <c r="B783" s="105"/>
      <c r="C783" s="105"/>
      <c r="D783" s="105"/>
      <c r="E783" s="19">
        <f>SUM(E771:E782)</f>
        <v>60</v>
      </c>
      <c r="F783" s="19">
        <f>SUM(F771:F782)</f>
        <v>240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192</v>
      </c>
      <c r="N783" s="20">
        <v>357910</v>
      </c>
    </row>
    <row r="784" spans="1:14" ht="18" customHeight="1">
      <c r="A784" s="98" t="s">
        <v>194</v>
      </c>
      <c r="B784" s="98"/>
      <c r="C784" s="98"/>
      <c r="D784" s="98"/>
      <c r="E784" s="22">
        <f>E770+E783</f>
        <v>120</v>
      </c>
      <c r="F784" s="22">
        <f>F770+F783</f>
        <v>480</v>
      </c>
      <c r="G784" s="21"/>
      <c r="H784" s="21"/>
      <c r="I784" s="21"/>
      <c r="J784" s="21"/>
      <c r="K784" s="21"/>
      <c r="L784" s="73">
        <f>IFERROR(L770+L783,"")</f>
        <v>0.13124999999999998</v>
      </c>
      <c r="M784" s="22" t="s">
        <v>195</v>
      </c>
      <c r="N784" s="31">
        <f>IFERROR(N770+N783,"")</f>
        <v>574310</v>
      </c>
    </row>
    <row r="785" spans="1:14" ht="15" customHeight="1">
      <c r="A785" s="59">
        <v>46203</v>
      </c>
      <c r="B785" s="15">
        <v>0.33333333333333298</v>
      </c>
      <c r="C785" s="67" t="s">
        <v>21</v>
      </c>
      <c r="D785" s="67" t="s">
        <v>38</v>
      </c>
      <c r="E785" s="11">
        <v>7</v>
      </c>
      <c r="F785" s="93">
        <f>IF(E785="","",E785*4)</f>
        <v>28</v>
      </c>
      <c r="G785" s="67" t="s">
        <v>20</v>
      </c>
      <c r="H785" s="67" t="s">
        <v>47</v>
      </c>
      <c r="I785" s="67" t="s">
        <v>28</v>
      </c>
      <c r="J785" s="13">
        <v>0.35069444444444442</v>
      </c>
      <c r="K785" s="13">
        <v>0.37222222222222223</v>
      </c>
      <c r="L785" s="86">
        <f t="shared" ref="L785:L796" si="174">IFERROR(IF(K785="","",IF(K785&gt;=J785,K785-J785,K785+1-J785)),"")</f>
        <v>2.1527777777777812E-2</v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 t="s">
        <v>21</v>
      </c>
      <c r="D786" s="67" t="s">
        <v>38</v>
      </c>
      <c r="E786" s="11">
        <v>0</v>
      </c>
      <c r="F786" s="80">
        <f>IF(E786="","",E786*4)</f>
        <v>0</v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 t="s">
        <v>21</v>
      </c>
      <c r="D787" s="67" t="s">
        <v>38</v>
      </c>
      <c r="E787" s="11">
        <v>4</v>
      </c>
      <c r="F787" s="93">
        <f>IF(E787="","",E787*4)</f>
        <v>16</v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 t="s">
        <v>21</v>
      </c>
      <c r="D788" s="67" t="s">
        <v>38</v>
      </c>
      <c r="E788" s="11">
        <v>3</v>
      </c>
      <c r="F788" s="80">
        <f>IF(E788="","",E788*4)</f>
        <v>12</v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 t="s">
        <v>21</v>
      </c>
      <c r="D789" s="67" t="s">
        <v>38</v>
      </c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 t="s">
        <v>21</v>
      </c>
      <c r="D790" s="67" t="s">
        <v>38</v>
      </c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 t="s">
        <v>21</v>
      </c>
      <c r="D791" s="67" t="s">
        <v>38</v>
      </c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 t="s">
        <v>21</v>
      </c>
      <c r="D792" s="67" t="s">
        <v>38</v>
      </c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 t="s">
        <v>21</v>
      </c>
      <c r="D793" s="67" t="s">
        <v>38</v>
      </c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 t="s">
        <v>21</v>
      </c>
      <c r="D794" s="67" t="s">
        <v>38</v>
      </c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 t="s">
        <v>21</v>
      </c>
      <c r="D795" s="67" t="s">
        <v>38</v>
      </c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 t="s">
        <v>21</v>
      </c>
      <c r="D796" s="67" t="s">
        <v>38</v>
      </c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105" t="s">
        <v>191</v>
      </c>
      <c r="B797" s="105"/>
      <c r="C797" s="105"/>
      <c r="D797" s="105"/>
      <c r="E797" s="19">
        <f>SUM(E785:E796)</f>
        <v>14</v>
      </c>
      <c r="F797" s="19">
        <f>SUM(F785:F796)</f>
        <v>56</v>
      </c>
      <c r="G797" s="18"/>
      <c r="H797" s="18"/>
      <c r="I797" s="18"/>
      <c r="J797" s="18"/>
      <c r="K797" s="18"/>
      <c r="L797" s="72">
        <f>IFERROR(SUM(L785:L796),"")</f>
        <v>2.1527777777777812E-2</v>
      </c>
      <c r="M797" s="19" t="s">
        <v>192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105" t="s">
        <v>193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192</v>
      </c>
      <c r="N810" s="20"/>
    </row>
    <row r="811" spans="1:14" ht="18" customHeight="1">
      <c r="A811" s="98" t="s">
        <v>194</v>
      </c>
      <c r="B811" s="98"/>
      <c r="C811" s="98"/>
      <c r="D811" s="98"/>
      <c r="E811" s="22">
        <f>E797+E810</f>
        <v>14</v>
      </c>
      <c r="F811" s="22">
        <f>F797+F810</f>
        <v>56</v>
      </c>
      <c r="G811" s="21"/>
      <c r="H811" s="21"/>
      <c r="I811" s="21"/>
      <c r="J811" s="21"/>
      <c r="K811" s="21"/>
      <c r="L811" s="73">
        <f>IFERROR(L797+L810,"")</f>
        <v>2.1527777777777812E-2</v>
      </c>
      <c r="M811" s="22" t="s">
        <v>195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32:D432"/>
    <mergeCell ref="A433:D433"/>
    <mergeCell ref="A446:D446"/>
    <mergeCell ref="A459:D459"/>
    <mergeCell ref="A460:D460"/>
    <mergeCell ref="A378:D378"/>
    <mergeCell ref="A379:D379"/>
    <mergeCell ref="A405:D405"/>
    <mergeCell ref="A406:D406"/>
    <mergeCell ref="A419:D419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763" activePane="bottomLeft" state="frozen"/>
      <selection pane="bottomLeft" activeCell="J786" sqref="J786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181</v>
      </c>
      <c r="C1" s="8" t="s">
        <v>12</v>
      </c>
      <c r="D1" s="57" t="s">
        <v>13</v>
      </c>
      <c r="E1" s="8" t="s">
        <v>182</v>
      </c>
      <c r="F1" s="8" t="s">
        <v>325</v>
      </c>
      <c r="G1" s="8" t="s">
        <v>14</v>
      </c>
      <c r="H1" s="8" t="s">
        <v>15</v>
      </c>
      <c r="I1" s="8" t="s">
        <v>184</v>
      </c>
      <c r="J1" s="8" t="s">
        <v>185</v>
      </c>
      <c r="K1" s="8" t="s">
        <v>186</v>
      </c>
      <c r="L1" s="69" t="s">
        <v>187</v>
      </c>
      <c r="M1" s="8" t="s">
        <v>188</v>
      </c>
      <c r="N1" s="8" t="s">
        <v>189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326</v>
      </c>
      <c r="I2" s="10" t="s">
        <v>327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326</v>
      </c>
      <c r="I3" s="16" t="s">
        <v>327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326</v>
      </c>
      <c r="I4" s="10" t="s">
        <v>327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326</v>
      </c>
      <c r="I5" s="16" t="s">
        <v>327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326</v>
      </c>
      <c r="I6" s="10" t="s">
        <v>327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326</v>
      </c>
      <c r="I7" s="16" t="s">
        <v>327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326</v>
      </c>
      <c r="I8" s="10" t="s">
        <v>327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326</v>
      </c>
      <c r="I9" s="16" t="s">
        <v>327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326</v>
      </c>
      <c r="I10" s="10" t="s">
        <v>327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326</v>
      </c>
      <c r="I11" s="16" t="s">
        <v>327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326</v>
      </c>
      <c r="I12" s="10" t="s">
        <v>327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326</v>
      </c>
      <c r="I13" s="16" t="s">
        <v>327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191</v>
      </c>
      <c r="B14" s="105"/>
      <c r="C14" s="105"/>
      <c r="D14" s="105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192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126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124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124</v>
      </c>
      <c r="I24" s="10" t="s">
        <v>328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193</v>
      </c>
      <c r="B27" s="105"/>
      <c r="C27" s="105"/>
      <c r="D27" s="105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192</v>
      </c>
      <c r="N27" s="20">
        <v>537710</v>
      </c>
    </row>
    <row r="28" spans="1:14" ht="18" customHeight="1">
      <c r="A28" s="98" t="s">
        <v>194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195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329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330</v>
      </c>
      <c r="I33" s="16" t="s">
        <v>331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190</v>
      </c>
      <c r="H36" s="10" t="s">
        <v>332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191</v>
      </c>
      <c r="B41" s="105"/>
      <c r="C41" s="105"/>
      <c r="D41" s="105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192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126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235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193</v>
      </c>
      <c r="B54" s="105"/>
      <c r="C54" s="105"/>
      <c r="D54" s="105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192</v>
      </c>
      <c r="N54" s="20">
        <v>800250</v>
      </c>
    </row>
    <row r="55" spans="1:14" ht="18" customHeight="1">
      <c r="A55" s="98" t="s">
        <v>194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195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135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135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191</v>
      </c>
      <c r="B68" s="105"/>
      <c r="C68" s="105"/>
      <c r="D68" s="105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192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332</v>
      </c>
      <c r="I71" s="16" t="s">
        <v>126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105" t="s">
        <v>193</v>
      </c>
      <c r="B81" s="105"/>
      <c r="C81" s="105"/>
      <c r="D81" s="105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192</v>
      </c>
      <c r="N81" s="20">
        <v>423590</v>
      </c>
    </row>
    <row r="82" spans="1:14" ht="18" customHeight="1">
      <c r="A82" s="98" t="s">
        <v>194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195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154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135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191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192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333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193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192</v>
      </c>
      <c r="N108" s="20">
        <v>784300</v>
      </c>
    </row>
    <row r="109" spans="1:14" ht="18" customHeight="1">
      <c r="A109" s="98" t="s">
        <v>194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195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116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154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191</v>
      </c>
      <c r="B122" s="105"/>
      <c r="C122" s="105"/>
      <c r="D122" s="105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192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126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190</v>
      </c>
      <c r="H124" s="10" t="s">
        <v>154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193</v>
      </c>
      <c r="B135" s="105"/>
      <c r="C135" s="105"/>
      <c r="D135" s="105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192</v>
      </c>
      <c r="N135" s="20">
        <v>527600</v>
      </c>
    </row>
    <row r="136" spans="1:14" ht="18" customHeight="1">
      <c r="A136" s="98" t="s">
        <v>194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195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154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113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190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154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135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191</v>
      </c>
      <c r="B149" s="105"/>
      <c r="C149" s="105"/>
      <c r="D149" s="105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192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135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193</v>
      </c>
      <c r="B162" s="105"/>
      <c r="C162" s="105"/>
      <c r="D162" s="105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192</v>
      </c>
      <c r="N162" s="20">
        <v>215370</v>
      </c>
    </row>
    <row r="163" spans="1:14" ht="18" customHeight="1">
      <c r="A163" s="98" t="s">
        <v>194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195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191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192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135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135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135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135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135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135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135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135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135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135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135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193</v>
      </c>
      <c r="B189" s="105"/>
      <c r="C189" s="105"/>
      <c r="D189" s="105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192</v>
      </c>
      <c r="N189" s="20">
        <v>400530</v>
      </c>
    </row>
    <row r="190" spans="1:14" ht="18" customHeight="1">
      <c r="A190" s="98" t="s">
        <v>194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195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113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135</v>
      </c>
      <c r="I193" s="16" t="s">
        <v>334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191</v>
      </c>
      <c r="B203" s="105"/>
      <c r="C203" s="105"/>
      <c r="D203" s="105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192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238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105" t="s">
        <v>193</v>
      </c>
      <c r="B216" s="105"/>
      <c r="C216" s="105"/>
      <c r="D216" s="105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192</v>
      </c>
      <c r="N216" s="28">
        <v>704110</v>
      </c>
    </row>
    <row r="217" spans="1:14" ht="18" customHeight="1">
      <c r="A217" s="98" t="s">
        <v>194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195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154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135</v>
      </c>
      <c r="I219" s="16" t="s">
        <v>335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113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253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105" t="s">
        <v>191</v>
      </c>
      <c r="B230" s="105"/>
      <c r="C230" s="105"/>
      <c r="D230" s="105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192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132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105" t="s">
        <v>193</v>
      </c>
      <c r="B243" s="105"/>
      <c r="C243" s="105"/>
      <c r="D243" s="105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192</v>
      </c>
      <c r="N243" s="20">
        <v>0</v>
      </c>
    </row>
    <row r="244" spans="1:14" ht="18" customHeight="1">
      <c r="A244" s="98" t="s">
        <v>194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195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144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336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105" t="s">
        <v>191</v>
      </c>
      <c r="B257" s="105"/>
      <c r="C257" s="105"/>
      <c r="D257" s="105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192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154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105" t="s">
        <v>193</v>
      </c>
      <c r="B270" s="105"/>
      <c r="C270" s="105"/>
      <c r="D270" s="105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192</v>
      </c>
      <c r="N270" s="20">
        <f>214250+252630</f>
        <v>466880</v>
      </c>
    </row>
    <row r="271" spans="1:14" ht="18" customHeight="1">
      <c r="A271" s="98" t="s">
        <v>194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195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144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135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337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154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105" t="s">
        <v>191</v>
      </c>
      <c r="B284" s="105"/>
      <c r="C284" s="105"/>
      <c r="D284" s="105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192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338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339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340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105" t="s">
        <v>193</v>
      </c>
      <c r="B297" s="105"/>
      <c r="C297" s="105"/>
      <c r="D297" s="105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192</v>
      </c>
      <c r="N297" s="20">
        <f>124260+105220</f>
        <v>229480</v>
      </c>
    </row>
    <row r="298" spans="1:14" ht="18" customHeight="1">
      <c r="A298" s="98" t="s">
        <v>194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195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339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341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310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105" t="s">
        <v>191</v>
      </c>
      <c r="B311" s="105"/>
      <c r="C311" s="105"/>
      <c r="D311" s="105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192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342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154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342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154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342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154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343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105" t="s">
        <v>193</v>
      </c>
      <c r="B324" s="105"/>
      <c r="C324" s="105"/>
      <c r="D324" s="105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192</v>
      </c>
      <c r="N324" s="20">
        <f>311920+165290</f>
        <v>477210</v>
      </c>
    </row>
    <row r="325" spans="1:14" ht="18" customHeight="1">
      <c r="A325" s="98" t="s">
        <v>194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195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154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105" t="s">
        <v>191</v>
      </c>
      <c r="B338" s="105"/>
      <c r="C338" s="105"/>
      <c r="D338" s="105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192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154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344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154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258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105" t="s">
        <v>193</v>
      </c>
      <c r="B351" s="105"/>
      <c r="C351" s="105"/>
      <c r="D351" s="105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192</v>
      </c>
      <c r="N351" s="20">
        <f>117790+390790</f>
        <v>508580</v>
      </c>
    </row>
    <row r="352" spans="1:14" ht="18" customHeight="1">
      <c r="A352" s="98" t="s">
        <v>194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195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345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346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312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105" t="s">
        <v>191</v>
      </c>
      <c r="B365" s="105"/>
      <c r="C365" s="105"/>
      <c r="D365" s="105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192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154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105" t="s">
        <v>193</v>
      </c>
      <c r="B378" s="105"/>
      <c r="C378" s="105"/>
      <c r="D378" s="105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192</v>
      </c>
      <c r="N378" s="20">
        <f>490380+390690</f>
        <v>881070</v>
      </c>
    </row>
    <row r="379" spans="1:14" ht="18" customHeight="1">
      <c r="A379" s="98" t="s">
        <v>194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195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126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154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105" t="s">
        <v>191</v>
      </c>
      <c r="B392" s="105"/>
      <c r="C392" s="105"/>
      <c r="D392" s="105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192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154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144</v>
      </c>
      <c r="I401" s="16" t="s">
        <v>122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105" t="s">
        <v>193</v>
      </c>
      <c r="B405" s="105"/>
      <c r="C405" s="105"/>
      <c r="D405" s="105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192</v>
      </c>
      <c r="N405" s="20">
        <v>745910</v>
      </c>
    </row>
    <row r="406" spans="1:14" ht="18" customHeight="1">
      <c r="A406" s="98" t="s">
        <v>194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195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347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348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349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105" t="s">
        <v>191</v>
      </c>
      <c r="B419" s="105"/>
      <c r="C419" s="105"/>
      <c r="D419" s="105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192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154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105" t="s">
        <v>193</v>
      </c>
      <c r="B432" s="105"/>
      <c r="C432" s="105"/>
      <c r="D432" s="105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192</v>
      </c>
      <c r="N432" s="20">
        <v>669300</v>
      </c>
    </row>
    <row r="433" spans="1:16" ht="18" customHeight="1">
      <c r="A433" s="98" t="s">
        <v>194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195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144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105" t="s">
        <v>191</v>
      </c>
      <c r="B446" s="105"/>
      <c r="C446" s="105"/>
      <c r="D446" s="105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192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124</v>
      </c>
      <c r="I447" s="16" t="s">
        <v>164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339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123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154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339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105" t="s">
        <v>193</v>
      </c>
      <c r="B459" s="105"/>
      <c r="C459" s="105"/>
      <c r="D459" s="105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192</v>
      </c>
      <c r="N459" s="20">
        <v>561580</v>
      </c>
    </row>
    <row r="460" spans="1:14" ht="18" customHeight="1">
      <c r="A460" s="98" t="s">
        <v>194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195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144</v>
      </c>
      <c r="I462" s="10" t="s">
        <v>160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275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275</v>
      </c>
      <c r="N472" s="41"/>
    </row>
    <row r="473" spans="1:14" ht="15.75" customHeight="1">
      <c r="A473" s="105" t="s">
        <v>191</v>
      </c>
      <c r="B473" s="105"/>
      <c r="C473" s="105"/>
      <c r="D473" s="105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192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154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350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324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351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105" t="s">
        <v>193</v>
      </c>
      <c r="B486" s="105"/>
      <c r="C486" s="105"/>
      <c r="D486" s="105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192</v>
      </c>
      <c r="N486" s="20">
        <v>508000</v>
      </c>
    </row>
    <row r="487" spans="1:14" ht="18" customHeight="1">
      <c r="A487" s="98" t="s">
        <v>194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195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105" t="s">
        <v>191</v>
      </c>
      <c r="B500" s="105"/>
      <c r="C500" s="105"/>
      <c r="D500" s="105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192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352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154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158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353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105" t="s">
        <v>193</v>
      </c>
      <c r="B513" s="105"/>
      <c r="C513" s="105"/>
      <c r="D513" s="105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192</v>
      </c>
      <c r="N513" s="20">
        <v>745760</v>
      </c>
    </row>
    <row r="514" spans="1:14" ht="18" customHeight="1">
      <c r="A514" s="98" t="s">
        <v>194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195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105" t="s">
        <v>191</v>
      </c>
      <c r="B527" s="105"/>
      <c r="C527" s="105"/>
      <c r="D527" s="105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192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154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154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354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355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253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105" t="s">
        <v>193</v>
      </c>
      <c r="B540" s="105"/>
      <c r="C540" s="105"/>
      <c r="D540" s="105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192</v>
      </c>
      <c r="N540" s="20">
        <v>426450</v>
      </c>
    </row>
    <row r="541" spans="1:14" ht="18" customHeight="1">
      <c r="A541" s="98" t="s">
        <v>194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195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356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357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105" t="s">
        <v>191</v>
      </c>
      <c r="B554" s="105"/>
      <c r="C554" s="105"/>
      <c r="D554" s="105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192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358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150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154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105" t="s">
        <v>193</v>
      </c>
      <c r="B567" s="105"/>
      <c r="C567" s="105"/>
      <c r="D567" s="105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192</v>
      </c>
      <c r="N567" s="20">
        <v>652080</v>
      </c>
    </row>
    <row r="568" spans="1:14" ht="18" customHeight="1">
      <c r="A568" s="98" t="s">
        <v>194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195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359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156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360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144</v>
      </c>
      <c r="I573" s="16" t="s">
        <v>122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161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191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192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361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158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279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253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105" t="s">
        <v>193</v>
      </c>
      <c r="B594" s="105"/>
      <c r="C594" s="105"/>
      <c r="D594" s="105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192</v>
      </c>
      <c r="N594" s="20">
        <v>800310</v>
      </c>
    </row>
    <row r="595" spans="1:14" ht="18" customHeight="1">
      <c r="A595" s="98" t="s">
        <v>194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195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124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124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124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124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362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105" t="s">
        <v>191</v>
      </c>
      <c r="B608" s="105"/>
      <c r="C608" s="105"/>
      <c r="D608" s="105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192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162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363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105" t="s">
        <v>193</v>
      </c>
      <c r="B621" s="105"/>
      <c r="C621" s="105"/>
      <c r="D621" s="105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192</v>
      </c>
      <c r="N621" s="20">
        <v>141320</v>
      </c>
    </row>
    <row r="622" spans="1:14" ht="18" customHeight="1">
      <c r="A622" s="98" t="s">
        <v>194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195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324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124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124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105" t="s">
        <v>191</v>
      </c>
      <c r="B635" s="105"/>
      <c r="C635" s="105"/>
      <c r="D635" s="105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192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124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364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154</v>
      </c>
      <c r="I637" s="16" t="s">
        <v>177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365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154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124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154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105" t="s">
        <v>193</v>
      </c>
      <c r="B648" s="105"/>
      <c r="C648" s="105"/>
      <c r="D648" s="105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192</v>
      </c>
      <c r="N648" s="20">
        <f>89640+153770</f>
        <v>243410</v>
      </c>
    </row>
    <row r="649" spans="1:14" ht="18" customHeight="1">
      <c r="A649" s="98" t="s">
        <v>194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195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191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192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366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123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124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105" t="s">
        <v>193</v>
      </c>
      <c r="B675" s="105"/>
      <c r="C675" s="105"/>
      <c r="D675" s="105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192</v>
      </c>
      <c r="N675" s="20">
        <v>425320</v>
      </c>
    </row>
    <row r="676" spans="1:14" ht="18" customHeight="1">
      <c r="A676" s="98" t="s">
        <v>194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195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154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105" t="s">
        <v>191</v>
      </c>
      <c r="B689" s="105"/>
      <c r="C689" s="105"/>
      <c r="D689" s="105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192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154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367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123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368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105" t="s">
        <v>193</v>
      </c>
      <c r="B702" s="105"/>
      <c r="C702" s="105"/>
      <c r="D702" s="105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192</v>
      </c>
      <c r="N702" s="20">
        <f>626540+94190</f>
        <v>720730</v>
      </c>
    </row>
    <row r="703" spans="1:14" ht="18" customHeight="1">
      <c r="A703" s="98" t="s">
        <v>194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195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154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369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133</v>
      </c>
      <c r="I705" s="16" t="s">
        <v>171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370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371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105" t="s">
        <v>191</v>
      </c>
      <c r="B716" s="105"/>
      <c r="C716" s="105"/>
      <c r="D716" s="105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192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154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372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373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105" t="s">
        <v>193</v>
      </c>
      <c r="B729" s="105"/>
      <c r="C729" s="105"/>
      <c r="D729" s="105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192</v>
      </c>
      <c r="N729" s="20">
        <v>874110</v>
      </c>
    </row>
    <row r="730" spans="1:14" ht="18" customHeight="1">
      <c r="A730" s="98" t="s">
        <v>194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195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154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374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302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322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105" t="s">
        <v>191</v>
      </c>
      <c r="B743" s="105"/>
      <c r="C743" s="105"/>
      <c r="D743" s="105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192</v>
      </c>
      <c r="N743" s="20">
        <v>471600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62" t="s">
        <v>30</v>
      </c>
      <c r="E744" s="11">
        <v>24</v>
      </c>
      <c r="F744" s="12">
        <f t="shared" ref="F744:F755" si="166">IF(E744="","",E744*4)</f>
        <v>96</v>
      </c>
      <c r="G744" s="10" t="s">
        <v>17</v>
      </c>
      <c r="H744" s="10" t="s">
        <v>95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7">IFERROR(IF(K744="","",IF(K744&gt;=J744,K744-J744,K744+1-J744)),"")</f>
        <v>6.944444444444442E-2</v>
      </c>
      <c r="M744" s="11" t="s">
        <v>303</v>
      </c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62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132</v>
      </c>
      <c r="I745" s="16" t="s">
        <v>110</v>
      </c>
      <c r="J745" s="13">
        <v>0.10416666666666667</v>
      </c>
      <c r="K745" s="13">
        <v>0.15625</v>
      </c>
      <c r="L745" s="71">
        <f t="shared" si="167"/>
        <v>5.2083333333333329E-2</v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62" t="s">
        <v>30</v>
      </c>
      <c r="E746" s="11">
        <v>0</v>
      </c>
      <c r="F746" s="12">
        <f t="shared" si="166"/>
        <v>0</v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62" t="s">
        <v>30</v>
      </c>
      <c r="E747" s="11">
        <v>9</v>
      </c>
      <c r="F747" s="12">
        <f t="shared" si="166"/>
        <v>36</v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62" t="s">
        <v>30</v>
      </c>
      <c r="E748" s="11">
        <v>19</v>
      </c>
      <c r="F748" s="12">
        <f t="shared" si="166"/>
        <v>76</v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62" t="s">
        <v>30</v>
      </c>
      <c r="E749" s="11">
        <v>23</v>
      </c>
      <c r="F749" s="17">
        <f t="shared" si="166"/>
        <v>92</v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62" t="s">
        <v>30</v>
      </c>
      <c r="E750" s="11">
        <v>20</v>
      </c>
      <c r="F750" s="12">
        <f t="shared" si="166"/>
        <v>80</v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62" t="s">
        <v>30</v>
      </c>
      <c r="E751" s="11">
        <v>12</v>
      </c>
      <c r="F751" s="17">
        <f t="shared" si="166"/>
        <v>48</v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62" t="s">
        <v>30</v>
      </c>
      <c r="E752" s="11">
        <v>9</v>
      </c>
      <c r="F752" s="12">
        <f t="shared" si="166"/>
        <v>36</v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62" t="s">
        <v>30</v>
      </c>
      <c r="E753" s="11">
        <v>19</v>
      </c>
      <c r="F753" s="17">
        <f t="shared" si="166"/>
        <v>76</v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62" t="s">
        <v>30</v>
      </c>
      <c r="E754" s="11">
        <v>18</v>
      </c>
      <c r="F754" s="12">
        <f t="shared" si="166"/>
        <v>72</v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62" t="s">
        <v>30</v>
      </c>
      <c r="E755" s="11">
        <v>14</v>
      </c>
      <c r="F755" s="17">
        <f t="shared" si="166"/>
        <v>56</v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105" t="s">
        <v>193</v>
      </c>
      <c r="B756" s="105"/>
      <c r="C756" s="105"/>
      <c r="D756" s="105"/>
      <c r="E756" s="19">
        <f>SUM(E744:E755)</f>
        <v>167</v>
      </c>
      <c r="F756" s="19">
        <f>SUM(F744:F755)</f>
        <v>668</v>
      </c>
      <c r="G756" s="38"/>
      <c r="H756" s="38"/>
      <c r="I756" s="38"/>
      <c r="J756" s="38"/>
      <c r="K756" s="38"/>
      <c r="L756" s="72">
        <f>IFERROR(SUM(L744:L755),"")</f>
        <v>0.12152777777777775</v>
      </c>
      <c r="M756" s="19" t="s">
        <v>192</v>
      </c>
      <c r="N756" s="20">
        <v>1001690</v>
      </c>
    </row>
    <row r="757" spans="1:14" ht="18" customHeight="1">
      <c r="A757" s="98" t="s">
        <v>194</v>
      </c>
      <c r="B757" s="98"/>
      <c r="C757" s="98"/>
      <c r="D757" s="98"/>
      <c r="E757" s="22">
        <f>E743+E756</f>
        <v>291</v>
      </c>
      <c r="F757" s="22">
        <f>F743+F756</f>
        <v>1164</v>
      </c>
      <c r="G757" s="39"/>
      <c r="H757" s="39"/>
      <c r="I757" s="39"/>
      <c r="J757" s="39"/>
      <c r="K757" s="39"/>
      <c r="L757" s="73">
        <f>IFERROR(L743+L756,"")</f>
        <v>0.26597222222222222</v>
      </c>
      <c r="M757" s="22" t="s">
        <v>195</v>
      </c>
      <c r="N757" s="31">
        <f>IFERROR(N743+N756,"")</f>
        <v>1473290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62" t="s">
        <v>30</v>
      </c>
      <c r="E758" s="11">
        <v>5</v>
      </c>
      <c r="F758" s="12">
        <f t="shared" ref="F758:F769" si="169">IF(E758="","",E758*4)</f>
        <v>20</v>
      </c>
      <c r="G758" s="10" t="s">
        <v>19</v>
      </c>
      <c r="H758" s="10" t="s">
        <v>52</v>
      </c>
      <c r="I758" s="10" t="s">
        <v>27</v>
      </c>
      <c r="J758" s="13">
        <v>0.2986111111111111</v>
      </c>
      <c r="K758" s="13">
        <v>0.3125</v>
      </c>
      <c r="L758" s="70">
        <f t="shared" ref="L758:L769" si="170">IFERROR(IF(K758="","",IF(K758&gt;=J758,K758-J758,K758+1-J758)),"")</f>
        <v>1.3888888888888895E-2</v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62" t="s">
        <v>30</v>
      </c>
      <c r="E759" s="11">
        <v>11</v>
      </c>
      <c r="F759" s="17">
        <f t="shared" si="169"/>
        <v>44</v>
      </c>
      <c r="G759" s="16" t="s">
        <v>19</v>
      </c>
      <c r="H759" s="16" t="s">
        <v>57</v>
      </c>
      <c r="I759" s="16" t="s">
        <v>27</v>
      </c>
      <c r="J759" s="13">
        <v>0.2986111111111111</v>
      </c>
      <c r="K759" s="13">
        <v>0.31874999999999998</v>
      </c>
      <c r="L759" s="71">
        <f t="shared" si="170"/>
        <v>2.0138888888888873E-2</v>
      </c>
      <c r="M759" s="11" t="s">
        <v>375</v>
      </c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62" t="s">
        <v>30</v>
      </c>
      <c r="E760" s="11">
        <v>24</v>
      </c>
      <c r="F760" s="12">
        <f t="shared" si="169"/>
        <v>96</v>
      </c>
      <c r="G760" s="10" t="s">
        <v>17</v>
      </c>
      <c r="H760" s="10" t="s">
        <v>57</v>
      </c>
      <c r="I760" s="10" t="s">
        <v>49</v>
      </c>
      <c r="J760" s="13">
        <v>0.46388888888888891</v>
      </c>
      <c r="K760" s="13">
        <v>0.48958333333333331</v>
      </c>
      <c r="L760" s="70">
        <f t="shared" si="170"/>
        <v>2.5694444444444409E-2</v>
      </c>
      <c r="M760" s="11" t="s">
        <v>323</v>
      </c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62" t="s">
        <v>30</v>
      </c>
      <c r="E761" s="11">
        <v>6</v>
      </c>
      <c r="F761" s="17">
        <f t="shared" si="169"/>
        <v>24</v>
      </c>
      <c r="G761" s="16" t="s">
        <v>19</v>
      </c>
      <c r="H761" s="16" t="s">
        <v>52</v>
      </c>
      <c r="I761" s="16" t="s">
        <v>27</v>
      </c>
      <c r="J761" s="13">
        <v>0.72222222222222221</v>
      </c>
      <c r="K761" s="13">
        <v>0.73611111111111116</v>
      </c>
      <c r="L761" s="71">
        <f t="shared" si="170"/>
        <v>1.3888888888888951E-2</v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62" t="s">
        <v>30</v>
      </c>
      <c r="E762" s="11">
        <v>7</v>
      </c>
      <c r="F762" s="12">
        <f t="shared" si="169"/>
        <v>28</v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62" t="s">
        <v>30</v>
      </c>
      <c r="E763" s="11">
        <v>15</v>
      </c>
      <c r="F763" s="17">
        <f t="shared" si="169"/>
        <v>60</v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62" t="s">
        <v>30</v>
      </c>
      <c r="E764" s="11">
        <v>20</v>
      </c>
      <c r="F764" s="12">
        <f t="shared" si="169"/>
        <v>80</v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62" t="s">
        <v>30</v>
      </c>
      <c r="E765" s="11">
        <v>26</v>
      </c>
      <c r="F765" s="17">
        <f t="shared" si="169"/>
        <v>104</v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62" t="s">
        <v>30</v>
      </c>
      <c r="E766" s="11">
        <v>19</v>
      </c>
      <c r="F766" s="12">
        <f t="shared" si="169"/>
        <v>76</v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62" t="s">
        <v>30</v>
      </c>
      <c r="E767" s="11">
        <v>26</v>
      </c>
      <c r="F767" s="17">
        <f t="shared" si="169"/>
        <v>104</v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62" t="s">
        <v>30</v>
      </c>
      <c r="E768" s="11">
        <v>8</v>
      </c>
      <c r="F768" s="12">
        <f t="shared" si="169"/>
        <v>32</v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62" t="s">
        <v>30</v>
      </c>
      <c r="E769" s="11">
        <v>8</v>
      </c>
      <c r="F769" s="17">
        <f t="shared" si="169"/>
        <v>32</v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106" t="s">
        <v>191</v>
      </c>
      <c r="B770" s="107"/>
      <c r="C770" s="107"/>
      <c r="D770" s="108"/>
      <c r="E770" s="19">
        <f>SUM(E758:E769)</f>
        <v>175</v>
      </c>
      <c r="F770" s="19">
        <f>SUM(F758:F769)</f>
        <v>700</v>
      </c>
      <c r="G770" s="38"/>
      <c r="H770" s="38"/>
      <c r="I770" s="38"/>
      <c r="J770" s="38"/>
      <c r="K770" s="38"/>
      <c r="L770" s="72">
        <f>IFERROR(SUM(L758:L769),"")</f>
        <v>7.3611111111111127E-2</v>
      </c>
      <c r="M770" s="19" t="s">
        <v>192</v>
      </c>
      <c r="N770" s="20">
        <v>769540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63" t="s">
        <v>30</v>
      </c>
      <c r="E771" s="11">
        <v>25</v>
      </c>
      <c r="F771" s="17">
        <f t="shared" ref="F771:F782" si="172">IF(E771="","",E771*4)</f>
        <v>100</v>
      </c>
      <c r="G771" s="16" t="s">
        <v>19</v>
      </c>
      <c r="H771" s="16" t="s">
        <v>154</v>
      </c>
      <c r="I771" s="16" t="s">
        <v>27</v>
      </c>
      <c r="J771" s="13">
        <v>0.14583333333333334</v>
      </c>
      <c r="K771" s="13">
        <v>0.16666666666666666</v>
      </c>
      <c r="L771" s="71">
        <f t="shared" ref="L771:L782" si="173">IFERROR(IF(K771="","",IF(K771&gt;=J771,K771-J771,K771+1-J771)),"")</f>
        <v>2.0833333333333315E-2</v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63" t="s">
        <v>30</v>
      </c>
      <c r="E772" s="11">
        <v>19</v>
      </c>
      <c r="F772" s="12">
        <f t="shared" si="172"/>
        <v>76</v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63" t="s">
        <v>30</v>
      </c>
      <c r="E773" s="11">
        <v>22</v>
      </c>
      <c r="F773" s="17">
        <f t="shared" si="172"/>
        <v>88</v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63" t="s">
        <v>30</v>
      </c>
      <c r="E774" s="11">
        <v>23</v>
      </c>
      <c r="F774" s="12">
        <f t="shared" si="172"/>
        <v>92</v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63" t="s">
        <v>30</v>
      </c>
      <c r="E775" s="11">
        <v>16</v>
      </c>
      <c r="F775" s="17">
        <f t="shared" si="172"/>
        <v>64</v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63" t="s">
        <v>30</v>
      </c>
      <c r="E776" s="11">
        <v>12</v>
      </c>
      <c r="F776" s="12">
        <f t="shared" si="172"/>
        <v>48</v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63" t="s">
        <v>30</v>
      </c>
      <c r="E777" s="11">
        <v>33</v>
      </c>
      <c r="F777" s="17">
        <f t="shared" si="172"/>
        <v>132</v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63" t="s">
        <v>30</v>
      </c>
      <c r="E778" s="11">
        <v>22</v>
      </c>
      <c r="F778" s="12">
        <f t="shared" si="172"/>
        <v>88</v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63" t="s">
        <v>30</v>
      </c>
      <c r="E779" s="11">
        <v>9</v>
      </c>
      <c r="F779" s="17">
        <f t="shared" si="172"/>
        <v>36</v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63" t="s">
        <v>30</v>
      </c>
      <c r="E780" s="11">
        <v>18</v>
      </c>
      <c r="F780" s="12">
        <f t="shared" si="172"/>
        <v>72</v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63" t="s">
        <v>30</v>
      </c>
      <c r="E781" s="11">
        <v>15</v>
      </c>
      <c r="F781" s="17">
        <f t="shared" si="172"/>
        <v>60</v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63" t="s">
        <v>30</v>
      </c>
      <c r="E782" s="11">
        <v>0</v>
      </c>
      <c r="F782" s="12">
        <f t="shared" si="172"/>
        <v>0</v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105" t="s">
        <v>193</v>
      </c>
      <c r="B783" s="105"/>
      <c r="C783" s="105"/>
      <c r="D783" s="105"/>
      <c r="E783" s="19">
        <f>SUM(E771:E782)</f>
        <v>214</v>
      </c>
      <c r="F783" s="19">
        <f>SUM(F771:F782)</f>
        <v>856</v>
      </c>
      <c r="G783" s="38"/>
      <c r="H783" s="38"/>
      <c r="I783" s="38"/>
      <c r="J783" s="38"/>
      <c r="K783" s="38"/>
      <c r="L783" s="72">
        <f>IFERROR(SUM(L771:L782),"")</f>
        <v>2.0833333333333315E-2</v>
      </c>
      <c r="M783" s="19" t="s">
        <v>192</v>
      </c>
      <c r="N783" s="20">
        <v>1318280</v>
      </c>
    </row>
    <row r="784" spans="1:14" ht="18" customHeight="1">
      <c r="A784" s="98" t="s">
        <v>194</v>
      </c>
      <c r="B784" s="98"/>
      <c r="C784" s="98"/>
      <c r="D784" s="98"/>
      <c r="E784" s="22">
        <f>E770+E783</f>
        <v>389</v>
      </c>
      <c r="F784" s="22">
        <f>F770+F783</f>
        <v>1556</v>
      </c>
      <c r="G784" s="39"/>
      <c r="H784" s="39"/>
      <c r="I784" s="39"/>
      <c r="J784" s="39"/>
      <c r="K784" s="39"/>
      <c r="L784" s="73">
        <f>IFERROR(L770+L783,"")</f>
        <v>9.4444444444444442E-2</v>
      </c>
      <c r="M784" s="22" t="s">
        <v>195</v>
      </c>
      <c r="N784" s="31">
        <f>IFERROR(N770+N783,"")</f>
        <v>2087820</v>
      </c>
    </row>
    <row r="785" spans="1:14" ht="15" customHeight="1">
      <c r="A785" s="90">
        <v>46203</v>
      </c>
      <c r="B785" s="91">
        <v>0.33333333333333298</v>
      </c>
      <c r="C785" s="67" t="s">
        <v>21</v>
      </c>
      <c r="D785" s="65" t="s">
        <v>30</v>
      </c>
      <c r="E785" s="11">
        <v>11</v>
      </c>
      <c r="F785" s="93">
        <f>IF(E785="","",E785*4)</f>
        <v>44</v>
      </c>
      <c r="G785" s="67" t="s">
        <v>18</v>
      </c>
      <c r="H785" s="67" t="s">
        <v>133</v>
      </c>
      <c r="I785" s="67" t="s">
        <v>97</v>
      </c>
      <c r="J785" s="13">
        <v>0.3</v>
      </c>
      <c r="K785" s="13">
        <v>0.31944444444444442</v>
      </c>
      <c r="L785" s="86">
        <f t="shared" ref="L785:L796" si="175">IFERROR(IF(K785="","",IF(K785&gt;=J785,K785-J785,K785+1-J785)),"")</f>
        <v>1.9444444444444431E-2</v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67" t="s">
        <v>21</v>
      </c>
      <c r="D786" s="92" t="s">
        <v>30</v>
      </c>
      <c r="E786" s="11">
        <v>15</v>
      </c>
      <c r="F786" s="80">
        <f>IF(E786="","",E786*4)</f>
        <v>60</v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 t="s">
        <v>21</v>
      </c>
      <c r="D787" s="92" t="s">
        <v>30</v>
      </c>
      <c r="E787" s="11">
        <v>15</v>
      </c>
      <c r="F787" s="93">
        <f>IF(E787="","",E787*4)</f>
        <v>60</v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67" t="s">
        <v>21</v>
      </c>
      <c r="D788" s="92" t="s">
        <v>30</v>
      </c>
      <c r="E788" s="11">
        <v>5</v>
      </c>
      <c r="F788" s="80">
        <f>IF(E788="","",E788*4)</f>
        <v>20</v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 t="s">
        <v>21</v>
      </c>
      <c r="D789" s="92" t="s">
        <v>30</v>
      </c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67" t="s">
        <v>21</v>
      </c>
      <c r="D790" s="92" t="s">
        <v>30</v>
      </c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 t="s">
        <v>21</v>
      </c>
      <c r="D791" s="92" t="s">
        <v>30</v>
      </c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67" t="s">
        <v>21</v>
      </c>
      <c r="D792" s="92" t="s">
        <v>30</v>
      </c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 t="s">
        <v>21</v>
      </c>
      <c r="D793" s="92" t="s">
        <v>30</v>
      </c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67" t="s">
        <v>21</v>
      </c>
      <c r="D794" s="92" t="s">
        <v>30</v>
      </c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 t="s">
        <v>21</v>
      </c>
      <c r="D795" s="92" t="s">
        <v>30</v>
      </c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67" t="s">
        <v>21</v>
      </c>
      <c r="D796" s="92" t="s">
        <v>30</v>
      </c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191</v>
      </c>
      <c r="B797" s="109"/>
      <c r="C797" s="109"/>
      <c r="D797" s="109"/>
      <c r="E797" s="19">
        <f>SUM(E785:E796)</f>
        <v>46</v>
      </c>
      <c r="F797" s="19">
        <f>SUM(F785:F796)</f>
        <v>184</v>
      </c>
      <c r="G797" s="38"/>
      <c r="H797" s="38"/>
      <c r="I797" s="38"/>
      <c r="J797" s="38"/>
      <c r="K797" s="38"/>
      <c r="L797" s="72">
        <f>IFERROR(SUM(L785:L796),"")</f>
        <v>1.9444444444444431E-2</v>
      </c>
      <c r="M797" s="19" t="s">
        <v>192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193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192</v>
      </c>
      <c r="N810" s="20"/>
    </row>
    <row r="811" spans="1:14" ht="18" customHeight="1">
      <c r="A811" s="110" t="s">
        <v>194</v>
      </c>
      <c r="B811" s="110"/>
      <c r="C811" s="110"/>
      <c r="D811" s="110"/>
      <c r="E811" s="22">
        <f>E797+E810</f>
        <v>46</v>
      </c>
      <c r="F811" s="22">
        <f>F797+F810</f>
        <v>184</v>
      </c>
      <c r="G811" s="39"/>
      <c r="H811" s="39"/>
      <c r="I811" s="39"/>
      <c r="J811" s="39"/>
      <c r="K811" s="39"/>
      <c r="L811" s="73">
        <f>IFERROR(L797+L810,"")</f>
        <v>1.9444444444444431E-2</v>
      </c>
      <c r="M811" s="22" t="s">
        <v>195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54:D554"/>
    <mergeCell ref="A567:D567"/>
    <mergeCell ref="A568:D568"/>
    <mergeCell ref="A594:D594"/>
    <mergeCell ref="A595:D595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D663:D784 D786:D900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91E8D77-88C5-466C-9E71-B0518BBFB650}"/>
</file>

<file path=customXml/itemProps2.xml><?xml version="1.0" encoding="utf-8"?>
<ds:datastoreItem xmlns:ds="http://schemas.openxmlformats.org/officeDocument/2006/customXml" ds:itemID="{0CAD78A7-70F4-47FD-AA51-B85539CA8030}"/>
</file>

<file path=customXml/itemProps3.xml><?xml version="1.0" encoding="utf-8"?>
<ds:datastoreItem xmlns:ds="http://schemas.openxmlformats.org/officeDocument/2006/customXml" ds:itemID="{914D07B3-4831-4991-A053-ED05E81548E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2026-06-30T14:39:40Z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