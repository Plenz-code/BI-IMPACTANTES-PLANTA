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010" documentId="8_{AF585B22-221D-4780-BB9C-493D365A6A02}" xr6:coauthVersionLast="47" xr6:coauthVersionMax="47" xr10:uidLastSave="{7A4F44AC-0668-4B92-ABB3-742214A1F6E7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<sst xmlns="http://schemas.openxmlformats.org/spreadsheetml/2006/main" count="2225" uniqueCount="228">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</sst>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177</v>
      </c>
      <c r="L48" s="16"/>
      <c r="M48" s="16"/>
    </row>
    <row r="49" spans="1:13" ht="18" customHeight="1">
      <c r="H49" s="91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180</v>
      </c>
      <c r="L50" s="16"/>
      <c r="M50" s="16"/>
    </row>
    <row r="51" spans="1:13" ht="24" customHeight="1">
      <c r="H51" s="91"/>
      <c r="I51" s="17"/>
      <c r="J51" s="17"/>
      <c r="K51" s="17" t="s">
        <v>181</v>
      </c>
      <c r="L51" s="17"/>
      <c r="M51" s="17"/>
    </row>
    <row r="52" spans="1:13" ht="24" customHeight="1">
      <c r="H52" s="91"/>
      <c r="I52" s="16"/>
      <c r="J52" s="16"/>
      <c r="K52" s="16" t="s">
        <v>182</v>
      </c>
      <c r="L52" s="16"/>
      <c r="M52" s="16"/>
    </row>
    <row r="53" spans="1:13" ht="36" customHeight="1">
      <c r="H53" s="91"/>
      <c r="I53" s="17"/>
      <c r="J53" s="17"/>
      <c r="K53" s="17" t="s">
        <v>183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F94" sqref="F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144</v>
      </c>
      <c r="G95" s="36">
        <f>SUM(G83:G94)</f>
        <v>720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144</v>
      </c>
      <c r="G109" s="40">
        <f>G95+G108</f>
        <v>720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" activePane="bottomLeft" state="frozen"/>
      <selection pane="bottomLeft" activeCell="F95" sqref="F9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205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97">
        <v>276360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54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112</v>
      </c>
      <c r="G109" s="40">
        <f>G95+G108</f>
        <v>519.20000000000005</v>
      </c>
      <c r="H109" s="41"/>
      <c r="I109" s="41"/>
      <c r="J109" s="41"/>
      <c r="K109" s="41"/>
      <c r="L109" s="41"/>
      <c r="M109" s="42">
        <f ca="1">IFERROR(M95+M108,"")</f>
        <v>0.26180555555555557</v>
      </c>
      <c r="N109" s="40" t="s">
        <v>201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72" activePane="bottomLeft" state="frozen"/>
      <selection pane="bottomLeft" activeCell="F95" sqref="F9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89</v>
      </c>
      <c r="G109" s="40">
        <f>G95+G108</f>
        <v>445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201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68" activePane="bottomLeft" state="frozen"/>
      <selection pane="bottomLeft" activeCell="F95" sqref="F9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221</v>
      </c>
      <c r="L58" s="29">
        <v>0.54097222222222219</v>
      </c>
      <c r="M58" s="30" t="str">
        <f t="shared" ca="1" si="13"/>
        <v/>
      </c>
      <c r="N58" s="27" t="s">
        <v>222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/>
      <c r="M84" s="35">
        <f t="shared" ca="1" si="19"/>
        <v>3.6296527781814802E-2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0.20990763889292591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143</v>
      </c>
      <c r="G109" s="40">
        <f>G95+G108</f>
        <v>703</v>
      </c>
      <c r="H109" s="41"/>
      <c r="I109" s="41"/>
      <c r="J109" s="41"/>
      <c r="K109" s="63"/>
      <c r="L109" s="63"/>
      <c r="M109" s="42">
        <f ca="1">IFERROR(M95+M108,"")</f>
        <v>0.20990763889292591</v>
      </c>
      <c r="N109" s="40" t="s">
        <v>201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2026-07-04T22:26:29Z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