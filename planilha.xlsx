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5" documentId="8_{C51EB6CB-002B-4D6B-B68F-DDEBDB4460C0}" xr6:coauthVersionLast="47" xr6:coauthVersionMax="47" xr10:uidLastSave="{0524D3EF-6172-4EE9-ACE4-3C693DDCBF9E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O82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D6" i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<sst xmlns="http://schemas.openxmlformats.org/spreadsheetml/2006/main" count="2466" uniqueCount="262">
  <si>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</si>
  <si>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</si>
  <si>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</si>
  <si>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</si>
  <si>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</si>
  <si>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</si>
  <si>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</si>
  <si>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</si>
  <si>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</si>
  <si>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</si>
  <si>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</si>
  <si>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</si>
  <si>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</si>
  <si>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</si>
  <si>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</si>
  <si>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</si>
  <si>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</si>
  <si>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</si>
  <si>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</si>
  <si>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</si>
  <si>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</si>
  <si>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</si>
  <si>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</si>
  <si>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</si>
  <si>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</si>
  <si>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</si>
  <si>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</si>
  <si>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</si>
  <si>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</si>
  <si>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</si>
  <si>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</si>
  <si>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</si>
  <si>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</si>
  <si>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</si>
  <si>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</si>
  <si>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</si>
  <si>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</si>
  <si>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</si>
  <si>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</si>
  <si>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</si>
  <si>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</si>
  <si>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</si>
  <si>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</si>
  <si>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</si>
  <si>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</si>
  <si>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</si>
  <si>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</si>
  <si>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</si>
  <si>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</si>
  <si>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</si>
  <si>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</si>
  <si>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</si>
  <si>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</si>
  <si>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</si>
  <si>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</si>
  <si>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</si>
  <si>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</si>
  <si>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</si>
  <si>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</si>
  <si>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</si>
  <si>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</si>
  <si>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</si>
  <si>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</si>
  <si>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</si>
  <si>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</si>
  <si>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</si>
  <si>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</si>
  <si>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</si>
  <si>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</si>
  <si>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</si>
  <si>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</si>
  <si>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</si>
  <si>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</si>
  <si>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</si>
  <si>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</si>
  <si>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</si>
  <si>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</si>
  <si>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</si>
  <si>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</si>
  <si>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</si>
  <si>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</si>
  <si>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</si>
  <si>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</si>
  <si>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</si>
  <si>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</si>
  <si>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</si>
  <si>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</si>
  <si>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</si>
  <si>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</si>
  <si>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</si>
  <si>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</si>
  <si>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</si>
  <si>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</si>
  <si>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</si>
  <si>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</si>
  <si>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</si>
  <si>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</si>
  <si>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</si>
  <si>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</si>
  <si>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</si>
  <si>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</si>
  <si>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</si>
  <si>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</si>
  <si>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</si>
  <si>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</si>
  <si>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</si>
  <si>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</si>
  <si>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</si>
  <si>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</si>
  <si>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</si>
  <si>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</si>
  <si>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</si>
  <si>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</si>
  <si>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</si>
  <si>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</si>
  <si>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</si>
  <si>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</si>
  <si>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</si>
  <si>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</si>
  <si>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</si>
  <si>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</si>
  <si>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</si>
  <si>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</si>
  <si>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</si>
  <si>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</si>
  <si>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</si>
  <si>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</si>
  <si>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</si>
  <si>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</si>
  <si>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</si>
  <si>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</si>
  <si>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</si>
  <si>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</si>
  <si>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</si>
  <si>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</si>
  <si>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</si>
  <si>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</si>
  <si>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</si>
  <si>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</si>
  <si>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</si>
  <si>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</si>
  <si>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</si>
  <si>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</si>
  <si>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</si>
  <si>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</si>
  <si>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</si>
  <si>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</si>
  <si>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</si>
  <si>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</si>
  <si>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</si>
  <si>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</si>
  <si>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</si>
  <si>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</si>
  <si>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</si>
  <si>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</si>
  <si>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</si>
  <si>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</si>
  <si>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</si>
  <si>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</si>
  <si>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</si>
  <si>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</si>
  <si>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</si>
  <si>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</si>
  <si>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</si>
  <si>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</si>
  <si>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</si>
  <si>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</si>
  <si>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</si>
  <si>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</si>
  <si>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</si>
  <si>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</si>
  <si>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</si>
  <si>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</si>
  <si>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</si>
  <si>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</si>
  <si>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</si>
  <si>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</si>
  <si>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</si>
  <si>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</si>
  <si>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</si>
  <si>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</si>
  <si>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</si>
  <si>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</si>
  <si>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</si>
  <si>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</si>
  <si>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</si>
  <si>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</si>
  <si>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</si>
  <si>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</si>
  <si>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</si>
  <si>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</si>
  <si>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</si>
  <si>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</si>
  <si>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</si>
  <si>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</si>
  <si>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</si>
  <si>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</si>
  <si>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</si>
  <si>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</si>
  <si>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</si>
  <si>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</si>
  <si>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</si>
  <si>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</si>
  <si>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</si>
  <si>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</si>
  <si>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</si>
  <si>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</si>
  <si>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</si>
  <si>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</si>
  <si>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</si>
  <si>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</si>
  <si>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</si>
  <si>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</si>
  <si>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</si>
  <si>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</si>
  <si>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</si>
  <si>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</si>
  <si>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</si>
  <si>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</si>
  <si>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</si>
  <si>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</si>
  <si>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</si>
  <si>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</si>
  <si>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</si>
  <si>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</si>
  <si>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</si>
  <si>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</si>
  <si>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</si>
  <si>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</si>
  <si>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</si>
  <si>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</si>
  <si>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</si>
  <si>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</si>
  <si>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</si>
  <si>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</si>
  <si>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</si>
  <si>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</si>
  <si>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</si>
  <si>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</si>
  <si>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</si>
  <si>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</si>
  <si>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</si>
  <si>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</si>
  <si>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</si>
  <si>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</si>
  <si>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</si>
  <si>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</si>
  <si>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</si>
  <si>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</si>
  <si>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</si>
  <si>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</si>
  <si>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</si>
  <si>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</si>
  <si>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</si>
  <si>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</si>
  <si>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</si>
  <si>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</si>
  <si>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</si>
  <si>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</si>
  <si>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</si>
  <si>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</si>
  <si>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solda da grelha e troca de 2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</si>
</sst>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 x14ac:dyDescent="0.25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 x14ac:dyDescent="0.25">
      <c r="H2" s="110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25">
      <c r="H57" s="110"/>
      <c r="I57" s="17"/>
      <c r="J57" s="17"/>
      <c r="K57" s="17" t="s">
        <v>50</v>
      </c>
      <c r="L57" s="17"/>
      <c r="M57" s="17"/>
    </row>
    <row r="58" spans="1:13" ht="15" customHeight="1" x14ac:dyDescent="0.25">
      <c r="H58" s="110"/>
      <c r="I58" s="16"/>
      <c r="J58" s="16"/>
      <c r="K58" s="16" t="s">
        <v>204</v>
      </c>
      <c r="L58" s="16"/>
      <c r="M58" s="16"/>
    </row>
    <row r="59" spans="1:13" ht="15" customHeight="1" x14ac:dyDescent="0.25">
      <c r="H59" s="110"/>
      <c r="I59" s="17"/>
      <c r="J59" s="17"/>
      <c r="K59" s="17" t="s">
        <v>205</v>
      </c>
      <c r="L59" s="17"/>
      <c r="M59" s="17"/>
    </row>
    <row r="60" spans="1:13" ht="15" customHeight="1" x14ac:dyDescent="0.25">
      <c r="H60" s="110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0"/>
      <c r="I61" s="17"/>
      <c r="J61" s="17"/>
      <c r="K61" s="17" t="s">
        <v>206</v>
      </c>
      <c r="L61" s="17"/>
      <c r="M61" s="17"/>
    </row>
    <row r="62" spans="1:13" ht="15" customHeight="1" x14ac:dyDescent="0.25">
      <c r="H62" s="110"/>
      <c r="I62" s="16"/>
      <c r="J62" s="16"/>
      <c r="K62" s="16" t="s">
        <v>207</v>
      </c>
      <c r="L62" s="16"/>
      <c r="M62" s="16"/>
    </row>
    <row r="63" spans="1:13" ht="15" customHeight="1" x14ac:dyDescent="0.25">
      <c r="H63" s="110"/>
      <c r="I63" s="17"/>
      <c r="J63" s="17"/>
      <c r="K63" s="17" t="s">
        <v>208</v>
      </c>
      <c r="L63" s="17"/>
      <c r="M63" s="17"/>
    </row>
    <row r="64" spans="1:13" ht="15" customHeight="1" x14ac:dyDescent="0.25">
      <c r="H64" s="110"/>
      <c r="I64" s="16"/>
      <c r="J64" s="16"/>
      <c r="K64" s="16" t="s">
        <v>209</v>
      </c>
      <c r="L64" s="16"/>
      <c r="M64" s="16"/>
    </row>
    <row r="65" spans="8:13" ht="15" customHeight="1" x14ac:dyDescent="0.25">
      <c r="H65" s="110"/>
      <c r="I65" s="17"/>
      <c r="J65" s="17"/>
      <c r="K65" s="17" t="s">
        <v>210</v>
      </c>
      <c r="L65" s="17"/>
      <c r="M65" s="17"/>
    </row>
    <row r="66" spans="8:13" ht="15" customHeight="1" x14ac:dyDescent="0.25">
      <c r="H66" s="110"/>
      <c r="I66" s="16"/>
      <c r="J66" s="16"/>
      <c r="K66" s="16" t="s">
        <v>211</v>
      </c>
      <c r="L66" s="16"/>
      <c r="M66" s="16"/>
    </row>
    <row r="67" spans="8:13" ht="15" customHeight="1" x14ac:dyDescent="0.25">
      <c r="H67" s="110"/>
      <c r="I67" s="17"/>
      <c r="J67" s="17"/>
      <c r="K67" s="17" t="s">
        <v>212</v>
      </c>
      <c r="L67" s="17"/>
      <c r="M67" s="17"/>
    </row>
    <row r="68" spans="8:13" ht="15" customHeight="1" x14ac:dyDescent="0.25">
      <c r="H68" s="110"/>
      <c r="I68" s="16"/>
      <c r="J68" s="16"/>
      <c r="K68" s="16" t="s">
        <v>213</v>
      </c>
      <c r="L68" s="16"/>
      <c r="M68" s="16"/>
    </row>
    <row r="69" spans="8:13" ht="15" customHeight="1" x14ac:dyDescent="0.25">
      <c r="H69" s="110"/>
      <c r="I69" s="17"/>
      <c r="J69" s="17"/>
      <c r="K69" s="17" t="s">
        <v>214</v>
      </c>
      <c r="L69" s="17"/>
      <c r="M69" s="17"/>
    </row>
    <row r="70" spans="8:13" ht="15" customHeight="1" x14ac:dyDescent="0.25">
      <c r="H70" s="110"/>
      <c r="I70" s="16"/>
      <c r="J70" s="16"/>
      <c r="K70" s="16" t="s">
        <v>215</v>
      </c>
      <c r="L70" s="16"/>
      <c r="M70" s="16"/>
    </row>
    <row r="71" spans="8:13" ht="15" customHeight="1" x14ac:dyDescent="0.25">
      <c r="H71" s="110"/>
      <c r="I71" s="17"/>
      <c r="J71" s="17"/>
      <c r="K71" s="17" t="s">
        <v>216</v>
      </c>
      <c r="L71" s="17"/>
      <c r="M71" s="17"/>
    </row>
    <row r="72" spans="8:13" ht="15" customHeight="1" x14ac:dyDescent="0.25">
      <c r="H72" s="110"/>
      <c r="I72" s="16"/>
      <c r="J72" s="16"/>
      <c r="K72" s="16" t="s">
        <v>217</v>
      </c>
      <c r="L72" s="16"/>
      <c r="M72" s="16"/>
    </row>
    <row r="73" spans="8:13" ht="15" customHeight="1" x14ac:dyDescent="0.25">
      <c r="H73" s="110"/>
      <c r="I73" s="17"/>
      <c r="J73" s="17"/>
      <c r="K73" s="17"/>
      <c r="L73" s="17"/>
      <c r="M73" s="17"/>
    </row>
    <row r="74" spans="8:13" ht="15" customHeight="1" x14ac:dyDescent="0.25">
      <c r="H74" s="110"/>
      <c r="I74" s="16"/>
      <c r="J74" s="16"/>
      <c r="K74" s="16"/>
      <c r="L74" s="16"/>
      <c r="M74" s="16"/>
    </row>
    <row r="75" spans="8:13" ht="15" customHeight="1" x14ac:dyDescent="0.25">
      <c r="H75" s="110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80" zoomScaleNormal="80" workbookViewId="0">
      <pane ySplit="1" topLeftCell="A55" activePane="bottomLeft" state="frozen"/>
      <selection pane="bottomLeft" activeCell="G91" sqref="G91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115</v>
      </c>
      <c r="G95" s="36">
        <f>SUM(G83:G94)</f>
        <v>575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115</v>
      </c>
      <c r="G109" s="40">
        <f>G95+G108</f>
        <v>575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0" zoomScaleNormal="80" workbookViewId="0">
      <pane ySplit="1" topLeftCell="A51" activePane="bottomLeft" state="frozen"/>
      <selection pane="bottomLeft" activeCell="H69" activeCellId="1" sqref="H56:H63 H69:H7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0.37203287036390975</v>
      </c>
      <c r="N53" s="46" t="s">
        <v>247</v>
      </c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0.51092175925279859</v>
      </c>
      <c r="N54" s="36" t="s">
        <v>230</v>
      </c>
      <c r="O54" s="84">
        <v>352430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0.59564398147502096</v>
      </c>
      <c r="N55" s="40" t="s">
        <v>234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46</v>
      </c>
      <c r="G95" s="36">
        <f>SUM(G83:G94)</f>
        <v>193.20000000000002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46</v>
      </c>
      <c r="G109" s="40">
        <f>G95+G108</f>
        <v>193.20000000000002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 x14ac:dyDescent="0.25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 x14ac:dyDescent="0.25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6" zoomScale="80" zoomScaleNormal="80" workbookViewId="0">
      <selection activeCell="H69" sqref="H69:H73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24</v>
      </c>
      <c r="G95" s="36">
        <f>SUM(G83:G94)</f>
        <v>100.80000000000001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24</v>
      </c>
      <c r="G109" s="40">
        <f>G95+G108</f>
        <v>100.80000000000001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0" zoomScaleNormal="80" workbookViewId="0">
      <pane ySplit="1" topLeftCell="A49" activePane="bottomLeft" state="frozen"/>
      <selection pane="bottomLeft" activeCell="E94" sqref="E94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 x14ac:dyDescent="0.25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257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 x14ac:dyDescent="0.25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258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259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260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 x14ac:dyDescent="0.25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62</v>
      </c>
      <c r="G95" s="36">
        <f>SUM(G83:G94)</f>
        <v>260.39999999999998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 x14ac:dyDescent="0.25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</v>
      </c>
      <c r="G109" s="40">
        <f>G95+G108</f>
        <v>260.39999999999998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 x14ac:dyDescent="0.25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25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25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25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25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25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25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25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25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25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25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 x14ac:dyDescent="0.25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25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25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25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25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25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25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25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25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25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25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25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25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25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25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25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2026-08-04T15:50:43Z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