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5" documentId="8_{C51EB6CB-002B-4D6B-B68F-DDEBDB4460C0}" xr6:coauthVersionLast="47" xr6:coauthVersionMax="47" xr10:uidLastSave="{E12F7C5E-D394-4ED1-8858-F86E16C1CEBC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<sst xmlns="http://schemas.openxmlformats.org/spreadsheetml/2006/main" count="1394" uniqueCount="241">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</sst>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7" sqref="F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70</v>
      </c>
      <c r="G27" s="36">
        <f>SUM(G15:G26)</f>
        <v>350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266</v>
      </c>
      <c r="G28" s="40">
        <f>G14+G27</f>
        <v>1330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8" sqref="F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5</v>
      </c>
      <c r="G17" s="34">
        <f t="shared" si="3"/>
        <v>21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39</v>
      </c>
      <c r="G27" s="36">
        <f>SUM(G15:G26)</f>
        <v>163.80000000000001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151</v>
      </c>
      <c r="G28" s="40">
        <f>G14+G27</f>
        <v>634.20000000000005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8" sqref="F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/>
      <c r="K15" s="29">
        <v>0.92708333333333337</v>
      </c>
      <c r="L15" s="29"/>
      <c r="M15" s="35">
        <f ca="1">IFERROR(IF(K15="","",IF(L15="",MOD(NOW()-K15,1),IF(L15&gt;=K15,L15-K15,L15+1-K15))),"")</f>
        <v>1.80412037007045E-2</v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3</v>
      </c>
      <c r="G17" s="34">
        <f t="shared" si="3"/>
        <v>12.600000000000001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28</v>
      </c>
      <c r="G27" s="36">
        <f>SUM(G15:G26)</f>
        <v>117.6</v>
      </c>
      <c r="H27" s="37"/>
      <c r="I27" s="37"/>
      <c r="J27" s="37"/>
      <c r="K27" s="37"/>
      <c r="L27" s="37"/>
      <c r="M27" s="38">
        <f ca="1">IFERROR(SUM(M15:M26),"")</f>
        <v>1.80412037007045E-2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109</v>
      </c>
      <c r="G28" s="40">
        <f>G14+G27</f>
        <v>457.80000000000007</v>
      </c>
      <c r="H28" s="41"/>
      <c r="I28" s="41"/>
      <c r="J28" s="41"/>
      <c r="K28" s="41"/>
      <c r="L28" s="41"/>
      <c r="M28" s="42">
        <f ca="1">IFERROR(M14+M27,"")</f>
        <v>3.1235648145149009E-2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F18" sqref="F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5</v>
      </c>
      <c r="G17" s="34">
        <f t="shared" si="3"/>
        <v>21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28</v>
      </c>
      <c r="G27" s="36">
        <f>SUM(G15:G26)</f>
        <v>117.6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158</v>
      </c>
      <c r="G28" s="40">
        <f>G14+G27</f>
        <v>663.60000000000014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2026-08-02T02:41:06Z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