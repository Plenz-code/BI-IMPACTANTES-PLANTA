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998" documentId="13_ncr:1_{A6DBCFB4-28D9-4249-9038-216934055CA6}" xr6:coauthVersionLast="47" xr6:coauthVersionMax="47" xr10:uidLastSave="{0119DAC5-C06D-4EF5-BFE2-8592DD8F1E0E}"/>
  <bookViews>
    <workbookView xWindow="-110" yWindow="-110" windowWidth="25820" windowHeight="1550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515" i="5" l="1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Q810" i="6" s="1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S622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Q621" i="6" s="1"/>
  <c r="K609" i="6"/>
  <c r="K621" i="6" s="1"/>
  <c r="I609" i="6"/>
  <c r="H609" i="6"/>
  <c r="F609" i="6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Q567" i="6" s="1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J542" i="6" s="1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Q527" i="6" s="1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F511" i="6"/>
  <c r="Q510" i="6"/>
  <c r="K510" i="6"/>
  <c r="I510" i="6"/>
  <c r="H510" i="6"/>
  <c r="J510" i="6" s="1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Q513" i="6" s="1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Q500" i="6" s="1"/>
  <c r="Q514" i="6" s="1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Q459" i="6" s="1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Q446" i="6" s="1"/>
  <c r="Q460" i="6" s="1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Q405" i="6" s="1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Q257" i="6" s="1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Q230" i="6" s="1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Q203" i="6" s="1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Q189" i="6" s="1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Q149" i="6" s="1"/>
  <c r="Q163" i="6" s="1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Q135" i="6" s="1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Q122" i="6" s="1"/>
  <c r="Q136" i="6" s="1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Q108" i="6" s="1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Q81" i="6" s="1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Q68" i="6" s="1"/>
  <c r="Q82" i="6" s="1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Q41" i="6" s="1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Q837" i="5" s="1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Q797" i="5" s="1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Q783" i="5" s="1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Q770" i="5" s="1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Q716" i="5" s="1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Q702" i="5" s="1"/>
  <c r="K690" i="5"/>
  <c r="K702" i="5" s="1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Q689" i="5" s="1"/>
  <c r="Q703" i="5" s="1"/>
  <c r="K677" i="5"/>
  <c r="K689" i="5" s="1"/>
  <c r="K703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S622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K621" i="5" s="1"/>
  <c r="I609" i="5"/>
  <c r="H609" i="5"/>
  <c r="F609" i="5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27" i="5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F511" i="5"/>
  <c r="Q510" i="5"/>
  <c r="K510" i="5"/>
  <c r="I510" i="5"/>
  <c r="H510" i="5"/>
  <c r="J510" i="5" s="1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H507" i="5"/>
  <c r="F507" i="5"/>
  <c r="Q506" i="5"/>
  <c r="K506" i="5"/>
  <c r="I506" i="5"/>
  <c r="H506" i="5"/>
  <c r="F506" i="5"/>
  <c r="Q505" i="5"/>
  <c r="K505" i="5"/>
  <c r="I505" i="5"/>
  <c r="H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H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K513" i="5" s="1"/>
  <c r="I501" i="5"/>
  <c r="H501" i="5"/>
  <c r="F501" i="5"/>
  <c r="G500" i="5"/>
  <c r="G514" i="5" s="1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H497" i="5"/>
  <c r="F497" i="5"/>
  <c r="Q496" i="5"/>
  <c r="K496" i="5"/>
  <c r="I496" i="5"/>
  <c r="H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H492" i="5"/>
  <c r="F492" i="5"/>
  <c r="Q491" i="5"/>
  <c r="K491" i="5"/>
  <c r="I491" i="5"/>
  <c r="H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Q473" i="5" s="1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F458" i="5"/>
  <c r="Q457" i="5"/>
  <c r="K457" i="5"/>
  <c r="I457" i="5"/>
  <c r="H457" i="5"/>
  <c r="F457" i="5"/>
  <c r="Q456" i="5"/>
  <c r="K456" i="5"/>
  <c r="I456" i="5"/>
  <c r="H456" i="5"/>
  <c r="F456" i="5"/>
  <c r="Q455" i="5"/>
  <c r="K455" i="5"/>
  <c r="I455" i="5"/>
  <c r="H455" i="5"/>
  <c r="F455" i="5"/>
  <c r="Q454" i="5"/>
  <c r="K454" i="5"/>
  <c r="I454" i="5"/>
  <c r="H454" i="5"/>
  <c r="F454" i="5"/>
  <c r="Q453" i="5"/>
  <c r="K453" i="5"/>
  <c r="I453" i="5"/>
  <c r="H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H450" i="5"/>
  <c r="F450" i="5"/>
  <c r="Q449" i="5"/>
  <c r="K449" i="5"/>
  <c r="I449" i="5"/>
  <c r="H449" i="5"/>
  <c r="F449" i="5"/>
  <c r="Q448" i="5"/>
  <c r="K448" i="5"/>
  <c r="I448" i="5"/>
  <c r="H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K459" i="5" s="1"/>
  <c r="I447" i="5"/>
  <c r="H447" i="5"/>
  <c r="F447" i="5"/>
  <c r="G446" i="5"/>
  <c r="G460" i="5" s="1"/>
  <c r="Q445" i="5"/>
  <c r="K445" i="5"/>
  <c r="I445" i="5"/>
  <c r="H445" i="5"/>
  <c r="F445" i="5"/>
  <c r="Q444" i="5"/>
  <c r="K444" i="5"/>
  <c r="I444" i="5"/>
  <c r="H444" i="5"/>
  <c r="F444" i="5"/>
  <c r="Q443" i="5"/>
  <c r="K443" i="5"/>
  <c r="I443" i="5"/>
  <c r="H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H440" i="5"/>
  <c r="F440" i="5"/>
  <c r="Q439" i="5"/>
  <c r="K439" i="5"/>
  <c r="I439" i="5"/>
  <c r="H439" i="5"/>
  <c r="F439" i="5"/>
  <c r="Q438" i="5"/>
  <c r="K438" i="5"/>
  <c r="I438" i="5"/>
  <c r="H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H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Q446" i="5" s="1"/>
  <c r="K434" i="5"/>
  <c r="K446" i="5" s="1"/>
  <c r="K460" i="5" s="1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Q432" i="5" s="1"/>
  <c r="K420" i="5"/>
  <c r="K432" i="5" s="1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Q419" i="5" s="1"/>
  <c r="Q433" i="5" s="1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F391" i="5"/>
  <c r="Q390" i="5"/>
  <c r="K390" i="5"/>
  <c r="I390" i="5"/>
  <c r="H390" i="5"/>
  <c r="F390" i="5"/>
  <c r="Q389" i="5"/>
  <c r="K389" i="5"/>
  <c r="I389" i="5"/>
  <c r="H389" i="5"/>
  <c r="F389" i="5"/>
  <c r="Q388" i="5"/>
  <c r="K388" i="5"/>
  <c r="I388" i="5"/>
  <c r="H388" i="5"/>
  <c r="F388" i="5"/>
  <c r="Q387" i="5"/>
  <c r="K387" i="5"/>
  <c r="I387" i="5"/>
  <c r="H387" i="5"/>
  <c r="F387" i="5"/>
  <c r="Q386" i="5"/>
  <c r="K386" i="5"/>
  <c r="I386" i="5"/>
  <c r="H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H383" i="5"/>
  <c r="F383" i="5"/>
  <c r="Q382" i="5"/>
  <c r="I382" i="5"/>
  <c r="H382" i="5"/>
  <c r="F382" i="5"/>
  <c r="Q381" i="5"/>
  <c r="K381" i="5"/>
  <c r="I381" i="5"/>
  <c r="H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F377" i="5"/>
  <c r="Q376" i="5"/>
  <c r="K376" i="5"/>
  <c r="I376" i="5"/>
  <c r="H376" i="5"/>
  <c r="F376" i="5"/>
  <c r="Q375" i="5"/>
  <c r="K375" i="5"/>
  <c r="I375" i="5"/>
  <c r="H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H372" i="5"/>
  <c r="F372" i="5"/>
  <c r="Q371" i="5"/>
  <c r="K371" i="5"/>
  <c r="I371" i="5"/>
  <c r="H371" i="5"/>
  <c r="F371" i="5"/>
  <c r="Q370" i="5"/>
  <c r="K370" i="5"/>
  <c r="I370" i="5"/>
  <c r="H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H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Q378" i="5" s="1"/>
  <c r="K366" i="5"/>
  <c r="K378" i="5" s="1"/>
  <c r="I366" i="5"/>
  <c r="H366" i="5"/>
  <c r="F366" i="5"/>
  <c r="G365" i="5"/>
  <c r="G379" i="5" s="1"/>
  <c r="Q364" i="5"/>
  <c r="K364" i="5"/>
  <c r="I364" i="5"/>
  <c r="H364" i="5"/>
  <c r="F364" i="5"/>
  <c r="Q363" i="5"/>
  <c r="K363" i="5"/>
  <c r="I363" i="5"/>
  <c r="H363" i="5"/>
  <c r="F363" i="5"/>
  <c r="Q362" i="5"/>
  <c r="K362" i="5"/>
  <c r="I362" i="5"/>
  <c r="H362" i="5"/>
  <c r="F362" i="5"/>
  <c r="Q361" i="5"/>
  <c r="K361" i="5"/>
  <c r="I361" i="5"/>
  <c r="H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H357" i="5"/>
  <c r="F357" i="5"/>
  <c r="Q356" i="5"/>
  <c r="K356" i="5"/>
  <c r="I356" i="5"/>
  <c r="H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Q365" i="5" s="1"/>
  <c r="Q379" i="5" s="1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H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Q351" i="5" s="1"/>
  <c r="K339" i="5"/>
  <c r="K351" i="5" s="1"/>
  <c r="I339" i="5"/>
  <c r="H339" i="5"/>
  <c r="F339" i="5"/>
  <c r="G338" i="5"/>
  <c r="G352" i="5" s="1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H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H330" i="5"/>
  <c r="F330" i="5"/>
  <c r="Q329" i="5"/>
  <c r="K329" i="5"/>
  <c r="I329" i="5"/>
  <c r="H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K324" i="5"/>
  <c r="G324" i="5"/>
  <c r="Q323" i="5"/>
  <c r="I323" i="5"/>
  <c r="H323" i="5"/>
  <c r="F323" i="5"/>
  <c r="Q322" i="5"/>
  <c r="I322" i="5"/>
  <c r="H322" i="5"/>
  <c r="F322" i="5"/>
  <c r="Q321" i="5"/>
  <c r="I321" i="5"/>
  <c r="H321" i="5"/>
  <c r="F321" i="5"/>
  <c r="Q320" i="5"/>
  <c r="I320" i="5"/>
  <c r="H320" i="5"/>
  <c r="F320" i="5"/>
  <c r="Q319" i="5"/>
  <c r="I319" i="5"/>
  <c r="H319" i="5"/>
  <c r="F319" i="5"/>
  <c r="Q318" i="5"/>
  <c r="I318" i="5"/>
  <c r="H318" i="5"/>
  <c r="F318" i="5"/>
  <c r="Q317" i="5"/>
  <c r="I317" i="5"/>
  <c r="H317" i="5"/>
  <c r="F317" i="5"/>
  <c r="Q316" i="5"/>
  <c r="I316" i="5"/>
  <c r="H316" i="5"/>
  <c r="F316" i="5"/>
  <c r="Q315" i="5"/>
  <c r="I315" i="5"/>
  <c r="H315" i="5"/>
  <c r="F315" i="5"/>
  <c r="Q314" i="5"/>
  <c r="I314" i="5"/>
  <c r="H314" i="5"/>
  <c r="F314" i="5"/>
  <c r="Q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Q324" i="5" s="1"/>
  <c r="I312" i="5"/>
  <c r="H312" i="5"/>
  <c r="F312" i="5"/>
  <c r="G311" i="5"/>
  <c r="G325" i="5" s="1"/>
  <c r="Q310" i="5"/>
  <c r="K310" i="5"/>
  <c r="I310" i="5"/>
  <c r="H310" i="5"/>
  <c r="F310" i="5"/>
  <c r="Q309" i="5"/>
  <c r="K309" i="5"/>
  <c r="I309" i="5"/>
  <c r="H309" i="5"/>
  <c r="F309" i="5"/>
  <c r="Q308" i="5"/>
  <c r="K308" i="5"/>
  <c r="I308" i="5"/>
  <c r="H308" i="5"/>
  <c r="F308" i="5"/>
  <c r="Q307" i="5"/>
  <c r="K307" i="5"/>
  <c r="I307" i="5"/>
  <c r="H307" i="5"/>
  <c r="F307" i="5"/>
  <c r="Q306" i="5"/>
  <c r="K306" i="5"/>
  <c r="I306" i="5"/>
  <c r="H306" i="5"/>
  <c r="F306" i="5"/>
  <c r="Q305" i="5"/>
  <c r="K305" i="5"/>
  <c r="I305" i="5"/>
  <c r="H305" i="5"/>
  <c r="F305" i="5"/>
  <c r="Q304" i="5"/>
  <c r="K304" i="5"/>
  <c r="I304" i="5"/>
  <c r="H304" i="5"/>
  <c r="F304" i="5"/>
  <c r="Q303" i="5"/>
  <c r="K303" i="5"/>
  <c r="I303" i="5"/>
  <c r="H303" i="5"/>
  <c r="F303" i="5"/>
  <c r="Q302" i="5"/>
  <c r="K302" i="5"/>
  <c r="I302" i="5"/>
  <c r="H302" i="5"/>
  <c r="F302" i="5"/>
  <c r="Q301" i="5"/>
  <c r="K301" i="5"/>
  <c r="I301" i="5"/>
  <c r="H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Q297" i="5" s="1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Q284" i="5" s="1"/>
  <c r="Q298" i="5" s="1"/>
  <c r="K272" i="5"/>
  <c r="K284" i="5" s="1"/>
  <c r="K298" i="5" s="1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T230" i="5"/>
  <c r="G230" i="5"/>
  <c r="G244" i="5" s="1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K230" i="5" s="1"/>
  <c r="K244" i="5" s="1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G217" i="5" s="1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Q203" i="5" s="1"/>
  <c r="K191" i="5"/>
  <c r="K203" i="5" s="1"/>
  <c r="K217" i="5" s="1"/>
  <c r="T190" i="5"/>
  <c r="S190" i="5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Q189" i="5" s="1"/>
  <c r="K177" i="5"/>
  <c r="K189" i="5" s="1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K176" i="5" s="1"/>
  <c r="K190" i="5" s="1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K162" i="5" s="1"/>
  <c r="T149" i="5"/>
  <c r="G149" i="5"/>
  <c r="G163" i="5" s="1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K149" i="5" s="1"/>
  <c r="K163" i="5" s="1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G136" i="5" s="1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T109" i="5"/>
  <c r="S109" i="5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K81" i="5" s="1"/>
  <c r="T68" i="5"/>
  <c r="G68" i="5"/>
  <c r="G82" i="5" s="1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K68" i="5" s="1"/>
  <c r="K82" i="5" s="1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G55" i="5" s="1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T28" i="5"/>
  <c r="S28" i="5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M824" i="3" s="1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M756" i="3" s="1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G635" i="3" s="1"/>
  <c r="G649" i="3" s="1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G621" i="3" s="1"/>
  <c r="F608" i="3"/>
  <c r="F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G608" i="3" s="1"/>
  <c r="G622" i="3" s="1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G594" i="3" s="1"/>
  <c r="F581" i="3"/>
  <c r="F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M581" i="3" s="1"/>
  <c r="G569" i="3"/>
  <c r="G581" i="3" s="1"/>
  <c r="G595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M554" i="3" s="1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M500" i="3" s="1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M459" i="3" s="1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M446" i="3" s="1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M419" i="3" s="1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M405" i="3" s="1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M378" i="3" s="1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M351" i="3" s="1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M257" i="3" s="1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M203" i="3" s="1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M176" i="3" s="1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M108" i="3" s="1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M41" i="3" s="1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F26" i="1"/>
  <c r="E26" i="1"/>
  <c r="C26" i="1"/>
  <c r="F25" i="1"/>
  <c r="E25" i="1"/>
  <c r="C25" i="1"/>
  <c r="F24" i="1"/>
  <c r="E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E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E10" i="1"/>
  <c r="C10" i="1"/>
  <c r="J9" i="1"/>
  <c r="F9" i="1"/>
  <c r="E9" i="1"/>
  <c r="C9" i="1"/>
  <c r="J8" i="1"/>
  <c r="F8" i="1"/>
  <c r="E8" i="1"/>
  <c r="C8" i="1"/>
  <c r="J7" i="1"/>
  <c r="F7" i="1"/>
  <c r="E7" i="1"/>
  <c r="C7" i="1"/>
  <c r="J6" i="1"/>
  <c r="F6" i="1"/>
  <c r="E6" i="1"/>
  <c r="C6" i="1"/>
  <c r="J5" i="1"/>
  <c r="F5" i="1"/>
  <c r="E5" i="1"/>
  <c r="C5" i="1"/>
  <c r="J4" i="1"/>
  <c r="F4" i="1"/>
  <c r="F35" i="1" s="1"/>
  <c r="E4" i="1"/>
  <c r="E35" i="1" s="1"/>
  <c r="C4" i="1"/>
  <c r="C35" i="1" s="1"/>
  <c r="S838" i="4"/>
  <c r="D34" i="1" s="1"/>
  <c r="G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Q824" i="4" s="1"/>
  <c r="K812" i="4"/>
  <c r="K824" i="4" s="1"/>
  <c r="K838" i="4" s="1"/>
  <c r="I812" i="4"/>
  <c r="H812" i="4"/>
  <c r="F812" i="4"/>
  <c r="S811" i="4"/>
  <c r="D33" i="1" s="1"/>
  <c r="G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Q743" i="4" s="1"/>
  <c r="K731" i="4"/>
  <c r="K743" i="4" s="1"/>
  <c r="K757" i="4" s="1"/>
  <c r="I731" i="4"/>
  <c r="H731" i="4"/>
  <c r="F731" i="4"/>
  <c r="S730" i="4"/>
  <c r="D30" i="1" s="1"/>
  <c r="G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Q729" i="4" s="1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Q689" i="4" s="1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Q648" i="4" s="1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H632" i="4"/>
  <c r="J632" i="4" s="1"/>
  <c r="F632" i="4"/>
  <c r="Q631" i="4"/>
  <c r="K631" i="4"/>
  <c r="I631" i="4"/>
  <c r="H631" i="4"/>
  <c r="J631" i="4" s="1"/>
  <c r="F631" i="4"/>
  <c r="Q630" i="4"/>
  <c r="K630" i="4"/>
  <c r="I630" i="4"/>
  <c r="H630" i="4"/>
  <c r="J630" i="4" s="1"/>
  <c r="F630" i="4"/>
  <c r="Q629" i="4"/>
  <c r="K629" i="4"/>
  <c r="I629" i="4"/>
  <c r="H629" i="4"/>
  <c r="J629" i="4" s="1"/>
  <c r="F629" i="4"/>
  <c r="Q628" i="4"/>
  <c r="K628" i="4"/>
  <c r="I628" i="4"/>
  <c r="H628" i="4"/>
  <c r="J628" i="4" s="1"/>
  <c r="F628" i="4"/>
  <c r="Q627" i="4"/>
  <c r="K627" i="4"/>
  <c r="I627" i="4"/>
  <c r="H627" i="4"/>
  <c r="J627" i="4" s="1"/>
  <c r="F627" i="4"/>
  <c r="Q626" i="4"/>
  <c r="K626" i="4"/>
  <c r="I626" i="4"/>
  <c r="H626" i="4"/>
  <c r="J626" i="4" s="1"/>
  <c r="F626" i="4"/>
  <c r="Q625" i="4"/>
  <c r="K625" i="4"/>
  <c r="I625" i="4"/>
  <c r="H625" i="4"/>
  <c r="J625" i="4" s="1"/>
  <c r="F625" i="4"/>
  <c r="Q624" i="4"/>
  <c r="K624" i="4"/>
  <c r="I624" i="4"/>
  <c r="H624" i="4"/>
  <c r="J624" i="4" s="1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K635" i="4" s="1"/>
  <c r="K649" i="4" s="1"/>
  <c r="I623" i="4"/>
  <c r="H623" i="4"/>
  <c r="F623" i="4"/>
  <c r="S622" i="4"/>
  <c r="D26" i="1" s="1"/>
  <c r="G26" i="1" s="1"/>
  <c r="G621" i="4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H618" i="4"/>
  <c r="J618" i="4" s="1"/>
  <c r="F618" i="4"/>
  <c r="Q617" i="4"/>
  <c r="K617" i="4"/>
  <c r="I617" i="4"/>
  <c r="H617" i="4"/>
  <c r="J617" i="4" s="1"/>
  <c r="F617" i="4"/>
  <c r="Q616" i="4"/>
  <c r="K616" i="4"/>
  <c r="I616" i="4"/>
  <c r="H616" i="4"/>
  <c r="J616" i="4" s="1"/>
  <c r="F616" i="4"/>
  <c r="Q615" i="4"/>
  <c r="I615" i="4"/>
  <c r="H615" i="4"/>
  <c r="J615" i="4" s="1"/>
  <c r="F615" i="4"/>
  <c r="Q614" i="4"/>
  <c r="K614" i="4"/>
  <c r="I614" i="4"/>
  <c r="H614" i="4"/>
  <c r="J614" i="4" s="1"/>
  <c r="F614" i="4"/>
  <c r="Q613" i="4"/>
  <c r="K613" i="4"/>
  <c r="I613" i="4"/>
  <c r="H613" i="4"/>
  <c r="J613" i="4" s="1"/>
  <c r="F613" i="4"/>
  <c r="Q612" i="4"/>
  <c r="K612" i="4"/>
  <c r="I612" i="4"/>
  <c r="H612" i="4"/>
  <c r="J612" i="4" s="1"/>
  <c r="F612" i="4"/>
  <c r="Q611" i="4"/>
  <c r="K611" i="4"/>
  <c r="I611" i="4"/>
  <c r="H611" i="4"/>
  <c r="J611" i="4" s="1"/>
  <c r="F611" i="4"/>
  <c r="Q610" i="4"/>
  <c r="K610" i="4"/>
  <c r="I610" i="4"/>
  <c r="H610" i="4"/>
  <c r="J610" i="4" s="1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K621" i="4" s="1"/>
  <c r="I609" i="4"/>
  <c r="H609" i="4"/>
  <c r="F609" i="4"/>
  <c r="G608" i="4"/>
  <c r="G622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H600" i="4"/>
  <c r="J600" i="4" s="1"/>
  <c r="F600" i="4"/>
  <c r="Q599" i="4"/>
  <c r="K599" i="4"/>
  <c r="I599" i="4"/>
  <c r="H599" i="4"/>
  <c r="J599" i="4" s="1"/>
  <c r="F599" i="4"/>
  <c r="Q598" i="4"/>
  <c r="K598" i="4"/>
  <c r="I598" i="4"/>
  <c r="H598" i="4"/>
  <c r="J598" i="4" s="1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K608" i="4" s="1"/>
  <c r="K622" i="4" s="1"/>
  <c r="I596" i="4"/>
  <c r="H596" i="4"/>
  <c r="F596" i="4"/>
  <c r="S595" i="4"/>
  <c r="D25" i="1" s="1"/>
  <c r="G25" i="1" s="1"/>
  <c r="G594" i="4"/>
  <c r="Q593" i="4"/>
  <c r="K593" i="4"/>
  <c r="I593" i="4"/>
  <c r="H593" i="4"/>
  <c r="J593" i="4" s="1"/>
  <c r="F593" i="4"/>
  <c r="Q592" i="4"/>
  <c r="K592" i="4"/>
  <c r="I592" i="4"/>
  <c r="H592" i="4"/>
  <c r="J592" i="4" s="1"/>
  <c r="F592" i="4"/>
  <c r="Q591" i="4"/>
  <c r="K591" i="4"/>
  <c r="I591" i="4"/>
  <c r="H591" i="4"/>
  <c r="J591" i="4" s="1"/>
  <c r="F591" i="4"/>
  <c r="Q590" i="4"/>
  <c r="K590" i="4"/>
  <c r="I590" i="4"/>
  <c r="H590" i="4"/>
  <c r="J590" i="4" s="1"/>
  <c r="F590" i="4"/>
  <c r="Q589" i="4"/>
  <c r="K589" i="4"/>
  <c r="I589" i="4"/>
  <c r="H589" i="4"/>
  <c r="J589" i="4" s="1"/>
  <c r="F589" i="4"/>
  <c r="Q588" i="4"/>
  <c r="K588" i="4"/>
  <c r="I588" i="4"/>
  <c r="H588" i="4"/>
  <c r="J588" i="4" s="1"/>
  <c r="F588" i="4"/>
  <c r="Q587" i="4"/>
  <c r="K587" i="4"/>
  <c r="I587" i="4"/>
  <c r="H587" i="4"/>
  <c r="J587" i="4" s="1"/>
  <c r="F587" i="4"/>
  <c r="Q586" i="4"/>
  <c r="K586" i="4"/>
  <c r="I586" i="4"/>
  <c r="H586" i="4"/>
  <c r="J586" i="4" s="1"/>
  <c r="F586" i="4"/>
  <c r="Q585" i="4"/>
  <c r="K585" i="4"/>
  <c r="I585" i="4"/>
  <c r="H585" i="4"/>
  <c r="J585" i="4" s="1"/>
  <c r="F585" i="4"/>
  <c r="Q584" i="4"/>
  <c r="K584" i="4"/>
  <c r="I584" i="4"/>
  <c r="H584" i="4"/>
  <c r="J584" i="4" s="1"/>
  <c r="F584" i="4"/>
  <c r="Q583" i="4"/>
  <c r="K583" i="4"/>
  <c r="I583" i="4"/>
  <c r="H583" i="4"/>
  <c r="J583" i="4" s="1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K594" i="4" s="1"/>
  <c r="I582" i="4"/>
  <c r="H582" i="4"/>
  <c r="F582" i="4"/>
  <c r="G581" i="4"/>
  <c r="G595" i="4" s="1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J577" i="4" s="1"/>
  <c r="F577" i="4"/>
  <c r="Q576" i="4"/>
  <c r="K576" i="4"/>
  <c r="I576" i="4"/>
  <c r="H576" i="4"/>
  <c r="J576" i="4" s="1"/>
  <c r="F576" i="4"/>
  <c r="Q575" i="4"/>
  <c r="K575" i="4"/>
  <c r="I575" i="4"/>
  <c r="H575" i="4"/>
  <c r="J575" i="4" s="1"/>
  <c r="F575" i="4"/>
  <c r="Q574" i="4"/>
  <c r="K574" i="4"/>
  <c r="I574" i="4"/>
  <c r="H574" i="4"/>
  <c r="J574" i="4" s="1"/>
  <c r="F574" i="4"/>
  <c r="Q573" i="4"/>
  <c r="K573" i="4"/>
  <c r="I573" i="4"/>
  <c r="H573" i="4"/>
  <c r="J573" i="4" s="1"/>
  <c r="F573" i="4"/>
  <c r="Q572" i="4"/>
  <c r="K572" i="4"/>
  <c r="I572" i="4"/>
  <c r="H572" i="4"/>
  <c r="J572" i="4" s="1"/>
  <c r="F572" i="4"/>
  <c r="Q571" i="4"/>
  <c r="K571" i="4"/>
  <c r="I571" i="4"/>
  <c r="H571" i="4"/>
  <c r="J571" i="4" s="1"/>
  <c r="F571" i="4"/>
  <c r="Q570" i="4"/>
  <c r="K570" i="4"/>
  <c r="I570" i="4"/>
  <c r="H570" i="4"/>
  <c r="J570" i="4" s="1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K595" i="4" s="1"/>
  <c r="I569" i="4"/>
  <c r="H569" i="4"/>
  <c r="F569" i="4"/>
  <c r="S568" i="4"/>
  <c r="D24" i="1" s="1"/>
  <c r="G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J560" i="4" s="1"/>
  <c r="F560" i="4"/>
  <c r="Q559" i="4"/>
  <c r="K559" i="4"/>
  <c r="I559" i="4"/>
  <c r="H559" i="4"/>
  <c r="J559" i="4" s="1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J553" i="4" s="1"/>
  <c r="F553" i="4"/>
  <c r="Q552" i="4"/>
  <c r="K552" i="4"/>
  <c r="I552" i="4"/>
  <c r="H552" i="4"/>
  <c r="J552" i="4" s="1"/>
  <c r="F552" i="4"/>
  <c r="Q551" i="4"/>
  <c r="K551" i="4"/>
  <c r="I551" i="4"/>
  <c r="H551" i="4"/>
  <c r="J551" i="4" s="1"/>
  <c r="F551" i="4"/>
  <c r="Q550" i="4"/>
  <c r="K550" i="4"/>
  <c r="I550" i="4"/>
  <c r="H550" i="4"/>
  <c r="J550" i="4" s="1"/>
  <c r="F550" i="4"/>
  <c r="Q549" i="4"/>
  <c r="K549" i="4"/>
  <c r="I549" i="4"/>
  <c r="H549" i="4"/>
  <c r="J549" i="4" s="1"/>
  <c r="F549" i="4"/>
  <c r="Q548" i="4"/>
  <c r="K548" i="4"/>
  <c r="I548" i="4"/>
  <c r="H548" i="4"/>
  <c r="J548" i="4" s="1"/>
  <c r="F548" i="4"/>
  <c r="Q547" i="4"/>
  <c r="K547" i="4"/>
  <c r="I547" i="4"/>
  <c r="H547" i="4"/>
  <c r="J547" i="4" s="1"/>
  <c r="F547" i="4"/>
  <c r="Q546" i="4"/>
  <c r="K546" i="4"/>
  <c r="I546" i="4"/>
  <c r="H546" i="4"/>
  <c r="J546" i="4" s="1"/>
  <c r="F546" i="4"/>
  <c r="Q545" i="4"/>
  <c r="K545" i="4"/>
  <c r="I545" i="4"/>
  <c r="H545" i="4"/>
  <c r="J545" i="4" s="1"/>
  <c r="F545" i="4"/>
  <c r="Q544" i="4"/>
  <c r="K544" i="4"/>
  <c r="I544" i="4"/>
  <c r="H544" i="4"/>
  <c r="J544" i="4" s="1"/>
  <c r="F544" i="4"/>
  <c r="Q543" i="4"/>
  <c r="K543" i="4"/>
  <c r="I543" i="4"/>
  <c r="H543" i="4"/>
  <c r="J543" i="4" s="1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23" i="1" s="1"/>
  <c r="G540" i="4"/>
  <c r="Q539" i="4"/>
  <c r="K539" i="4"/>
  <c r="I539" i="4"/>
  <c r="H539" i="4"/>
  <c r="J539" i="4" s="1"/>
  <c r="F539" i="4"/>
  <c r="Q538" i="4"/>
  <c r="K538" i="4"/>
  <c r="I538" i="4"/>
  <c r="H538" i="4"/>
  <c r="J538" i="4" s="1"/>
  <c r="F538" i="4"/>
  <c r="Q537" i="4"/>
  <c r="K537" i="4"/>
  <c r="I537" i="4"/>
  <c r="H537" i="4"/>
  <c r="J537" i="4" s="1"/>
  <c r="F537" i="4"/>
  <c r="Q536" i="4"/>
  <c r="K536" i="4"/>
  <c r="I536" i="4"/>
  <c r="H536" i="4"/>
  <c r="J536" i="4" s="1"/>
  <c r="F536" i="4"/>
  <c r="Q535" i="4"/>
  <c r="K535" i="4"/>
  <c r="I535" i="4"/>
  <c r="H535" i="4"/>
  <c r="J535" i="4" s="1"/>
  <c r="F535" i="4"/>
  <c r="Q534" i="4"/>
  <c r="K534" i="4"/>
  <c r="I534" i="4"/>
  <c r="H534" i="4"/>
  <c r="J534" i="4" s="1"/>
  <c r="F534" i="4"/>
  <c r="Q533" i="4"/>
  <c r="K533" i="4"/>
  <c r="I533" i="4"/>
  <c r="H533" i="4"/>
  <c r="J533" i="4" s="1"/>
  <c r="F533" i="4"/>
  <c r="Q532" i="4"/>
  <c r="K532" i="4"/>
  <c r="I532" i="4"/>
  <c r="H532" i="4"/>
  <c r="J532" i="4" s="1"/>
  <c r="F532" i="4"/>
  <c r="Q531" i="4"/>
  <c r="K531" i="4"/>
  <c r="I531" i="4"/>
  <c r="H531" i="4"/>
  <c r="J531" i="4" s="1"/>
  <c r="F531" i="4"/>
  <c r="Q530" i="4"/>
  <c r="K530" i="4"/>
  <c r="I530" i="4"/>
  <c r="H530" i="4"/>
  <c r="J530" i="4" s="1"/>
  <c r="F530" i="4"/>
  <c r="Q529" i="4"/>
  <c r="K529" i="4"/>
  <c r="I529" i="4"/>
  <c r="H529" i="4"/>
  <c r="J529" i="4" s="1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J526" i="4" s="1"/>
  <c r="F526" i="4"/>
  <c r="Q525" i="4"/>
  <c r="K525" i="4"/>
  <c r="I525" i="4"/>
  <c r="H525" i="4"/>
  <c r="J525" i="4" s="1"/>
  <c r="F525" i="4"/>
  <c r="Q524" i="4"/>
  <c r="K524" i="4"/>
  <c r="I524" i="4"/>
  <c r="H524" i="4"/>
  <c r="J524" i="4" s="1"/>
  <c r="F524" i="4"/>
  <c r="Q523" i="4"/>
  <c r="K523" i="4"/>
  <c r="I523" i="4"/>
  <c r="H523" i="4"/>
  <c r="J523" i="4" s="1"/>
  <c r="F523" i="4"/>
  <c r="Q522" i="4"/>
  <c r="K522" i="4"/>
  <c r="I522" i="4"/>
  <c r="H522" i="4"/>
  <c r="J522" i="4" s="1"/>
  <c r="F522" i="4"/>
  <c r="Q521" i="4"/>
  <c r="K521" i="4"/>
  <c r="I521" i="4"/>
  <c r="H521" i="4"/>
  <c r="J521" i="4" s="1"/>
  <c r="F521" i="4"/>
  <c r="Q520" i="4"/>
  <c r="K520" i="4"/>
  <c r="I520" i="4"/>
  <c r="H520" i="4"/>
  <c r="J520" i="4" s="1"/>
  <c r="F520" i="4"/>
  <c r="Q519" i="4"/>
  <c r="K519" i="4"/>
  <c r="I519" i="4"/>
  <c r="H519" i="4"/>
  <c r="J519" i="4" s="1"/>
  <c r="F519" i="4"/>
  <c r="Q518" i="4"/>
  <c r="K518" i="4"/>
  <c r="I518" i="4"/>
  <c r="H518" i="4"/>
  <c r="J518" i="4" s="1"/>
  <c r="F518" i="4"/>
  <c r="Q517" i="4"/>
  <c r="K517" i="4"/>
  <c r="I517" i="4"/>
  <c r="H517" i="4"/>
  <c r="J517" i="4" s="1"/>
  <c r="F517" i="4"/>
  <c r="Q516" i="4"/>
  <c r="K516" i="4"/>
  <c r="I516" i="4"/>
  <c r="H516" i="4"/>
  <c r="J516" i="4" s="1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Q527" i="4" s="1"/>
  <c r="K515" i="4"/>
  <c r="K527" i="4" s="1"/>
  <c r="K541" i="4" s="1"/>
  <c r="I515" i="4"/>
  <c r="H515" i="4"/>
  <c r="F515" i="4"/>
  <c r="S514" i="4"/>
  <c r="D22" i="1" s="1"/>
  <c r="G22" i="1" s="1"/>
  <c r="G513" i="4"/>
  <c r="Q512" i="4"/>
  <c r="K512" i="4"/>
  <c r="I512" i="4"/>
  <c r="H512" i="4"/>
  <c r="J512" i="4" s="1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Q500" i="4" s="1"/>
  <c r="K488" i="4"/>
  <c r="K500" i="4" s="1"/>
  <c r="K514" i="4" s="1"/>
  <c r="I488" i="4"/>
  <c r="H488" i="4"/>
  <c r="F488" i="4"/>
  <c r="S487" i="4"/>
  <c r="D21" i="1" s="1"/>
  <c r="G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Q473" i="4" s="1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Q459" i="4" s="1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Q419" i="4" s="1"/>
  <c r="K407" i="4"/>
  <c r="K419" i="4" s="1"/>
  <c r="K433" i="4" s="1"/>
  <c r="I407" i="4"/>
  <c r="H407" i="4"/>
  <c r="F407" i="4"/>
  <c r="S406" i="4"/>
  <c r="D18" i="1" s="1"/>
  <c r="G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Q405" i="4" s="1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Q392" i="4" s="1"/>
  <c r="Q406" i="4" s="1"/>
  <c r="K380" i="4"/>
  <c r="K392" i="4" s="1"/>
  <c r="K406" i="4" s="1"/>
  <c r="I380" i="4"/>
  <c r="H380" i="4"/>
  <c r="F380" i="4"/>
  <c r="S379" i="4"/>
  <c r="D17" i="1" s="1"/>
  <c r="G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Q338" i="4" s="1"/>
  <c r="K326" i="4"/>
  <c r="K338" i="4" s="1"/>
  <c r="K352" i="4" s="1"/>
  <c r="I326" i="4"/>
  <c r="H326" i="4"/>
  <c r="F326" i="4"/>
  <c r="S325" i="4"/>
  <c r="D15" i="1" s="1"/>
  <c r="G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Q311" i="4" s="1"/>
  <c r="K299" i="4"/>
  <c r="K311" i="4" s="1"/>
  <c r="K325" i="4" s="1"/>
  <c r="I299" i="4"/>
  <c r="H299" i="4"/>
  <c r="F299" i="4"/>
  <c r="S298" i="4"/>
  <c r="D14" i="1" s="1"/>
  <c r="G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Q297" i="4" s="1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Q284" i="4" s="1"/>
  <c r="Q298" i="4" s="1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G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Q243" i="4" s="1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Q230" i="4" s="1"/>
  <c r="K218" i="4"/>
  <c r="K230" i="4" s="1"/>
  <c r="K244" i="4" s="1"/>
  <c r="S217" i="4"/>
  <c r="D11" i="1" s="1"/>
  <c r="G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Q216" i="4" s="1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Q203" i="4" s="1"/>
  <c r="Q217" i="4" s="1"/>
  <c r="K191" i="4"/>
  <c r="K203" i="4" s="1"/>
  <c r="K217" i="4" s="1"/>
  <c r="S190" i="4"/>
  <c r="D10" i="1" s="1"/>
  <c r="G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Q176" i="4" s="1"/>
  <c r="K164" i="4"/>
  <c r="K176" i="4" s="1"/>
  <c r="K190" i="4" s="1"/>
  <c r="S163" i="4"/>
  <c r="D9" i="1" s="1"/>
  <c r="G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Q162" i="4" s="1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G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G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Q108" i="4" s="1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G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Q81" i="4" s="1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Q68" i="4" s="1"/>
  <c r="Q82" i="4" s="1"/>
  <c r="K56" i="4"/>
  <c r="K68" i="4" s="1"/>
  <c r="K82" i="4" s="1"/>
  <c r="S55" i="4"/>
  <c r="D5" i="1" s="1"/>
  <c r="G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Q27" i="4" s="1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32" i="6" l="1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2" i="5"/>
  <c r="J303" i="5"/>
  <c r="J304" i="5"/>
  <c r="J305" i="5"/>
  <c r="J306" i="5"/>
  <c r="J307" i="5"/>
  <c r="J308" i="5"/>
  <c r="J309" i="5"/>
  <c r="J310" i="5"/>
  <c r="J313" i="5"/>
  <c r="J314" i="5"/>
  <c r="J315" i="5"/>
  <c r="J316" i="5"/>
  <c r="J317" i="5"/>
  <c r="J318" i="5"/>
  <c r="J319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2" i="5"/>
  <c r="J373" i="5"/>
  <c r="J374" i="5"/>
  <c r="J375" i="5"/>
  <c r="J376" i="5"/>
  <c r="J377" i="5"/>
  <c r="J381" i="5"/>
  <c r="J382" i="5"/>
  <c r="J383" i="5"/>
  <c r="J384" i="5"/>
  <c r="J385" i="5"/>
  <c r="J386" i="5"/>
  <c r="J387" i="5"/>
  <c r="J388" i="5"/>
  <c r="J389" i="5"/>
  <c r="J390" i="5"/>
  <c r="J391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6" i="5"/>
  <c r="J497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541" i="4" s="1"/>
  <c r="Q770" i="4"/>
  <c r="Q581" i="5"/>
  <c r="Q311" i="5"/>
  <c r="M149" i="3"/>
  <c r="Q567" i="4"/>
  <c r="Q95" i="4"/>
  <c r="Q14" i="4"/>
  <c r="Q28" i="4" s="1"/>
  <c r="Q635" i="5"/>
  <c r="Q257" i="5"/>
  <c r="Q176" i="5"/>
  <c r="Q190" i="5" s="1"/>
  <c r="M621" i="3"/>
  <c r="M81" i="3"/>
  <c r="Q622" i="6"/>
  <c r="Q784" i="5"/>
  <c r="Q325" i="5"/>
  <c r="M486" i="3"/>
  <c r="M716" i="3"/>
  <c r="M460" i="3"/>
  <c r="Q716" i="4"/>
  <c r="Q608" i="4"/>
  <c r="Q244" i="4"/>
  <c r="Q176" i="6"/>
  <c r="Q190" i="6" s="1"/>
  <c r="Q702" i="4"/>
  <c r="Q703" i="4" s="1"/>
  <c r="Q243" i="5"/>
  <c r="Q486" i="4"/>
  <c r="Q487" i="4" s="1"/>
  <c r="Q122" i="4"/>
  <c r="Q122" i="5"/>
  <c r="M608" i="3"/>
  <c r="M473" i="3"/>
  <c r="Q675" i="4"/>
  <c r="M54" i="3"/>
  <c r="M55" i="3" s="1"/>
  <c r="M527" i="3"/>
  <c r="Q675" i="6"/>
  <c r="Q540" i="5"/>
  <c r="Q541" i="5" s="1"/>
  <c r="M270" i="3"/>
  <c r="M271" i="3" s="1"/>
  <c r="K500" i="6"/>
  <c r="K514" i="6" s="1"/>
  <c r="Q149" i="4"/>
  <c r="Q163" i="4" s="1"/>
  <c r="Q797" i="4"/>
  <c r="Q581" i="4"/>
  <c r="Q324" i="4"/>
  <c r="Q325" i="4" s="1"/>
  <c r="Q810" i="4"/>
  <c r="M365" i="3"/>
  <c r="M379" i="3" s="1"/>
  <c r="M216" i="3"/>
  <c r="M217" i="3" s="1"/>
  <c r="M68" i="3"/>
  <c r="Q635" i="4"/>
  <c r="Q649" i="4" s="1"/>
  <c r="Q594" i="6"/>
  <c r="Q595" i="6" s="1"/>
  <c r="Q378" i="4"/>
  <c r="Q405" i="5"/>
  <c r="Q338" i="5"/>
  <c r="Q352" i="5" s="1"/>
  <c r="M135" i="3"/>
  <c r="Q756" i="6"/>
  <c r="Q243" i="6"/>
  <c r="Q244" i="6" s="1"/>
  <c r="M810" i="3"/>
  <c r="M14" i="3"/>
  <c r="Q594" i="4"/>
  <c r="Q595" i="4" s="1"/>
  <c r="M662" i="3"/>
  <c r="M162" i="3"/>
  <c r="M163" i="3" s="1"/>
  <c r="Q635" i="6"/>
  <c r="M311" i="3"/>
  <c r="Q689" i="6"/>
  <c r="Q703" i="6" s="1"/>
  <c r="Q594" i="5"/>
  <c r="Q595" i="5" s="1"/>
  <c r="Q365" i="4"/>
  <c r="Q379" i="4" s="1"/>
  <c r="M540" i="3"/>
  <c r="M541" i="3" s="1"/>
  <c r="Q783" i="6"/>
  <c r="Q797" i="6"/>
  <c r="Q811" i="6" s="1"/>
  <c r="Q95" i="5"/>
  <c r="Q109" i="5" s="1"/>
  <c r="M284" i="3"/>
  <c r="M298" i="3" s="1"/>
  <c r="Q41" i="5"/>
  <c r="Q392" i="5"/>
  <c r="Q406" i="5" s="1"/>
  <c r="Q648" i="6"/>
  <c r="Q649" i="6" s="1"/>
  <c r="Q729" i="5"/>
  <c r="Q730" i="5" s="1"/>
  <c r="Q486" i="5"/>
  <c r="Q487" i="5" s="1"/>
  <c r="Q459" i="5"/>
  <c r="Q460" i="5" s="1"/>
  <c r="Q27" i="5"/>
  <c r="M837" i="3"/>
  <c r="M838" i="3" s="1"/>
  <c r="M324" i="3"/>
  <c r="M325" i="3" s="1"/>
  <c r="Q662" i="4"/>
  <c r="Q676" i="4" s="1"/>
  <c r="Q513" i="5"/>
  <c r="Q149" i="5"/>
  <c r="Q135" i="5"/>
  <c r="Q136" i="5" s="1"/>
  <c r="M770" i="3"/>
  <c r="Q270" i="4"/>
  <c r="Q446" i="4"/>
  <c r="Q460" i="4" s="1"/>
  <c r="Q743" i="6"/>
  <c r="Q757" i="6" s="1"/>
  <c r="Q270" i="6"/>
  <c r="Q271" i="6" s="1"/>
  <c r="M729" i="3"/>
  <c r="M730" i="3" s="1"/>
  <c r="M513" i="3"/>
  <c r="M514" i="3" s="1"/>
  <c r="M95" i="3"/>
  <c r="M109" i="3" s="1"/>
  <c r="Q554" i="4"/>
  <c r="Q568" i="4" s="1"/>
  <c r="M392" i="3"/>
  <c r="M406" i="3" s="1"/>
  <c r="M122" i="3"/>
  <c r="M136" i="3" s="1"/>
  <c r="Q351" i="4"/>
  <c r="Q352" i="4" s="1"/>
  <c r="Q189" i="4"/>
  <c r="Q190" i="4" s="1"/>
  <c r="M797" i="3"/>
  <c r="M811" i="3" s="1"/>
  <c r="M594" i="3"/>
  <c r="M595" i="3" s="1"/>
  <c r="Q621" i="5"/>
  <c r="Q270" i="5"/>
  <c r="Q271" i="5" s="1"/>
  <c r="Q216" i="5"/>
  <c r="Q217" i="5" s="1"/>
  <c r="Q68" i="5"/>
  <c r="M783" i="3"/>
  <c r="M784" i="3" s="1"/>
  <c r="M338" i="3"/>
  <c r="M352" i="3" s="1"/>
  <c r="M243" i="3"/>
  <c r="M230" i="3"/>
  <c r="M244" i="3" s="1"/>
  <c r="M27" i="3"/>
  <c r="Q135" i="4"/>
  <c r="Q648" i="5"/>
  <c r="Q649" i="5" s="1"/>
  <c r="Q54" i="5"/>
  <c r="Q257" i="4"/>
  <c r="M648" i="3"/>
  <c r="Q756" i="4"/>
  <c r="Q757" i="4" s="1"/>
  <c r="Q730" i="4"/>
  <c r="Q432" i="4"/>
  <c r="Q433" i="4" s="1"/>
  <c r="Q81" i="5"/>
  <c r="M743" i="3"/>
  <c r="M757" i="3" s="1"/>
  <c r="M689" i="3"/>
  <c r="Q41" i="4"/>
  <c r="Q392" i="6"/>
  <c r="Q406" i="6" s="1"/>
  <c r="Q378" i="6"/>
  <c r="Q365" i="6"/>
  <c r="Q379" i="6" s="1"/>
  <c r="Q554" i="5"/>
  <c r="Q568" i="5" s="1"/>
  <c r="M675" i="3"/>
  <c r="M189" i="3"/>
  <c r="M190" i="3" s="1"/>
  <c r="Q783" i="4"/>
  <c r="Q784" i="4" s="1"/>
  <c r="Q54" i="6"/>
  <c r="Q55" i="6" s="1"/>
  <c r="Q824" i="5"/>
  <c r="Q838" i="5" s="1"/>
  <c r="Q513" i="4"/>
  <c r="Q514" i="4" s="1"/>
  <c r="Q621" i="4"/>
  <c r="Q622" i="4" s="1"/>
  <c r="Q297" i="6"/>
  <c r="Q298" i="6" s="1"/>
  <c r="Q608" i="5"/>
  <c r="Q837" i="6"/>
  <c r="Q838" i="6" s="1"/>
  <c r="Q837" i="4"/>
  <c r="Q838" i="4" s="1"/>
  <c r="Q230" i="5"/>
  <c r="Q162" i="5"/>
  <c r="Q109" i="4"/>
  <c r="Q54" i="4"/>
  <c r="Q770" i="6"/>
  <c r="Q662" i="6"/>
  <c r="Q554" i="6"/>
  <c r="Q568" i="6" s="1"/>
  <c r="Q540" i="6"/>
  <c r="Q541" i="6" s="1"/>
  <c r="Q419" i="6"/>
  <c r="Q433" i="6" s="1"/>
  <c r="Q351" i="6"/>
  <c r="Q338" i="6"/>
  <c r="Q311" i="6"/>
  <c r="Q325" i="6" s="1"/>
  <c r="Q216" i="6"/>
  <c r="Q217" i="6" s="1"/>
  <c r="Q95" i="6"/>
  <c r="Q109" i="6" s="1"/>
  <c r="Q810" i="5"/>
  <c r="Q811" i="5" s="1"/>
  <c r="Q756" i="5"/>
  <c r="Q743" i="5"/>
  <c r="Q757" i="5" s="1"/>
  <c r="Q675" i="5"/>
  <c r="Q662" i="5"/>
  <c r="Q500" i="5"/>
  <c r="Q14" i="5"/>
  <c r="M702" i="3"/>
  <c r="M635" i="3"/>
  <c r="M567" i="3"/>
  <c r="M568" i="3" s="1"/>
  <c r="M432" i="3"/>
  <c r="M433" i="3" s="1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H635" i="6"/>
  <c r="J623" i="6"/>
  <c r="J635" i="6" s="1"/>
  <c r="J609" i="6"/>
  <c r="J621" i="6" s="1"/>
  <c r="T621" i="6" s="1"/>
  <c r="H621" i="6"/>
  <c r="H608" i="6"/>
  <c r="H622" i="6" s="1"/>
  <c r="J596" i="6"/>
  <c r="J608" i="6" s="1"/>
  <c r="J582" i="6"/>
  <c r="J594" i="6" s="1"/>
  <c r="T594" i="6" s="1"/>
  <c r="H594" i="6"/>
  <c r="J569" i="6"/>
  <c r="J581" i="6" s="1"/>
  <c r="H581" i="6"/>
  <c r="H595" i="6" s="1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H784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H703" i="5" s="1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H635" i="5"/>
  <c r="H649" i="5" s="1"/>
  <c r="J623" i="5"/>
  <c r="J635" i="5" s="1"/>
  <c r="J609" i="5"/>
  <c r="J621" i="5" s="1"/>
  <c r="T621" i="5" s="1"/>
  <c r="H621" i="5"/>
  <c r="H608" i="5"/>
  <c r="H622" i="5" s="1"/>
  <c r="J596" i="5"/>
  <c r="J608" i="5" s="1"/>
  <c r="J582" i="5"/>
  <c r="J594" i="5" s="1"/>
  <c r="T594" i="5" s="1"/>
  <c r="H594" i="5"/>
  <c r="H581" i="5"/>
  <c r="H595" i="5" s="1"/>
  <c r="J569" i="5"/>
  <c r="J581" i="5" s="1"/>
  <c r="J555" i="5"/>
  <c r="J567" i="5" s="1"/>
  <c r="T567" i="5" s="1"/>
  <c r="H567" i="5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H500" i="5"/>
  <c r="H514" i="5" s="1"/>
  <c r="J488" i="5"/>
  <c r="J500" i="5" s="1"/>
  <c r="J474" i="5"/>
  <c r="J486" i="5" s="1"/>
  <c r="T486" i="5" s="1"/>
  <c r="H486" i="5"/>
  <c r="H473" i="5"/>
  <c r="H487" i="5" s="1"/>
  <c r="J461" i="5"/>
  <c r="J473" i="5" s="1"/>
  <c r="H459" i="5"/>
  <c r="J447" i="5"/>
  <c r="J459" i="5" s="1"/>
  <c r="T459" i="5" s="1"/>
  <c r="H446" i="5"/>
  <c r="H460" i="5" s="1"/>
  <c r="J434" i="5"/>
  <c r="J446" i="5" s="1"/>
  <c r="H432" i="5"/>
  <c r="J420" i="5"/>
  <c r="J432" i="5" s="1"/>
  <c r="T432" i="5" s="1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J339" i="5"/>
  <c r="J351" i="5" s="1"/>
  <c r="T351" i="5" s="1"/>
  <c r="H351" i="5"/>
  <c r="H338" i="5"/>
  <c r="H352" i="5" s="1"/>
  <c r="J326" i="5"/>
  <c r="J338" i="5" s="1"/>
  <c r="H324" i="5"/>
  <c r="J312" i="5"/>
  <c r="J324" i="5" s="1"/>
  <c r="T324" i="5" s="1"/>
  <c r="J299" i="5"/>
  <c r="J311" i="5" s="1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H635" i="4"/>
  <c r="H649" i="4" s="1"/>
  <c r="J623" i="4"/>
  <c r="J635" i="4" s="1"/>
  <c r="J609" i="4"/>
  <c r="J621" i="4" s="1"/>
  <c r="T621" i="4" s="1"/>
  <c r="H621" i="4"/>
  <c r="J596" i="4"/>
  <c r="J608" i="4" s="1"/>
  <c r="H608" i="4"/>
  <c r="H622" i="4" s="1"/>
  <c r="J582" i="4"/>
  <c r="J594" i="4" s="1"/>
  <c r="T594" i="4" s="1"/>
  <c r="H594" i="4"/>
  <c r="J569" i="4"/>
  <c r="J581" i="4" s="1"/>
  <c r="H581" i="4"/>
  <c r="H595" i="4" s="1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G35" i="1" s="1"/>
  <c r="K784" i="6"/>
  <c r="M622" i="3" l="1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T635" i="6"/>
  <c r="J649" i="6"/>
  <c r="T649" i="6" s="1"/>
  <c r="T608" i="6"/>
  <c r="J622" i="6"/>
  <c r="T622" i="6" s="1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49" i="5"/>
  <c r="T649" i="5" s="1"/>
  <c r="J622" i="5"/>
  <c r="T622" i="5" s="1"/>
  <c r="T608" i="5"/>
  <c r="J595" i="5"/>
  <c r="T595" i="5" s="1"/>
  <c r="T581" i="5"/>
  <c r="T554" i="5"/>
  <c r="J568" i="5"/>
  <c r="T568" i="5" s="1"/>
  <c r="T527" i="5"/>
  <c r="J541" i="5"/>
  <c r="T541" i="5" s="1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J406" i="5"/>
  <c r="T406" i="5" s="1"/>
  <c r="T365" i="5"/>
  <c r="J379" i="5"/>
  <c r="T379" i="5" s="1"/>
  <c r="T338" i="5"/>
  <c r="J352" i="5"/>
  <c r="T352" i="5" s="1"/>
  <c r="J325" i="5"/>
  <c r="T325" i="5" s="1"/>
  <c r="T311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T635" i="4"/>
  <c r="J649" i="4"/>
  <c r="T649" i="4" s="1"/>
  <c r="T608" i="4"/>
  <c r="J622" i="4"/>
  <c r="T622" i="4" s="1"/>
  <c r="J595" i="4"/>
  <c r="T595" i="4" s="1"/>
  <c r="T581" i="4"/>
  <c r="J568" i="4"/>
  <c r="T568" i="4" s="1"/>
  <c r="H24" i="1" s="1"/>
  <c r="J24" i="1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649" i="6"/>
  <c r="H352" i="4"/>
  <c r="H811" i="6"/>
  <c r="T783" i="6"/>
  <c r="J784" i="6"/>
  <c r="T784" i="6" s="1"/>
  <c r="H33" i="1" l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6" i="1"/>
  <c r="J26" i="1" s="1"/>
  <c r="H21" i="1"/>
  <c r="J21" i="1" s="1"/>
  <c r="H19" i="1"/>
  <c r="J19" i="1" s="1"/>
  <c r="H17" i="1"/>
  <c r="J17" i="1" s="1"/>
  <c r="H15" i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<sst xmlns="http://schemas.openxmlformats.org/spreadsheetml/2006/main" count="9011" uniqueCount="401">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</sst>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67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36" sqref="G36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58" t="s">
        <v>0</v>
      </c>
      <c r="B1" s="158"/>
      <c r="C1" s="158"/>
      <c r="D1" s="158"/>
      <c r="E1" s="158"/>
      <c r="F1" s="158"/>
      <c r="G1" s="158"/>
      <c r="H1" s="158"/>
      <c r="I1" s="158"/>
      <c r="J1" s="158"/>
      <c r="K1" s="158"/>
      <c r="L1" s="158"/>
    </row>
    <row r="2" spans="1:12" ht="30" customHeight="1">
      <c r="A2" s="159"/>
      <c r="B2" s="15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/>
      <c r="J22" s="22">
        <f t="shared" si="1"/>
        <v>0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1573200</v>
      </c>
      <c r="D23" s="26">
        <f>IFERROR('Linha 1'!S541,"")</f>
        <v>742390</v>
      </c>
      <c r="E23" s="26">
        <f>IFERROR('Linha 2'!S541,"")</f>
        <v>393130</v>
      </c>
      <c r="F23" s="26">
        <f>IFERROR('Linha 3'!S541,"")</f>
        <v>963090</v>
      </c>
      <c r="G23" s="27">
        <f t="shared" si="0"/>
        <v>2098610</v>
      </c>
      <c r="H23" s="21">
        <f>IFERROR('Linha 1'!T541+'Linha 2'!T541+'Linha 3'!T541,0)</f>
        <v>440.70809999999994</v>
      </c>
      <c r="I23" s="21"/>
      <c r="J23" s="22">
        <f t="shared" si="1"/>
        <v>0</v>
      </c>
      <c r="K23" s="22"/>
      <c r="L23" s="28">
        <f>IFERROR(INDEX('Britador Móvel'!$F:$F,3*A23+1),"")</f>
        <v>602.1</v>
      </c>
    </row>
    <row r="24" spans="1:12" ht="15.75" customHeight="1">
      <c r="A24" s="17">
        <v>21</v>
      </c>
      <c r="B24" s="18">
        <v>46255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21"/>
      <c r="J24" s="22" t="str">
        <f t="shared" si="1"/>
        <v>-</v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46256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21"/>
      <c r="J25" s="22" t="str">
        <f t="shared" si="1"/>
        <v>-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21"/>
      <c r="J26" s="22" t="str">
        <f t="shared" si="1"/>
        <v>-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0" t="s">
        <v>16</v>
      </c>
      <c r="B35" s="160"/>
      <c r="C35" s="30">
        <f t="shared" ref="C35:I35" si="2">IFERROR(SUM(C4:C34),"")</f>
        <v>73402810</v>
      </c>
      <c r="D35" s="30">
        <f t="shared" si="2"/>
        <v>24042920</v>
      </c>
      <c r="E35" s="30">
        <f t="shared" si="2"/>
        <v>12661190</v>
      </c>
      <c r="F35" s="30">
        <f t="shared" si="2"/>
        <v>30670500</v>
      </c>
      <c r="G35" s="30">
        <f t="shared" si="2"/>
        <v>67374610</v>
      </c>
      <c r="H35" s="31">
        <f t="shared" si="2"/>
        <v>5927.6988825806802</v>
      </c>
      <c r="I35" s="31">
        <f t="shared" si="2"/>
        <v>4625.8500000000004</v>
      </c>
      <c r="J35" s="32">
        <f>IFERROR(AVERAGE(J4:J34),"-")</f>
        <v>0.6505059202064023</v>
      </c>
      <c r="K35" s="33">
        <f>SUM(K4:K34)</f>
        <v>450.78</v>
      </c>
      <c r="L35" s="34">
        <f>IFERROR(SUM(L4:L34),"")</f>
        <v>5113.8</v>
      </c>
    </row>
    <row r="36" spans="1:12" ht="15" customHeight="1">
      <c r="J36" s="35"/>
    </row>
  </sheetData>
  <sheetProtection algorithmName="SHA-512" hashValue="ZeVoZLf9YdLQcstwgkTpX5yADz3h0Bi1ngDuyojdxRbcVd4D/8BfTElgCktZSksQtaPxefT7ooYA6VgD+mXEMw==" saltValue="BdJaSeB6NfmNK2PVwR0sv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19" zoomScale="85" zoomScaleNormal="85" workbookViewId="0">
      <selection activeCell="P46" sqref="P46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1" t="s">
        <v>17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  <c r="M1" s="162"/>
      <c r="N1" s="163" t="s">
        <v>18</v>
      </c>
      <c r="O1" s="163"/>
      <c r="P1" s="163"/>
      <c r="Q1" s="163"/>
      <c r="R1" s="163"/>
    </row>
    <row r="2" spans="1:18" ht="4.5" customHeight="1">
      <c r="M2" s="16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2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2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2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2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2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2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2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2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2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2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2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2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2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2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2"/>
      <c r="N21" s="40"/>
      <c r="O21" s="40"/>
      <c r="P21" s="40" t="s">
        <v>134</v>
      </c>
      <c r="Q21" s="40"/>
      <c r="R21" s="40" t="s">
        <v>135</v>
      </c>
    </row>
    <row r="22" spans="1:18" ht="15.75" customHeight="1">
      <c r="A22" s="37"/>
      <c r="C22" s="37"/>
      <c r="J22" s="37"/>
      <c r="L22" s="37" t="s">
        <v>136</v>
      </c>
      <c r="M22" s="162"/>
      <c r="N22" s="37"/>
      <c r="O22" s="37"/>
      <c r="P22" s="37" t="s">
        <v>137</v>
      </c>
      <c r="Q22" s="37"/>
      <c r="R22" s="37" t="s">
        <v>138</v>
      </c>
    </row>
    <row r="23" spans="1:18" ht="15.75" customHeight="1">
      <c r="A23" s="40"/>
      <c r="C23" s="40"/>
      <c r="J23" s="40"/>
      <c r="L23" s="40" t="s">
        <v>139</v>
      </c>
      <c r="M23" s="162"/>
      <c r="N23" s="40"/>
      <c r="O23" s="40"/>
      <c r="P23" s="40" t="s">
        <v>140</v>
      </c>
      <c r="Q23" s="40"/>
      <c r="R23" s="40" t="s">
        <v>141</v>
      </c>
    </row>
    <row r="24" spans="1:18" ht="15.75" customHeight="1">
      <c r="A24" s="37"/>
      <c r="C24" s="37"/>
      <c r="J24" s="37"/>
      <c r="L24" s="37" t="s">
        <v>142</v>
      </c>
      <c r="M24" s="162"/>
      <c r="N24" s="37"/>
      <c r="O24" s="37"/>
      <c r="P24" s="37" t="s">
        <v>143</v>
      </c>
      <c r="Q24" s="37"/>
      <c r="R24" s="37" t="s">
        <v>144</v>
      </c>
    </row>
    <row r="25" spans="1:18" ht="15.75" customHeight="1">
      <c r="A25" s="40"/>
      <c r="C25" s="40"/>
      <c r="J25" s="40"/>
      <c r="L25" s="40" t="s">
        <v>145</v>
      </c>
      <c r="M25" s="162"/>
      <c r="N25" s="40"/>
      <c r="O25" s="40"/>
      <c r="P25" s="40" t="s">
        <v>146</v>
      </c>
      <c r="Q25" s="40"/>
      <c r="R25" s="40" t="s">
        <v>147</v>
      </c>
    </row>
    <row r="26" spans="1:18" ht="15.75" customHeight="1">
      <c r="A26" s="37"/>
      <c r="C26" s="37"/>
      <c r="J26" s="37"/>
      <c r="L26" s="37" t="s">
        <v>148</v>
      </c>
      <c r="M26" s="162"/>
      <c r="N26" s="37"/>
      <c r="O26" s="37"/>
      <c r="P26" s="37" t="s">
        <v>149</v>
      </c>
      <c r="Q26" s="37"/>
      <c r="R26" s="37"/>
    </row>
    <row r="27" spans="1:18" ht="15.75" customHeight="1">
      <c r="A27" s="40"/>
      <c r="C27" s="40"/>
      <c r="J27" s="40"/>
      <c r="L27" s="40" t="s">
        <v>150</v>
      </c>
      <c r="M27" s="162"/>
      <c r="N27" s="40"/>
      <c r="O27" s="40"/>
      <c r="P27" s="40" t="s">
        <v>141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151</v>
      </c>
      <c r="M28" s="162"/>
      <c r="N28" s="37"/>
      <c r="O28" s="37"/>
      <c r="P28" s="37" t="s">
        <v>144</v>
      </c>
      <c r="Q28" s="37"/>
      <c r="R28" s="37" t="s">
        <v>152</v>
      </c>
    </row>
    <row r="29" spans="1:18" ht="15.75" customHeight="1">
      <c r="A29" s="40"/>
      <c r="C29" s="40"/>
      <c r="J29" s="40"/>
      <c r="L29" s="40" t="s">
        <v>153</v>
      </c>
      <c r="M29" s="162"/>
      <c r="N29" s="40"/>
      <c r="O29" s="40"/>
      <c r="P29" s="40" t="s">
        <v>154</v>
      </c>
      <c r="Q29" s="40"/>
      <c r="R29" s="40" t="s">
        <v>155</v>
      </c>
    </row>
    <row r="30" spans="1:18" ht="15.75" customHeight="1">
      <c r="A30" s="37"/>
      <c r="C30" s="37"/>
      <c r="J30" s="37"/>
      <c r="L30" s="37" t="s">
        <v>156</v>
      </c>
      <c r="M30" s="162"/>
      <c r="N30" s="37"/>
      <c r="O30" s="37"/>
      <c r="P30" s="37" t="s">
        <v>157</v>
      </c>
      <c r="Q30" s="37"/>
      <c r="R30" s="37" t="s">
        <v>158</v>
      </c>
    </row>
    <row r="31" spans="1:18" ht="15.75" customHeight="1">
      <c r="A31" s="40"/>
      <c r="C31" s="40"/>
      <c r="J31" s="40"/>
      <c r="L31" s="40" t="s">
        <v>159</v>
      </c>
      <c r="M31" s="162"/>
      <c r="N31" s="40"/>
      <c r="O31" s="40"/>
      <c r="P31" s="40" t="s">
        <v>160</v>
      </c>
      <c r="Q31" s="40"/>
      <c r="R31" s="40" t="s">
        <v>161</v>
      </c>
    </row>
    <row r="32" spans="1:18" ht="15.75" customHeight="1">
      <c r="A32" s="37"/>
      <c r="C32" s="37"/>
      <c r="J32" s="37"/>
      <c r="L32" s="37" t="s">
        <v>162</v>
      </c>
      <c r="M32" s="162"/>
      <c r="N32" s="37"/>
      <c r="O32" s="37"/>
      <c r="P32" s="37" t="s">
        <v>163</v>
      </c>
      <c r="Q32" s="37"/>
      <c r="R32" t="s">
        <v>164</v>
      </c>
    </row>
    <row r="33" spans="1:18" ht="15.75" customHeight="1">
      <c r="A33" s="40"/>
      <c r="C33" s="50" t="s">
        <v>165</v>
      </c>
      <c r="E33" s="51">
        <v>1000</v>
      </c>
      <c r="J33" s="40"/>
      <c r="L33" s="40" t="s">
        <v>166</v>
      </c>
      <c r="M33" s="162"/>
      <c r="N33" s="40"/>
      <c r="O33" s="40"/>
      <c r="P33" s="40" t="s">
        <v>167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168</v>
      </c>
      <c r="M34" s="162"/>
      <c r="N34" s="37"/>
      <c r="O34" s="37"/>
      <c r="P34" s="37" t="s">
        <v>88</v>
      </c>
      <c r="Q34" s="37"/>
      <c r="R34" s="37" t="s">
        <v>169</v>
      </c>
    </row>
    <row r="35" spans="1:18" ht="15.75" customHeight="1">
      <c r="A35" s="40"/>
      <c r="C35" s="40"/>
      <c r="J35" s="40"/>
      <c r="L35" s="40" t="s">
        <v>170</v>
      </c>
      <c r="M35" s="162"/>
      <c r="N35" s="40"/>
      <c r="O35" s="40"/>
      <c r="P35" s="40" t="s">
        <v>171</v>
      </c>
      <c r="Q35" s="40"/>
      <c r="R35" s="40" t="s">
        <v>172</v>
      </c>
    </row>
    <row r="36" spans="1:18" ht="15.75" customHeight="1">
      <c r="A36" s="37"/>
      <c r="C36" s="37"/>
      <c r="J36" s="37"/>
      <c r="L36" s="37" t="s">
        <v>173</v>
      </c>
      <c r="M36" s="162"/>
      <c r="N36" s="37"/>
      <c r="O36" s="37"/>
      <c r="P36" s="37" t="s">
        <v>174</v>
      </c>
      <c r="Q36" s="37"/>
      <c r="R36" s="37" t="s">
        <v>175</v>
      </c>
    </row>
    <row r="37" spans="1:18" ht="15.75" customHeight="1">
      <c r="A37" s="40"/>
      <c r="C37" s="40"/>
      <c r="J37" s="40"/>
      <c r="L37" s="40" t="s">
        <v>176</v>
      </c>
      <c r="M37" s="162"/>
      <c r="N37" s="40"/>
      <c r="O37" s="40"/>
      <c r="P37" s="40" t="s">
        <v>177</v>
      </c>
      <c r="Q37" s="40"/>
      <c r="R37" s="40" t="s">
        <v>178</v>
      </c>
    </row>
    <row r="38" spans="1:18" ht="15.75" customHeight="1">
      <c r="A38" s="37"/>
      <c r="C38" s="37"/>
      <c r="J38" s="37"/>
      <c r="L38" s="37" t="s">
        <v>179</v>
      </c>
      <c r="M38" s="162"/>
      <c r="N38" s="37"/>
      <c r="O38" s="37"/>
      <c r="P38" s="37" t="s">
        <v>180</v>
      </c>
      <c r="Q38" s="37"/>
      <c r="R38" s="37" t="s">
        <v>181</v>
      </c>
    </row>
    <row r="39" spans="1:18" ht="15.75" customHeight="1">
      <c r="A39" s="40"/>
      <c r="C39" s="40"/>
      <c r="J39" s="40"/>
      <c r="L39" s="40"/>
      <c r="M39" s="162"/>
      <c r="N39" s="40"/>
      <c r="O39" s="40"/>
      <c r="P39" s="40" t="s">
        <v>182</v>
      </c>
      <c r="Q39" s="40"/>
      <c r="R39" s="40" t="s">
        <v>183</v>
      </c>
    </row>
    <row r="40" spans="1:18" ht="15.75" customHeight="1">
      <c r="A40" s="37"/>
      <c r="C40" s="37"/>
      <c r="J40" s="37"/>
      <c r="L40" s="37"/>
      <c r="M40" s="162"/>
      <c r="N40" s="37"/>
      <c r="O40" s="37"/>
      <c r="P40" s="37" t="s">
        <v>184</v>
      </c>
      <c r="Q40" s="37"/>
      <c r="R40" s="37" t="s">
        <v>185</v>
      </c>
    </row>
    <row r="41" spans="1:18" ht="15.75" customHeight="1">
      <c r="A41" s="40"/>
      <c r="C41" s="40"/>
      <c r="J41" s="40"/>
      <c r="L41" s="40"/>
      <c r="M41" s="162"/>
      <c r="N41" s="40"/>
      <c r="O41" s="40"/>
      <c r="P41" s="40" t="s">
        <v>186</v>
      </c>
      <c r="Q41" s="40"/>
      <c r="R41" s="40" t="s">
        <v>187</v>
      </c>
    </row>
    <row r="42" spans="1:18" ht="15.75" customHeight="1">
      <c r="A42" s="37"/>
      <c r="C42" s="37"/>
      <c r="J42" s="37"/>
      <c r="L42" s="37"/>
      <c r="M42" s="162"/>
      <c r="N42" s="37"/>
      <c r="O42" s="37"/>
      <c r="P42" s="37" t="s">
        <v>188</v>
      </c>
      <c r="Q42" s="37"/>
      <c r="R42" s="37" t="s">
        <v>189</v>
      </c>
    </row>
    <row r="43" spans="1:18" ht="15.75" customHeight="1">
      <c r="A43" s="40"/>
      <c r="C43" s="40"/>
      <c r="J43" s="40"/>
      <c r="L43" s="40"/>
      <c r="M43" s="162"/>
      <c r="N43" s="40"/>
      <c r="O43" s="40"/>
      <c r="P43" s="40" t="s">
        <v>190</v>
      </c>
      <c r="Q43" s="40"/>
      <c r="R43" s="40" t="s">
        <v>191</v>
      </c>
    </row>
    <row r="44" spans="1:18" ht="15.75" customHeight="1">
      <c r="A44" s="37"/>
      <c r="C44" s="37"/>
      <c r="J44" s="37"/>
      <c r="L44" s="37"/>
      <c r="M44" s="162"/>
      <c r="N44" s="37"/>
      <c r="O44" s="37"/>
      <c r="P44" s="37" t="s">
        <v>192</v>
      </c>
      <c r="Q44" s="37"/>
      <c r="R44" s="37" t="s">
        <v>193</v>
      </c>
    </row>
    <row r="45" spans="1:18" ht="15.75" customHeight="1">
      <c r="A45" s="40"/>
      <c r="C45" s="40"/>
      <c r="J45" s="40"/>
      <c r="L45" s="40"/>
      <c r="M45" s="162"/>
      <c r="N45" s="40"/>
      <c r="O45" s="40"/>
      <c r="P45" s="40" t="s">
        <v>194</v>
      </c>
      <c r="Q45" s="40"/>
      <c r="R45" s="40" t="s">
        <v>195</v>
      </c>
    </row>
    <row r="46" spans="1:18" ht="15.75" customHeight="1">
      <c r="A46" s="37"/>
      <c r="C46" s="37"/>
      <c r="J46" s="37"/>
      <c r="L46" s="37"/>
      <c r="M46" s="162"/>
      <c r="N46" s="37"/>
      <c r="O46" s="37"/>
      <c r="P46" s="37" t="s">
        <v>196</v>
      </c>
      <c r="Q46" s="37"/>
      <c r="R46" s="37" t="s">
        <v>197</v>
      </c>
    </row>
    <row r="47" spans="1:18" ht="15.75" customHeight="1">
      <c r="A47" s="40"/>
      <c r="C47" s="40"/>
      <c r="J47" s="40"/>
      <c r="L47" s="40"/>
      <c r="M47" s="162"/>
      <c r="N47" s="40"/>
      <c r="O47" s="40"/>
      <c r="P47" s="40" t="s">
        <v>198</v>
      </c>
      <c r="Q47" s="40"/>
      <c r="R47" s="40" t="s">
        <v>199</v>
      </c>
    </row>
    <row r="48" spans="1:18" ht="15.75" customHeight="1">
      <c r="A48" s="37"/>
      <c r="C48" s="37"/>
      <c r="J48" s="37"/>
      <c r="L48" s="37"/>
      <c r="M48" s="162"/>
      <c r="N48" s="37"/>
      <c r="O48" s="37"/>
      <c r="P48" s="37" t="s">
        <v>200</v>
      </c>
      <c r="Q48" s="37"/>
      <c r="R48" s="37" t="s">
        <v>201</v>
      </c>
    </row>
    <row r="49" spans="1:18" ht="18" customHeight="1">
      <c r="M49" s="162"/>
      <c r="N49" s="40"/>
      <c r="O49" s="40"/>
      <c r="P49" s="40" t="s">
        <v>202</v>
      </c>
      <c r="Q49" s="40"/>
      <c r="R49" s="40" t="s">
        <v>203</v>
      </c>
    </row>
    <row r="50" spans="1:18" ht="21" customHeight="1">
      <c r="A50" s="52" t="s">
        <v>204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2"/>
      <c r="N50" s="37"/>
      <c r="O50" s="37"/>
      <c r="P50" s="37" t="s">
        <v>205</v>
      </c>
      <c r="Q50" s="37"/>
      <c r="R50" s="37" t="s">
        <v>206</v>
      </c>
    </row>
    <row r="51" spans="1:18" ht="24" customHeight="1">
      <c r="M51" s="162"/>
      <c r="N51" s="40"/>
      <c r="O51" s="40"/>
      <c r="P51" s="40" t="s">
        <v>207</v>
      </c>
      <c r="Q51" s="40"/>
      <c r="R51" s="40" t="s">
        <v>208</v>
      </c>
    </row>
    <row r="52" spans="1:18" ht="24" customHeight="1">
      <c r="M52" s="162"/>
      <c r="N52" s="37"/>
      <c r="O52" s="37"/>
      <c r="P52" s="37" t="s">
        <v>209</v>
      </c>
      <c r="Q52" s="37"/>
      <c r="R52" s="37" t="s">
        <v>210</v>
      </c>
    </row>
    <row r="53" spans="1:18" ht="36" customHeight="1">
      <c r="M53" s="162"/>
      <c r="N53" s="40"/>
      <c r="O53" s="40"/>
      <c r="P53" s="40" t="s">
        <v>211</v>
      </c>
      <c r="Q53" s="40"/>
      <c r="R53" s="40" t="s">
        <v>212</v>
      </c>
    </row>
    <row r="54" spans="1:18" ht="15" customHeight="1">
      <c r="M54" s="162"/>
      <c r="N54" s="37"/>
      <c r="O54" s="37"/>
      <c r="P54" s="37" t="s">
        <v>213</v>
      </c>
      <c r="Q54" s="37"/>
      <c r="R54" s="37" t="s">
        <v>214</v>
      </c>
    </row>
    <row r="55" spans="1:18" ht="15" customHeight="1">
      <c r="M55" s="162"/>
      <c r="N55" s="40"/>
      <c r="O55" s="40"/>
      <c r="P55" s="40" t="s">
        <v>215</v>
      </c>
      <c r="Q55" s="40"/>
      <c r="R55" s="40" t="s">
        <v>216</v>
      </c>
    </row>
    <row r="56" spans="1:18" ht="15" customHeight="1">
      <c r="M56" s="162"/>
      <c r="N56" s="37"/>
      <c r="O56" s="37"/>
      <c r="P56" s="37" t="s">
        <v>217</v>
      </c>
      <c r="Q56" s="37"/>
      <c r="R56" s="37" t="s">
        <v>218</v>
      </c>
    </row>
    <row r="57" spans="1:18" ht="15" customHeight="1">
      <c r="M57" s="162"/>
      <c r="N57" s="40"/>
      <c r="O57" s="40"/>
      <c r="P57" s="40" t="s">
        <v>59</v>
      </c>
      <c r="Q57" s="40"/>
      <c r="R57" s="40" t="s">
        <v>219</v>
      </c>
    </row>
    <row r="58" spans="1:18" ht="15" customHeight="1">
      <c r="M58" s="162"/>
      <c r="N58" s="37"/>
      <c r="O58" s="37"/>
      <c r="P58" s="37" t="s">
        <v>220</v>
      </c>
      <c r="Q58" s="37"/>
      <c r="R58" s="37" t="s">
        <v>221</v>
      </c>
    </row>
    <row r="59" spans="1:18" ht="15" customHeight="1">
      <c r="M59" s="162"/>
      <c r="N59" s="40"/>
      <c r="O59" s="40"/>
      <c r="P59" s="40" t="s">
        <v>222</v>
      </c>
      <c r="Q59" s="40"/>
      <c r="R59" s="40"/>
    </row>
    <row r="60" spans="1:18" ht="15" customHeight="1">
      <c r="M60" s="162"/>
      <c r="N60" s="37"/>
      <c r="O60" s="37"/>
      <c r="P60" s="53" t="s">
        <v>114</v>
      </c>
      <c r="Q60" s="37"/>
      <c r="R60" s="37"/>
    </row>
    <row r="61" spans="1:18" ht="15" customHeight="1">
      <c r="M61" s="162"/>
      <c r="N61" s="40"/>
      <c r="O61" s="40"/>
      <c r="P61" s="40" t="s">
        <v>223</v>
      </c>
      <c r="Q61" s="40"/>
      <c r="R61" s="40"/>
    </row>
    <row r="62" spans="1:18" ht="15" customHeight="1">
      <c r="M62" s="162"/>
      <c r="N62" s="37"/>
      <c r="O62" s="37"/>
      <c r="P62" s="37" t="s">
        <v>224</v>
      </c>
      <c r="Q62" s="37"/>
      <c r="R62" s="37"/>
    </row>
    <row r="63" spans="1:18" ht="15" customHeight="1">
      <c r="M63" s="162"/>
      <c r="N63" s="40"/>
      <c r="O63" s="40"/>
      <c r="P63" s="40" t="s">
        <v>225</v>
      </c>
      <c r="Q63" s="40"/>
      <c r="R63" s="40"/>
    </row>
    <row r="64" spans="1:18" ht="15" customHeight="1">
      <c r="M64" s="162"/>
      <c r="N64" s="37"/>
      <c r="O64" s="37"/>
      <c r="P64" s="37" t="s">
        <v>226</v>
      </c>
      <c r="Q64" s="37"/>
      <c r="R64" s="37"/>
    </row>
    <row r="65" spans="13:18" ht="15" customHeight="1">
      <c r="M65" s="162"/>
      <c r="N65" s="40"/>
      <c r="O65" s="40"/>
      <c r="P65" s="40" t="s">
        <v>227</v>
      </c>
      <c r="Q65" s="40"/>
      <c r="R65" s="40"/>
    </row>
    <row r="66" spans="13:18" ht="15" customHeight="1">
      <c r="M66" s="162"/>
      <c r="N66" s="37"/>
      <c r="O66" s="37"/>
      <c r="P66" s="37" t="s">
        <v>228</v>
      </c>
      <c r="Q66" s="37"/>
      <c r="R66" s="37"/>
    </row>
    <row r="67" spans="13:18" ht="15" customHeight="1">
      <c r="M67" s="162"/>
      <c r="N67" s="40"/>
      <c r="O67" s="40"/>
      <c r="P67" s="40" t="s">
        <v>229</v>
      </c>
      <c r="Q67" s="40"/>
      <c r="R67" s="40"/>
    </row>
    <row r="68" spans="13:18" ht="15" customHeight="1">
      <c r="M68" s="162"/>
      <c r="N68" s="37"/>
      <c r="O68" s="37"/>
      <c r="P68" s="37" t="s">
        <v>230</v>
      </c>
      <c r="Q68" s="37"/>
      <c r="R68" s="37"/>
    </row>
    <row r="69" spans="13:18" ht="15" customHeight="1">
      <c r="M69" s="162"/>
      <c r="N69" s="40"/>
      <c r="O69" s="40"/>
      <c r="P69" s="40" t="s">
        <v>231</v>
      </c>
      <c r="Q69" s="40"/>
      <c r="R69" s="40"/>
    </row>
    <row r="70" spans="13:18" ht="15" customHeight="1">
      <c r="M70" s="162"/>
      <c r="N70" s="37"/>
      <c r="O70" s="37"/>
      <c r="P70" s="37" t="s">
        <v>232</v>
      </c>
      <c r="Q70" s="37"/>
      <c r="R70" s="37"/>
    </row>
    <row r="71" spans="13:18" ht="15" customHeight="1">
      <c r="M71" s="162"/>
      <c r="N71" s="40"/>
      <c r="O71" s="40"/>
      <c r="P71" s="40" t="s">
        <v>233</v>
      </c>
      <c r="Q71" s="40"/>
      <c r="R71" s="40"/>
    </row>
    <row r="72" spans="13:18" ht="15" customHeight="1">
      <c r="M72" s="162"/>
      <c r="N72" s="37"/>
      <c r="O72" s="37"/>
      <c r="P72" s="37" t="s">
        <v>234</v>
      </c>
      <c r="Q72" s="37"/>
      <c r="R72" s="37"/>
    </row>
    <row r="73" spans="13:18" ht="15" customHeight="1">
      <c r="M73" s="162"/>
      <c r="N73" s="40"/>
      <c r="O73" s="40"/>
      <c r="P73" s="40" t="s">
        <v>235</v>
      </c>
      <c r="Q73" s="40"/>
      <c r="R73" s="40"/>
    </row>
    <row r="74" spans="13:18" ht="15" customHeight="1">
      <c r="M74" s="162"/>
      <c r="N74" s="37"/>
      <c r="O74" s="37"/>
      <c r="P74" s="37" t="s">
        <v>236</v>
      </c>
      <c r="Q74" s="37"/>
      <c r="R74" s="37"/>
    </row>
    <row r="75" spans="13:18" ht="15" customHeight="1">
      <c r="M75" s="162"/>
      <c r="N75" s="40"/>
      <c r="O75" s="40"/>
      <c r="P75" s="40" t="s">
        <v>237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G55" sqref="G5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238</v>
      </c>
      <c r="C1" s="138" t="s">
        <v>239</v>
      </c>
      <c r="D1" s="138" t="s">
        <v>19</v>
      </c>
      <c r="E1" s="138" t="s">
        <v>240</v>
      </c>
      <c r="F1" s="138" t="s">
        <v>241</v>
      </c>
      <c r="G1" s="138" t="s">
        <v>242</v>
      </c>
      <c r="H1" s="138" t="s">
        <v>243</v>
      </c>
      <c r="I1" s="138" t="s">
        <v>244</v>
      </c>
      <c r="J1" s="138" t="s">
        <v>245</v>
      </c>
      <c r="K1" s="138" t="s">
        <v>246</v>
      </c>
    </row>
    <row r="2" spans="1:11" ht="15.75" customHeight="1">
      <c r="A2" s="139">
        <v>46235</v>
      </c>
      <c r="B2" s="140" t="s">
        <v>247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248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4" t="s">
        <v>249</v>
      </c>
      <c r="B4" s="164"/>
      <c r="C4" s="164"/>
      <c r="D4" s="164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247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248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4" t="s">
        <v>249</v>
      </c>
      <c r="B7" s="164"/>
      <c r="C7" s="164"/>
      <c r="D7" s="164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247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248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4" t="s">
        <v>249</v>
      </c>
      <c r="B10" s="164"/>
      <c r="C10" s="164"/>
      <c r="D10" s="164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247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248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4" t="s">
        <v>249</v>
      </c>
      <c r="B13" s="164"/>
      <c r="C13" s="164"/>
      <c r="D13" s="164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247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248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4" t="s">
        <v>249</v>
      </c>
      <c r="B16" s="164"/>
      <c r="C16" s="164"/>
      <c r="D16" s="164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247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248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4" t="s">
        <v>249</v>
      </c>
      <c r="B19" s="164"/>
      <c r="C19" s="164"/>
      <c r="D19" s="164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247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248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4" t="s">
        <v>249</v>
      </c>
      <c r="B22" s="164"/>
      <c r="C22" s="164"/>
      <c r="D22" s="164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247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248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4" t="s">
        <v>249</v>
      </c>
      <c r="B25" s="164"/>
      <c r="C25" s="164"/>
      <c r="D25" s="164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247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248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4" t="s">
        <v>249</v>
      </c>
      <c r="B28" s="164"/>
      <c r="C28" s="164"/>
      <c r="D28" s="164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247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248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4" t="s">
        <v>249</v>
      </c>
      <c r="B31" s="164"/>
      <c r="C31" s="164"/>
      <c r="D31" s="164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247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248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4" t="s">
        <v>249</v>
      </c>
      <c r="B34" s="164"/>
      <c r="C34" s="164"/>
      <c r="D34" s="164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247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248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4" t="s">
        <v>249</v>
      </c>
      <c r="B37" s="164"/>
      <c r="C37" s="164"/>
      <c r="D37" s="164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247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248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4" t="s">
        <v>249</v>
      </c>
      <c r="B40" s="164"/>
      <c r="C40" s="164"/>
      <c r="D40" s="164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247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248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4" t="s">
        <v>249</v>
      </c>
      <c r="B43" s="164"/>
      <c r="C43" s="164"/>
      <c r="D43" s="164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247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248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4" t="s">
        <v>249</v>
      </c>
      <c r="B46" s="164"/>
      <c r="C46" s="164"/>
      <c r="D46" s="164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247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248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4" t="s">
        <v>249</v>
      </c>
      <c r="B49" s="164"/>
      <c r="C49" s="164"/>
      <c r="D49" s="164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247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248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4" t="s">
        <v>249</v>
      </c>
      <c r="B52" s="164"/>
      <c r="C52" s="164"/>
      <c r="D52" s="164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247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248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4" t="s">
        <v>249</v>
      </c>
      <c r="B55" s="164"/>
      <c r="C55" s="164"/>
      <c r="D55" s="164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247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248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4" t="s">
        <v>249</v>
      </c>
      <c r="B58" s="164"/>
      <c r="C58" s="164"/>
      <c r="D58" s="164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247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/>
      <c r="H59" s="140"/>
      <c r="I59" s="143" t="str">
        <f>IFERROR(IF(G59="","",F59/G59),"")</f>
        <v/>
      </c>
      <c r="J59" s="140"/>
      <c r="K59" s="140"/>
    </row>
    <row r="60" spans="1:11" ht="15.75" customHeight="1">
      <c r="A60" s="144">
        <v>46254</v>
      </c>
      <c r="B60" s="145" t="s">
        <v>248</v>
      </c>
      <c r="C60" s="146">
        <v>0.29166666666666702</v>
      </c>
      <c r="D60" s="145"/>
      <c r="E60" s="145"/>
      <c r="F60" s="147" t="str">
        <f>IF(E60="","",E60*1.5*1.8)</f>
        <v/>
      </c>
      <c r="G60" s="145"/>
      <c r="H60" s="145"/>
      <c r="I60" s="148" t="str">
        <f>IFERROR(IF(G60="","",F60/G60),"")</f>
        <v/>
      </c>
      <c r="J60" s="145"/>
      <c r="K60" s="145"/>
    </row>
    <row r="61" spans="1:11" ht="18" customHeight="1">
      <c r="A61" s="164" t="s">
        <v>249</v>
      </c>
      <c r="B61" s="164"/>
      <c r="C61" s="164"/>
      <c r="D61" s="164"/>
      <c r="E61" s="149">
        <f>SUM(E59:E60)</f>
        <v>223</v>
      </c>
      <c r="F61" s="150">
        <f>IFERROR(SUM(F59:F60),"")</f>
        <v>602.1</v>
      </c>
      <c r="G61" s="150">
        <f>SUM(G59:G60)</f>
        <v>0</v>
      </c>
      <c r="H61" s="150">
        <f>SUM(H59:H60)</f>
        <v>0</v>
      </c>
      <c r="I61" s="151" t="str">
        <f>IFERROR(IF(G61=0,"",F61/G61),"")</f>
        <v/>
      </c>
      <c r="J61" s="152"/>
      <c r="K61" s="152"/>
    </row>
    <row r="62" spans="1:11" ht="15.75" customHeight="1">
      <c r="A62" s="139">
        <v>46255</v>
      </c>
      <c r="B62" s="140" t="s">
        <v>247</v>
      </c>
      <c r="C62" s="141">
        <v>0.79166666666666696</v>
      </c>
      <c r="D62" s="140"/>
      <c r="E62" s="140"/>
      <c r="F62" s="142" t="str">
        <f>IF(E62="","",E62*1.5*1.8)</f>
        <v/>
      </c>
      <c r="G62" s="140"/>
      <c r="H62" s="140"/>
      <c r="I62" s="143" t="str">
        <f>IFERROR(IF(G62="","",F62/G62),"")</f>
        <v/>
      </c>
      <c r="J62" s="140"/>
      <c r="K62" s="140"/>
    </row>
    <row r="63" spans="1:11" ht="15.75" customHeight="1">
      <c r="A63" s="144">
        <v>46255</v>
      </c>
      <c r="B63" s="145" t="s">
        <v>248</v>
      </c>
      <c r="C63" s="146">
        <v>0.29166666666666702</v>
      </c>
      <c r="D63" s="145"/>
      <c r="E63" s="145"/>
      <c r="F63" s="147" t="str">
        <f>IF(E63="","",E63*1.5*1.8)</f>
        <v/>
      </c>
      <c r="G63" s="145"/>
      <c r="H63" s="145"/>
      <c r="I63" s="148" t="str">
        <f>IFERROR(IF(G63="","",F63/G63),"")</f>
        <v/>
      </c>
      <c r="J63" s="145"/>
      <c r="K63" s="145"/>
    </row>
    <row r="64" spans="1:11" ht="18" customHeight="1">
      <c r="A64" s="164" t="s">
        <v>249</v>
      </c>
      <c r="B64" s="164"/>
      <c r="C64" s="164"/>
      <c r="D64" s="164"/>
      <c r="E64" s="149">
        <f>SUM(E62:E63)</f>
        <v>0</v>
      </c>
      <c r="F64" s="150">
        <f>IFERROR(SUM(F62:F63),"")</f>
        <v>0</v>
      </c>
      <c r="G64" s="150">
        <f>SUM(G62:G63)</f>
        <v>0</v>
      </c>
      <c r="H64" s="150">
        <f>SUM(H62:H63)</f>
        <v>0</v>
      </c>
      <c r="I64" s="151" t="str">
        <f>IFERROR(IF(G64=0,"",F64/G64),"")</f>
        <v/>
      </c>
      <c r="J64" s="152"/>
      <c r="K64" s="152"/>
    </row>
    <row r="65" spans="1:11" ht="15.75" customHeight="1">
      <c r="A65" s="139">
        <v>46256</v>
      </c>
      <c r="B65" s="140" t="s">
        <v>247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/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248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/>
      <c r="I66" s="148" t="str">
        <f>IFERROR(IF(G66="","",F66/G66),"")</f>
        <v/>
      </c>
      <c r="J66" s="145"/>
      <c r="K66" s="145"/>
    </row>
    <row r="67" spans="1:11" ht="18" customHeight="1">
      <c r="A67" s="164" t="s">
        <v>249</v>
      </c>
      <c r="B67" s="164"/>
      <c r="C67" s="164"/>
      <c r="D67" s="164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0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247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/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248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/>
      <c r="I69" s="148" t="str">
        <f>IFERROR(IF(G69="","",F69/G69),"")</f>
        <v/>
      </c>
      <c r="J69" s="145"/>
      <c r="K69" s="145"/>
    </row>
    <row r="70" spans="1:11" ht="18" customHeight="1">
      <c r="A70" s="164" t="s">
        <v>249</v>
      </c>
      <c r="B70" s="164"/>
      <c r="C70" s="164"/>
      <c r="D70" s="164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0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247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248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4" t="s">
        <v>249</v>
      </c>
      <c r="B73" s="164"/>
      <c r="C73" s="164"/>
      <c r="D73" s="164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247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248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4" t="s">
        <v>249</v>
      </c>
      <c r="B76" s="164"/>
      <c r="C76" s="164"/>
      <c r="D76" s="164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247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248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4" t="s">
        <v>249</v>
      </c>
      <c r="B79" s="164"/>
      <c r="C79" s="164"/>
      <c r="D79" s="164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247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248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4" t="s">
        <v>249</v>
      </c>
      <c r="B82" s="164"/>
      <c r="C82" s="164"/>
      <c r="D82" s="164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247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248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4" t="s">
        <v>249</v>
      </c>
      <c r="B85" s="164"/>
      <c r="C85" s="164"/>
      <c r="D85" s="164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247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248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4" t="s">
        <v>249</v>
      </c>
      <c r="B88" s="164"/>
      <c r="C88" s="164"/>
      <c r="D88" s="164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247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248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4" t="s">
        <v>249</v>
      </c>
      <c r="B91" s="164"/>
      <c r="C91" s="164"/>
      <c r="D91" s="164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247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248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4" t="s">
        <v>249</v>
      </c>
      <c r="B94" s="164"/>
      <c r="C94" s="164"/>
      <c r="D94" s="164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519" activePane="bottomLeft" state="frozen"/>
      <selection pane="bottomLeft" activeCell="L531" sqref="L531"/>
    </sheetView>
  </sheetViews>
  <sheetFormatPr defaultColWidth="8.5703125" defaultRowHeight="14.4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57" t="s">
        <v>252</v>
      </c>
      <c r="G1" s="57" t="s">
        <v>253</v>
      </c>
      <c r="H1" s="57" t="s">
        <v>23</v>
      </c>
      <c r="I1" s="57" t="s">
        <v>24</v>
      </c>
      <c r="J1" s="57" t="s">
        <v>254</v>
      </c>
      <c r="K1" s="57" t="s">
        <v>255</v>
      </c>
      <c r="L1" s="57" t="s">
        <v>256</v>
      </c>
      <c r="M1" s="58" t="s">
        <v>257</v>
      </c>
      <c r="N1" s="57" t="s">
        <v>246</v>
      </c>
      <c r="O1" s="57" t="s">
        <v>258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259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259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259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259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259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259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259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259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259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259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259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259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5" t="s">
        <v>260</v>
      </c>
      <c r="B14" s="165"/>
      <c r="C14" s="165"/>
      <c r="D14" s="165"/>
      <c r="E14" s="165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261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259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141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259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259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262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259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259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259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259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259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259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259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259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259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5" t="s">
        <v>263</v>
      </c>
      <c r="B27" s="165"/>
      <c r="C27" s="165"/>
      <c r="D27" s="165"/>
      <c r="E27" s="165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261</v>
      </c>
      <c r="O27" s="74">
        <v>997910</v>
      </c>
    </row>
    <row r="28" spans="1:15" ht="18" customHeight="1">
      <c r="A28" s="166" t="s">
        <v>249</v>
      </c>
      <c r="B28" s="166"/>
      <c r="C28" s="166"/>
      <c r="D28" s="166"/>
      <c r="E28" s="166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259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167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259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140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265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259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262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259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259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259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259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259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259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259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259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259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5" t="s">
        <v>260</v>
      </c>
      <c r="B41" s="165"/>
      <c r="C41" s="165"/>
      <c r="D41" s="165"/>
      <c r="E41" s="165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261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259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266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259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259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259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259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259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259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259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259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259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259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5" t="s">
        <v>263</v>
      </c>
      <c r="B54" s="165"/>
      <c r="C54" s="165"/>
      <c r="D54" s="165"/>
      <c r="E54" s="165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261</v>
      </c>
      <c r="O54" s="74">
        <v>981310</v>
      </c>
    </row>
    <row r="55" spans="1:15" ht="18" customHeight="1">
      <c r="A55" s="166" t="s">
        <v>249</v>
      </c>
      <c r="B55" s="166"/>
      <c r="C55" s="166"/>
      <c r="D55" s="166"/>
      <c r="E55" s="166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259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167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259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144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259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259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259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259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259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259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259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259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259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259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5" t="s">
        <v>260</v>
      </c>
      <c r="B68" s="165"/>
      <c r="C68" s="165"/>
      <c r="D68" s="165"/>
      <c r="E68" s="165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261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259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259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267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259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259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259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259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259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259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259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259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259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259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5" t="s">
        <v>263</v>
      </c>
      <c r="B81" s="165"/>
      <c r="C81" s="165"/>
      <c r="D81" s="165"/>
      <c r="E81" s="165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261</v>
      </c>
      <c r="O81" s="74">
        <v>1547910</v>
      </c>
    </row>
    <row r="82" spans="1:15" ht="18" customHeight="1">
      <c r="A82" s="166" t="s">
        <v>249</v>
      </c>
      <c r="B82" s="166"/>
      <c r="C82" s="166"/>
      <c r="D82" s="166"/>
      <c r="E82" s="166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259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259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144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259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155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268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259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259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259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259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259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259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259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259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259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5" t="s">
        <v>260</v>
      </c>
      <c r="B95" s="165"/>
      <c r="C95" s="165"/>
      <c r="D95" s="165"/>
      <c r="E95" s="165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261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259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259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259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259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259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259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269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259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259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259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259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259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259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5" t="s">
        <v>263</v>
      </c>
      <c r="B108" s="165"/>
      <c r="C108" s="165"/>
      <c r="D108" s="165"/>
      <c r="E108" s="165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261</v>
      </c>
      <c r="O108" s="74">
        <v>3156240</v>
      </c>
    </row>
    <row r="109" spans="1:15" ht="18" customHeight="1">
      <c r="A109" s="166" t="s">
        <v>249</v>
      </c>
      <c r="B109" s="166"/>
      <c r="C109" s="166"/>
      <c r="D109" s="166"/>
      <c r="E109" s="166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259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259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259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259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259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259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259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259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259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259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259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259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5" t="s">
        <v>260</v>
      </c>
      <c r="B122" s="165"/>
      <c r="C122" s="165"/>
      <c r="D122" s="165"/>
      <c r="E122" s="165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261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259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259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259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259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259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259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259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259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259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259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259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259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5" t="s">
        <v>263</v>
      </c>
      <c r="B135" s="165"/>
      <c r="C135" s="165"/>
      <c r="D135" s="165"/>
      <c r="E135" s="165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261</v>
      </c>
      <c r="O135" s="74">
        <v>2875180</v>
      </c>
    </row>
    <row r="136" spans="1:15" ht="18" customHeight="1">
      <c r="A136" s="166" t="s">
        <v>249</v>
      </c>
      <c r="B136" s="166"/>
      <c r="C136" s="166"/>
      <c r="D136" s="166"/>
      <c r="E136" s="166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259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270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259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259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259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259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259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259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259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259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259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259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259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5" t="s">
        <v>260</v>
      </c>
      <c r="B149" s="165"/>
      <c r="C149" s="165"/>
      <c r="D149" s="165"/>
      <c r="E149" s="165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261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259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144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259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271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259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144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259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259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155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259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259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259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259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259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259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259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5" t="s">
        <v>263</v>
      </c>
      <c r="B162" s="165"/>
      <c r="C162" s="165"/>
      <c r="D162" s="165"/>
      <c r="E162" s="165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261</v>
      </c>
      <c r="O162" s="79">
        <v>842000</v>
      </c>
    </row>
    <row r="163" spans="1:15" ht="18" customHeight="1">
      <c r="A163" s="166" t="s">
        <v>249</v>
      </c>
      <c r="B163" s="166"/>
      <c r="C163" s="166"/>
      <c r="D163" s="166"/>
      <c r="E163" s="166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259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236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272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259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259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259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259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259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259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259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259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259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259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259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5" t="s">
        <v>260</v>
      </c>
      <c r="B176" s="165"/>
      <c r="C176" s="165"/>
      <c r="D176" s="165"/>
      <c r="E176" s="165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261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259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273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259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259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259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259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259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259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259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274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259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259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259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5" t="s">
        <v>263</v>
      </c>
      <c r="B189" s="165"/>
      <c r="C189" s="165"/>
      <c r="D189" s="165"/>
      <c r="E189" s="165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261</v>
      </c>
      <c r="O189" s="74">
        <v>1901630</v>
      </c>
    </row>
    <row r="190" spans="1:15" ht="18" customHeight="1">
      <c r="A190" s="166" t="s">
        <v>249</v>
      </c>
      <c r="B190" s="166"/>
      <c r="C190" s="166"/>
      <c r="D190" s="166"/>
      <c r="E190" s="166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259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259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259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275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259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259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259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259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259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259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259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259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259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5" t="s">
        <v>260</v>
      </c>
      <c r="B203" s="165"/>
      <c r="C203" s="165"/>
      <c r="D203" s="165"/>
      <c r="E203" s="165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261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259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259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259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259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259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259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259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259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259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259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259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259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5" t="s">
        <v>263</v>
      </c>
      <c r="B216" s="165"/>
      <c r="C216" s="165"/>
      <c r="D216" s="165"/>
      <c r="E216" s="165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261</v>
      </c>
      <c r="O216" s="74">
        <v>1852295</v>
      </c>
    </row>
    <row r="217" spans="1:15" ht="18" customHeight="1">
      <c r="A217" s="166" t="s">
        <v>249</v>
      </c>
      <c r="B217" s="166"/>
      <c r="C217" s="166"/>
      <c r="D217" s="166"/>
      <c r="E217" s="166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264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259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177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259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259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214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276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259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259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259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259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259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259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259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259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259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5" t="s">
        <v>260</v>
      </c>
      <c r="B230" s="165"/>
      <c r="C230" s="165"/>
      <c r="D230" s="165"/>
      <c r="E230" s="165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261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259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214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259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155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259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155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277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277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277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277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277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277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277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277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277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5" t="s">
        <v>263</v>
      </c>
      <c r="B243" s="165"/>
      <c r="C243" s="165"/>
      <c r="D243" s="165"/>
      <c r="E243" s="165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261</v>
      </c>
      <c r="O243" s="74">
        <v>991010</v>
      </c>
    </row>
    <row r="244" spans="1:15" ht="18" customHeight="1">
      <c r="A244" s="166" t="s">
        <v>249</v>
      </c>
      <c r="B244" s="166"/>
      <c r="C244" s="166"/>
      <c r="D244" s="166"/>
      <c r="E244" s="166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264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259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219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259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259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259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259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278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259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259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259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259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259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259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259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5" t="s">
        <v>260</v>
      </c>
      <c r="B257" s="165"/>
      <c r="C257" s="165"/>
      <c r="D257" s="165"/>
      <c r="E257" s="165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261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279</v>
      </c>
      <c r="E258" s="75" t="s">
        <v>259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279</v>
      </c>
      <c r="E259" s="75" t="s">
        <v>259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144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279</v>
      </c>
      <c r="E260" s="75" t="s">
        <v>259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279</v>
      </c>
      <c r="E261" s="75" t="s">
        <v>259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279</v>
      </c>
      <c r="E262" s="75" t="s">
        <v>259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279</v>
      </c>
      <c r="E263" s="75" t="s">
        <v>259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279</v>
      </c>
      <c r="E264" s="75" t="s">
        <v>259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279</v>
      </c>
      <c r="E265" s="75" t="s">
        <v>259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279</v>
      </c>
      <c r="E266" s="75" t="s">
        <v>259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279</v>
      </c>
      <c r="E267" s="75" t="s">
        <v>259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279</v>
      </c>
      <c r="E268" s="75" t="s">
        <v>259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279</v>
      </c>
      <c r="E269" s="75" t="s">
        <v>259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5" t="s">
        <v>263</v>
      </c>
      <c r="B270" s="165"/>
      <c r="C270" s="165"/>
      <c r="D270" s="165"/>
      <c r="E270" s="165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261</v>
      </c>
      <c r="O270" s="74">
        <v>1544700</v>
      </c>
    </row>
    <row r="271" spans="1:15" ht="18" customHeight="1">
      <c r="A271" s="166" t="s">
        <v>249</v>
      </c>
      <c r="B271" s="166"/>
      <c r="C271" s="166"/>
      <c r="D271" s="166"/>
      <c r="E271" s="166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264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279</v>
      </c>
      <c r="E272" s="62" t="s">
        <v>259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177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279</v>
      </c>
      <c r="E273" s="62" t="s">
        <v>259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144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279</v>
      </c>
      <c r="E274" s="62" t="s">
        <v>259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279</v>
      </c>
      <c r="E275" s="62" t="s">
        <v>259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219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279</v>
      </c>
      <c r="E276" s="62" t="s">
        <v>259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279</v>
      </c>
      <c r="E277" s="62" t="s">
        <v>259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280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279</v>
      </c>
      <c r="E278" s="62" t="s">
        <v>259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279</v>
      </c>
      <c r="E279" s="62" t="s">
        <v>259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279</v>
      </c>
      <c r="E280" s="62" t="s">
        <v>259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279</v>
      </c>
      <c r="E281" s="62" t="s">
        <v>259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279</v>
      </c>
      <c r="E282" s="62" t="s">
        <v>259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279</v>
      </c>
      <c r="E283" s="62" t="s">
        <v>259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5" t="s">
        <v>260</v>
      </c>
      <c r="B284" s="165"/>
      <c r="C284" s="165"/>
      <c r="D284" s="165"/>
      <c r="E284" s="165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261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279</v>
      </c>
      <c r="E285" s="75" t="s">
        <v>274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279</v>
      </c>
      <c r="E286" s="75" t="s">
        <v>274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279</v>
      </c>
      <c r="E287" s="75" t="s">
        <v>274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279</v>
      </c>
      <c r="E288" s="75" t="s">
        <v>274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279</v>
      </c>
      <c r="E289" s="75" t="s">
        <v>274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279</v>
      </c>
      <c r="E290" s="75" t="s">
        <v>274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279</v>
      </c>
      <c r="E291" s="75" t="s">
        <v>274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279</v>
      </c>
      <c r="E292" s="75" t="s">
        <v>274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279</v>
      </c>
      <c r="E293" s="75" t="s">
        <v>274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279</v>
      </c>
      <c r="E294" s="75" t="s">
        <v>274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279</v>
      </c>
      <c r="E295" s="75" t="s">
        <v>274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279</v>
      </c>
      <c r="E296" s="75" t="s">
        <v>274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5" t="s">
        <v>263</v>
      </c>
      <c r="B297" s="165"/>
      <c r="C297" s="165"/>
      <c r="D297" s="165"/>
      <c r="E297" s="165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261</v>
      </c>
      <c r="O297" s="74">
        <v>1715230</v>
      </c>
    </row>
    <row r="298" spans="1:15" ht="18" customHeight="1">
      <c r="A298" s="166" t="s">
        <v>249</v>
      </c>
      <c r="B298" s="166"/>
      <c r="C298" s="166"/>
      <c r="D298" s="166"/>
      <c r="E298" s="166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264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259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236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259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144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259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259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281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259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259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259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259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259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259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259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259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5" t="s">
        <v>260</v>
      </c>
      <c r="B311" s="165"/>
      <c r="C311" s="165"/>
      <c r="D311" s="165"/>
      <c r="E311" s="165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261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259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259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259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259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259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259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259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259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259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259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259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259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5" t="s">
        <v>263</v>
      </c>
      <c r="B324" s="165"/>
      <c r="C324" s="165"/>
      <c r="D324" s="165"/>
      <c r="E324" s="165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261</v>
      </c>
      <c r="O324" s="74">
        <v>2216340</v>
      </c>
    </row>
    <row r="325" spans="1:15" ht="18" customHeight="1">
      <c r="A325" s="166" t="s">
        <v>249</v>
      </c>
      <c r="B325" s="166"/>
      <c r="C325" s="166"/>
      <c r="D325" s="166"/>
      <c r="E325" s="166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264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144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214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282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259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259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259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283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259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259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259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259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5" t="s">
        <v>260</v>
      </c>
      <c r="B338" s="165"/>
      <c r="C338" s="165"/>
      <c r="D338" s="165"/>
      <c r="E338" s="165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261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259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259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259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259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259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259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259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259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259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259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259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259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5" t="s">
        <v>263</v>
      </c>
      <c r="B351" s="165"/>
      <c r="C351" s="165"/>
      <c r="D351" s="165"/>
      <c r="E351" s="165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261</v>
      </c>
      <c r="O351" s="74">
        <v>2154990</v>
      </c>
    </row>
    <row r="352" spans="1:15" ht="18" customHeight="1">
      <c r="A352" s="166" t="s">
        <v>249</v>
      </c>
      <c r="B352" s="166"/>
      <c r="C352" s="166"/>
      <c r="D352" s="166"/>
      <c r="E352" s="166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264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259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259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144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259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259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259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259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274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259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259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259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259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259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5" t="s">
        <v>260</v>
      </c>
      <c r="B365" s="165"/>
      <c r="C365" s="165"/>
      <c r="D365" s="165"/>
      <c r="E365" s="165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261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259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259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259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259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259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259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259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259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259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259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259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259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5" t="s">
        <v>263</v>
      </c>
      <c r="B378" s="165"/>
      <c r="C378" s="165"/>
      <c r="D378" s="165"/>
      <c r="E378" s="165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261</v>
      </c>
      <c r="O378" s="74">
        <v>2614830</v>
      </c>
    </row>
    <row r="379" spans="1:15" ht="18" customHeight="1">
      <c r="A379" s="166" t="s">
        <v>249</v>
      </c>
      <c r="B379" s="166"/>
      <c r="C379" s="166"/>
      <c r="D379" s="166"/>
      <c r="E379" s="166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264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259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259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259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259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259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259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259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259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259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259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259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259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5" t="s">
        <v>260</v>
      </c>
      <c r="B392" s="165"/>
      <c r="C392" s="165"/>
      <c r="D392" s="165"/>
      <c r="E392" s="165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261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259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167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284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259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259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259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259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259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259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259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259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259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259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259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5" t="s">
        <v>263</v>
      </c>
      <c r="B405" s="165"/>
      <c r="C405" s="165"/>
      <c r="D405" s="165"/>
      <c r="E405" s="165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261</v>
      </c>
      <c r="O405" s="74">
        <v>2612000</v>
      </c>
    </row>
    <row r="406" spans="1:15" ht="18" customHeight="1">
      <c r="A406" s="166" t="s">
        <v>249</v>
      </c>
      <c r="B406" s="166"/>
      <c r="C406" s="166"/>
      <c r="D406" s="166"/>
      <c r="E406" s="166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264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259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259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259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259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259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259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259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259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259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259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259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259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5" t="s">
        <v>260</v>
      </c>
      <c r="B419" s="165"/>
      <c r="C419" s="165"/>
      <c r="D419" s="165"/>
      <c r="E419" s="165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261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259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230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259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144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285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259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144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285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259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259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259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259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259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259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259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259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259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5" t="s">
        <v>263</v>
      </c>
      <c r="B432" s="165"/>
      <c r="C432" s="165"/>
      <c r="D432" s="165"/>
      <c r="E432" s="165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261</v>
      </c>
      <c r="O432" s="74">
        <v>2266710</v>
      </c>
    </row>
    <row r="433" spans="1:15" ht="18" customHeight="1">
      <c r="A433" s="166" t="s">
        <v>249</v>
      </c>
      <c r="B433" s="166"/>
      <c r="C433" s="166"/>
      <c r="D433" s="166"/>
      <c r="E433" s="166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264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259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167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259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259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259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259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259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259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259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259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259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259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259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5" t="s">
        <v>260</v>
      </c>
      <c r="B446" s="165"/>
      <c r="C446" s="165"/>
      <c r="D446" s="165"/>
      <c r="E446" s="165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261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259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144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286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259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287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259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259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259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259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288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259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289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259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290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259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259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259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259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5" t="s">
        <v>263</v>
      </c>
      <c r="B459" s="165"/>
      <c r="C459" s="165"/>
      <c r="D459" s="165"/>
      <c r="E459" s="165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261</v>
      </c>
      <c r="O459" s="74">
        <v>2361680</v>
      </c>
    </row>
    <row r="460" spans="1:15" ht="18" customHeight="1">
      <c r="A460" s="166" t="s">
        <v>249</v>
      </c>
      <c r="B460" s="166"/>
      <c r="C460" s="166"/>
      <c r="D460" s="166"/>
      <c r="E460" s="166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264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259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291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259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259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259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259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259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259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259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259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259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259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259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5" t="s">
        <v>260</v>
      </c>
      <c r="B473" s="165"/>
      <c r="C473" s="165"/>
      <c r="D473" s="165"/>
      <c r="E473" s="165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261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259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259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259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144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292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259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259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259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259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259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259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259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259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259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5" t="s">
        <v>263</v>
      </c>
      <c r="B486" s="165"/>
      <c r="C486" s="165"/>
      <c r="D486" s="165"/>
      <c r="E486" s="165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261</v>
      </c>
      <c r="O486" s="74">
        <v>1798670</v>
      </c>
    </row>
    <row r="487" spans="1:15" ht="18" customHeight="1">
      <c r="A487" s="166" t="s">
        <v>249</v>
      </c>
      <c r="B487" s="166"/>
      <c r="C487" s="166"/>
      <c r="D487" s="166"/>
      <c r="E487" s="166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264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259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140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259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293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259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259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259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259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259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259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259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259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259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259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5" t="s">
        <v>260</v>
      </c>
      <c r="B500" s="165"/>
      <c r="C500" s="165"/>
      <c r="D500" s="165"/>
      <c r="E500" s="165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261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259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259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167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294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259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259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259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259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259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259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259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259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259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274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5" t="s">
        <v>263</v>
      </c>
      <c r="B513" s="165"/>
      <c r="C513" s="165"/>
      <c r="D513" s="165"/>
      <c r="E513" s="165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261</v>
      </c>
      <c r="O513" s="74">
        <v>2435830</v>
      </c>
    </row>
    <row r="514" spans="1:15" ht="18" customHeight="1">
      <c r="A514" s="166" t="s">
        <v>249</v>
      </c>
      <c r="B514" s="166"/>
      <c r="C514" s="166"/>
      <c r="D514" s="166"/>
      <c r="E514" s="166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264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259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259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259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259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259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274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274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274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274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274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274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274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5" t="s">
        <v>260</v>
      </c>
      <c r="B527" s="165"/>
      <c r="C527" s="165"/>
      <c r="D527" s="165"/>
      <c r="E527" s="165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261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259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295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259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259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177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259</v>
      </c>
      <c r="F531" s="63">
        <v>13</v>
      </c>
      <c r="G531" s="69">
        <f t="shared" si="113"/>
        <v>65</v>
      </c>
      <c r="H531" s="70"/>
      <c r="I531" s="70"/>
      <c r="J531" s="70"/>
      <c r="K531" s="65"/>
      <c r="L531" s="65"/>
      <c r="M531" s="71" t="str">
        <f t="shared" ca="1" si="115"/>
        <v/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259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259</v>
      </c>
      <c r="F533" s="63"/>
      <c r="G533" s="69" t="str">
        <f t="shared" si="113"/>
        <v/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259</v>
      </c>
      <c r="F534" s="63"/>
      <c r="G534" s="64" t="str">
        <f t="shared" si="113"/>
        <v/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/>
      <c r="E535" s="62"/>
      <c r="F535" s="63"/>
      <c r="G535" s="69" t="str">
        <f t="shared" si="113"/>
        <v/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/>
      <c r="E536" s="62"/>
      <c r="F536" s="63"/>
      <c r="G536" s="64" t="str">
        <f t="shared" si="113"/>
        <v/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/>
      <c r="E537" s="62"/>
      <c r="F537" s="63"/>
      <c r="G537" s="69" t="str">
        <f t="shared" si="113"/>
        <v/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/>
      <c r="E538" s="62"/>
      <c r="F538" s="63"/>
      <c r="G538" s="64" t="str">
        <f t="shared" si="113"/>
        <v/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/>
      <c r="E539" s="62"/>
      <c r="F539" s="63"/>
      <c r="G539" s="69" t="str">
        <f t="shared" si="113"/>
        <v/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5" t="s">
        <v>263</v>
      </c>
      <c r="B540" s="165"/>
      <c r="C540" s="165"/>
      <c r="D540" s="165"/>
      <c r="E540" s="165"/>
      <c r="F540" s="2">
        <f>SUM(F528:F539)</f>
        <v>87</v>
      </c>
      <c r="G540" s="2">
        <f>SUM(G528:G539)</f>
        <v>435</v>
      </c>
      <c r="H540" s="72"/>
      <c r="I540" s="72"/>
      <c r="J540" s="72"/>
      <c r="K540" s="72"/>
      <c r="L540" s="72"/>
      <c r="M540" s="73">
        <f ca="1">IFERROR(SUM(M528:M539),"")</f>
        <v>3.0555555555555558E-2</v>
      </c>
      <c r="N540" s="2" t="s">
        <v>261</v>
      </c>
      <c r="O540" s="74"/>
    </row>
    <row r="541" spans="1:15" ht="18" customHeight="1">
      <c r="A541" s="166" t="s">
        <v>249</v>
      </c>
      <c r="B541" s="166"/>
      <c r="C541" s="166"/>
      <c r="D541" s="166"/>
      <c r="E541" s="166"/>
      <c r="F541" s="1">
        <f>F527+F540</f>
        <v>275</v>
      </c>
      <c r="G541" s="1">
        <f>G527+G540</f>
        <v>1316.6</v>
      </c>
      <c r="H541" s="76"/>
      <c r="I541" s="76"/>
      <c r="J541" s="76"/>
      <c r="K541" s="76"/>
      <c r="L541" s="76"/>
      <c r="M541" s="77">
        <f ca="1">IFERROR(M527+M540,"")</f>
        <v>7.5694444444444509E-2</v>
      </c>
      <c r="N541" s="1" t="s">
        <v>264</v>
      </c>
      <c r="O541" s="82">
        <f>IFERROR(O527+O540,"")</f>
        <v>1573200</v>
      </c>
    </row>
    <row r="542" spans="1:15" ht="15" customHeight="1">
      <c r="A542" s="59">
        <v>46255</v>
      </c>
      <c r="B542" s="60">
        <v>0.33333333333333298</v>
      </c>
      <c r="C542" s="61"/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/>
      <c r="I542" s="61"/>
      <c r="J542" s="61"/>
      <c r="K542" s="65"/>
      <c r="L542" s="65"/>
      <c r="M542" s="66" t="str">
        <f t="shared" ref="M542:M553" ca="1" si="117">IFERROR(IF(K542="","",IF(L542="",MOD(NOW()-K542,1),IF(L542&gt;=K542,L542-K542,L542+1-K542))),"")</f>
        <v/>
      </c>
      <c r="N542" s="80"/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/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/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/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/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/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/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/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/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/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/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/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5" t="s">
        <v>260</v>
      </c>
      <c r="B554" s="165"/>
      <c r="C554" s="165"/>
      <c r="D554" s="165"/>
      <c r="E554" s="165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</v>
      </c>
      <c r="N554" s="2" t="s">
        <v>261</v>
      </c>
      <c r="O554" s="74"/>
    </row>
    <row r="555" spans="1:15" ht="15" customHeight="1">
      <c r="A555" s="18">
        <v>46255</v>
      </c>
      <c r="B555" s="68">
        <v>0.83333333333333304</v>
      </c>
      <c r="C555" s="70"/>
      <c r="D555" s="75"/>
      <c r="E555" s="75"/>
      <c r="F555" s="63"/>
      <c r="G555" s="69" t="str">
        <f t="shared" ref="G555:G566" si="119">IF(F555="","",IF(E555="PC 17",F555*4.2,IF(E555="PC 19",F555*5,IF(E555="CB",F555*35,""))))</f>
        <v/>
      </c>
      <c r="H555" s="70"/>
      <c r="I555" s="70"/>
      <c r="J555" s="70"/>
      <c r="K555" s="65"/>
      <c r="L555" s="65"/>
      <c r="M555" s="71" t="str">
        <f t="shared" ref="M555:M566" ca="1" si="120">IFERROR(IF(K555="","",IF(L555="",MOD(NOW()-K555,1),IF(L555&gt;=K555,L555-K555,L555+1-K555))),"")</f>
        <v/>
      </c>
      <c r="N555" s="80"/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/>
      <c r="D556" s="75"/>
      <c r="E556" s="75"/>
      <c r="F556" s="63"/>
      <c r="G556" s="64" t="str">
        <f t="shared" si="119"/>
        <v/>
      </c>
      <c r="H556" s="61"/>
      <c r="I556" s="61"/>
      <c r="J556" s="61"/>
      <c r="K556" s="65"/>
      <c r="L556" s="65"/>
      <c r="M556" s="66" t="str">
        <f t="shared" ca="1" si="120"/>
        <v/>
      </c>
      <c r="N556" s="80"/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/>
      <c r="D557" s="75"/>
      <c r="E557" s="75"/>
      <c r="F557" s="63"/>
      <c r="G557" s="69" t="str">
        <f t="shared" si="119"/>
        <v/>
      </c>
      <c r="H557" s="70"/>
      <c r="I557" s="70"/>
      <c r="J557" s="70"/>
      <c r="K557" s="65"/>
      <c r="L557" s="65"/>
      <c r="M557" s="71" t="str">
        <f t="shared" ca="1" si="120"/>
        <v/>
      </c>
      <c r="N557" s="80"/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/>
      <c r="D558" s="75"/>
      <c r="E558" s="75"/>
      <c r="F558" s="63"/>
      <c r="G558" s="64" t="str">
        <f t="shared" si="119"/>
        <v/>
      </c>
      <c r="H558" s="61"/>
      <c r="I558" s="61"/>
      <c r="J558" s="61"/>
      <c r="K558" s="65"/>
      <c r="L558" s="65"/>
      <c r="M558" s="66" t="str">
        <f t="shared" ca="1" si="120"/>
        <v/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/>
      <c r="D559" s="75"/>
      <c r="E559" s="75"/>
      <c r="F559" s="63"/>
      <c r="G559" s="69" t="str">
        <f t="shared" si="119"/>
        <v/>
      </c>
      <c r="H559" s="70"/>
      <c r="I559" s="70"/>
      <c r="J559" s="70"/>
      <c r="K559" s="65"/>
      <c r="L559" s="65"/>
      <c r="M559" s="71" t="str">
        <f t="shared" ca="1" si="120"/>
        <v/>
      </c>
      <c r="N559" s="80"/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/>
      <c r="D560" s="75"/>
      <c r="E560" s="75"/>
      <c r="F560" s="63"/>
      <c r="G560" s="64" t="str">
        <f t="shared" si="119"/>
        <v/>
      </c>
      <c r="H560" s="61"/>
      <c r="I560" s="61"/>
      <c r="J560" s="61"/>
      <c r="K560" s="65"/>
      <c r="L560" s="65"/>
      <c r="M560" s="66" t="str">
        <f t="shared" ca="1" si="120"/>
        <v/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/>
      <c r="D561" s="75"/>
      <c r="E561" s="75"/>
      <c r="F561" s="63"/>
      <c r="G561" s="69" t="str">
        <f t="shared" si="119"/>
        <v/>
      </c>
      <c r="H561" s="70"/>
      <c r="I561" s="70"/>
      <c r="J561" s="70"/>
      <c r="K561" s="65"/>
      <c r="L561" s="65"/>
      <c r="M561" s="71" t="str">
        <f t="shared" ca="1" si="120"/>
        <v/>
      </c>
      <c r="N561" s="80"/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/>
      <c r="D562" s="75"/>
      <c r="E562" s="75"/>
      <c r="F562" s="63"/>
      <c r="G562" s="64" t="str">
        <f t="shared" si="119"/>
        <v/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/>
      <c r="D563" s="75"/>
      <c r="E563" s="75"/>
      <c r="F563" s="63"/>
      <c r="G563" s="69" t="str">
        <f t="shared" si="119"/>
        <v/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/>
      <c r="D564" s="75"/>
      <c r="E564" s="75"/>
      <c r="F564" s="63"/>
      <c r="G564" s="64" t="str">
        <f t="shared" si="119"/>
        <v/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/>
      <c r="D565" s="75"/>
      <c r="E565" s="75"/>
      <c r="F565" s="63"/>
      <c r="G565" s="69" t="str">
        <f t="shared" si="119"/>
        <v/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/>
      <c r="D566" s="75"/>
      <c r="E566" s="75"/>
      <c r="F566" s="63"/>
      <c r="G566" s="64" t="str">
        <f t="shared" si="119"/>
        <v/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5" t="s">
        <v>263</v>
      </c>
      <c r="B567" s="165"/>
      <c r="C567" s="165"/>
      <c r="D567" s="165"/>
      <c r="E567" s="165"/>
      <c r="F567" s="2">
        <f>SUM(F555:F566)</f>
        <v>0</v>
      </c>
      <c r="G567" s="2">
        <f>SUM(G555:G566)</f>
        <v>0</v>
      </c>
      <c r="H567" s="72"/>
      <c r="I567" s="72"/>
      <c r="J567" s="72"/>
      <c r="K567" s="72"/>
      <c r="L567" s="72"/>
      <c r="M567" s="73">
        <f ca="1">IFERROR(SUM(M555:M566),"")</f>
        <v>0</v>
      </c>
      <c r="N567" s="2" t="s">
        <v>261</v>
      </c>
      <c r="O567" s="74"/>
    </row>
    <row r="568" spans="1:15" ht="18" customHeight="1">
      <c r="A568" s="166" t="s">
        <v>249</v>
      </c>
      <c r="B568" s="166"/>
      <c r="C568" s="166"/>
      <c r="D568" s="166"/>
      <c r="E568" s="166"/>
      <c r="F568" s="1">
        <f>F554+F567</f>
        <v>0</v>
      </c>
      <c r="G568" s="1">
        <f>G554+G567</f>
        <v>0</v>
      </c>
      <c r="H568" s="76"/>
      <c r="I568" s="76"/>
      <c r="J568" s="76"/>
      <c r="K568" s="76"/>
      <c r="L568" s="76"/>
      <c r="M568" s="77">
        <f ca="1">IFERROR(M554+M567,"")</f>
        <v>0</v>
      </c>
      <c r="N568" s="1" t="s">
        <v>264</v>
      </c>
      <c r="O568" s="82">
        <f>IFERROR(O554+O567,"")</f>
        <v>0</v>
      </c>
    </row>
    <row r="569" spans="1:15" ht="15" customHeight="1">
      <c r="A569" s="18">
        <v>46256</v>
      </c>
      <c r="B569" s="68">
        <v>0.33333333333333298</v>
      </c>
      <c r="C569" s="70"/>
      <c r="D569" s="75"/>
      <c r="E569" s="75"/>
      <c r="F569" s="63"/>
      <c r="G569" s="69" t="str">
        <f t="shared" ref="G569:G580" si="122">IF(F569="","",IF(E569="PC 17",F569*4.2,IF(E569="PC 19",F569*5,IF(E569="CB",F569*35,""))))</f>
        <v/>
      </c>
      <c r="H569" s="70"/>
      <c r="I569" s="70"/>
      <c r="J569" s="70"/>
      <c r="K569" s="65"/>
      <c r="L569" s="65"/>
      <c r="M569" s="71" t="str">
        <f t="shared" ref="M569:M580" ca="1" si="123">IFERROR(IF(K569="","",IF(L569="",MOD(NOW()-K569,1),IF(L569&gt;=K569,L569-K569,L569+1-K569))),"")</f>
        <v/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/>
      <c r="D570" s="75"/>
      <c r="E570" s="75"/>
      <c r="F570" s="63"/>
      <c r="G570" s="69" t="str">
        <f t="shared" si="122"/>
        <v/>
      </c>
      <c r="H570" s="61"/>
      <c r="I570" s="61"/>
      <c r="J570" s="61"/>
      <c r="K570" s="65"/>
      <c r="L570" s="65"/>
      <c r="M570" s="66" t="str">
        <f t="shared" ca="1" si="123"/>
        <v/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/>
      <c r="D571" s="75"/>
      <c r="E571" s="75"/>
      <c r="F571" s="63"/>
      <c r="G571" s="69" t="str">
        <f t="shared" si="122"/>
        <v/>
      </c>
      <c r="H571" s="70"/>
      <c r="I571" s="70"/>
      <c r="J571" s="70"/>
      <c r="K571" s="65"/>
      <c r="L571" s="65"/>
      <c r="M571" s="71" t="str">
        <f t="shared" ca="1" si="123"/>
        <v/>
      </c>
      <c r="N571" s="80"/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/>
      <c r="D572" s="75"/>
      <c r="E572" s="75"/>
      <c r="F572" s="63"/>
      <c r="G572" s="69" t="str">
        <f t="shared" si="122"/>
        <v/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/>
      <c r="D573" s="75"/>
      <c r="E573" s="75"/>
      <c r="F573" s="63"/>
      <c r="G573" s="69" t="str">
        <f t="shared" si="122"/>
        <v/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/>
      <c r="D574" s="75"/>
      <c r="E574" s="75"/>
      <c r="F574" s="63"/>
      <c r="G574" s="69" t="str">
        <f t="shared" si="122"/>
        <v/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/>
      <c r="D575" s="75"/>
      <c r="E575" s="75"/>
      <c r="F575" s="63"/>
      <c r="G575" s="69" t="str">
        <f t="shared" si="122"/>
        <v/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/>
      <c r="D576" s="75"/>
      <c r="E576" s="75"/>
      <c r="F576" s="63"/>
      <c r="G576" s="69" t="str">
        <f t="shared" si="122"/>
        <v/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/>
      <c r="D577" s="75"/>
      <c r="E577" s="75"/>
      <c r="F577" s="63"/>
      <c r="G577" s="69" t="str">
        <f t="shared" si="122"/>
        <v/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/>
      <c r="D578" s="75"/>
      <c r="E578" s="75"/>
      <c r="F578" s="63"/>
      <c r="G578" s="69" t="str">
        <f t="shared" si="122"/>
        <v/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/>
      <c r="D579" s="75"/>
      <c r="E579" s="75"/>
      <c r="F579" s="63"/>
      <c r="G579" s="69" t="str">
        <f t="shared" si="122"/>
        <v/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/>
      <c r="D580" s="75"/>
      <c r="E580" s="75"/>
      <c r="F580" s="63"/>
      <c r="G580" s="69" t="str">
        <f t="shared" si="122"/>
        <v/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5" t="s">
        <v>260</v>
      </c>
      <c r="B581" s="165"/>
      <c r="C581" s="165"/>
      <c r="D581" s="165"/>
      <c r="E581" s="165"/>
      <c r="F581" s="2">
        <f>SUM(F569:F580)</f>
        <v>0</v>
      </c>
      <c r="G581" s="2">
        <f>SUM(G569:G580)</f>
        <v>0</v>
      </c>
      <c r="H581" s="72"/>
      <c r="I581" s="72"/>
      <c r="J581" s="72"/>
      <c r="K581" s="72"/>
      <c r="L581" s="72"/>
      <c r="M581" s="73">
        <f ca="1">IFERROR(SUM(M569:M580),"")</f>
        <v>0</v>
      </c>
      <c r="N581" s="2" t="s">
        <v>261</v>
      </c>
      <c r="O581" s="74"/>
    </row>
    <row r="582" spans="1:15" ht="15" customHeight="1">
      <c r="A582" s="59">
        <v>46256</v>
      </c>
      <c r="B582" s="60">
        <v>0.83333333333333304</v>
      </c>
      <c r="C582" s="61"/>
      <c r="D582" s="62"/>
      <c r="E582" s="62"/>
      <c r="F582" s="63"/>
      <c r="G582" s="64" t="str">
        <f t="shared" ref="G582:G593" si="125">IF(F582="","",IF(E582="PC 17",F582*4.2,IF(E582="PC 19",F582*5,IF(E582="CB",F582*35,""))))</f>
        <v/>
      </c>
      <c r="H582" s="61"/>
      <c r="I582" s="61"/>
      <c r="J582" s="61"/>
      <c r="K582" s="65"/>
      <c r="L582" s="65"/>
      <c r="M582" s="66" t="str">
        <f t="shared" ref="M582:M593" ca="1" si="126">IFERROR(IF(K582="","",IF(L582="",MOD(NOW()-K582,1),IF(L582&gt;=K582,L582-K582,L582+1-K582))),"")</f>
        <v/>
      </c>
      <c r="N582" s="80"/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/>
      <c r="D583" s="62"/>
      <c r="E583" s="62"/>
      <c r="F583" s="63"/>
      <c r="G583" s="69" t="str">
        <f t="shared" si="125"/>
        <v/>
      </c>
      <c r="H583" s="70"/>
      <c r="I583" s="70"/>
      <c r="J583" s="70"/>
      <c r="K583" s="65"/>
      <c r="L583" s="65"/>
      <c r="M583" s="71" t="str">
        <f t="shared" ca="1" si="126"/>
        <v/>
      </c>
      <c r="N583" s="80"/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/>
      <c r="D584" s="62"/>
      <c r="E584" s="62"/>
      <c r="F584" s="63"/>
      <c r="G584" s="64" t="str">
        <f t="shared" si="125"/>
        <v/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/>
      <c r="D585" s="62"/>
      <c r="E585" s="62"/>
      <c r="F585" s="63"/>
      <c r="G585" s="69" t="str">
        <f t="shared" si="125"/>
        <v/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/>
      <c r="D586" s="62"/>
      <c r="E586" s="62"/>
      <c r="F586" s="63"/>
      <c r="G586" s="64" t="str">
        <f t="shared" si="125"/>
        <v/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/>
      <c r="D587" s="62"/>
      <c r="E587" s="62"/>
      <c r="F587" s="63"/>
      <c r="G587" s="69" t="str">
        <f t="shared" si="125"/>
        <v/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/>
      <c r="D588" s="62"/>
      <c r="E588" s="62"/>
      <c r="F588" s="63"/>
      <c r="G588" s="64" t="str">
        <f t="shared" si="125"/>
        <v/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/>
      <c r="D589" s="62"/>
      <c r="E589" s="62"/>
      <c r="F589" s="63"/>
      <c r="G589" s="69" t="str">
        <f t="shared" si="125"/>
        <v/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/>
      <c r="D590" s="62"/>
      <c r="E590" s="62"/>
      <c r="F590" s="63"/>
      <c r="G590" s="64" t="str">
        <f t="shared" si="125"/>
        <v/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/>
      <c r="D591" s="62"/>
      <c r="E591" s="62"/>
      <c r="F591" s="63"/>
      <c r="G591" s="69" t="str">
        <f t="shared" si="125"/>
        <v/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/>
      <c r="D592" s="62"/>
      <c r="E592" s="62"/>
      <c r="F592" s="63"/>
      <c r="G592" s="64" t="str">
        <f t="shared" si="125"/>
        <v/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/>
      <c r="D593" s="62"/>
      <c r="E593" s="62"/>
      <c r="F593" s="63"/>
      <c r="G593" s="69" t="str">
        <f t="shared" si="125"/>
        <v/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5" t="s">
        <v>263</v>
      </c>
      <c r="B594" s="165"/>
      <c r="C594" s="165"/>
      <c r="D594" s="165"/>
      <c r="E594" s="165"/>
      <c r="F594" s="2">
        <f>SUM(F582:F593)</f>
        <v>0</v>
      </c>
      <c r="G594" s="2">
        <f>SUM(G582:G593)</f>
        <v>0</v>
      </c>
      <c r="H594" s="72"/>
      <c r="I594" s="72"/>
      <c r="J594" s="72"/>
      <c r="K594" s="72"/>
      <c r="L594" s="72"/>
      <c r="M594" s="73">
        <f ca="1">IFERROR(SUM(M582:M593),"")</f>
        <v>0</v>
      </c>
      <c r="N594" s="2" t="s">
        <v>261</v>
      </c>
      <c r="O594" s="74"/>
    </row>
    <row r="595" spans="1:15" ht="18" customHeight="1">
      <c r="A595" s="166" t="s">
        <v>249</v>
      </c>
      <c r="B595" s="166"/>
      <c r="C595" s="166"/>
      <c r="D595" s="166"/>
      <c r="E595" s="166"/>
      <c r="F595" s="1">
        <f>F581+F594</f>
        <v>0</v>
      </c>
      <c r="G595" s="1">
        <f>G581+G594</f>
        <v>0</v>
      </c>
      <c r="H595" s="76"/>
      <c r="I595" s="76"/>
      <c r="J595" s="76"/>
      <c r="K595" s="76"/>
      <c r="L595" s="76"/>
      <c r="M595" s="77">
        <f ca="1">IFERROR(M581+M594,"")</f>
        <v>0</v>
      </c>
      <c r="N595" s="1" t="s">
        <v>264</v>
      </c>
      <c r="O595" s="82">
        <f>IFERROR(O581+O594,"")</f>
        <v>0</v>
      </c>
    </row>
    <row r="596" spans="1:15" ht="15" customHeight="1">
      <c r="A596" s="59">
        <v>46257</v>
      </c>
      <c r="B596" s="60">
        <v>0.33333333333333298</v>
      </c>
      <c r="C596" s="61"/>
      <c r="D596" s="62"/>
      <c r="E596" s="62"/>
      <c r="F596" s="63"/>
      <c r="G596" s="64" t="str">
        <f t="shared" ref="G596:G607" si="128">IF(F596="","",IF(E596="PC 17",F596*4.2,IF(E596="PC 19",F596*5,IF(E596="CB",F596*35,""))))</f>
        <v/>
      </c>
      <c r="H596" s="61"/>
      <c r="I596" s="61"/>
      <c r="J596" s="61"/>
      <c r="K596" s="65"/>
      <c r="L596" s="65"/>
      <c r="M596" s="66" t="str">
        <f t="shared" ref="M596:M607" ca="1" si="129">IFERROR(IF(K596="","",IF(L596="",MOD(NOW()-K596,1),IF(L596&gt;=K596,L596-K596,L596+1-K596))),"")</f>
        <v/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/>
      <c r="D597" s="62"/>
      <c r="E597" s="62"/>
      <c r="F597" s="63"/>
      <c r="G597" s="69" t="str">
        <f t="shared" si="128"/>
        <v/>
      </c>
      <c r="H597" s="70"/>
      <c r="I597" s="70"/>
      <c r="J597" s="70"/>
      <c r="K597" s="65"/>
      <c r="L597" s="65"/>
      <c r="M597" s="71" t="str">
        <f t="shared" ca="1" si="129"/>
        <v/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/>
      <c r="D598" s="62"/>
      <c r="E598" s="62"/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/>
      <c r="D599" s="62"/>
      <c r="E599" s="62"/>
      <c r="F599" s="63"/>
      <c r="G599" s="69" t="str">
        <f t="shared" si="128"/>
        <v/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/>
      <c r="D600" s="62"/>
      <c r="E600" s="62"/>
      <c r="F600" s="63"/>
      <c r="G600" s="64" t="str">
        <f t="shared" si="128"/>
        <v/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/>
      <c r="D601" s="62"/>
      <c r="E601" s="62"/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/>
      <c r="D602" s="62"/>
      <c r="E602" s="62"/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/>
      <c r="D603" s="62"/>
      <c r="E603" s="62"/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/>
      <c r="D604" s="62"/>
      <c r="E604" s="62"/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/>
      <c r="D605" s="62"/>
      <c r="E605" s="62"/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/>
      <c r="D606" s="62"/>
      <c r="E606" s="62"/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/>
      <c r="D607" s="62"/>
      <c r="E607" s="62"/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5" t="s">
        <v>260</v>
      </c>
      <c r="B608" s="165"/>
      <c r="C608" s="165"/>
      <c r="D608" s="165"/>
      <c r="E608" s="165"/>
      <c r="F608" s="2">
        <f>SUM(F596:F607)</f>
        <v>0</v>
      </c>
      <c r="G608" s="2">
        <f>SUM(G596:G607)</f>
        <v>0</v>
      </c>
      <c r="H608" s="72"/>
      <c r="I608" s="72"/>
      <c r="J608" s="72"/>
      <c r="K608" s="72"/>
      <c r="L608" s="72"/>
      <c r="M608" s="73">
        <f ca="1">IFERROR(SUM(M596:M607),"")</f>
        <v>0</v>
      </c>
      <c r="N608" s="2" t="s">
        <v>261</v>
      </c>
      <c r="O608" s="74"/>
    </row>
    <row r="609" spans="1:15" ht="15" customHeight="1">
      <c r="A609" s="18">
        <v>46257</v>
      </c>
      <c r="B609" s="68">
        <v>0.83333333333333304</v>
      </c>
      <c r="C609" s="70"/>
      <c r="D609" s="75"/>
      <c r="E609" s="75"/>
      <c r="F609" s="63"/>
      <c r="G609" s="69" t="str">
        <f t="shared" ref="G609:G614" si="131">IF(F609="","",IF(E609="PC 17",F609*4.2,IF(E609="PC 19",F609*5,IF(E609="CB",F609*35,""))))</f>
        <v/>
      </c>
      <c r="H609" s="70"/>
      <c r="I609" s="70"/>
      <c r="J609" s="70"/>
      <c r="K609" s="65"/>
      <c r="L609" s="65"/>
      <c r="M609" s="71" t="str">
        <f t="shared" ref="M609:M620" ca="1" si="132">IFERROR(IF(K609="","",IF(L609="",MOD(NOW()-K609,1),IF(L609&gt;=K609,L609-K609,L609+1-K609))),"")</f>
        <v/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/>
      <c r="D610" s="75"/>
      <c r="E610" s="75"/>
      <c r="F610" s="63"/>
      <c r="G610" s="64" t="str">
        <f t="shared" si="131"/>
        <v/>
      </c>
      <c r="H610" s="61"/>
      <c r="I610" s="61"/>
      <c r="J610" s="61"/>
      <c r="K610" s="65"/>
      <c r="L610" s="65"/>
      <c r="M610" s="66" t="str">
        <f t="shared" ca="1" si="132"/>
        <v/>
      </c>
      <c r="N610" s="80"/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/>
      <c r="D611" s="75"/>
      <c r="E611" s="75"/>
      <c r="F611" s="63"/>
      <c r="G611" s="69" t="str">
        <f t="shared" si="131"/>
        <v/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/>
      <c r="D612" s="75"/>
      <c r="E612" s="75"/>
      <c r="F612" s="63"/>
      <c r="G612" s="64" t="str">
        <f t="shared" si="131"/>
        <v/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/>
      <c r="D613" s="75"/>
      <c r="E613" s="75"/>
      <c r="F613" s="63"/>
      <c r="G613" s="69" t="str">
        <f t="shared" si="131"/>
        <v/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/>
      <c r="D614" s="75"/>
      <c r="E614" s="75"/>
      <c r="F614" s="63"/>
      <c r="G614" s="64" t="str">
        <f t="shared" si="131"/>
        <v/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/>
      <c r="D615" s="75"/>
      <c r="E615" s="75"/>
      <c r="F615" s="63"/>
      <c r="G615" s="69"/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/>
      <c r="D616" s="75"/>
      <c r="E616" s="75"/>
      <c r="F616" s="63"/>
      <c r="G616" s="64" t="str">
        <f>IF(F616="","",IF(E616="PC 17",F616*4.2,IF(E616="PC 19",F616*5,IF(E616="CB",F616*35,""))))</f>
        <v/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/>
      <c r="D617" s="75"/>
      <c r="E617" s="75"/>
      <c r="F617" s="63"/>
      <c r="G617" s="69" t="str">
        <f>IF(F617="","",IF(E617="PC 17",F617*4.2,IF(E617="PC 19",F617*5,IF(E617="CB",F617*35,""))))</f>
        <v/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/>
      <c r="D618" s="75"/>
      <c r="E618" s="75"/>
      <c r="F618" s="63"/>
      <c r="G618" s="64" t="str">
        <f>IF(F618="","",IF(E618="PC 17",F618*4.2,IF(E618="PC 19",F618*5,IF(E618="CB",F618*35,""))))</f>
        <v/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/>
      <c r="D619" s="75"/>
      <c r="E619" s="75"/>
      <c r="F619" s="63"/>
      <c r="G619" s="69" t="str">
        <f>IF(F619="","",IF(E619="PC 17",F619*4.2,IF(E619="PC 19",F619*5,IF(E619="CB",F619*35,""))))</f>
        <v/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/>
      <c r="D620" s="75"/>
      <c r="E620" s="75"/>
      <c r="F620" s="63"/>
      <c r="G620" s="64" t="str">
        <f>IF(F620="","",IF(E620="PC 17",F620*4.2,IF(E620="PC 19",F620*5,IF(E620="CB",F620*35,""))))</f>
        <v/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5" t="s">
        <v>263</v>
      </c>
      <c r="B621" s="165"/>
      <c r="C621" s="165"/>
      <c r="D621" s="165"/>
      <c r="E621" s="165"/>
      <c r="F621" s="2">
        <f>SUM(F609:F620)</f>
        <v>0</v>
      </c>
      <c r="G621" s="2">
        <f>SUM(G609:G620)</f>
        <v>0</v>
      </c>
      <c r="H621" s="72"/>
      <c r="I621" s="72"/>
      <c r="J621" s="72"/>
      <c r="K621" s="72"/>
      <c r="L621" s="72"/>
      <c r="M621" s="73">
        <f ca="1">IFERROR(SUM(M609:M620),"")</f>
        <v>0</v>
      </c>
      <c r="N621" s="2" t="s">
        <v>261</v>
      </c>
      <c r="O621" s="74"/>
    </row>
    <row r="622" spans="1:15" ht="18" customHeight="1">
      <c r="A622" s="166" t="s">
        <v>249</v>
      </c>
      <c r="B622" s="166"/>
      <c r="C622" s="166"/>
      <c r="D622" s="166"/>
      <c r="E622" s="166"/>
      <c r="F622" s="1">
        <f>F608+F621</f>
        <v>0</v>
      </c>
      <c r="G622" s="1">
        <f>G608+G621</f>
        <v>0</v>
      </c>
      <c r="H622" s="76"/>
      <c r="I622" s="76"/>
      <c r="J622" s="76"/>
      <c r="K622" s="76"/>
      <c r="L622" s="76"/>
      <c r="M622" s="77">
        <f ca="1">IFERROR(M608+M621,"")</f>
        <v>0</v>
      </c>
      <c r="N622" s="1" t="s">
        <v>264</v>
      </c>
      <c r="O622" s="82">
        <f>IFERROR(O608+O621,"")</f>
        <v>0</v>
      </c>
    </row>
    <row r="623" spans="1:15" ht="15" customHeight="1">
      <c r="A623" s="18">
        <v>46258</v>
      </c>
      <c r="B623" s="68">
        <v>0.33333333333333298</v>
      </c>
      <c r="C623" s="70"/>
      <c r="D623" s="75"/>
      <c r="E623" s="75"/>
      <c r="F623" s="63"/>
      <c r="G623" s="69" t="str">
        <f t="shared" ref="G623:G634" si="134">IF(F623="","",IF(E623="PC 17",F623*4.2,IF(E623="PC 19",F623*5,IF(E623="CB",F623*35,""))))</f>
        <v/>
      </c>
      <c r="H623" s="70"/>
      <c r="I623" s="70"/>
      <c r="J623" s="70"/>
      <c r="K623" s="65"/>
      <c r="L623" s="65"/>
      <c r="M623" s="71" t="str">
        <f t="shared" ref="M623:M634" ca="1" si="135">IFERROR(IF(K623="","",IF(L623="",MOD(NOW()-K623,1),IF(L623&gt;=K623,L623-K623,L623+1-K623))),"")</f>
        <v/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/>
      <c r="D624" s="75"/>
      <c r="E624" s="75"/>
      <c r="F624" s="63"/>
      <c r="G624" s="64" t="str">
        <f t="shared" si="134"/>
        <v/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/>
      <c r="D625" s="75"/>
      <c r="E625" s="75"/>
      <c r="F625" s="63"/>
      <c r="G625" s="69" t="str">
        <f t="shared" si="134"/>
        <v/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/>
      <c r="D626" s="75"/>
      <c r="E626" s="75"/>
      <c r="F626" s="63"/>
      <c r="G626" s="64" t="str">
        <f t="shared" si="134"/>
        <v/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/>
      <c r="D627" s="75"/>
      <c r="E627" s="75"/>
      <c r="F627" s="63"/>
      <c r="G627" s="69" t="str">
        <f t="shared" si="134"/>
        <v/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/>
      <c r="D628" s="75"/>
      <c r="E628" s="75"/>
      <c r="F628" s="63"/>
      <c r="G628" s="64" t="str">
        <f t="shared" si="134"/>
        <v/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/>
      <c r="D629" s="75"/>
      <c r="E629" s="75"/>
      <c r="F629" s="63"/>
      <c r="G629" s="69" t="str">
        <f t="shared" si="134"/>
        <v/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/>
      <c r="D630" s="75"/>
      <c r="E630" s="75"/>
      <c r="F630" s="63"/>
      <c r="G630" s="64" t="str">
        <f t="shared" si="134"/>
        <v/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/>
      <c r="D631" s="75"/>
      <c r="E631" s="75"/>
      <c r="F631" s="63"/>
      <c r="G631" s="69" t="str">
        <f t="shared" si="134"/>
        <v/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/>
      <c r="D632" s="75"/>
      <c r="E632" s="75"/>
      <c r="F632" s="63"/>
      <c r="G632" s="64" t="str">
        <f t="shared" si="134"/>
        <v/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/>
      <c r="D633" s="75"/>
      <c r="E633" s="75"/>
      <c r="F633" s="63"/>
      <c r="G633" s="69" t="str">
        <f t="shared" si="134"/>
        <v/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/>
      <c r="D634" s="75"/>
      <c r="E634" s="75"/>
      <c r="F634" s="63"/>
      <c r="G634" s="64" t="str">
        <f t="shared" si="134"/>
        <v/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5" t="s">
        <v>260</v>
      </c>
      <c r="B635" s="165"/>
      <c r="C635" s="165"/>
      <c r="D635" s="165"/>
      <c r="E635" s="165"/>
      <c r="F635" s="2">
        <f>SUM(F623:F634)</f>
        <v>0</v>
      </c>
      <c r="G635" s="2">
        <f>SUM(G623:G634)</f>
        <v>0</v>
      </c>
      <c r="H635" s="72"/>
      <c r="I635" s="72"/>
      <c r="J635" s="72"/>
      <c r="K635" s="72"/>
      <c r="L635" s="72"/>
      <c r="M635" s="73">
        <f ca="1">IFERROR(SUM(M623:M634),"")</f>
        <v>0</v>
      </c>
      <c r="N635" s="2" t="s">
        <v>261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5" t="s">
        <v>263</v>
      </c>
      <c r="B648" s="165"/>
      <c r="C648" s="165"/>
      <c r="D648" s="165"/>
      <c r="E648" s="165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261</v>
      </c>
      <c r="O648" s="74"/>
    </row>
    <row r="649" spans="1:15" ht="18" customHeight="1">
      <c r="A649" s="166" t="s">
        <v>249</v>
      </c>
      <c r="B649" s="166"/>
      <c r="C649" s="166"/>
      <c r="D649" s="166"/>
      <c r="E649" s="166"/>
      <c r="F649" s="1">
        <f>F635+F648</f>
        <v>0</v>
      </c>
      <c r="G649" s="1">
        <f>G635+G648</f>
        <v>0</v>
      </c>
      <c r="H649" s="76"/>
      <c r="I649" s="76"/>
      <c r="J649" s="76"/>
      <c r="K649" s="76"/>
      <c r="L649" s="76"/>
      <c r="M649" s="77">
        <f ca="1">IFERROR(M635+M648,"")</f>
        <v>0</v>
      </c>
      <c r="N649" s="1" t="s">
        <v>264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5" t="s">
        <v>260</v>
      </c>
      <c r="B662" s="165"/>
      <c r="C662" s="165"/>
      <c r="D662" s="165"/>
      <c r="E662" s="165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261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5" t="s">
        <v>263</v>
      </c>
      <c r="B675" s="165"/>
      <c r="C675" s="165"/>
      <c r="D675" s="165"/>
      <c r="E675" s="165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261</v>
      </c>
      <c r="O675" s="74"/>
    </row>
    <row r="676" spans="1:15" ht="18" customHeight="1">
      <c r="A676" s="166" t="s">
        <v>249</v>
      </c>
      <c r="B676" s="166"/>
      <c r="C676" s="166"/>
      <c r="D676" s="166"/>
      <c r="E676" s="166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264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5" t="s">
        <v>260</v>
      </c>
      <c r="B689" s="165"/>
      <c r="C689" s="165"/>
      <c r="D689" s="165"/>
      <c r="E689" s="165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261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5" t="s">
        <v>263</v>
      </c>
      <c r="B702" s="165"/>
      <c r="C702" s="165"/>
      <c r="D702" s="165"/>
      <c r="E702" s="165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261</v>
      </c>
      <c r="O702" s="74"/>
    </row>
    <row r="703" spans="1:15" ht="18" customHeight="1">
      <c r="A703" s="166" t="s">
        <v>249</v>
      </c>
      <c r="B703" s="166"/>
      <c r="C703" s="166"/>
      <c r="D703" s="166"/>
      <c r="E703" s="166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264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5" t="s">
        <v>260</v>
      </c>
      <c r="B716" s="165"/>
      <c r="C716" s="165"/>
      <c r="D716" s="165"/>
      <c r="E716" s="165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261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5" t="s">
        <v>263</v>
      </c>
      <c r="B729" s="165"/>
      <c r="C729" s="165"/>
      <c r="D729" s="165"/>
      <c r="E729" s="165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261</v>
      </c>
      <c r="O729" s="74"/>
    </row>
    <row r="730" spans="1:15" ht="18" customHeight="1">
      <c r="A730" s="166" t="s">
        <v>249</v>
      </c>
      <c r="B730" s="166"/>
      <c r="C730" s="166"/>
      <c r="D730" s="166"/>
      <c r="E730" s="166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264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5" t="s">
        <v>260</v>
      </c>
      <c r="B743" s="165"/>
      <c r="C743" s="165"/>
      <c r="D743" s="165"/>
      <c r="E743" s="165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261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5" t="s">
        <v>263</v>
      </c>
      <c r="B756" s="165"/>
      <c r="C756" s="165"/>
      <c r="D756" s="165"/>
      <c r="E756" s="165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261</v>
      </c>
      <c r="O756" s="74"/>
    </row>
    <row r="757" spans="1:15" ht="18" customHeight="1">
      <c r="A757" s="166" t="s">
        <v>249</v>
      </c>
      <c r="B757" s="166"/>
      <c r="C757" s="166"/>
      <c r="D757" s="166"/>
      <c r="E757" s="166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264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5" t="s">
        <v>260</v>
      </c>
      <c r="B770" s="165"/>
      <c r="C770" s="165"/>
      <c r="D770" s="165"/>
      <c r="E770" s="165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261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5" t="s">
        <v>263</v>
      </c>
      <c r="B783" s="165"/>
      <c r="C783" s="165"/>
      <c r="D783" s="165"/>
      <c r="E783" s="165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261</v>
      </c>
      <c r="O783" s="74"/>
    </row>
    <row r="784" spans="1:15" ht="18" customHeight="1">
      <c r="A784" s="166" t="s">
        <v>249</v>
      </c>
      <c r="B784" s="166"/>
      <c r="C784" s="166"/>
      <c r="D784" s="166"/>
      <c r="E784" s="166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264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5" t="s">
        <v>260</v>
      </c>
      <c r="B797" s="165"/>
      <c r="C797" s="165"/>
      <c r="D797" s="165"/>
      <c r="E797" s="165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261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5" t="s">
        <v>263</v>
      </c>
      <c r="B810" s="165"/>
      <c r="C810" s="165"/>
      <c r="D810" s="165"/>
      <c r="E810" s="165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261</v>
      </c>
      <c r="O810" s="74"/>
    </row>
    <row r="811" spans="1:15" ht="18" customHeight="1">
      <c r="A811" s="166" t="s">
        <v>249</v>
      </c>
      <c r="B811" s="166"/>
      <c r="C811" s="166"/>
      <c r="D811" s="166"/>
      <c r="E811" s="166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5" t="s">
        <v>260</v>
      </c>
      <c r="B824" s="165"/>
      <c r="C824" s="165"/>
      <c r="D824" s="165"/>
      <c r="E824" s="165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261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5" t="s">
        <v>263</v>
      </c>
      <c r="B837" s="165"/>
      <c r="C837" s="165"/>
      <c r="D837" s="165"/>
      <c r="E837" s="165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261</v>
      </c>
      <c r="O837" s="74"/>
    </row>
    <row r="838" spans="1:15" ht="18" customHeight="1">
      <c r="A838" s="166" t="s">
        <v>249</v>
      </c>
      <c r="B838" s="166"/>
      <c r="C838" s="166"/>
      <c r="D838" s="166"/>
      <c r="E838" s="166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520" activePane="bottomLeft" state="frozen"/>
      <selection pane="bottomLeft" activeCell="G533" sqref="G533"/>
    </sheetView>
  </sheetViews>
  <sheetFormatPr defaultColWidth="8.5703125" defaultRowHeight="14.4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170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298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140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299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300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141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141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261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274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274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145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274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168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274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145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301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274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302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274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274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274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274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274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274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261</v>
      </c>
      <c r="S27" s="74">
        <v>549860</v>
      </c>
      <c r="T27" s="99"/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168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261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170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170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303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304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140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305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140</v>
      </c>
      <c r="O53" s="65">
        <v>0.121527777777778</v>
      </c>
      <c r="P53" s="65"/>
      <c r="Q53" s="66">
        <f t="shared" ca="1" si="10"/>
        <v>0.89778796296013752</v>
      </c>
      <c r="R53" s="80" t="s">
        <v>306</v>
      </c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1.0366768518490252</v>
      </c>
      <c r="R54" s="2" t="s">
        <v>261</v>
      </c>
      <c r="S54" s="113">
        <v>352430</v>
      </c>
      <c r="T54" s="114"/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1.1213990740712481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298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261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159</v>
      </c>
      <c r="N69" s="61" t="s">
        <v>197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145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168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168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212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307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274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261</v>
      </c>
      <c r="S81" s="115">
        <v>634210</v>
      </c>
      <c r="T81" s="116"/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274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148</v>
      </c>
      <c r="N83" s="70" t="s">
        <v>223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148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261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151</v>
      </c>
      <c r="N96" s="61" t="s">
        <v>127</v>
      </c>
      <c r="O96" s="65">
        <v>0.79166666666666696</v>
      </c>
      <c r="P96" s="65" t="s">
        <v>308</v>
      </c>
      <c r="Q96" s="66" t="str">
        <f t="shared" ref="Q96:Q107" ca="1" si="22">IFERROR(IF(O96="","",IF(P96="",MOD(NOW()-O96,1),IF(P96&gt;=O96,P96-O96,P96+1-O96))),"")</f>
        <v/>
      </c>
      <c r="R96" s="80" t="s">
        <v>309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262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310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195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311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262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261</v>
      </c>
      <c r="S108" s="115">
        <v>456830</v>
      </c>
      <c r="T108" s="116"/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167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312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167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261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170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167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145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145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261</v>
      </c>
      <c r="S135" s="115">
        <v>756720</v>
      </c>
      <c r="T135" s="116"/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313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314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170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315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261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316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261</v>
      </c>
      <c r="S162" s="115">
        <v>501750</v>
      </c>
      <c r="T162" s="116"/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274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274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274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168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168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274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274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274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274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274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274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274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261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274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274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159</v>
      </c>
      <c r="N180" s="61" t="s">
        <v>144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317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274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314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318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274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261</v>
      </c>
      <c r="S189" s="74">
        <v>362530</v>
      </c>
      <c r="T189" s="99"/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319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159</v>
      </c>
      <c r="N192" s="61" t="s">
        <v>193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159</v>
      </c>
      <c r="N193" s="61" t="s">
        <v>193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312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177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261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170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170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261</v>
      </c>
      <c r="S216" s="74">
        <v>609740</v>
      </c>
      <c r="T216" s="99"/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264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182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307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262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320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145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321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145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322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261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262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170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170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261</v>
      </c>
      <c r="S243" s="74">
        <v>825930</v>
      </c>
      <c r="T243" s="99"/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264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177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261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274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274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274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274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274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274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274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274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274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274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274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274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732130</v>
      </c>
      <c r="T270" s="99"/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264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274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274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274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274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259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274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259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259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274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274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259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259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259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259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259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990260</v>
      </c>
      <c r="T297" s="99"/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274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145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274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274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274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274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274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274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274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274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274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274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274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261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274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170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274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274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167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170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274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148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274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274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274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145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274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274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274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261</v>
      </c>
      <c r="S324" s="74">
        <v>725030</v>
      </c>
      <c r="T324" s="99">
        <f>IFERROR(J324,"")</f>
        <v>104.40432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264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140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323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148</v>
      </c>
      <c r="N328" s="61" t="s">
        <v>140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324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148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325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136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148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326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182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327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261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319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177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208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314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167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167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145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145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261</v>
      </c>
      <c r="S351" s="74">
        <v>712170</v>
      </c>
      <c r="T351" s="99">
        <f>IFERROR(J351,"")</f>
        <v>149.5557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264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307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170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261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148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328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170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170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261</v>
      </c>
      <c r="S378" s="74">
        <v>806300</v>
      </c>
      <c r="T378" s="99">
        <f>IFERROR(J378,"")</f>
        <v>169.32299999999998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264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274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274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170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153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329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261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167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170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170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330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168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178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168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261</v>
      </c>
      <c r="S405" s="74">
        <v>774540</v>
      </c>
      <c r="T405" s="99">
        <f>IFERROR(J405,"")</f>
        <v>156.22852721311477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264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261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331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167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170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263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261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249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264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332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148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333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261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221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259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170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334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335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261</v>
      </c>
      <c r="S459" s="74">
        <v>738730</v>
      </c>
      <c r="T459" s="99">
        <f>IFERROR(J459,"")</f>
        <v>144.10511642857142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264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336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261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337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136</v>
      </c>
      <c r="N478" s="61" t="s">
        <v>194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338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218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261</v>
      </c>
      <c r="S486" s="74">
        <v>617620</v>
      </c>
      <c r="T486" s="99">
        <f>IFERROR(J486,"")</f>
        <v>88.937280000000001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264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183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314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170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291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261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170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136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218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263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261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249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264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170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261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170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67.2</v>
      </c>
      <c r="L529" s="70" t="s">
        <v>29</v>
      </c>
      <c r="M529" s="70" t="s">
        <v>168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25.200000000000003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58.800000000000004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80"/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274</v>
      </c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80"/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/>
      <c r="E537" s="87"/>
      <c r="F537" s="88" t="str">
        <f>IFERROR(IF($D537="","",VLOOKUP($D537,Cadastro!$C$4:$E$7,3,FALSE())),"")</f>
        <v/>
      </c>
      <c r="G537" s="89"/>
      <c r="H537" s="88" t="str">
        <f>IFERROR(IF($G537="","",$G537*$S$540/$G$540/Cadastro!$E$33),"")</f>
        <v/>
      </c>
      <c r="I537" s="90" t="str">
        <f>IFERROR(IF($D537="","",VLOOKUP($D537,Cadastro!$C$4:$G$7,5,FALSE())),"")</f>
        <v/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/>
      <c r="E538" s="87"/>
      <c r="F538" s="88" t="str">
        <f>IFERROR(IF($D538="","",VLOOKUP($D538,Cadastro!$C$4:$E$7,3,FALSE())),"")</f>
        <v/>
      </c>
      <c r="G538" s="89"/>
      <c r="H538" s="88" t="str">
        <f>IFERROR(IF($G538="","",$G538*$S$540/$G$540/Cadastro!$E$33),"")</f>
        <v/>
      </c>
      <c r="I538" s="90" t="str">
        <f>IFERROR(IF($D538="","",VLOOKUP($D538,Cadastro!$C$4:$G$7,5,FALSE())),"")</f>
        <v/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/>
      <c r="E539" s="87"/>
      <c r="F539" s="92" t="str">
        <f>IFERROR(IF($D539="","",VLOOKUP($D539,Cadastro!$C$4:$E$7,3,FALSE())),"")</f>
        <v/>
      </c>
      <c r="G539" s="89"/>
      <c r="H539" s="92" t="str">
        <f>IFERROR(IF($G539="","",$G539*$S$540/$G$540/Cadastro!$E$33),"")</f>
        <v/>
      </c>
      <c r="I539" s="93" t="str">
        <f>IFERROR(IF($D539="","",VLOOKUP($D539,Cadastro!$C$4:$G$7,5,FALSE())),"")</f>
        <v/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58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255.60000000000002</v>
      </c>
      <c r="L540" s="72"/>
      <c r="M540" s="72"/>
      <c r="N540" s="72"/>
      <c r="O540" s="72"/>
      <c r="P540" s="72"/>
      <c r="Q540" s="73">
        <f ca="1">IFERROR(SUM(Q528:Q539),"")</f>
        <v>3.9583333333333443E-2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237</v>
      </c>
      <c r="H541" s="108">
        <f>IFERROR(H527+H540,"")</f>
        <v>742.3900000000001</v>
      </c>
      <c r="I541" s="110"/>
      <c r="J541" s="111">
        <f>IFERROR(J527+J540,"")</f>
        <v>155.90189999999996</v>
      </c>
      <c r="K541" s="1">
        <f>K527+K540</f>
        <v>1081</v>
      </c>
      <c r="L541" s="76"/>
      <c r="M541" s="76"/>
      <c r="N541" s="76"/>
      <c r="O541" s="76"/>
      <c r="P541" s="76"/>
      <c r="Q541" s="77">
        <f ca="1">IFERROR(Q527+Q540,"")</f>
        <v>0.10416666666666671</v>
      </c>
      <c r="R541" s="1" t="s">
        <v>264</v>
      </c>
      <c r="S541" s="82">
        <f>IFERROR(S527+S540,"")</f>
        <v>742390</v>
      </c>
      <c r="T541" s="118">
        <f>IFERROR(J541,"")</f>
        <v>155.90189999999996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4">IFERROR(IF(O555="","",IF(P555="",MOD(NOW()-O555,1),IF(P555&gt;=O555,P555-O555,P555+1-O555))),"")</f>
        <v/>
      </c>
      <c r="R555" s="80"/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8">IFERROR(IF(O569="","",IF(P569="",MOD(NOW()-O569,1),IF(P569&gt;=O569,P569-O569,P569+1-O569))),"")</f>
        <v/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80"/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80"/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S608+S621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80"/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113"/>
      <c r="T837" s="114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515" activePane="bottomLeft" state="frozen"/>
      <selection pane="bottomLeft" activeCell="G533" sqref="G533"/>
    </sheetView>
  </sheetViews>
  <sheetFormatPr defaultColWidth="8.5703125" defaultRowHeight="14.4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261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274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339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145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168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145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301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172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340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274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274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261</v>
      </c>
      <c r="S27" s="74">
        <v>358000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274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274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274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274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274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274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274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274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274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274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274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261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178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307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339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339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168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144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261</v>
      </c>
      <c r="S54" s="74">
        <v>279980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274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274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274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274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274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140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341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274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274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274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274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274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261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342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159</v>
      </c>
      <c r="N70" s="61" t="s">
        <v>197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168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168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168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261</v>
      </c>
      <c r="S81" s="74">
        <v>185920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343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148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344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261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148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148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345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168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261</v>
      </c>
      <c r="S108" s="74">
        <v>434370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261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168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168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346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145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141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210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261</v>
      </c>
      <c r="S135" s="74">
        <v>416350</v>
      </c>
      <c r="T135" s="99">
        <f>IFERROR(J135,"")</f>
        <v>0</v>
      </c>
    </row>
    <row r="136" spans="1:20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347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216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148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315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6" t="s">
        <v>260</v>
      </c>
      <c r="B149" s="156"/>
      <c r="C149" s="156"/>
      <c r="D149" s="156"/>
      <c r="E149" s="156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261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148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307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261</v>
      </c>
      <c r="S162" s="74">
        <v>169760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348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168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168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261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159</v>
      </c>
      <c r="N178" s="61" t="s">
        <v>144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349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159</v>
      </c>
      <c r="N181" s="70" t="s">
        <v>144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318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318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261</v>
      </c>
      <c r="S189" s="74">
        <v>72220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159</v>
      </c>
      <c r="N191" s="70" t="s">
        <v>193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159</v>
      </c>
      <c r="N194" s="61" t="s">
        <v>193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159</v>
      </c>
      <c r="N195" s="61" t="s">
        <v>193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261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350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261</v>
      </c>
      <c r="S216" s="74">
        <v>148720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264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145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168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145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351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145</v>
      </c>
      <c r="N222" s="61" t="s">
        <v>70</v>
      </c>
      <c r="O222" s="65">
        <v>0.69930555555555596</v>
      </c>
      <c r="P222" s="65" t="s">
        <v>352</v>
      </c>
      <c r="Q222" s="66" t="str">
        <f t="shared" ca="1" si="49"/>
        <v/>
      </c>
      <c r="R222" s="63" t="s">
        <v>353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261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261</v>
      </c>
      <c r="S243" s="74">
        <v>352720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264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354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259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259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261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274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274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274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274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274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274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274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274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274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274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274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274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261</v>
      </c>
      <c r="S270" s="74">
        <v>327900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264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259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261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261</v>
      </c>
      <c r="S297" s="74">
        <v>462190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264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210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210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195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261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148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145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145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261</v>
      </c>
      <c r="S324" s="74">
        <v>289490</v>
      </c>
      <c r="T324" s="99">
        <f>IFERROR(J324,"")</f>
        <v>41.68656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264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148</v>
      </c>
      <c r="N326" s="61" t="s">
        <v>140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325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148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355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136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148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326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259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274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261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145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145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261</v>
      </c>
      <c r="S351" s="74">
        <v>256170</v>
      </c>
      <c r="T351" s="99">
        <f>IFERROR(J351,"")</f>
        <v>53.795699999999997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264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307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168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136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145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6" t="s">
        <v>260</v>
      </c>
      <c r="B365" s="156"/>
      <c r="C365" s="156"/>
      <c r="D365" s="156"/>
      <c r="E365" s="156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261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145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145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216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261</v>
      </c>
      <c r="S378" s="74">
        <v>360560</v>
      </c>
      <c r="T378" s="99">
        <f>IFERROR(J378,"")</f>
        <v>75.71759999999999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264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356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329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261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168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168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261</v>
      </c>
      <c r="S405" s="74">
        <v>489360</v>
      </c>
      <c r="T405" s="99">
        <f>IFERROR(J405,"")</f>
        <v>99.305125714285708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264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357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261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358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168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168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261</v>
      </c>
      <c r="S432" s="74">
        <v>180150</v>
      </c>
      <c r="T432" s="99">
        <f>IFERROR(J432,"")</f>
        <v>25.941599999999998</v>
      </c>
    </row>
    <row r="433" spans="1:20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264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274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359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359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261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136</v>
      </c>
      <c r="N447" s="70" t="s">
        <v>221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210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360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261</v>
      </c>
      <c r="S459" s="74">
        <v>471910</v>
      </c>
      <c r="T459" s="99">
        <f>IFERROR(J459,"")</f>
        <v>92.928007027027007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264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261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307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136</v>
      </c>
      <c r="N475" s="70" t="s">
        <v>194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168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140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361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261</v>
      </c>
      <c r="S486" s="74">
        <v>261400</v>
      </c>
      <c r="T486" s="99">
        <f>IFERROR(J486,"")</f>
        <v>37.641599999999997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264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274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346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261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362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136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210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167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363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274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261</v>
      </c>
      <c r="S513" s="74">
        <v>357140</v>
      </c>
      <c r="T513" s="99">
        <f>IFERROR(J513,"")</f>
        <v>61.810729999999992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264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5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364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261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0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274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1"/>
        <v>0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259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1"/>
        <v>0</v>
      </c>
      <c r="K530" s="64">
        <f t="shared" si="132"/>
        <v>25</v>
      </c>
      <c r="L530" s="61" t="s">
        <v>29</v>
      </c>
      <c r="M530" s="61" t="s">
        <v>168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1"/>
        <v>0</v>
      </c>
      <c r="K531" s="69">
        <f t="shared" si="132"/>
        <v>8.4</v>
      </c>
      <c r="L531" s="70" t="s">
        <v>29</v>
      </c>
      <c r="M531" s="70" t="s">
        <v>136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307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1"/>
        <v>0</v>
      </c>
      <c r="K532" s="64">
        <f t="shared" si="132"/>
        <v>8.4</v>
      </c>
      <c r="L532" s="61" t="s">
        <v>29</v>
      </c>
      <c r="M532" s="61" t="s">
        <v>168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1"/>
        <v/>
      </c>
      <c r="K533" s="69" t="str">
        <f t="shared" si="132"/>
        <v/>
      </c>
      <c r="L533" s="70"/>
      <c r="M533" s="70"/>
      <c r="N533" s="70"/>
      <c r="O533" s="65"/>
      <c r="P533" s="65"/>
      <c r="Q533" s="71" t="str">
        <f t="shared" ca="1" si="133"/>
        <v/>
      </c>
      <c r="R533" s="63"/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274</v>
      </c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1"/>
        <v/>
      </c>
      <c r="K534" s="64" t="str">
        <f t="shared" si="132"/>
        <v/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1"/>
        <v/>
      </c>
      <c r="K535" s="69" t="str">
        <f t="shared" si="132"/>
        <v/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1"/>
        <v/>
      </c>
      <c r="K536" s="64" t="str">
        <f t="shared" si="132"/>
        <v/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1"/>
        <v/>
      </c>
      <c r="K537" s="69" t="str">
        <f t="shared" si="132"/>
        <v/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1"/>
        <v/>
      </c>
      <c r="K538" s="64" t="str">
        <f t="shared" si="132"/>
        <v/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1"/>
        <v/>
      </c>
      <c r="K539" s="69" t="str">
        <f t="shared" si="132"/>
        <v/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39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167.8</v>
      </c>
      <c r="L540" s="72"/>
      <c r="M540" s="72"/>
      <c r="N540" s="72"/>
      <c r="O540" s="72"/>
      <c r="P540" s="72"/>
      <c r="Q540" s="73">
        <f ca="1">IFERROR(SUM(Q528:Q539),"")</f>
        <v>3.6111111111111122E-2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116</v>
      </c>
      <c r="H541" s="108">
        <f>IFERROR(H527+H540,"")</f>
        <v>393.13000000000005</v>
      </c>
      <c r="I541" s="110"/>
      <c r="J541" s="111">
        <f>IFERROR(J527+J540,"")</f>
        <v>82.557299999999998</v>
      </c>
      <c r="K541" s="1">
        <f>K527+K540</f>
        <v>516.79999999999995</v>
      </c>
      <c r="L541" s="76"/>
      <c r="M541" s="76"/>
      <c r="N541" s="76"/>
      <c r="O541" s="76"/>
      <c r="P541" s="76"/>
      <c r="Q541" s="77">
        <f ca="1">IFERROR(Q527+Q540,"")</f>
        <v>0.10486111111111104</v>
      </c>
      <c r="R541" s="1" t="s">
        <v>264</v>
      </c>
      <c r="S541" s="82">
        <f>IFERROR(S527+S540,"")</f>
        <v>393130</v>
      </c>
      <c r="T541" s="118">
        <f>IFERROR(J541,"")</f>
        <v>82.557299999999998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5">IFERROR(IF($H542="","",$H542*$F542*$I542),"")</f>
        <v/>
      </c>
      <c r="K542" s="64" t="str">
        <f t="shared" ref="K542:K553" si="136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37">IFERROR(IF(O542="","",IF(P542="",MOD(NOW()-O542,1),IF(P542&gt;=O542,P542-O542,P542+1-O542))),"")</f>
        <v/>
      </c>
      <c r="R542" s="63"/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5"/>
        <v/>
      </c>
      <c r="K543" s="69" t="str">
        <f t="shared" si="136"/>
        <v/>
      </c>
      <c r="L543" s="70"/>
      <c r="M543" s="70"/>
      <c r="N543" s="70"/>
      <c r="O543" s="65"/>
      <c r="P543" s="65"/>
      <c r="Q543" s="71" t="str">
        <f t="shared" ca="1" si="137"/>
        <v/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5"/>
        <v/>
      </c>
      <c r="K544" s="64" t="str">
        <f t="shared" si="136"/>
        <v/>
      </c>
      <c r="L544" s="61"/>
      <c r="M544" s="61"/>
      <c r="N544" s="61"/>
      <c r="O544" s="65"/>
      <c r="P544" s="65"/>
      <c r="Q544" s="66" t="str">
        <f t="shared" ca="1" si="137"/>
        <v/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5"/>
        <v/>
      </c>
      <c r="K545" s="69" t="str">
        <f t="shared" si="136"/>
        <v/>
      </c>
      <c r="L545" s="70"/>
      <c r="M545" s="70"/>
      <c r="N545" s="70"/>
      <c r="O545" s="65"/>
      <c r="P545" s="65"/>
      <c r="Q545" s="71" t="str">
        <f t="shared" ca="1" si="137"/>
        <v/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5"/>
        <v/>
      </c>
      <c r="K546" s="64" t="str">
        <f t="shared" si="136"/>
        <v/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5"/>
        <v/>
      </c>
      <c r="K547" s="69" t="str">
        <f t="shared" si="136"/>
        <v/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5"/>
        <v/>
      </c>
      <c r="K548" s="64" t="str">
        <f t="shared" si="136"/>
        <v/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5"/>
        <v/>
      </c>
      <c r="K549" s="69" t="str">
        <f t="shared" si="136"/>
        <v/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5"/>
        <v/>
      </c>
      <c r="K550" s="64" t="str">
        <f t="shared" si="136"/>
        <v/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5"/>
        <v/>
      </c>
      <c r="K551" s="69" t="str">
        <f t="shared" si="136"/>
        <v/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5"/>
        <v/>
      </c>
      <c r="K552" s="64" t="str">
        <f t="shared" si="136"/>
        <v/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5"/>
        <v/>
      </c>
      <c r="K553" s="69" t="str">
        <f t="shared" si="136"/>
        <v/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72"/>
      <c r="P554" s="72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39">IFERROR(IF($H555="","",$H555*$F555*$I555),"")</f>
        <v/>
      </c>
      <c r="K555" s="69" t="str">
        <f t="shared" ref="K555:K566" si="140">IF(G555="","",IF(E555="PC 17",G555*4.2,IF(E555="PC 19",G555*5,IF(E555="CB",G555*24,""))))</f>
        <v/>
      </c>
      <c r="L555" s="70"/>
      <c r="M555" s="70"/>
      <c r="N555" s="70"/>
      <c r="O555" s="65"/>
      <c r="P555" s="65"/>
      <c r="Q555" s="71" t="str">
        <f t="shared" ref="Q555:Q566" ca="1" si="141">IFERROR(IF(O555="","",IF(P555="",MOD(NOW()-O555,1),IF(P555&gt;=O555,P555-O555,P555+1-O555))),"")</f>
        <v/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39"/>
        <v/>
      </c>
      <c r="K556" s="64" t="str">
        <f t="shared" si="140"/>
        <v/>
      </c>
      <c r="L556" s="61"/>
      <c r="M556" s="61"/>
      <c r="N556" s="61"/>
      <c r="O556" s="65"/>
      <c r="P556" s="65"/>
      <c r="Q556" s="66" t="str">
        <f t="shared" ca="1" si="141"/>
        <v/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39"/>
        <v/>
      </c>
      <c r="K557" s="69" t="str">
        <f t="shared" si="140"/>
        <v/>
      </c>
      <c r="L557" s="70"/>
      <c r="M557" s="70"/>
      <c r="N557" s="70"/>
      <c r="O557" s="65"/>
      <c r="P557" s="65"/>
      <c r="Q557" s="71" t="str">
        <f t="shared" ca="1" si="141"/>
        <v/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39"/>
        <v/>
      </c>
      <c r="K558" s="64" t="str">
        <f t="shared" si="140"/>
        <v/>
      </c>
      <c r="L558" s="61"/>
      <c r="M558" s="61"/>
      <c r="N558" s="61"/>
      <c r="O558" s="65"/>
      <c r="P558" s="65"/>
      <c r="Q558" s="66" t="str">
        <f t="shared" ca="1" si="141"/>
        <v/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39"/>
        <v/>
      </c>
      <c r="K559" s="69" t="str">
        <f t="shared" si="140"/>
        <v/>
      </c>
      <c r="L559" s="70"/>
      <c r="M559" s="70"/>
      <c r="N559" s="70"/>
      <c r="O559" s="65"/>
      <c r="P559" s="65"/>
      <c r="Q559" s="71" t="str">
        <f t="shared" ca="1" si="141"/>
        <v/>
      </c>
      <c r="R559" s="63"/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39"/>
        <v/>
      </c>
      <c r="K560" s="64" t="str">
        <f t="shared" si="140"/>
        <v/>
      </c>
      <c r="L560" s="61"/>
      <c r="M560" s="61"/>
      <c r="N560" s="61"/>
      <c r="O560" s="65"/>
      <c r="P560" s="65"/>
      <c r="Q560" s="66" t="str">
        <f t="shared" ca="1" si="141"/>
        <v/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39"/>
        <v/>
      </c>
      <c r="K561" s="69" t="str">
        <f t="shared" si="140"/>
        <v/>
      </c>
      <c r="L561" s="70"/>
      <c r="M561" s="70"/>
      <c r="N561" s="70"/>
      <c r="O561" s="65"/>
      <c r="P561" s="65"/>
      <c r="Q561" s="71" t="str">
        <f t="shared" ca="1" si="141"/>
        <v/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39"/>
        <v/>
      </c>
      <c r="K562" s="64" t="str">
        <f t="shared" si="140"/>
        <v/>
      </c>
      <c r="L562" s="61"/>
      <c r="M562" s="61"/>
      <c r="N562" s="61"/>
      <c r="O562" s="65"/>
      <c r="P562" s="65"/>
      <c r="Q562" s="66" t="str">
        <f t="shared" ca="1" si="141"/>
        <v/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39"/>
        <v/>
      </c>
      <c r="K563" s="69" t="str">
        <f t="shared" si="140"/>
        <v/>
      </c>
      <c r="L563" s="70"/>
      <c r="M563" s="70"/>
      <c r="N563" s="70"/>
      <c r="O563" s="65"/>
      <c r="P563" s="65"/>
      <c r="Q563" s="71" t="str">
        <f t="shared" ca="1" si="141"/>
        <v/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39"/>
        <v/>
      </c>
      <c r="K564" s="64" t="str">
        <f t="shared" si="140"/>
        <v/>
      </c>
      <c r="L564" s="61"/>
      <c r="M564" s="61"/>
      <c r="N564" s="61"/>
      <c r="O564" s="65"/>
      <c r="P564" s="65"/>
      <c r="Q564" s="66" t="str">
        <f t="shared" ca="1" si="141"/>
        <v/>
      </c>
      <c r="R564" s="63"/>
      <c r="S564" s="81"/>
    </row>
    <row r="565" spans="1:20" ht="15" customHeight="1">
      <c r="A565" s="18">
        <v>46255</v>
      </c>
      <c r="B565" s="68">
        <f t="shared" si="142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39"/>
        <v/>
      </c>
      <c r="K565" s="69" t="str">
        <f t="shared" si="140"/>
        <v/>
      </c>
      <c r="L565" s="70"/>
      <c r="M565" s="70"/>
      <c r="N565" s="70"/>
      <c r="O565" s="65"/>
      <c r="P565" s="65"/>
      <c r="Q565" s="71" t="str">
        <f t="shared" ca="1" si="141"/>
        <v/>
      </c>
      <c r="R565" s="63"/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39"/>
        <v/>
      </c>
      <c r="K566" s="64" t="str">
        <f t="shared" si="140"/>
        <v/>
      </c>
      <c r="L566" s="61"/>
      <c r="M566" s="61"/>
      <c r="N566" s="61"/>
      <c r="O566" s="65"/>
      <c r="P566" s="65"/>
      <c r="Q566" s="66" t="str">
        <f t="shared" ca="1" si="141"/>
        <v/>
      </c>
      <c r="R566" s="63"/>
      <c r="S566" s="81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76"/>
      <c r="P568" s="76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3">IFERROR(IF($H569="","",$H569*$F569*$I569),"")</f>
        <v/>
      </c>
      <c r="K569" s="69" t="str">
        <f t="shared" ref="K569:K580" si="144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80" ca="1" si="145">IFERROR(IF(O569="","",IF(P569="",MOD(NOW()-O569,1),IF(P569&gt;=O569,P569-O569,P569+1-O569))),"")</f>
        <v/>
      </c>
      <c r="R569" s="63"/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3"/>
        <v/>
      </c>
      <c r="K570" s="69" t="str">
        <f t="shared" si="144"/>
        <v/>
      </c>
      <c r="L570" s="61"/>
      <c r="M570" s="61"/>
      <c r="N570" s="61"/>
      <c r="O570" s="65"/>
      <c r="P570" s="65"/>
      <c r="Q570" s="66" t="str">
        <f t="shared" ca="1" si="145"/>
        <v/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3"/>
        <v/>
      </c>
      <c r="K571" s="69" t="str">
        <f t="shared" si="144"/>
        <v/>
      </c>
      <c r="L571" s="70"/>
      <c r="M571" s="70"/>
      <c r="N571" s="70"/>
      <c r="O571" s="65"/>
      <c r="P571" s="65"/>
      <c r="Q571" s="71" t="str">
        <f t="shared" ca="1" si="145"/>
        <v/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3"/>
        <v/>
      </c>
      <c r="K572" s="69" t="str">
        <f t="shared" si="144"/>
        <v/>
      </c>
      <c r="L572" s="61"/>
      <c r="M572" s="61"/>
      <c r="N572" s="61"/>
      <c r="O572" s="65"/>
      <c r="P572" s="65"/>
      <c r="Q572" s="66" t="str">
        <f t="shared" ca="1" si="145"/>
        <v/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3"/>
        <v/>
      </c>
      <c r="K573" s="69" t="str">
        <f t="shared" si="144"/>
        <v/>
      </c>
      <c r="L573" s="70"/>
      <c r="M573" s="70"/>
      <c r="N573" s="70"/>
      <c r="O573" s="65"/>
      <c r="P573" s="65"/>
      <c r="Q573" s="71" t="str">
        <f t="shared" ca="1" si="145"/>
        <v/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3"/>
        <v/>
      </c>
      <c r="K574" s="69" t="str">
        <f t="shared" si="144"/>
        <v/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3"/>
        <v/>
      </c>
      <c r="K575" s="69" t="str">
        <f t="shared" si="144"/>
        <v/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3"/>
        <v/>
      </c>
      <c r="K576" s="69" t="str">
        <f t="shared" si="144"/>
        <v/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3"/>
        <v/>
      </c>
      <c r="K577" s="69" t="str">
        <f t="shared" si="144"/>
        <v/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3"/>
        <v/>
      </c>
      <c r="K578" s="69" t="str">
        <f t="shared" si="144"/>
        <v/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3"/>
        <v/>
      </c>
      <c r="K579" s="69" t="str">
        <f t="shared" si="144"/>
        <v/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3"/>
        <v/>
      </c>
      <c r="K580" s="69" t="str">
        <f t="shared" si="144"/>
        <v/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72"/>
      <c r="P581" s="72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47">IFERROR(IF($H582="","",$H582*$F582*$I582),"")</f>
        <v/>
      </c>
      <c r="K582" s="64" t="str">
        <f t="shared" ref="K582:K593" si="148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49">IFERROR(IF(O582="","",IF(P582="",MOD(NOW()-O582,1),IF(P582&gt;=O582,P582-O582,P582+1-O582))),"")</f>
        <v/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47"/>
        <v/>
      </c>
      <c r="K583" s="69" t="str">
        <f t="shared" si="148"/>
        <v/>
      </c>
      <c r="L583" s="70"/>
      <c r="M583" s="70"/>
      <c r="N583" s="70"/>
      <c r="O583" s="65"/>
      <c r="P583" s="65"/>
      <c r="Q583" s="71" t="str">
        <f t="shared" ca="1" si="149"/>
        <v/>
      </c>
      <c r="R583" s="63"/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47"/>
        <v/>
      </c>
      <c r="K584" s="64" t="str">
        <f t="shared" si="148"/>
        <v/>
      </c>
      <c r="L584" s="61"/>
      <c r="M584" s="61"/>
      <c r="N584" s="61"/>
      <c r="O584" s="65"/>
      <c r="P584" s="65"/>
      <c r="Q584" s="66" t="str">
        <f t="shared" ca="1" si="149"/>
        <v/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47"/>
        <v/>
      </c>
      <c r="K585" s="69" t="str">
        <f t="shared" si="148"/>
        <v/>
      </c>
      <c r="L585" s="70"/>
      <c r="M585" s="70"/>
      <c r="N585" s="70"/>
      <c r="O585" s="65"/>
      <c r="P585" s="65"/>
      <c r="Q585" s="71" t="str">
        <f t="shared" ca="1" si="149"/>
        <v/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47"/>
        <v/>
      </c>
      <c r="K586" s="64" t="str">
        <f t="shared" si="148"/>
        <v/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47"/>
        <v/>
      </c>
      <c r="K587" s="69" t="str">
        <f t="shared" si="148"/>
        <v/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47"/>
        <v/>
      </c>
      <c r="K588" s="64" t="str">
        <f t="shared" si="148"/>
        <v/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47"/>
        <v/>
      </c>
      <c r="K589" s="69" t="str">
        <f t="shared" si="148"/>
        <v/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B590" s="60">
        <f t="shared" si="150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47"/>
        <v/>
      </c>
      <c r="K590" s="64" t="str">
        <f t="shared" si="148"/>
        <v/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47"/>
        <v/>
      </c>
      <c r="K591" s="69" t="str">
        <f t="shared" si="148"/>
        <v/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47"/>
        <v/>
      </c>
      <c r="K592" s="64" t="str">
        <f t="shared" si="148"/>
        <v/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47"/>
        <v/>
      </c>
      <c r="K593" s="69" t="str">
        <f t="shared" si="148"/>
        <v/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72"/>
      <c r="P594" s="72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76"/>
      <c r="P595" s="76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1">IFERROR(IF($H596="","",$H596*$F596*$I596),"")</f>
        <v/>
      </c>
      <c r="K596" s="64" t="str">
        <f t="shared" ref="K596:K607" si="152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3">IFERROR(IF(O596="","",IF(P596="",MOD(NOW()-O596,1),IF(P596&gt;=O596,P596-O596,P596+1-O596))),"")</f>
        <v/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1"/>
        <v/>
      </c>
      <c r="K597" s="69" t="str">
        <f t="shared" si="152"/>
        <v/>
      </c>
      <c r="L597" s="70"/>
      <c r="M597" s="70"/>
      <c r="N597" s="70"/>
      <c r="O597" s="65"/>
      <c r="P597" s="65"/>
      <c r="Q597" s="71" t="str">
        <f t="shared" ca="1" si="153"/>
        <v/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1"/>
        <v/>
      </c>
      <c r="K598" s="64" t="str">
        <f t="shared" si="152"/>
        <v/>
      </c>
      <c r="L598" s="61"/>
      <c r="M598" s="61"/>
      <c r="N598" s="61"/>
      <c r="O598" s="65"/>
      <c r="P598" s="65"/>
      <c r="Q598" s="66" t="str">
        <f t="shared" ca="1" si="153"/>
        <v/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1"/>
        <v/>
      </c>
      <c r="K599" s="69" t="str">
        <f t="shared" si="152"/>
        <v/>
      </c>
      <c r="L599" s="70"/>
      <c r="M599" s="70"/>
      <c r="N599" s="70"/>
      <c r="O599" s="65"/>
      <c r="P599" s="65"/>
      <c r="Q599" s="71" t="str">
        <f t="shared" ca="1" si="153"/>
        <v/>
      </c>
      <c r="R599" s="63"/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1"/>
        <v/>
      </c>
      <c r="K600" s="64" t="str">
        <f t="shared" si="152"/>
        <v/>
      </c>
      <c r="L600" s="61"/>
      <c r="M600" s="61"/>
      <c r="N600" s="61"/>
      <c r="O600" s="65"/>
      <c r="P600" s="65"/>
      <c r="Q600" s="66" t="str">
        <f t="shared" ca="1" si="153"/>
        <v/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72"/>
      <c r="P608" s="72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5">IFERROR(IF($H609="","",$H609*$F609*$I609),"")</f>
        <v/>
      </c>
      <c r="K609" s="69" t="str">
        <f t="shared" ref="K609:K614" si="156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57">IFERROR(IF(O609="","",IF(P609="",MOD(NOW()-O609,1),IF(P609&gt;=O609,P609-O609,P609+1-O609))),"")</f>
        <v/>
      </c>
      <c r="R609" s="63"/>
      <c r="S609" s="81"/>
    </row>
    <row r="610" spans="1:20" ht="15" customHeight="1">
      <c r="A610" s="59">
        <v>46257</v>
      </c>
      <c r="B610" s="60">
        <f t="shared" ref="B610:B620" si="158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5"/>
        <v/>
      </c>
      <c r="K610" s="64" t="str">
        <f t="shared" si="156"/>
        <v/>
      </c>
      <c r="L610" s="61"/>
      <c r="M610" s="61"/>
      <c r="N610" s="61"/>
      <c r="O610" s="65"/>
      <c r="P610" s="65"/>
      <c r="Q610" s="66" t="str">
        <f t="shared" ca="1" si="157"/>
        <v/>
      </c>
      <c r="R610" s="63"/>
      <c r="S610" s="81"/>
    </row>
    <row r="611" spans="1:20" ht="15" customHeight="1">
      <c r="A611" s="18">
        <v>46257</v>
      </c>
      <c r="B611" s="68">
        <f t="shared" si="158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5"/>
        <v/>
      </c>
      <c r="K611" s="69" t="str">
        <f t="shared" si="156"/>
        <v/>
      </c>
      <c r="L611" s="70"/>
      <c r="M611" s="70"/>
      <c r="N611" s="70"/>
      <c r="O611" s="65"/>
      <c r="P611" s="65"/>
      <c r="Q611" s="71" t="str">
        <f t="shared" ca="1" si="157"/>
        <v/>
      </c>
      <c r="R611" s="63"/>
      <c r="S611" s="81"/>
    </row>
    <row r="612" spans="1:20" ht="15" customHeight="1">
      <c r="A612" s="59">
        <v>46257</v>
      </c>
      <c r="B612" s="60">
        <f t="shared" si="158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5"/>
        <v/>
      </c>
      <c r="K612" s="64" t="str">
        <f t="shared" si="156"/>
        <v/>
      </c>
      <c r="L612" s="61"/>
      <c r="M612" s="61"/>
      <c r="N612" s="61"/>
      <c r="O612" s="65"/>
      <c r="P612" s="65"/>
      <c r="Q612" s="66" t="str">
        <f t="shared" ca="1" si="157"/>
        <v/>
      </c>
      <c r="R612" s="63"/>
      <c r="S612" s="81"/>
    </row>
    <row r="613" spans="1:20" ht="15" customHeight="1">
      <c r="A613" s="18">
        <v>46257</v>
      </c>
      <c r="B613" s="68">
        <f t="shared" si="158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5"/>
        <v/>
      </c>
      <c r="K613" s="69" t="str">
        <f t="shared" si="156"/>
        <v/>
      </c>
      <c r="L613" s="70"/>
      <c r="M613" s="70"/>
      <c r="N613" s="70"/>
      <c r="O613" s="65"/>
      <c r="P613" s="65"/>
      <c r="Q613" s="71" t="str">
        <f t="shared" ca="1" si="157"/>
        <v/>
      </c>
      <c r="R613" s="63"/>
      <c r="S613" s="81"/>
    </row>
    <row r="614" spans="1:20" ht="15" customHeight="1">
      <c r="A614" s="59">
        <v>46257</v>
      </c>
      <c r="B614" s="60">
        <f t="shared" si="158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5"/>
        <v/>
      </c>
      <c r="K614" s="64" t="str">
        <f t="shared" si="156"/>
        <v/>
      </c>
      <c r="L614" s="61"/>
      <c r="M614" s="61"/>
      <c r="N614" s="61"/>
      <c r="O614" s="65"/>
      <c r="P614" s="65"/>
      <c r="Q614" s="66" t="str">
        <f t="shared" ca="1" si="157"/>
        <v/>
      </c>
      <c r="R614" s="63"/>
      <c r="S614" s="81"/>
    </row>
    <row r="615" spans="1:20" ht="15" customHeight="1">
      <c r="A615" s="18">
        <v>46257</v>
      </c>
      <c r="B615" s="68">
        <f t="shared" si="158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5"/>
        <v/>
      </c>
      <c r="K615" s="69"/>
      <c r="L615" s="70"/>
      <c r="M615" s="70"/>
      <c r="N615" s="70"/>
      <c r="O615" s="65"/>
      <c r="P615" s="65"/>
      <c r="Q615" s="71" t="str">
        <f t="shared" ca="1" si="157"/>
        <v/>
      </c>
      <c r="R615" s="63"/>
      <c r="S615" s="81"/>
    </row>
    <row r="616" spans="1:20" ht="15" customHeight="1">
      <c r="A616" s="59">
        <v>46257</v>
      </c>
      <c r="B616" s="60">
        <f t="shared" si="158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5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57"/>
        <v/>
      </c>
      <c r="R616" s="63"/>
      <c r="S616" s="81"/>
    </row>
    <row r="617" spans="1:20" ht="15" customHeight="1">
      <c r="A617" s="18">
        <v>46257</v>
      </c>
      <c r="B617" s="68">
        <f t="shared" si="158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5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57"/>
        <v/>
      </c>
      <c r="R617" s="63"/>
      <c r="S617" s="81"/>
    </row>
    <row r="618" spans="1:20" ht="15" customHeight="1">
      <c r="A618" s="59">
        <v>46257</v>
      </c>
      <c r="B618" s="60">
        <f t="shared" si="158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5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57"/>
        <v/>
      </c>
      <c r="R618" s="63"/>
      <c r="S618" s="81"/>
    </row>
    <row r="619" spans="1:20" ht="15" customHeight="1">
      <c r="A619" s="18">
        <v>46257</v>
      </c>
      <c r="B619" s="68">
        <f t="shared" si="158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5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57"/>
        <v/>
      </c>
      <c r="R619" s="63"/>
      <c r="S619" s="81"/>
    </row>
    <row r="620" spans="1:20" ht="15" customHeight="1">
      <c r="A620" s="59">
        <v>46257</v>
      </c>
      <c r="B620" s="60">
        <f t="shared" si="158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5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57"/>
        <v/>
      </c>
      <c r="R620" s="63"/>
      <c r="S620" s="81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72"/>
      <c r="P621" s="72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76"/>
      <c r="P622" s="76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59">IFERROR(IF($H623="","",$H623*$F623*$I623),"")</f>
        <v/>
      </c>
      <c r="K623" s="69" t="str">
        <f t="shared" ref="K623:K634" si="160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1">IFERROR(IF(O623="","",IF(P623="",MOD(NOW()-O623,1),IF(P623&gt;=O623,P623-O623,P623+1-O623))),"")</f>
        <v/>
      </c>
      <c r="R623" s="63"/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59"/>
        <v/>
      </c>
      <c r="K624" s="64" t="str">
        <f t="shared" si="160"/>
        <v/>
      </c>
      <c r="L624" s="61"/>
      <c r="M624" s="61"/>
      <c r="N624" s="61"/>
      <c r="O624" s="65"/>
      <c r="P624" s="65"/>
      <c r="Q624" s="66" t="str">
        <f t="shared" ca="1" si="161"/>
        <v/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59"/>
        <v/>
      </c>
      <c r="K625" s="69" t="str">
        <f t="shared" si="160"/>
        <v/>
      </c>
      <c r="L625" s="70"/>
      <c r="M625" s="70"/>
      <c r="N625" s="70"/>
      <c r="O625" s="65"/>
      <c r="P625" s="65"/>
      <c r="Q625" s="71" t="str">
        <f t="shared" ca="1" si="161"/>
        <v/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59"/>
        <v/>
      </c>
      <c r="K626" s="64" t="str">
        <f t="shared" si="160"/>
        <v/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59"/>
        <v/>
      </c>
      <c r="K627" s="69" t="str">
        <f t="shared" si="160"/>
        <v/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59"/>
        <v/>
      </c>
      <c r="K628" s="64" t="str">
        <f t="shared" si="160"/>
        <v/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59"/>
        <v/>
      </c>
      <c r="K629" s="69" t="str">
        <f t="shared" si="160"/>
        <v/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59"/>
        <v/>
      </c>
      <c r="K630" s="64" t="str">
        <f t="shared" si="160"/>
        <v/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59"/>
        <v/>
      </c>
      <c r="K631" s="69" t="str">
        <f t="shared" si="160"/>
        <v/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59"/>
        <v/>
      </c>
      <c r="K632" s="64" t="str">
        <f t="shared" si="160"/>
        <v/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59"/>
        <v/>
      </c>
      <c r="K633" s="69" t="str">
        <f t="shared" si="160"/>
        <v/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59"/>
        <v/>
      </c>
      <c r="K634" s="64" t="str">
        <f t="shared" si="160"/>
        <v/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72"/>
      <c r="P635" s="72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76"/>
      <c r="P649" s="76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FE96791D-8E0B-4717-8F3A-3CA723D3D1F1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132884BB-86D0-43BF-A43A-C7EBDE34B9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F515" xr:uid="{99EA4424-6AA2-49BE-95B1-268F815F2337}">
      <formula1>"PC 17;PC 01"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804086D9-42B2-408A-8A0B-7A228A0534D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FD644130-51BE-48B9-AA26-C664E1CD8C7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3A8C8F99-C5D9-4834-BF7C-4E809F73F0C9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EEB499C4-35EC-4F28-9A2F-BC025C6C187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4309890-414F-487D-BE6B-8618CA1CACC6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5" zoomScaleNormal="85" workbookViewId="0">
      <pane ySplit="1" topLeftCell="A517" activePane="bottomLeft" state="frozen"/>
      <selection pane="bottomLeft" activeCell="D539" sqref="D539"/>
    </sheetView>
  </sheetViews>
  <sheetFormatPr defaultColWidth="8.5703125" defaultRowHeight="14.4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250</v>
      </c>
      <c r="C1" s="57" t="s">
        <v>19</v>
      </c>
      <c r="D1" s="56" t="s">
        <v>20</v>
      </c>
      <c r="E1" s="56" t="s">
        <v>251</v>
      </c>
      <c r="F1" s="86" t="s">
        <v>21</v>
      </c>
      <c r="G1" s="57" t="s">
        <v>252</v>
      </c>
      <c r="H1" s="86" t="s">
        <v>296</v>
      </c>
      <c r="I1" s="86" t="s">
        <v>22</v>
      </c>
      <c r="J1" s="86" t="s">
        <v>297</v>
      </c>
      <c r="K1" s="57" t="s">
        <v>253</v>
      </c>
      <c r="L1" s="57" t="s">
        <v>23</v>
      </c>
      <c r="M1" s="57" t="s">
        <v>24</v>
      </c>
      <c r="N1" s="57" t="s">
        <v>254</v>
      </c>
      <c r="O1" s="57" t="s">
        <v>255</v>
      </c>
      <c r="P1" s="57" t="s">
        <v>256</v>
      </c>
      <c r="Q1" s="58" t="s">
        <v>257</v>
      </c>
      <c r="R1" s="57" t="s">
        <v>246</v>
      </c>
      <c r="S1" s="57" t="s">
        <v>258</v>
      </c>
      <c r="T1" s="57" t="s">
        <v>297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274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274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274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274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274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274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274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274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274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274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274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274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6" t="s">
        <v>260</v>
      </c>
      <c r="B14" s="156"/>
      <c r="C14" s="156"/>
      <c r="D14" s="156"/>
      <c r="E14" s="156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261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274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274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365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274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304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274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140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339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274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140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366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274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274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274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172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367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274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274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274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274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6" t="s">
        <v>263</v>
      </c>
      <c r="B27" s="156"/>
      <c r="C27" s="156"/>
      <c r="D27" s="156"/>
      <c r="E27" s="156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261</v>
      </c>
      <c r="S27" s="74">
        <v>491520</v>
      </c>
      <c r="T27" s="99">
        <f>IFERROR(J27,"")</f>
        <v>0</v>
      </c>
    </row>
    <row r="28" spans="1:20" ht="18" customHeight="1">
      <c r="A28" s="157" t="s">
        <v>249</v>
      </c>
      <c r="B28" s="157"/>
      <c r="C28" s="157"/>
      <c r="D28" s="157"/>
      <c r="E28" s="157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264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274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274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274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274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274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274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274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274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274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274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274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274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6" t="s">
        <v>260</v>
      </c>
      <c r="B41" s="156"/>
      <c r="C41" s="156"/>
      <c r="D41" s="156"/>
      <c r="E41" s="156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261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274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274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274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274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368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274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274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274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274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274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274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274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274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6" t="s">
        <v>263</v>
      </c>
      <c r="B54" s="156"/>
      <c r="C54" s="156"/>
      <c r="D54" s="156"/>
      <c r="E54" s="156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261</v>
      </c>
      <c r="S54" s="74">
        <v>352430</v>
      </c>
      <c r="T54" s="99">
        <f>IFERROR(J54,"")</f>
        <v>0</v>
      </c>
    </row>
    <row r="55" spans="1:20" ht="18" customHeight="1">
      <c r="A55" s="157" t="s">
        <v>249</v>
      </c>
      <c r="B55" s="157"/>
      <c r="C55" s="157"/>
      <c r="D55" s="157"/>
      <c r="E55" s="157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264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274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274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274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218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274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369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274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140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370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274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274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274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274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274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274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274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6" t="s">
        <v>260</v>
      </c>
      <c r="B68" s="156"/>
      <c r="C68" s="156"/>
      <c r="D68" s="156"/>
      <c r="E68" s="156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261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274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230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371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274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274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274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140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339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274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274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218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274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274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274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274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274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6" t="s">
        <v>263</v>
      </c>
      <c r="B81" s="156"/>
      <c r="C81" s="156"/>
      <c r="D81" s="156"/>
      <c r="E81" s="156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261</v>
      </c>
      <c r="S81" s="74">
        <v>612410</v>
      </c>
      <c r="T81" s="99">
        <f>IFERROR(J81,"")</f>
        <v>0</v>
      </c>
    </row>
    <row r="82" spans="1:20" ht="18" customHeight="1">
      <c r="A82" s="157" t="s">
        <v>249</v>
      </c>
      <c r="B82" s="157"/>
      <c r="C82" s="157"/>
      <c r="D82" s="157"/>
      <c r="E82" s="157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264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274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173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274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274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274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274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274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274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274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274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274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274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274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6" t="s">
        <v>260</v>
      </c>
      <c r="B95" s="156"/>
      <c r="C95" s="156"/>
      <c r="D95" s="156"/>
      <c r="E95" s="156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261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274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173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274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140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339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274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274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274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274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274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274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274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274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274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274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6" t="s">
        <v>263</v>
      </c>
      <c r="B108" s="156"/>
      <c r="C108" s="156"/>
      <c r="D108" s="156"/>
      <c r="E108" s="156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261</v>
      </c>
      <c r="S108" s="74">
        <v>956070</v>
      </c>
      <c r="T108" s="99">
        <f>IFERROR(J108,"")</f>
        <v>0</v>
      </c>
    </row>
    <row r="109" spans="1:20" ht="18" customHeight="1">
      <c r="A109" s="157" t="s">
        <v>249</v>
      </c>
      <c r="B109" s="157"/>
      <c r="C109" s="157"/>
      <c r="D109" s="157"/>
      <c r="E109" s="157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264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274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173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274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230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274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235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274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235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274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173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372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274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274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274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274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274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274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274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6" t="s">
        <v>260</v>
      </c>
      <c r="B122" s="156"/>
      <c r="C122" s="156"/>
      <c r="D122" s="156"/>
      <c r="E122" s="156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261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274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218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274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373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274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274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274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307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274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274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140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339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274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274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274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274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274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6" t="s">
        <v>263</v>
      </c>
      <c r="B135" s="156"/>
      <c r="C135" s="156"/>
      <c r="D135" s="156"/>
      <c r="E135" s="156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261</v>
      </c>
      <c r="S135" s="74">
        <v>912240</v>
      </c>
      <c r="T135" s="99">
        <f>IFERROR(J135,"")</f>
        <v>0</v>
      </c>
    </row>
    <row r="136" spans="1:22" ht="18" customHeight="1">
      <c r="A136" s="157" t="s">
        <v>249</v>
      </c>
      <c r="B136" s="157"/>
      <c r="C136" s="157"/>
      <c r="D136" s="157"/>
      <c r="E136" s="157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264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274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274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173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374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274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375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274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274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151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274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274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173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274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274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274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315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274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274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260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261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274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173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376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274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150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377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274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274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274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274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274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274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274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274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274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274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6" t="s">
        <v>263</v>
      </c>
      <c r="B162" s="156"/>
      <c r="C162" s="156"/>
      <c r="D162" s="156"/>
      <c r="E162" s="156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261</v>
      </c>
      <c r="S162" s="74">
        <v>573230</v>
      </c>
      <c r="T162" s="99">
        <f>IFERROR(J162,"")</f>
        <v>0</v>
      </c>
    </row>
    <row r="163" spans="1:20" ht="18" customHeight="1">
      <c r="A163" s="157" t="s">
        <v>249</v>
      </c>
      <c r="B163" s="157"/>
      <c r="C163" s="157"/>
      <c r="D163" s="157"/>
      <c r="E163" s="157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274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150</v>
      </c>
      <c r="N164" s="61" t="s">
        <v>144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274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173</v>
      </c>
      <c r="N165" s="70" t="s">
        <v>195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274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173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274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274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167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274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151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274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173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378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274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151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274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274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274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274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6" t="s">
        <v>260</v>
      </c>
      <c r="B176" s="156"/>
      <c r="C176" s="156"/>
      <c r="D176" s="156"/>
      <c r="E176" s="156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261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274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379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274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151</v>
      </c>
      <c r="N178" s="61" t="s">
        <v>140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274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173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274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274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274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274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274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274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274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274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274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6" t="s">
        <v>263</v>
      </c>
      <c r="B189" s="156"/>
      <c r="C189" s="156"/>
      <c r="D189" s="156"/>
      <c r="E189" s="156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261</v>
      </c>
      <c r="S189" s="74">
        <v>692750</v>
      </c>
      <c r="T189" s="99">
        <f>IFERROR(J189,"")</f>
        <v>0</v>
      </c>
    </row>
    <row r="190" spans="1:20" ht="18" customHeight="1">
      <c r="A190" s="157" t="s">
        <v>249</v>
      </c>
      <c r="B190" s="157"/>
      <c r="C190" s="157"/>
      <c r="D190" s="157"/>
      <c r="E190" s="157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274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173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274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167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380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274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274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168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274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274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274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274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274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274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274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274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6" t="s">
        <v>260</v>
      </c>
      <c r="B203" s="156"/>
      <c r="C203" s="156"/>
      <c r="D203" s="156"/>
      <c r="E203" s="156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261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274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381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274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382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274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383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274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274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274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274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274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274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274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274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274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6" t="s">
        <v>263</v>
      </c>
      <c r="B216" s="156"/>
      <c r="C216" s="156"/>
      <c r="D216" s="156"/>
      <c r="E216" s="156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261</v>
      </c>
      <c r="S216" s="74">
        <v>607180</v>
      </c>
      <c r="T216" s="99">
        <f>IFERROR(J216,"")</f>
        <v>0</v>
      </c>
    </row>
    <row r="217" spans="1:20" ht="18" customHeight="1">
      <c r="A217" s="157" t="s">
        <v>249</v>
      </c>
      <c r="B217" s="157"/>
      <c r="C217" s="157"/>
      <c r="D217" s="157"/>
      <c r="E217" s="157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264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274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274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274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384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274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385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259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274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274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274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274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274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274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274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6" t="s">
        <v>260</v>
      </c>
      <c r="B230" s="156"/>
      <c r="C230" s="156"/>
      <c r="D230" s="156"/>
      <c r="E230" s="156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261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274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386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259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387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274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162</v>
      </c>
      <c r="N233" s="70" t="s">
        <v>140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259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259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259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259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259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259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259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259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259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6" t="s">
        <v>263</v>
      </c>
      <c r="B243" s="156"/>
      <c r="C243" s="156"/>
      <c r="D243" s="156"/>
      <c r="E243" s="156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261</v>
      </c>
      <c r="S243" s="74">
        <v>795250</v>
      </c>
      <c r="T243" s="99">
        <f>IFERROR(J243,"")</f>
        <v>0</v>
      </c>
    </row>
    <row r="244" spans="1:20" ht="18" customHeight="1">
      <c r="A244" s="157" t="s">
        <v>249</v>
      </c>
      <c r="B244" s="157"/>
      <c r="C244" s="157"/>
      <c r="D244" s="157"/>
      <c r="E244" s="157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264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259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177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259</v>
      </c>
      <c r="F246" s="88"/>
      <c r="G246" s="63" t="s">
        <v>284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259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259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274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162</v>
      </c>
      <c r="N249" s="70" t="s">
        <v>140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388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274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274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274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274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274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274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274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6" t="s">
        <v>260</v>
      </c>
      <c r="B257" s="156"/>
      <c r="C257" s="156"/>
      <c r="D257" s="156"/>
      <c r="E257" s="156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261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274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274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274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274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274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274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274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274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274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274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274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274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6" t="s">
        <v>263</v>
      </c>
      <c r="B270" s="156"/>
      <c r="C270" s="156"/>
      <c r="D270" s="156"/>
      <c r="E270" s="156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261</v>
      </c>
      <c r="S270" s="74">
        <v>683360</v>
      </c>
      <c r="T270" s="99">
        <f>IFERROR(J270,"")</f>
        <v>0</v>
      </c>
    </row>
    <row r="271" spans="1:20" ht="18" customHeight="1">
      <c r="A271" s="157" t="s">
        <v>249</v>
      </c>
      <c r="B271" s="157"/>
      <c r="C271" s="157"/>
      <c r="D271" s="157"/>
      <c r="E271" s="157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264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274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274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274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274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274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274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274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274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274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274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274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274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6" t="s">
        <v>260</v>
      </c>
      <c r="B284" s="156"/>
      <c r="C284" s="156"/>
      <c r="D284" s="156"/>
      <c r="E284" s="156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261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259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259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274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259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259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259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259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259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259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259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259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259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6" t="s">
        <v>263</v>
      </c>
      <c r="B297" s="156"/>
      <c r="C297" s="156"/>
      <c r="D297" s="156"/>
      <c r="E297" s="156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261</v>
      </c>
      <c r="S297" s="74">
        <v>904710</v>
      </c>
      <c r="T297" s="99">
        <f>IFERROR(J297,"")</f>
        <v>0</v>
      </c>
    </row>
    <row r="298" spans="1:20" ht="18" customHeight="1">
      <c r="A298" s="157" t="s">
        <v>249</v>
      </c>
      <c r="B298" s="157"/>
      <c r="C298" s="157"/>
      <c r="D298" s="157"/>
      <c r="E298" s="157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264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274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195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274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274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274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274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274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274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274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274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274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274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274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6" t="s">
        <v>260</v>
      </c>
      <c r="B311" s="156"/>
      <c r="C311" s="156"/>
      <c r="D311" s="156"/>
      <c r="E311" s="156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261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274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168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274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173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274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274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274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274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274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274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274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274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274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274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6" t="s">
        <v>263</v>
      </c>
      <c r="B324" s="156"/>
      <c r="C324" s="156"/>
      <c r="D324" s="156"/>
      <c r="E324" s="156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261</v>
      </c>
      <c r="S324" s="74">
        <v>1049720</v>
      </c>
      <c r="T324" s="99">
        <f>IFERROR(J324,"")</f>
        <v>151.15967999999998</v>
      </c>
    </row>
    <row r="325" spans="1:20" ht="18" customHeight="1">
      <c r="A325" s="157" t="s">
        <v>249</v>
      </c>
      <c r="B325" s="157"/>
      <c r="C325" s="157"/>
      <c r="D325" s="157"/>
      <c r="E325" s="157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264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259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173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259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259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259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274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259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274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274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274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274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274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274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6" t="s">
        <v>260</v>
      </c>
      <c r="B338" s="156"/>
      <c r="C338" s="156"/>
      <c r="D338" s="156"/>
      <c r="E338" s="156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261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274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173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274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274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274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173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274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274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274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274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173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389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274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390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274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274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274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6" t="s">
        <v>263</v>
      </c>
      <c r="B351" s="156"/>
      <c r="C351" s="156"/>
      <c r="D351" s="156"/>
      <c r="E351" s="156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261</v>
      </c>
      <c r="S351" s="74">
        <v>1058130</v>
      </c>
      <c r="T351" s="99">
        <f>IFERROR(J351,"")</f>
        <v>222.20729999999995</v>
      </c>
    </row>
    <row r="352" spans="1:20" ht="18" customHeight="1">
      <c r="A352" s="157" t="s">
        <v>249</v>
      </c>
      <c r="B352" s="157"/>
      <c r="C352" s="157"/>
      <c r="D352" s="157"/>
      <c r="E352" s="157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264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274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274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151</v>
      </c>
      <c r="N354" s="70" t="s">
        <v>140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274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274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391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274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274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392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274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274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274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274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274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274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260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261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274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274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142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274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173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274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274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274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167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274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393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274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177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274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274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274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274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6" t="s">
        <v>263</v>
      </c>
      <c r="B378" s="156"/>
      <c r="C378" s="156"/>
      <c r="D378" s="156"/>
      <c r="E378" s="156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261</v>
      </c>
      <c r="S378" s="74">
        <v>1137080</v>
      </c>
      <c r="T378" s="99">
        <f>IFERROR(J378,"")</f>
        <v>238.78679999999994</v>
      </c>
    </row>
    <row r="379" spans="1:20" ht="18" customHeight="1">
      <c r="A379" s="157" t="s">
        <v>249</v>
      </c>
      <c r="B379" s="157"/>
      <c r="C379" s="157"/>
      <c r="D379" s="157"/>
      <c r="E379" s="157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264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274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142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274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139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274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274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173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274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153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329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274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394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274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274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274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274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274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274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6" t="s">
        <v>260</v>
      </c>
      <c r="B392" s="156"/>
      <c r="C392" s="156"/>
      <c r="D392" s="156"/>
      <c r="E392" s="156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261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274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230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274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173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395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274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274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274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274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274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274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274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274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274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274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6" t="s">
        <v>263</v>
      </c>
      <c r="B405" s="156"/>
      <c r="C405" s="156"/>
      <c r="D405" s="156"/>
      <c r="E405" s="156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261</v>
      </c>
      <c r="S405" s="74">
        <v>989450</v>
      </c>
      <c r="T405" s="99">
        <f>IFERROR(J405,"")</f>
        <v>195.72390675675675</v>
      </c>
    </row>
    <row r="406" spans="1:20" ht="18" customHeight="1">
      <c r="A406" s="157" t="s">
        <v>249</v>
      </c>
      <c r="B406" s="157"/>
      <c r="C406" s="157"/>
      <c r="D406" s="157"/>
      <c r="E406" s="157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264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274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237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396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274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173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274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274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274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173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274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140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274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274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274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274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274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274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6" t="s">
        <v>260</v>
      </c>
      <c r="B419" s="156"/>
      <c r="C419" s="156"/>
      <c r="D419" s="156"/>
      <c r="E419" s="156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261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274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274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274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274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173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397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274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274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139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274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274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173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274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274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274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274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6" t="s">
        <v>263</v>
      </c>
      <c r="B432" s="156"/>
      <c r="C432" s="156"/>
      <c r="D432" s="156"/>
      <c r="E432" s="156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261</v>
      </c>
      <c r="S432" s="74">
        <v>766030</v>
      </c>
      <c r="T432" s="99">
        <f>IFERROR(J432,"")</f>
        <v>110.30832000000001</v>
      </c>
    </row>
    <row r="433" spans="1:21" ht="18" customHeight="1">
      <c r="A433" s="157" t="s">
        <v>249</v>
      </c>
      <c r="B433" s="157"/>
      <c r="C433" s="157"/>
      <c r="D433" s="157"/>
      <c r="E433" s="157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264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274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173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274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167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274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274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274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274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274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274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274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274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274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274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6" t="s">
        <v>260</v>
      </c>
      <c r="B446" s="156"/>
      <c r="C446" s="156"/>
      <c r="D446" s="156"/>
      <c r="E446" s="156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261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274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173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398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274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177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274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274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274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212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392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274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274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274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274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274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274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274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6" t="s">
        <v>263</v>
      </c>
      <c r="B459" s="156"/>
      <c r="C459" s="156"/>
      <c r="D459" s="156"/>
      <c r="E459" s="156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261</v>
      </c>
      <c r="S459" s="74">
        <v>1024280</v>
      </c>
      <c r="T459" s="99">
        <f>IFERROR(J459,"")</f>
        <v>202.88866044052861</v>
      </c>
    </row>
    <row r="460" spans="1:20" ht="18" customHeight="1">
      <c r="A460" s="157" t="s">
        <v>249</v>
      </c>
      <c r="B460" s="157"/>
      <c r="C460" s="157"/>
      <c r="D460" s="157"/>
      <c r="E460" s="157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264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274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274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274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274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139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274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139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274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274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274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274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274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274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274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6" t="s">
        <v>260</v>
      </c>
      <c r="B473" s="156"/>
      <c r="C473" s="156"/>
      <c r="D473" s="156"/>
      <c r="E473" s="156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261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274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173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274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168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274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139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399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274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274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173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274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140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361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274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274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274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274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274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274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6" t="s">
        <v>263</v>
      </c>
      <c r="B486" s="156"/>
      <c r="C486" s="156"/>
      <c r="D486" s="156"/>
      <c r="E486" s="156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261</v>
      </c>
      <c r="S486" s="74">
        <v>616050</v>
      </c>
      <c r="T486" s="99">
        <f>IFERROR(J486,"")</f>
        <v>88.711199999999977</v>
      </c>
    </row>
    <row r="487" spans="1:20" ht="18" customHeight="1">
      <c r="A487" s="157" t="s">
        <v>249</v>
      </c>
      <c r="B487" s="157"/>
      <c r="C487" s="157"/>
      <c r="D487" s="157"/>
      <c r="E487" s="157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264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274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274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173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274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274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259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274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274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274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274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274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274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274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6" t="s">
        <v>260</v>
      </c>
      <c r="B500" s="156"/>
      <c r="C500" s="156"/>
      <c r="D500" s="156"/>
      <c r="E500" s="156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261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274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173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274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139</v>
      </c>
      <c r="N502" s="61" t="s">
        <v>209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274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173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274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400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274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274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274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274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274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274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274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274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6" t="s">
        <v>263</v>
      </c>
      <c r="B513" s="156"/>
      <c r="C513" s="156"/>
      <c r="D513" s="156"/>
      <c r="E513" s="156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261</v>
      </c>
      <c r="S513" s="74">
        <v>727700</v>
      </c>
      <c r="T513" s="99">
        <f>IFERROR(J513,"")</f>
        <v>123.69990375</v>
      </c>
    </row>
    <row r="514" spans="1:20" ht="18" customHeight="1">
      <c r="A514" s="157" t="s">
        <v>249</v>
      </c>
      <c r="B514" s="157"/>
      <c r="C514" s="157"/>
      <c r="D514" s="157"/>
      <c r="E514" s="157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264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274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274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274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173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274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274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274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259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259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259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259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259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259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6" t="s">
        <v>260</v>
      </c>
      <c r="B527" s="156"/>
      <c r="C527" s="156"/>
      <c r="D527" s="156"/>
      <c r="E527" s="156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261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274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0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0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259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0</v>
      </c>
      <c r="I529" s="90">
        <f>IFERROR(IF($D529="","",VLOOKUP($D529,Cadastro!$C$4:$G$7,5,FALSE())),"")</f>
        <v>0.6</v>
      </c>
      <c r="J529" s="91">
        <f t="shared" si="134"/>
        <v>0</v>
      </c>
      <c r="K529" s="69">
        <f t="shared" si="135"/>
        <v>95</v>
      </c>
      <c r="L529" s="70" t="s">
        <v>28</v>
      </c>
      <c r="M529" s="70" t="s">
        <v>173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274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0</v>
      </c>
      <c r="I530" s="90">
        <f>IFERROR(IF($D530="","",VLOOKUP($D530,Cadastro!$C$4:$G$7,5,FALSE())),"")</f>
        <v>0.6</v>
      </c>
      <c r="J530" s="91">
        <f t="shared" si="134"/>
        <v>0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274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0</v>
      </c>
      <c r="I531" s="90">
        <f>IFERROR(IF($D531="","",VLOOKUP($D531,Cadastro!$C$4:$G$7,5,FALSE())),"")</f>
        <v>0.6</v>
      </c>
      <c r="J531" s="91">
        <f t="shared" si="134"/>
        <v>0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274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0</v>
      </c>
      <c r="I532" s="90">
        <f>IFERROR(IF($D532="","",VLOOKUP($D532,Cadastro!$C$4:$G$7,5,FALSE())),"")</f>
        <v>0.6</v>
      </c>
      <c r="J532" s="91">
        <f t="shared" si="134"/>
        <v>0</v>
      </c>
      <c r="K532" s="64">
        <f t="shared" si="135"/>
        <v>84</v>
      </c>
      <c r="L532" s="61"/>
      <c r="M532" s="61"/>
      <c r="N532" s="61"/>
      <c r="O532" s="65"/>
      <c r="P532" s="65"/>
      <c r="Q532" s="66" t="str">
        <f t="shared" ca="1" si="136"/>
        <v/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274</v>
      </c>
      <c r="F533" s="88">
        <f>IFERROR(IF($D533="","",VLOOKUP($D533,Cadastro!$C$4:$E$7,3,FALSE())),"")</f>
        <v>0.24</v>
      </c>
      <c r="G533" s="89"/>
      <c r="H533" s="88" t="str">
        <f>IFERROR(IF($G533="","",$G533*$S$540/$G$540/Cadastro!$E$33),"")</f>
        <v/>
      </c>
      <c r="I533" s="90">
        <f>IFERROR(IF($D533="","",VLOOKUP($D533,Cadastro!$C$4:$G$7,5,FALSE())),"")</f>
        <v>0.6</v>
      </c>
      <c r="J533" s="91" t="str">
        <f t="shared" si="134"/>
        <v/>
      </c>
      <c r="K533" s="69" t="str">
        <f t="shared" si="135"/>
        <v/>
      </c>
      <c r="L533" s="70"/>
      <c r="M533" s="70"/>
      <c r="N533" s="70"/>
      <c r="O533" s="65"/>
      <c r="P533" s="65"/>
      <c r="Q533" s="71" t="str">
        <f t="shared" ca="1" si="136"/>
        <v/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/>
      <c r="F534" s="88">
        <f>IFERROR(IF($D534="","",VLOOKUP($D534,Cadastro!$C$4:$E$7,3,FALSE())),"")</f>
        <v>0.24</v>
      </c>
      <c r="G534" s="89"/>
      <c r="H534" s="88" t="str">
        <f>IFERROR(IF($G534="","",$G534*$S$540/$G$540/Cadastro!$E$33),"")</f>
        <v/>
      </c>
      <c r="I534" s="90">
        <f>IFERROR(IF($D534="","",VLOOKUP($D534,Cadastro!$C$4:$G$7,5,FALSE())),"")</f>
        <v>0.6</v>
      </c>
      <c r="J534" s="91" t="str">
        <f t="shared" si="134"/>
        <v/>
      </c>
      <c r="K534" s="64" t="str">
        <f t="shared" si="135"/>
        <v/>
      </c>
      <c r="L534" s="61"/>
      <c r="M534" s="61"/>
      <c r="N534" s="61"/>
      <c r="O534" s="65"/>
      <c r="P534" s="65"/>
      <c r="Q534" s="66" t="str">
        <f t="shared" ca="1" si="136"/>
        <v/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/>
      <c r="F535" s="88">
        <f>IFERROR(IF($D535="","",VLOOKUP($D535,Cadastro!$C$4:$E$7,3,FALSE())),"")</f>
        <v>0.24</v>
      </c>
      <c r="G535" s="89"/>
      <c r="H535" s="88" t="str">
        <f>IFERROR(IF($G535="","",$G535*$S$540/$G$540/Cadastro!$E$33),"")</f>
        <v/>
      </c>
      <c r="I535" s="90">
        <f>IFERROR(IF($D535="","",VLOOKUP($D535,Cadastro!$C$4:$G$7,5,FALSE())),"")</f>
        <v>0.6</v>
      </c>
      <c r="J535" s="91" t="str">
        <f t="shared" si="134"/>
        <v/>
      </c>
      <c r="K535" s="69" t="str">
        <f t="shared" si="135"/>
        <v/>
      </c>
      <c r="L535" s="70"/>
      <c r="M535" s="70"/>
      <c r="N535" s="70"/>
      <c r="O535" s="65"/>
      <c r="P535" s="65"/>
      <c r="Q535" s="71" t="str">
        <f t="shared" ca="1" si="136"/>
        <v/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39</v>
      </c>
      <c r="E536" s="87"/>
      <c r="F536" s="88">
        <f>IFERROR(IF($D536="","",VLOOKUP($D536,Cadastro!$C$4:$E$7,3,FALSE())),"")</f>
        <v>0.24</v>
      </c>
      <c r="G536" s="89"/>
      <c r="H536" s="88" t="str">
        <f>IFERROR(IF($G536="","",$G536*$S$540/$G$540/Cadastro!$E$33),"")</f>
        <v/>
      </c>
      <c r="I536" s="90">
        <f>IFERROR(IF($D536="","",VLOOKUP($D536,Cadastro!$C$4:$G$7,5,FALSE())),"")</f>
        <v>0.6</v>
      </c>
      <c r="J536" s="91" t="str">
        <f t="shared" si="134"/>
        <v/>
      </c>
      <c r="K536" s="64" t="str">
        <f t="shared" si="135"/>
        <v/>
      </c>
      <c r="L536" s="61"/>
      <c r="M536" s="61"/>
      <c r="N536" s="61"/>
      <c r="O536" s="65"/>
      <c r="P536" s="65"/>
      <c r="Q536" s="66" t="str">
        <f t="shared" ca="1" si="136"/>
        <v/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39</v>
      </c>
      <c r="E537" s="87"/>
      <c r="F537" s="88">
        <f>IFERROR(IF($D537="","",VLOOKUP($D537,Cadastro!$C$4:$E$7,3,FALSE())),"")</f>
        <v>0.24</v>
      </c>
      <c r="G537" s="89"/>
      <c r="H537" s="88" t="str">
        <f>IFERROR(IF($G537="","",$G537*$S$540/$G$540/Cadastro!$E$33),"")</f>
        <v/>
      </c>
      <c r="I537" s="90">
        <f>IFERROR(IF($D537="","",VLOOKUP($D537,Cadastro!$C$4:$G$7,5,FALSE())),"")</f>
        <v>0.6</v>
      </c>
      <c r="J537" s="91" t="str">
        <f t="shared" si="134"/>
        <v/>
      </c>
      <c r="K537" s="69" t="str">
        <f t="shared" si="135"/>
        <v/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39</v>
      </c>
      <c r="E538" s="87"/>
      <c r="F538" s="88">
        <f>IFERROR(IF($D538="","",VLOOKUP($D538,Cadastro!$C$4:$E$7,3,FALSE())),"")</f>
        <v>0.24</v>
      </c>
      <c r="G538" s="89"/>
      <c r="H538" s="88" t="str">
        <f>IFERROR(IF($G538="","",$G538*$S$540/$G$540/Cadastro!$E$33),"")</f>
        <v/>
      </c>
      <c r="I538" s="90">
        <f>IFERROR(IF($D538="","",VLOOKUP($D538,Cadastro!$C$4:$G$7,5,FALSE())),"")</f>
        <v>0.6</v>
      </c>
      <c r="J538" s="91" t="str">
        <f t="shared" si="134"/>
        <v/>
      </c>
      <c r="K538" s="64" t="str">
        <f t="shared" si="135"/>
        <v/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39</v>
      </c>
      <c r="E539" s="87"/>
      <c r="F539" s="92">
        <f>IFERROR(IF($D539="","",VLOOKUP($D539,Cadastro!$C$4:$E$7,3,FALSE())),"")</f>
        <v>0.24</v>
      </c>
      <c r="G539" s="89"/>
      <c r="H539" s="92" t="str">
        <f>IFERROR(IF($G539="","",$G539*$S$540/$G$540/Cadastro!$E$33),"")</f>
        <v/>
      </c>
      <c r="I539" s="93">
        <f>IFERROR(IF($D539="","",VLOOKUP($D539,Cadastro!$C$4:$G$7,5,FALSE())),"")</f>
        <v>0.6</v>
      </c>
      <c r="J539" s="94" t="str">
        <f t="shared" si="134"/>
        <v/>
      </c>
      <c r="K539" s="69" t="str">
        <f t="shared" si="135"/>
        <v/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6" t="s">
        <v>263</v>
      </c>
      <c r="B540" s="156"/>
      <c r="C540" s="156"/>
      <c r="D540" s="156"/>
      <c r="E540" s="156"/>
      <c r="F540" s="105"/>
      <c r="G540" s="96">
        <f>SUM(G528:G539)</f>
        <v>76</v>
      </c>
      <c r="H540" s="105">
        <f>IFERROR(SUM(H528:H539),"")</f>
        <v>0</v>
      </c>
      <c r="I540" s="106"/>
      <c r="J540" s="107">
        <f>IFERROR(SUM(J528:J539),"")</f>
        <v>0</v>
      </c>
      <c r="K540" s="2">
        <f>SUM(K528:K539)</f>
        <v>334.4</v>
      </c>
      <c r="L540" s="72"/>
      <c r="M540" s="72"/>
      <c r="N540" s="72"/>
      <c r="O540" s="134"/>
      <c r="P540" s="134"/>
      <c r="Q540" s="73">
        <f ca="1">IFERROR(SUM(Q528:Q539),"")</f>
        <v>3.2638888888888995E-2</v>
      </c>
      <c r="R540" s="2" t="s">
        <v>261</v>
      </c>
      <c r="S540" s="74"/>
      <c r="T540" s="99">
        <f>IFERROR(J540,"")</f>
        <v>0</v>
      </c>
    </row>
    <row r="541" spans="1:20" ht="18" customHeight="1">
      <c r="A541" s="157" t="s">
        <v>249</v>
      </c>
      <c r="B541" s="157"/>
      <c r="C541" s="157"/>
      <c r="D541" s="157"/>
      <c r="E541" s="157"/>
      <c r="F541" s="108"/>
      <c r="G541" s="109">
        <f>G527+G540</f>
        <v>273</v>
      </c>
      <c r="H541" s="108">
        <f>IFERROR(H527+H540,"")</f>
        <v>963.08999999999992</v>
      </c>
      <c r="I541" s="110"/>
      <c r="J541" s="111">
        <f>IFERROR(J527+J540,"")</f>
        <v>202.24889999999996</v>
      </c>
      <c r="K541" s="1">
        <f>K527+K540</f>
        <v>1235.4000000000001</v>
      </c>
      <c r="L541" s="76"/>
      <c r="M541" s="76"/>
      <c r="N541" s="76"/>
      <c r="O541" s="135"/>
      <c r="P541" s="135"/>
      <c r="Q541" s="77">
        <f ca="1">IFERROR(Q527+Q540,"")</f>
        <v>8.2638888888889095E-2</v>
      </c>
      <c r="R541" s="1" t="s">
        <v>264</v>
      </c>
      <c r="S541" s="82">
        <f>IFERROR(S527+S540,"")</f>
        <v>963090</v>
      </c>
      <c r="T541" s="118">
        <f>IFERROR(J541,"")</f>
        <v>202.24889999999996</v>
      </c>
    </row>
    <row r="542" spans="1:20" ht="15" customHeight="1">
      <c r="A542" s="59">
        <v>46255</v>
      </c>
      <c r="B542" s="60">
        <v>0.33333333333333298</v>
      </c>
      <c r="C542" s="61"/>
      <c r="D542" s="62"/>
      <c r="E542" s="87"/>
      <c r="F542" s="101" t="str">
        <f>IFERROR(IF($D542="","",VLOOKUP($D542,Cadastro!$C$4:$E$7,3,FALSE())),"")</f>
        <v/>
      </c>
      <c r="G542" s="89"/>
      <c r="H542" s="101" t="str">
        <f>IFERROR(IF($G542="","",$G542*$S$554/$G$554/Cadastro!$E$33),"")</f>
        <v/>
      </c>
      <c r="I542" s="102" t="str">
        <f>IFERROR(IF($D542="","",VLOOKUP($D542,Cadastro!$C$4:$G$7,5,FALSE())),"")</f>
        <v/>
      </c>
      <c r="J542" s="103" t="str">
        <f t="shared" ref="J542:J553" si="138">IFERROR(IF($H542="","",$H542*$F542*$I542),"")</f>
        <v/>
      </c>
      <c r="K542" s="64" t="str">
        <f t="shared" ref="K542:K553" si="139">IF(G542="","",IF(E542="PC 17",G542*4.2,IF(E542="PC 19",G542*5,IF(E542="CB",G542*24,""))))</f>
        <v/>
      </c>
      <c r="L542" s="61"/>
      <c r="M542" s="61"/>
      <c r="N542" s="61"/>
      <c r="O542" s="65"/>
      <c r="P542" s="65"/>
      <c r="Q542" s="66" t="str">
        <f t="shared" ref="Q542:Q553" ca="1" si="140">IFERROR(IF(O542="","",IF(P542="",MOD(NOW()-O542,1),IF(P542&gt;=O542,P542-O542,P542+1-O542))),"")</f>
        <v/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/>
      <c r="D543" s="62"/>
      <c r="E543" s="87"/>
      <c r="F543" s="88" t="str">
        <f>IFERROR(IF($D543="","",VLOOKUP($D543,Cadastro!$C$4:$E$7,3,FALSE())),"")</f>
        <v/>
      </c>
      <c r="G543" s="89"/>
      <c r="H543" s="88" t="str">
        <f>IFERROR(IF($G543="","",$G543*$S$554/$G$554/Cadastro!$E$33),"")</f>
        <v/>
      </c>
      <c r="I543" s="90" t="str">
        <f>IFERROR(IF($D543="","",VLOOKUP($D543,Cadastro!$C$4:$G$7,5,FALSE())),"")</f>
        <v/>
      </c>
      <c r="J543" s="91" t="str">
        <f t="shared" si="138"/>
        <v/>
      </c>
      <c r="K543" s="69" t="str">
        <f t="shared" si="139"/>
        <v/>
      </c>
      <c r="L543" s="70"/>
      <c r="M543" s="70"/>
      <c r="N543" s="70"/>
      <c r="O543" s="65"/>
      <c r="P543" s="65"/>
      <c r="Q543" s="71" t="str">
        <f t="shared" ca="1" si="140"/>
        <v/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/>
      <c r="D544" s="62"/>
      <c r="E544" s="87"/>
      <c r="F544" s="88" t="str">
        <f>IFERROR(IF($D544="","",VLOOKUP($D544,Cadastro!$C$4:$E$7,3,FALSE())),"")</f>
        <v/>
      </c>
      <c r="G544" s="89"/>
      <c r="H544" s="88" t="str">
        <f>IFERROR(IF($G544="","",$G544*$S$554/$G$554/Cadastro!$E$33),"")</f>
        <v/>
      </c>
      <c r="I544" s="90" t="str">
        <f>IFERROR(IF($D544="","",VLOOKUP($D544,Cadastro!$C$4:$G$7,5,FALSE())),"")</f>
        <v/>
      </c>
      <c r="J544" s="91" t="str">
        <f t="shared" si="138"/>
        <v/>
      </c>
      <c r="K544" s="64" t="str">
        <f t="shared" si="139"/>
        <v/>
      </c>
      <c r="L544" s="61"/>
      <c r="M544" s="61"/>
      <c r="N544" s="61"/>
      <c r="O544" s="65"/>
      <c r="P544" s="65"/>
      <c r="Q544" s="66" t="str">
        <f t="shared" ca="1" si="140"/>
        <v/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/>
      <c r="D545" s="62"/>
      <c r="E545" s="87"/>
      <c r="F545" s="88" t="str">
        <f>IFERROR(IF($D545="","",VLOOKUP($D545,Cadastro!$C$4:$E$7,3,FALSE())),"")</f>
        <v/>
      </c>
      <c r="G545" s="89"/>
      <c r="H545" s="88" t="str">
        <f>IFERROR(IF($G545="","",$G545*$S$554/$G$554/Cadastro!$E$33),"")</f>
        <v/>
      </c>
      <c r="I545" s="90" t="str">
        <f>IFERROR(IF($D545="","",VLOOKUP($D545,Cadastro!$C$4:$G$7,5,FALSE())),"")</f>
        <v/>
      </c>
      <c r="J545" s="91" t="str">
        <f t="shared" si="138"/>
        <v/>
      </c>
      <c r="K545" s="69" t="str">
        <f t="shared" si="139"/>
        <v/>
      </c>
      <c r="L545" s="70"/>
      <c r="M545" s="70"/>
      <c r="N545" s="70"/>
      <c r="O545" s="65"/>
      <c r="P545" s="65"/>
      <c r="Q545" s="71" t="str">
        <f t="shared" ca="1" si="140"/>
        <v/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/>
      <c r="D546" s="62"/>
      <c r="E546" s="87"/>
      <c r="F546" s="88" t="str">
        <f>IFERROR(IF($D546="","",VLOOKUP($D546,Cadastro!$C$4:$E$7,3,FALSE())),"")</f>
        <v/>
      </c>
      <c r="G546" s="89"/>
      <c r="H546" s="88" t="str">
        <f>IFERROR(IF($G546="","",$G546*$S$554/$G$554/Cadastro!$E$33),"")</f>
        <v/>
      </c>
      <c r="I546" s="90" t="str">
        <f>IFERROR(IF($D546="","",VLOOKUP($D546,Cadastro!$C$4:$G$7,5,FALSE())),"")</f>
        <v/>
      </c>
      <c r="J546" s="91" t="str">
        <f t="shared" si="138"/>
        <v/>
      </c>
      <c r="K546" s="64" t="str">
        <f t="shared" si="139"/>
        <v/>
      </c>
      <c r="L546" s="61"/>
      <c r="M546" s="61"/>
      <c r="N546" s="61"/>
      <c r="O546" s="65"/>
      <c r="P546" s="65"/>
      <c r="Q546" s="66" t="str">
        <f t="shared" ca="1" si="140"/>
        <v/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/>
      <c r="D547" s="62"/>
      <c r="E547" s="87"/>
      <c r="F547" s="88" t="str">
        <f>IFERROR(IF($D547="","",VLOOKUP($D547,Cadastro!$C$4:$E$7,3,FALSE())),"")</f>
        <v/>
      </c>
      <c r="G547" s="89"/>
      <c r="H547" s="88" t="str">
        <f>IFERROR(IF($G547="","",$G547*$S$554/$G$554/Cadastro!$E$33),"")</f>
        <v/>
      </c>
      <c r="I547" s="90" t="str">
        <f>IFERROR(IF($D547="","",VLOOKUP($D547,Cadastro!$C$4:$G$7,5,FALSE())),"")</f>
        <v/>
      </c>
      <c r="J547" s="91" t="str">
        <f t="shared" si="138"/>
        <v/>
      </c>
      <c r="K547" s="69" t="str">
        <f t="shared" si="139"/>
        <v/>
      </c>
      <c r="L547" s="70"/>
      <c r="M547" s="70"/>
      <c r="N547" s="70"/>
      <c r="O547" s="65"/>
      <c r="P547" s="65"/>
      <c r="Q547" s="71" t="str">
        <f t="shared" ca="1" si="140"/>
        <v/>
      </c>
      <c r="R547" s="63"/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/>
      <c r="D548" s="62"/>
      <c r="E548" s="87"/>
      <c r="F548" s="88" t="str">
        <f>IFERROR(IF($D548="","",VLOOKUP($D548,Cadastro!$C$4:$E$7,3,FALSE())),"")</f>
        <v/>
      </c>
      <c r="G548" s="89"/>
      <c r="H548" s="88" t="str">
        <f>IFERROR(IF($G548="","",$G548*$S$554/$G$554/Cadastro!$E$33),"")</f>
        <v/>
      </c>
      <c r="I548" s="90" t="str">
        <f>IFERROR(IF($D548="","",VLOOKUP($D548,Cadastro!$C$4:$G$7,5,FALSE())),"")</f>
        <v/>
      </c>
      <c r="J548" s="91" t="str">
        <f t="shared" si="138"/>
        <v/>
      </c>
      <c r="K548" s="64" t="str">
        <f t="shared" si="139"/>
        <v/>
      </c>
      <c r="L548" s="61"/>
      <c r="M548" s="61"/>
      <c r="N548" s="61"/>
      <c r="O548" s="65"/>
      <c r="P548" s="65"/>
      <c r="Q548" s="66" t="str">
        <f t="shared" ca="1" si="140"/>
        <v/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/>
      <c r="D549" s="62"/>
      <c r="E549" s="87"/>
      <c r="F549" s="88" t="str">
        <f>IFERROR(IF($D549="","",VLOOKUP($D549,Cadastro!$C$4:$E$7,3,FALSE())),"")</f>
        <v/>
      </c>
      <c r="G549" s="89"/>
      <c r="H549" s="88" t="str">
        <f>IFERROR(IF($G549="","",$G549*$S$554/$G$554/Cadastro!$E$33),"")</f>
        <v/>
      </c>
      <c r="I549" s="90" t="str">
        <f>IFERROR(IF($D549="","",VLOOKUP($D549,Cadastro!$C$4:$G$7,5,FALSE())),"")</f>
        <v/>
      </c>
      <c r="J549" s="91" t="str">
        <f t="shared" si="138"/>
        <v/>
      </c>
      <c r="K549" s="69" t="str">
        <f t="shared" si="139"/>
        <v/>
      </c>
      <c r="L549" s="70"/>
      <c r="M549" s="70"/>
      <c r="N549" s="70"/>
      <c r="O549" s="65"/>
      <c r="P549" s="65"/>
      <c r="Q549" s="71" t="str">
        <f t="shared" ca="1" si="140"/>
        <v/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/>
      <c r="D550" s="62"/>
      <c r="E550" s="87"/>
      <c r="F550" s="88" t="str">
        <f>IFERROR(IF($D550="","",VLOOKUP($D550,Cadastro!$C$4:$E$7,3,FALSE())),"")</f>
        <v/>
      </c>
      <c r="G550" s="89"/>
      <c r="H550" s="88" t="str">
        <f>IFERROR(IF($G550="","",$G550*$S$554/$G$554/Cadastro!$E$33),"")</f>
        <v/>
      </c>
      <c r="I550" s="90" t="str">
        <f>IFERROR(IF($D550="","",VLOOKUP($D550,Cadastro!$C$4:$G$7,5,FALSE())),"")</f>
        <v/>
      </c>
      <c r="J550" s="91" t="str">
        <f t="shared" si="138"/>
        <v/>
      </c>
      <c r="K550" s="64" t="str">
        <f t="shared" si="139"/>
        <v/>
      </c>
      <c r="L550" s="61"/>
      <c r="M550" s="61"/>
      <c r="N550" s="61"/>
      <c r="O550" s="65"/>
      <c r="P550" s="65"/>
      <c r="Q550" s="66" t="str">
        <f t="shared" ca="1" si="140"/>
        <v/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/>
      <c r="D551" s="62"/>
      <c r="E551" s="87"/>
      <c r="F551" s="88" t="str">
        <f>IFERROR(IF($D551="","",VLOOKUP($D551,Cadastro!$C$4:$E$7,3,FALSE())),"")</f>
        <v/>
      </c>
      <c r="G551" s="89"/>
      <c r="H551" s="88" t="str">
        <f>IFERROR(IF($G551="","",$G551*$S$554/$G$554/Cadastro!$E$33),"")</f>
        <v/>
      </c>
      <c r="I551" s="90" t="str">
        <f>IFERROR(IF($D551="","",VLOOKUP($D551,Cadastro!$C$4:$G$7,5,FALSE())),"")</f>
        <v/>
      </c>
      <c r="J551" s="91" t="str">
        <f t="shared" si="138"/>
        <v/>
      </c>
      <c r="K551" s="69" t="str">
        <f t="shared" si="139"/>
        <v/>
      </c>
      <c r="L551" s="70"/>
      <c r="M551" s="70"/>
      <c r="N551" s="70"/>
      <c r="O551" s="65"/>
      <c r="P551" s="65"/>
      <c r="Q551" s="71" t="str">
        <f t="shared" ca="1" si="140"/>
        <v/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/>
      <c r="D552" s="62"/>
      <c r="E552" s="87"/>
      <c r="F552" s="88" t="str">
        <f>IFERROR(IF($D552="","",VLOOKUP($D552,Cadastro!$C$4:$E$7,3,FALSE())),"")</f>
        <v/>
      </c>
      <c r="G552" s="89"/>
      <c r="H552" s="88" t="str">
        <f>IFERROR(IF($G552="","",$G552*$S$554/$G$554/Cadastro!$E$33),"")</f>
        <v/>
      </c>
      <c r="I552" s="90" t="str">
        <f>IFERROR(IF($D552="","",VLOOKUP($D552,Cadastro!$C$4:$G$7,5,FALSE())),"")</f>
        <v/>
      </c>
      <c r="J552" s="91" t="str">
        <f t="shared" si="138"/>
        <v/>
      </c>
      <c r="K552" s="64" t="str">
        <f t="shared" si="139"/>
        <v/>
      </c>
      <c r="L552" s="61"/>
      <c r="M552" s="61"/>
      <c r="N552" s="61"/>
      <c r="O552" s="65"/>
      <c r="P552" s="65"/>
      <c r="Q552" s="66" t="str">
        <f t="shared" ca="1" si="140"/>
        <v/>
      </c>
      <c r="R552" s="63"/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/>
      <c r="D553" s="62"/>
      <c r="E553" s="87"/>
      <c r="F553" s="92" t="str">
        <f>IFERROR(IF($D553="","",VLOOKUP($D553,Cadastro!$C$4:$E$7,3,FALSE())),"")</f>
        <v/>
      </c>
      <c r="G553" s="89"/>
      <c r="H553" s="92" t="str">
        <f>IFERROR(IF($G553="","",$G553*$S$554/$G$554/Cadastro!$E$33),"")</f>
        <v/>
      </c>
      <c r="I553" s="93" t="str">
        <f>IFERROR(IF($D553="","",VLOOKUP($D553,Cadastro!$C$4:$G$7,5,FALSE())),"")</f>
        <v/>
      </c>
      <c r="J553" s="94" t="str">
        <f t="shared" si="138"/>
        <v/>
      </c>
      <c r="K553" s="69" t="str">
        <f t="shared" si="139"/>
        <v/>
      </c>
      <c r="L553" s="70"/>
      <c r="M553" s="70"/>
      <c r="N553" s="70"/>
      <c r="O553" s="65"/>
      <c r="P553" s="65"/>
      <c r="Q553" s="71" t="str">
        <f t="shared" ca="1" si="140"/>
        <v/>
      </c>
      <c r="R553" s="63"/>
      <c r="S553" s="133"/>
    </row>
    <row r="554" spans="1:20" ht="15.75" customHeight="1">
      <c r="A554" s="156" t="s">
        <v>260</v>
      </c>
      <c r="B554" s="156"/>
      <c r="C554" s="156"/>
      <c r="D554" s="156"/>
      <c r="E554" s="156"/>
      <c r="F554" s="95"/>
      <c r="G554" s="96">
        <f>SUM(G542:G553)</f>
        <v>0</v>
      </c>
      <c r="H554" s="95">
        <f>IFERROR(SUM(H542:H553),"")</f>
        <v>0</v>
      </c>
      <c r="I554" s="97"/>
      <c r="J554" s="98">
        <f>IFERROR(SUM(J542:J553),"")</f>
        <v>0</v>
      </c>
      <c r="K554" s="2">
        <f>SUM(K542:K553)</f>
        <v>0</v>
      </c>
      <c r="L554" s="72"/>
      <c r="M554" s="72"/>
      <c r="N554" s="72"/>
      <c r="O554" s="134"/>
      <c r="P554" s="134"/>
      <c r="Q554" s="73">
        <f ca="1">IFERROR(SUM(Q542:Q553),"")</f>
        <v>0</v>
      </c>
      <c r="R554" s="2" t="s">
        <v>261</v>
      </c>
      <c r="S554" s="74"/>
      <c r="T554" s="99">
        <f>IFERROR(J554,"")</f>
        <v>0</v>
      </c>
    </row>
    <row r="555" spans="1:20" ht="15" customHeight="1">
      <c r="A555" s="18">
        <v>46255</v>
      </c>
      <c r="B555" s="68">
        <v>0.83333333333333304</v>
      </c>
      <c r="C555" s="70"/>
      <c r="D555" s="75"/>
      <c r="E555" s="100"/>
      <c r="F555" s="101" t="str">
        <f>IFERROR(IF($D555="","",VLOOKUP($D555,Cadastro!$C$4:$E$7,3,FALSE())),"")</f>
        <v/>
      </c>
      <c r="G555" s="89"/>
      <c r="H555" s="101" t="str">
        <f>IFERROR(IF($G555="","",$G555*$S$567/$G$567/Cadastro!$E$33),"")</f>
        <v/>
      </c>
      <c r="I555" s="102" t="str">
        <f>IFERROR(IF($D555="","",VLOOKUP($D555,Cadastro!$C$4:$G$7,5,FALSE())),"")</f>
        <v/>
      </c>
      <c r="J555" s="103" t="str">
        <f t="shared" ref="J555:J566" si="142">IFERROR(IF($H555="","",$H555*$F555*$I555),"")</f>
        <v/>
      </c>
      <c r="K555" s="69" t="str">
        <f t="shared" ref="K555:K566" si="143">IF(G555="","",IF(E555="PC 17",G555*4.2,IF(E555="PC 19",G555*5,IF(E555="CB",G555*24,""))))</f>
        <v/>
      </c>
      <c r="L555" s="70"/>
      <c r="M555" s="70"/>
      <c r="N555" s="70"/>
      <c r="O555" s="65"/>
      <c r="P555" s="65"/>
      <c r="Q555" s="71"/>
      <c r="R555" s="63"/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/>
      <c r="D556" s="75"/>
      <c r="E556" s="100"/>
      <c r="F556" s="88" t="str">
        <f>IFERROR(IF($D556="","",VLOOKUP($D556,Cadastro!$C$4:$E$7,3,FALSE())),"")</f>
        <v/>
      </c>
      <c r="G556" s="89"/>
      <c r="H556" s="88" t="str">
        <f>IFERROR(IF($G556="","",$G556*$S$567/$G$567/Cadastro!$E$33),"")</f>
        <v/>
      </c>
      <c r="I556" s="90" t="str">
        <f>IFERROR(IF($D556="","",VLOOKUP($D556,Cadastro!$C$4:$G$7,5,FALSE())),"")</f>
        <v/>
      </c>
      <c r="J556" s="91" t="str">
        <f t="shared" si="142"/>
        <v/>
      </c>
      <c r="K556" s="64" t="str">
        <f t="shared" si="143"/>
        <v/>
      </c>
      <c r="L556" s="61"/>
      <c r="M556" s="61"/>
      <c r="N556" s="61"/>
      <c r="O556" s="65"/>
      <c r="P556" s="65"/>
      <c r="Q556" s="66" t="str">
        <f t="shared" ref="Q556:Q566" ca="1" si="145">IFERROR(IF(O556="","",IF(P556="",MOD(NOW()-O556,1),IF(P556&gt;=O556,P556-O556,P556+1-O556))),"")</f>
        <v/>
      </c>
      <c r="R556" s="63"/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/>
      <c r="D557" s="75"/>
      <c r="E557" s="100"/>
      <c r="F557" s="88" t="str">
        <f>IFERROR(IF($D557="","",VLOOKUP($D557,Cadastro!$C$4:$E$7,3,FALSE())),"")</f>
        <v/>
      </c>
      <c r="G557" s="89"/>
      <c r="H557" s="88" t="str">
        <f>IFERROR(IF($G557="","",$G557*$S$567/$G$567/Cadastro!$E$33),"")</f>
        <v/>
      </c>
      <c r="I557" s="90" t="str">
        <f>IFERROR(IF($D557="","",VLOOKUP($D557,Cadastro!$C$4:$G$7,5,FALSE())),"")</f>
        <v/>
      </c>
      <c r="J557" s="91" t="str">
        <f t="shared" si="142"/>
        <v/>
      </c>
      <c r="K557" s="69" t="str">
        <f t="shared" si="143"/>
        <v/>
      </c>
      <c r="L557" s="70"/>
      <c r="M557" s="70"/>
      <c r="N557" s="70"/>
      <c r="O557" s="65"/>
      <c r="P557" s="65"/>
      <c r="Q557" s="71" t="str">
        <f t="shared" ca="1" si="145"/>
        <v/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/>
      <c r="D558" s="75"/>
      <c r="E558" s="100"/>
      <c r="F558" s="88" t="str">
        <f>IFERROR(IF($D558="","",VLOOKUP($D558,Cadastro!$C$4:$E$7,3,FALSE())),"")</f>
        <v/>
      </c>
      <c r="G558" s="89"/>
      <c r="H558" s="88" t="str">
        <f>IFERROR(IF($G558="","",$G558*$S$567/$G$567/Cadastro!$E$33),"")</f>
        <v/>
      </c>
      <c r="I558" s="90" t="str">
        <f>IFERROR(IF($D558="","",VLOOKUP($D558,Cadastro!$C$4:$G$7,5,FALSE())),"")</f>
        <v/>
      </c>
      <c r="J558" s="91" t="str">
        <f t="shared" si="142"/>
        <v/>
      </c>
      <c r="K558" s="64" t="str">
        <f t="shared" si="143"/>
        <v/>
      </c>
      <c r="L558" s="61"/>
      <c r="M558" s="61"/>
      <c r="N558" s="61"/>
      <c r="O558" s="65"/>
      <c r="P558" s="65"/>
      <c r="Q558" s="66" t="str">
        <f t="shared" ca="1" si="145"/>
        <v/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/>
      <c r="D559" s="75"/>
      <c r="E559" s="100"/>
      <c r="F559" s="88" t="str">
        <f>IFERROR(IF($D559="","",VLOOKUP($D559,Cadastro!$C$4:$E$7,3,FALSE())),"")</f>
        <v/>
      </c>
      <c r="G559" s="89"/>
      <c r="H559" s="88" t="str">
        <f>IFERROR(IF($G559="","",$G559*$S$567/$G$567/Cadastro!$E$33),"")</f>
        <v/>
      </c>
      <c r="I559" s="90" t="str">
        <f>IFERROR(IF($D559="","",VLOOKUP($D559,Cadastro!$C$4:$G$7,5,FALSE())),"")</f>
        <v/>
      </c>
      <c r="J559" s="91" t="str">
        <f t="shared" si="142"/>
        <v/>
      </c>
      <c r="K559" s="69" t="str">
        <f t="shared" si="143"/>
        <v/>
      </c>
      <c r="L559" s="70"/>
      <c r="M559" s="70"/>
      <c r="N559" s="70"/>
      <c r="O559" s="65"/>
      <c r="P559" s="65"/>
      <c r="Q559" s="71" t="str">
        <f t="shared" ca="1" si="145"/>
        <v/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/>
      <c r="D560" s="75"/>
      <c r="E560" s="100"/>
      <c r="F560" s="88" t="str">
        <f>IFERROR(IF($D560="","",VLOOKUP($D560,Cadastro!$C$4:$E$7,3,FALSE())),"")</f>
        <v/>
      </c>
      <c r="G560" s="89"/>
      <c r="H560" s="88" t="str">
        <f>IFERROR(IF($G560="","",$G560*$S$567/$G$567/Cadastro!$E$33),"")</f>
        <v/>
      </c>
      <c r="I560" s="90" t="str">
        <f>IFERROR(IF($D560="","",VLOOKUP($D560,Cadastro!$C$4:$G$7,5,FALSE())),"")</f>
        <v/>
      </c>
      <c r="J560" s="91" t="str">
        <f t="shared" si="142"/>
        <v/>
      </c>
      <c r="K560" s="64" t="str">
        <f t="shared" si="143"/>
        <v/>
      </c>
      <c r="L560" s="61"/>
      <c r="M560" s="61"/>
      <c r="N560" s="61"/>
      <c r="O560" s="65"/>
      <c r="P560" s="65"/>
      <c r="Q560" s="66" t="str">
        <f t="shared" ca="1" si="145"/>
        <v/>
      </c>
      <c r="R560" s="63"/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/>
      <c r="D561" s="75"/>
      <c r="E561" s="100"/>
      <c r="F561" s="88" t="str">
        <f>IFERROR(IF($D561="","",VLOOKUP($D561,Cadastro!$C$4:$E$7,3,FALSE())),"")</f>
        <v/>
      </c>
      <c r="G561" s="89"/>
      <c r="H561" s="88" t="str">
        <f>IFERROR(IF($G561="","",$G561*$S$567/$G$567/Cadastro!$E$33),"")</f>
        <v/>
      </c>
      <c r="I561" s="90" t="str">
        <f>IFERROR(IF($D561="","",VLOOKUP($D561,Cadastro!$C$4:$G$7,5,FALSE())),"")</f>
        <v/>
      </c>
      <c r="J561" s="91" t="str">
        <f t="shared" si="142"/>
        <v/>
      </c>
      <c r="K561" s="69" t="str">
        <f t="shared" si="143"/>
        <v/>
      </c>
      <c r="L561" s="70"/>
      <c r="M561" s="70"/>
      <c r="N561" s="70"/>
      <c r="O561" s="65"/>
      <c r="P561" s="65"/>
      <c r="Q561" s="71" t="str">
        <f t="shared" ca="1" si="145"/>
        <v/>
      </c>
      <c r="R561" s="63"/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/>
      <c r="D562" s="75"/>
      <c r="E562" s="100"/>
      <c r="F562" s="88" t="str">
        <f>IFERROR(IF($D562="","",VLOOKUP($D562,Cadastro!$C$4:$E$7,3,FALSE())),"")</f>
        <v/>
      </c>
      <c r="G562" s="89"/>
      <c r="H562" s="88" t="str">
        <f>IFERROR(IF($G562="","",$G562*$S$567/$G$567/Cadastro!$E$33),"")</f>
        <v/>
      </c>
      <c r="I562" s="90" t="str">
        <f>IFERROR(IF($D562="","",VLOOKUP($D562,Cadastro!$C$4:$G$7,5,FALSE())),"")</f>
        <v/>
      </c>
      <c r="J562" s="91" t="str">
        <f t="shared" si="142"/>
        <v/>
      </c>
      <c r="K562" s="64" t="str">
        <f t="shared" si="143"/>
        <v/>
      </c>
      <c r="L562" s="61"/>
      <c r="M562" s="61"/>
      <c r="N562" s="61"/>
      <c r="O562" s="65"/>
      <c r="P562" s="65"/>
      <c r="Q562" s="66" t="str">
        <f t="shared" ca="1" si="145"/>
        <v/>
      </c>
      <c r="R562" s="63"/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/>
      <c r="D563" s="75"/>
      <c r="E563" s="100"/>
      <c r="F563" s="88" t="str">
        <f>IFERROR(IF($D563="","",VLOOKUP($D563,Cadastro!$C$4:$E$7,3,FALSE())),"")</f>
        <v/>
      </c>
      <c r="G563" s="89"/>
      <c r="H563" s="88" t="str">
        <f>IFERROR(IF($G563="","",$G563*$S$567/$G$567/Cadastro!$E$33),"")</f>
        <v/>
      </c>
      <c r="I563" s="90" t="str">
        <f>IFERROR(IF($D563="","",VLOOKUP($D563,Cadastro!$C$4:$G$7,5,FALSE())),"")</f>
        <v/>
      </c>
      <c r="J563" s="91" t="str">
        <f t="shared" si="142"/>
        <v/>
      </c>
      <c r="K563" s="69" t="str">
        <f t="shared" si="143"/>
        <v/>
      </c>
      <c r="L563" s="70"/>
      <c r="M563" s="70"/>
      <c r="N563" s="70"/>
      <c r="O563" s="65"/>
      <c r="P563" s="65"/>
      <c r="Q563" s="71" t="str">
        <f t="shared" ca="1" si="145"/>
        <v/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/>
      <c r="D564" s="75"/>
      <c r="E564" s="100"/>
      <c r="F564" s="88" t="str">
        <f>IFERROR(IF($D564="","",VLOOKUP($D564,Cadastro!$C$4:$E$7,3,FALSE())),"")</f>
        <v/>
      </c>
      <c r="G564" s="89"/>
      <c r="H564" s="88" t="str">
        <f>IFERROR(IF($G564="","",$G564*$S$567/$G$567/Cadastro!$E$33),"")</f>
        <v/>
      </c>
      <c r="I564" s="90" t="str">
        <f>IFERROR(IF($D564="","",VLOOKUP($D564,Cadastro!$C$4:$G$7,5,FALSE())),"")</f>
        <v/>
      </c>
      <c r="J564" s="91" t="str">
        <f t="shared" si="142"/>
        <v/>
      </c>
      <c r="K564" s="64" t="str">
        <f t="shared" si="143"/>
        <v/>
      </c>
      <c r="L564" s="61"/>
      <c r="M564" s="61"/>
      <c r="N564" s="61"/>
      <c r="O564" s="65"/>
      <c r="P564" s="65"/>
      <c r="Q564" s="66" t="str">
        <f t="shared" ca="1" si="145"/>
        <v/>
      </c>
      <c r="R564" s="63"/>
      <c r="S564" s="133"/>
    </row>
    <row r="565" spans="1:20" ht="15" customHeight="1">
      <c r="A565" s="18">
        <v>46255</v>
      </c>
      <c r="B565" s="68">
        <f t="shared" si="144"/>
        <v>1.25</v>
      </c>
      <c r="C565" s="70"/>
      <c r="D565" s="75"/>
      <c r="E565" s="100"/>
      <c r="F565" s="88" t="str">
        <f>IFERROR(IF($D565="","",VLOOKUP($D565,Cadastro!$C$4:$E$7,3,FALSE())),"")</f>
        <v/>
      </c>
      <c r="G565" s="89"/>
      <c r="H565" s="88" t="str">
        <f>IFERROR(IF($G565="","",$G565*$S$567/$G$567/Cadastro!$E$33),"")</f>
        <v/>
      </c>
      <c r="I565" s="90" t="str">
        <f>IFERROR(IF($D565="","",VLOOKUP($D565,Cadastro!$C$4:$G$7,5,FALSE())),"")</f>
        <v/>
      </c>
      <c r="J565" s="91" t="str">
        <f t="shared" si="142"/>
        <v/>
      </c>
      <c r="K565" s="69" t="str">
        <f t="shared" si="143"/>
        <v/>
      </c>
      <c r="L565" s="70"/>
      <c r="M565" s="70"/>
      <c r="N565" s="70"/>
      <c r="O565" s="65"/>
      <c r="P565" s="65"/>
      <c r="Q565" s="71" t="str">
        <f t="shared" ca="1" si="145"/>
        <v/>
      </c>
      <c r="R565" s="63"/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/>
      <c r="D566" s="75"/>
      <c r="E566" s="100"/>
      <c r="F566" s="92" t="str">
        <f>IFERROR(IF($D566="","",VLOOKUP($D566,Cadastro!$C$4:$E$7,3,FALSE())),"")</f>
        <v/>
      </c>
      <c r="G566" s="89"/>
      <c r="H566" s="92" t="str">
        <f>IFERROR(IF($G566="","",$G566*$S$567/$G$567/Cadastro!$E$33),"")</f>
        <v/>
      </c>
      <c r="I566" s="93" t="str">
        <f>IFERROR(IF($D566="","",VLOOKUP($D566,Cadastro!$C$4:$G$7,5,FALSE())),"")</f>
        <v/>
      </c>
      <c r="J566" s="94" t="str">
        <f t="shared" si="142"/>
        <v/>
      </c>
      <c r="K566" s="64" t="str">
        <f t="shared" si="143"/>
        <v/>
      </c>
      <c r="L566" s="61"/>
      <c r="M566" s="61"/>
      <c r="N566" s="61"/>
      <c r="O566" s="65"/>
      <c r="P566" s="65"/>
      <c r="Q566" s="66" t="str">
        <f t="shared" ca="1" si="145"/>
        <v/>
      </c>
      <c r="R566" s="63"/>
      <c r="S566" s="133"/>
    </row>
    <row r="567" spans="1:20" ht="15.75" customHeight="1">
      <c r="A567" s="156" t="s">
        <v>263</v>
      </c>
      <c r="B567" s="156"/>
      <c r="C567" s="156"/>
      <c r="D567" s="156"/>
      <c r="E567" s="156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134"/>
      <c r="P567" s="134"/>
      <c r="Q567" s="73">
        <f ca="1">IFERROR(SUM(Q555:Q566),"")</f>
        <v>0</v>
      </c>
      <c r="R567" s="2" t="s">
        <v>261</v>
      </c>
      <c r="S567" s="74"/>
      <c r="T567" s="99">
        <f>IFERROR(J567,"")</f>
        <v>0</v>
      </c>
    </row>
    <row r="568" spans="1:20" ht="18" customHeight="1">
      <c r="A568" s="157" t="s">
        <v>249</v>
      </c>
      <c r="B568" s="157"/>
      <c r="C568" s="157"/>
      <c r="D568" s="157"/>
      <c r="E568" s="157"/>
      <c r="F568" s="108"/>
      <c r="G568" s="109">
        <f>G554+G567</f>
        <v>0</v>
      </c>
      <c r="H568" s="108">
        <f>IFERROR(H554+H567,"")</f>
        <v>0</v>
      </c>
      <c r="I568" s="110"/>
      <c r="J568" s="111">
        <f>IFERROR(J554+J567,"")</f>
        <v>0</v>
      </c>
      <c r="K568" s="1">
        <f>K554+K567</f>
        <v>0</v>
      </c>
      <c r="L568" s="76"/>
      <c r="M568" s="76"/>
      <c r="N568" s="76"/>
      <c r="O568" s="135"/>
      <c r="P568" s="135"/>
      <c r="Q568" s="77">
        <f ca="1">IFERROR(Q554+Q567,"")</f>
        <v>0</v>
      </c>
      <c r="R568" s="1" t="s">
        <v>264</v>
      </c>
      <c r="S568" s="82">
        <f>IFERROR(S554+S567,"")</f>
        <v>0</v>
      </c>
      <c r="T568" s="118">
        <f>IFERROR(J568,"")</f>
        <v>0</v>
      </c>
    </row>
    <row r="569" spans="1:20" ht="15" customHeight="1">
      <c r="A569" s="18">
        <v>46256</v>
      </c>
      <c r="B569" s="68">
        <v>0.33333333333333298</v>
      </c>
      <c r="C569" s="70"/>
      <c r="D569" s="75"/>
      <c r="E569" s="100"/>
      <c r="F569" s="101" t="str">
        <f>IFERROR(IF($D569="","",VLOOKUP($D569,Cadastro!$C$4:$E$7,3,FALSE())),"")</f>
        <v/>
      </c>
      <c r="G569" s="89"/>
      <c r="H569" s="101" t="str">
        <f>IFERROR(IF($G569="","",$G569*$S$581/$G$581/Cadastro!$E$33),"")</f>
        <v/>
      </c>
      <c r="I569" s="102" t="str">
        <f>IFERROR(IF($D569="","",VLOOKUP($D569,Cadastro!$C$4:$G$7,5,FALSE())),"")</f>
        <v/>
      </c>
      <c r="J569" s="103" t="str">
        <f t="shared" ref="J569:J580" si="146">IFERROR(IF($H569="","",$H569*$F569*$I569),"")</f>
        <v/>
      </c>
      <c r="K569" s="69" t="str">
        <f t="shared" ref="K569:K580" si="147">IF(G569="","",IF(E569="PC 17",G569*4.2,IF(E569="PC 19",G569*5,IF(E569="CB",G569*24,""))))</f>
        <v/>
      </c>
      <c r="L569" s="70"/>
      <c r="M569" s="70"/>
      <c r="N569" s="70"/>
      <c r="O569" s="65"/>
      <c r="P569" s="65"/>
      <c r="Q569" s="71" t="str">
        <f t="shared" ref="Q569:Q574" ca="1" si="148">IFERROR(IF(O569="","",IF(P569="",MOD(NOW()-O569,1),IF(P569&gt;=O569,P569-O569,P569+1-O569))),"")</f>
        <v/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/>
      <c r="D570" s="75"/>
      <c r="E570" s="100"/>
      <c r="F570" s="88" t="str">
        <f>IFERROR(IF($D570="","",VLOOKUP($D570,Cadastro!$C$4:$E$7,3,FALSE())),"")</f>
        <v/>
      </c>
      <c r="G570" s="89"/>
      <c r="H570" s="88" t="str">
        <f>IFERROR(IF($G570="","",$G570*$S$581/$G$581/Cadastro!$E$33),"")</f>
        <v/>
      </c>
      <c r="I570" s="90" t="str">
        <f>IFERROR(IF($D570="","",VLOOKUP($D570,Cadastro!$C$4:$G$7,5,FALSE())),"")</f>
        <v/>
      </c>
      <c r="J570" s="91" t="str">
        <f t="shared" si="146"/>
        <v/>
      </c>
      <c r="K570" s="69" t="str">
        <f t="shared" si="147"/>
        <v/>
      </c>
      <c r="L570" s="61"/>
      <c r="M570" s="61"/>
      <c r="N570" s="61"/>
      <c r="O570" s="65"/>
      <c r="P570" s="65"/>
      <c r="Q570" s="66" t="str">
        <f t="shared" ca="1" si="148"/>
        <v/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/>
      <c r="D571" s="75"/>
      <c r="E571" s="100"/>
      <c r="F571" s="88" t="str">
        <f>IFERROR(IF($D571="","",VLOOKUP($D571,Cadastro!$C$4:$E$7,3,FALSE())),"")</f>
        <v/>
      </c>
      <c r="G571" s="89"/>
      <c r="H571" s="88" t="str">
        <f>IFERROR(IF($G571="","",$G571*$S$581/$G$581/Cadastro!$E$33),"")</f>
        <v/>
      </c>
      <c r="I571" s="90" t="str">
        <f>IFERROR(IF($D571="","",VLOOKUP($D571,Cadastro!$C$4:$G$7,5,FALSE())),"")</f>
        <v/>
      </c>
      <c r="J571" s="91" t="str">
        <f t="shared" si="146"/>
        <v/>
      </c>
      <c r="K571" s="69" t="str">
        <f t="shared" si="147"/>
        <v/>
      </c>
      <c r="L571" s="70"/>
      <c r="M571" s="70"/>
      <c r="N571" s="70"/>
      <c r="O571" s="65"/>
      <c r="P571" s="65"/>
      <c r="Q571" s="71" t="str">
        <f t="shared" ca="1" si="148"/>
        <v/>
      </c>
      <c r="R571" s="63"/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/>
      <c r="D572" s="75"/>
      <c r="E572" s="100"/>
      <c r="F572" s="88" t="str">
        <f>IFERROR(IF($D572="","",VLOOKUP($D572,Cadastro!$C$4:$E$7,3,FALSE())),"")</f>
        <v/>
      </c>
      <c r="G572" s="89"/>
      <c r="H572" s="88" t="str">
        <f>IFERROR(IF($G572="","",$G572*$S$581/$G$581/Cadastro!$E$33),"")</f>
        <v/>
      </c>
      <c r="I572" s="90" t="str">
        <f>IFERROR(IF($D572="","",VLOOKUP($D572,Cadastro!$C$4:$G$7,5,FALSE())),"")</f>
        <v/>
      </c>
      <c r="J572" s="91" t="str">
        <f t="shared" si="146"/>
        <v/>
      </c>
      <c r="K572" s="69" t="str">
        <f t="shared" si="147"/>
        <v/>
      </c>
      <c r="L572" s="61"/>
      <c r="M572" s="61"/>
      <c r="N572" s="61"/>
      <c r="O572" s="65"/>
      <c r="P572" s="65"/>
      <c r="Q572" s="66" t="str">
        <f t="shared" ca="1" si="148"/>
        <v/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/>
      <c r="D573" s="75"/>
      <c r="E573" s="100"/>
      <c r="F573" s="88" t="str">
        <f>IFERROR(IF($D573="","",VLOOKUP($D573,Cadastro!$C$4:$E$7,3,FALSE())),"")</f>
        <v/>
      </c>
      <c r="G573" s="89"/>
      <c r="H573" s="88" t="str">
        <f>IFERROR(IF($G573="","",$G573*$S$581/$G$581/Cadastro!$E$33),"")</f>
        <v/>
      </c>
      <c r="I573" s="90" t="str">
        <f>IFERROR(IF($D573="","",VLOOKUP($D573,Cadastro!$C$4:$G$7,5,FALSE())),"")</f>
        <v/>
      </c>
      <c r="J573" s="91" t="str">
        <f t="shared" si="146"/>
        <v/>
      </c>
      <c r="K573" s="69" t="str">
        <f t="shared" si="147"/>
        <v/>
      </c>
      <c r="L573" s="70"/>
      <c r="M573" s="70"/>
      <c r="N573" s="70"/>
      <c r="O573" s="65"/>
      <c r="P573" s="65"/>
      <c r="Q573" s="71" t="str">
        <f t="shared" ca="1" si="148"/>
        <v/>
      </c>
      <c r="R573" s="63"/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/>
      <c r="D574" s="75"/>
      <c r="E574" s="100"/>
      <c r="F574" s="88" t="str">
        <f>IFERROR(IF($D574="","",VLOOKUP($D574,Cadastro!$C$4:$E$7,3,FALSE())),"")</f>
        <v/>
      </c>
      <c r="G574" s="89"/>
      <c r="H574" s="88" t="str">
        <f>IFERROR(IF($G574="","",$G574*$S$581/$G$581/Cadastro!$E$33),"")</f>
        <v/>
      </c>
      <c r="I574" s="90" t="str">
        <f>IFERROR(IF($D574="","",VLOOKUP($D574,Cadastro!$C$4:$G$7,5,FALSE())),"")</f>
        <v/>
      </c>
      <c r="J574" s="91" t="str">
        <f t="shared" si="146"/>
        <v/>
      </c>
      <c r="K574" s="69" t="str">
        <f t="shared" si="147"/>
        <v/>
      </c>
      <c r="L574" s="61"/>
      <c r="M574" s="61"/>
      <c r="N574" s="61"/>
      <c r="O574" s="65"/>
      <c r="P574" s="65"/>
      <c r="Q574" s="66" t="str">
        <f t="shared" ca="1" si="148"/>
        <v/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/>
      <c r="D575" s="75"/>
      <c r="E575" s="100"/>
      <c r="F575" s="88" t="str">
        <f>IFERROR(IF($D575="","",VLOOKUP($D575,Cadastro!$C$4:$E$7,3,FALSE())),"")</f>
        <v/>
      </c>
      <c r="G575" s="89"/>
      <c r="H575" s="88" t="str">
        <f>IFERROR(IF($G575="","",$G575*$S$581/$G$581/Cadastro!$E$33),"")</f>
        <v/>
      </c>
      <c r="I575" s="90" t="str">
        <f>IFERROR(IF($D575="","",VLOOKUP($D575,Cadastro!$C$4:$G$7,5,FALSE())),"")</f>
        <v/>
      </c>
      <c r="J575" s="91" t="str">
        <f t="shared" si="146"/>
        <v/>
      </c>
      <c r="K575" s="69" t="str">
        <f t="shared" si="147"/>
        <v/>
      </c>
      <c r="L575" s="70"/>
      <c r="M575" s="70"/>
      <c r="N575" s="70"/>
      <c r="O575" s="65"/>
      <c r="P575" s="65"/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/>
      <c r="D576" s="75"/>
      <c r="E576" s="100"/>
      <c r="F576" s="88" t="str">
        <f>IFERROR(IF($D576="","",VLOOKUP($D576,Cadastro!$C$4:$E$7,3,FALSE())),"")</f>
        <v/>
      </c>
      <c r="G576" s="89"/>
      <c r="H576" s="88" t="str">
        <f>IFERROR(IF($G576="","",$G576*$S$581/$G$581/Cadastro!$E$33),"")</f>
        <v/>
      </c>
      <c r="I576" s="90" t="str">
        <f>IFERROR(IF($D576="","",VLOOKUP($D576,Cadastro!$C$4:$G$7,5,FALSE())),"")</f>
        <v/>
      </c>
      <c r="J576" s="91" t="str">
        <f t="shared" si="146"/>
        <v/>
      </c>
      <c r="K576" s="69" t="str">
        <f t="shared" si="147"/>
        <v/>
      </c>
      <c r="L576" s="61"/>
      <c r="M576" s="61"/>
      <c r="N576" s="61"/>
      <c r="O576" s="65"/>
      <c r="P576" s="65"/>
      <c r="Q576" s="66" t="str">
        <f ca="1">IFERROR(IF(O576="","",IF(P576="",MOD(NOW()-O576,1),IF(P576&gt;=O576,P576-O576,P576+1-O576))),"")</f>
        <v/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/>
      <c r="D577" s="75"/>
      <c r="E577" s="100"/>
      <c r="F577" s="88" t="str">
        <f>IFERROR(IF($D577="","",VLOOKUP($D577,Cadastro!$C$4:$E$7,3,FALSE())),"")</f>
        <v/>
      </c>
      <c r="G577" s="89"/>
      <c r="H577" s="88" t="str">
        <f>IFERROR(IF($G577="","",$G577*$S$581/$G$581/Cadastro!$E$33),"")</f>
        <v/>
      </c>
      <c r="I577" s="90" t="str">
        <f>IFERROR(IF($D577="","",VLOOKUP($D577,Cadastro!$C$4:$G$7,5,FALSE())),"")</f>
        <v/>
      </c>
      <c r="J577" s="91" t="str">
        <f t="shared" si="146"/>
        <v/>
      </c>
      <c r="K577" s="69" t="str">
        <f t="shared" si="147"/>
        <v/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/>
      <c r="D578" s="75"/>
      <c r="E578" s="100"/>
      <c r="F578" s="88" t="str">
        <f>IFERROR(IF($D578="","",VLOOKUP($D578,Cadastro!$C$4:$E$7,3,FALSE())),"")</f>
        <v/>
      </c>
      <c r="G578" s="89"/>
      <c r="H578" s="88" t="str">
        <f>IFERROR(IF($G578="","",$G578*$S$581/$G$581/Cadastro!$E$33),"")</f>
        <v/>
      </c>
      <c r="I578" s="90" t="str">
        <f>IFERROR(IF($D578="","",VLOOKUP($D578,Cadastro!$C$4:$G$7,5,FALSE())),"")</f>
        <v/>
      </c>
      <c r="J578" s="91" t="str">
        <f t="shared" si="146"/>
        <v/>
      </c>
      <c r="K578" s="69" t="str">
        <f t="shared" si="147"/>
        <v/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/>
      <c r="D579" s="75"/>
      <c r="E579" s="100"/>
      <c r="F579" s="88" t="str">
        <f>IFERROR(IF($D579="","",VLOOKUP($D579,Cadastro!$C$4:$E$7,3,FALSE())),"")</f>
        <v/>
      </c>
      <c r="G579" s="89"/>
      <c r="H579" s="88" t="str">
        <f>IFERROR(IF($G579="","",$G579*$S$581/$G$581/Cadastro!$E$33),"")</f>
        <v/>
      </c>
      <c r="I579" s="90" t="str">
        <f>IFERROR(IF($D579="","",VLOOKUP($D579,Cadastro!$C$4:$G$7,5,FALSE())),"")</f>
        <v/>
      </c>
      <c r="J579" s="91" t="str">
        <f t="shared" si="146"/>
        <v/>
      </c>
      <c r="K579" s="69" t="str">
        <f t="shared" si="147"/>
        <v/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/>
      <c r="D580" s="75"/>
      <c r="E580" s="100"/>
      <c r="F580" s="92" t="str">
        <f>IFERROR(IF($D580="","",VLOOKUP($D580,Cadastro!$C$4:$E$7,3,FALSE())),"")</f>
        <v/>
      </c>
      <c r="G580" s="89"/>
      <c r="H580" s="92" t="str">
        <f>IFERROR(IF($G580="","",$G580*$S$581/$G$581/Cadastro!$E$33),"")</f>
        <v/>
      </c>
      <c r="I580" s="93" t="str">
        <f>IFERROR(IF($D580="","",VLOOKUP($D580,Cadastro!$C$4:$G$7,5,FALSE())),"")</f>
        <v/>
      </c>
      <c r="J580" s="94" t="str">
        <f t="shared" si="146"/>
        <v/>
      </c>
      <c r="K580" s="69" t="str">
        <f t="shared" si="147"/>
        <v/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6" t="s">
        <v>260</v>
      </c>
      <c r="B581" s="156"/>
      <c r="C581" s="156"/>
      <c r="D581" s="156"/>
      <c r="E581" s="156"/>
      <c r="F581" s="95"/>
      <c r="G581" s="96">
        <f>SUM(G569:G580)</f>
        <v>0</v>
      </c>
      <c r="H581" s="95">
        <f>IFERROR(SUM(H569:H580),"")</f>
        <v>0</v>
      </c>
      <c r="I581" s="97"/>
      <c r="J581" s="98">
        <f>IFERROR(SUM(J569:J580),"")</f>
        <v>0</v>
      </c>
      <c r="K581" s="2">
        <f>SUM(K569:K580)</f>
        <v>0</v>
      </c>
      <c r="L581" s="72"/>
      <c r="M581" s="72"/>
      <c r="N581" s="72"/>
      <c r="O581" s="134"/>
      <c r="P581" s="134"/>
      <c r="Q581" s="73">
        <f ca="1">IFERROR(SUM(Q569:Q580),"")</f>
        <v>0</v>
      </c>
      <c r="R581" s="2" t="s">
        <v>261</v>
      </c>
      <c r="S581" s="74"/>
      <c r="T581" s="99">
        <f>IFERROR(J581,"")</f>
        <v>0</v>
      </c>
    </row>
    <row r="582" spans="1:20" ht="15" customHeight="1">
      <c r="A582" s="59">
        <v>46256</v>
      </c>
      <c r="B582" s="60">
        <v>0.83333333333333304</v>
      </c>
      <c r="C582" s="61"/>
      <c r="D582" s="62"/>
      <c r="E582" s="87"/>
      <c r="F582" s="101" t="str">
        <f>IFERROR(IF($D582="","",VLOOKUP($D582,Cadastro!$C$4:$E$7,3,FALSE())),"")</f>
        <v/>
      </c>
      <c r="G582" s="89"/>
      <c r="H582" s="101" t="str">
        <f>IFERROR(IF($G582="","",$G582*$S$594/$G$594/Cadastro!$E$33),"")</f>
        <v/>
      </c>
      <c r="I582" s="102" t="str">
        <f>IFERROR(IF($D582="","",VLOOKUP($D582,Cadastro!$C$4:$G$7,5,FALSE())),"")</f>
        <v/>
      </c>
      <c r="J582" s="103" t="str">
        <f t="shared" ref="J582:J593" si="150">IFERROR(IF($H582="","",$H582*$F582*$I582),"")</f>
        <v/>
      </c>
      <c r="K582" s="64" t="str">
        <f t="shared" ref="K582:K593" si="151">IF(G582="","",IF(E582="PC 17",G582*4.2,IF(E582="PC 19",G582*5,IF(E582="CB",G582*24,""))))</f>
        <v/>
      </c>
      <c r="L582" s="61"/>
      <c r="M582" s="61"/>
      <c r="N582" s="61"/>
      <c r="O582" s="65"/>
      <c r="P582" s="65"/>
      <c r="Q582" s="66" t="str">
        <f t="shared" ref="Q582:Q593" ca="1" si="152">IFERROR(IF(O582="","",IF(P582="",MOD(NOW()-O582,1),IF(P582&gt;=O582,P582-O582,P582+1-O582))),"")</f>
        <v/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/>
      <c r="D583" s="62"/>
      <c r="E583" s="87"/>
      <c r="F583" s="88" t="str">
        <f>IFERROR(IF($D583="","",VLOOKUP($D583,Cadastro!$C$4:$E$7,3,FALSE())),"")</f>
        <v/>
      </c>
      <c r="G583" s="89"/>
      <c r="H583" s="88" t="str">
        <f>IFERROR(IF($G583="","",$G583*$S$594/$G$594/Cadastro!$E$33),"")</f>
        <v/>
      </c>
      <c r="I583" s="90" t="str">
        <f>IFERROR(IF($D583="","",VLOOKUP($D583,Cadastro!$C$4:$G$7,5,FALSE())),"")</f>
        <v/>
      </c>
      <c r="J583" s="91" t="str">
        <f t="shared" si="150"/>
        <v/>
      </c>
      <c r="K583" s="69" t="str">
        <f t="shared" si="151"/>
        <v/>
      </c>
      <c r="L583" s="70"/>
      <c r="M583" s="70"/>
      <c r="N583" s="70"/>
      <c r="O583" s="65"/>
      <c r="P583" s="65"/>
      <c r="Q583" s="71" t="str">
        <f t="shared" ca="1" si="152"/>
        <v/>
      </c>
      <c r="R583" s="63"/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/>
      <c r="D584" s="62"/>
      <c r="E584" s="87"/>
      <c r="F584" s="88" t="str">
        <f>IFERROR(IF($D584="","",VLOOKUP($D584,Cadastro!$C$4:$E$7,3,FALSE())),"")</f>
        <v/>
      </c>
      <c r="G584" s="89"/>
      <c r="H584" s="88" t="str">
        <f>IFERROR(IF($G584="","",$G584*$S$594/$G$594/Cadastro!$E$33),"")</f>
        <v/>
      </c>
      <c r="I584" s="90" t="str">
        <f>IFERROR(IF($D584="","",VLOOKUP($D584,Cadastro!$C$4:$G$7,5,FALSE())),"")</f>
        <v/>
      </c>
      <c r="J584" s="91" t="str">
        <f t="shared" si="150"/>
        <v/>
      </c>
      <c r="K584" s="64" t="str">
        <f t="shared" si="151"/>
        <v/>
      </c>
      <c r="L584" s="61"/>
      <c r="M584" s="61"/>
      <c r="N584" s="61"/>
      <c r="O584" s="65"/>
      <c r="P584" s="65"/>
      <c r="Q584" s="66" t="str">
        <f t="shared" ca="1" si="152"/>
        <v/>
      </c>
      <c r="R584" s="63"/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/>
      <c r="D585" s="62"/>
      <c r="E585" s="87"/>
      <c r="F585" s="88" t="str">
        <f>IFERROR(IF($D585="","",VLOOKUP($D585,Cadastro!$C$4:$E$7,3,FALSE())),"")</f>
        <v/>
      </c>
      <c r="G585" s="89"/>
      <c r="H585" s="88" t="str">
        <f>IFERROR(IF($G585="","",$G585*$S$594/$G$594/Cadastro!$E$33),"")</f>
        <v/>
      </c>
      <c r="I585" s="90" t="str">
        <f>IFERROR(IF($D585="","",VLOOKUP($D585,Cadastro!$C$4:$G$7,5,FALSE())),"")</f>
        <v/>
      </c>
      <c r="J585" s="91" t="str">
        <f t="shared" si="150"/>
        <v/>
      </c>
      <c r="K585" s="69" t="str">
        <f t="shared" si="151"/>
        <v/>
      </c>
      <c r="L585" s="70"/>
      <c r="M585" s="70"/>
      <c r="N585" s="70"/>
      <c r="O585" s="65"/>
      <c r="P585" s="65"/>
      <c r="Q585" s="71" t="str">
        <f t="shared" ca="1" si="152"/>
        <v/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/>
      <c r="D586" s="62"/>
      <c r="E586" s="87"/>
      <c r="F586" s="88" t="str">
        <f>IFERROR(IF($D586="","",VLOOKUP($D586,Cadastro!$C$4:$E$7,3,FALSE())),"")</f>
        <v/>
      </c>
      <c r="G586" s="89"/>
      <c r="H586" s="88" t="str">
        <f>IFERROR(IF($G586="","",$G586*$S$594/$G$594/Cadastro!$E$33),"")</f>
        <v/>
      </c>
      <c r="I586" s="90" t="str">
        <f>IFERROR(IF($D586="","",VLOOKUP($D586,Cadastro!$C$4:$G$7,5,FALSE())),"")</f>
        <v/>
      </c>
      <c r="J586" s="91" t="str">
        <f t="shared" si="150"/>
        <v/>
      </c>
      <c r="K586" s="64" t="str">
        <f t="shared" si="151"/>
        <v/>
      </c>
      <c r="L586" s="61"/>
      <c r="M586" s="61"/>
      <c r="N586" s="61"/>
      <c r="O586" s="65"/>
      <c r="P586" s="65"/>
      <c r="Q586" s="66" t="str">
        <f t="shared" ca="1" si="152"/>
        <v/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/>
      <c r="D587" s="62"/>
      <c r="E587" s="87"/>
      <c r="F587" s="88" t="str">
        <f>IFERROR(IF($D587="","",VLOOKUP($D587,Cadastro!$C$4:$E$7,3,FALSE())),"")</f>
        <v/>
      </c>
      <c r="G587" s="89"/>
      <c r="H587" s="88" t="str">
        <f>IFERROR(IF($G587="","",$G587*$S$594/$G$594/Cadastro!$E$33),"")</f>
        <v/>
      </c>
      <c r="I587" s="90" t="str">
        <f>IFERROR(IF($D587="","",VLOOKUP($D587,Cadastro!$C$4:$G$7,5,FALSE())),"")</f>
        <v/>
      </c>
      <c r="J587" s="91" t="str">
        <f t="shared" si="150"/>
        <v/>
      </c>
      <c r="K587" s="69" t="str">
        <f t="shared" si="151"/>
        <v/>
      </c>
      <c r="L587" s="70"/>
      <c r="M587" s="70"/>
      <c r="N587" s="70"/>
      <c r="O587" s="65"/>
      <c r="P587" s="65"/>
      <c r="Q587" s="71" t="str">
        <f t="shared" ca="1" si="152"/>
        <v/>
      </c>
      <c r="R587" s="63"/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/>
      <c r="D588" s="62"/>
      <c r="E588" s="87"/>
      <c r="F588" s="88" t="str">
        <f>IFERROR(IF($D588="","",VLOOKUP($D588,Cadastro!$C$4:$E$7,3,FALSE())),"")</f>
        <v/>
      </c>
      <c r="G588" s="89"/>
      <c r="H588" s="88" t="str">
        <f>IFERROR(IF($G588="","",$G588*$S$594/$G$594/Cadastro!$E$33),"")</f>
        <v/>
      </c>
      <c r="I588" s="90" t="str">
        <f>IFERROR(IF($D588="","",VLOOKUP($D588,Cadastro!$C$4:$G$7,5,FALSE())),"")</f>
        <v/>
      </c>
      <c r="J588" s="91" t="str">
        <f t="shared" si="150"/>
        <v/>
      </c>
      <c r="K588" s="64" t="str">
        <f t="shared" si="151"/>
        <v/>
      </c>
      <c r="L588" s="61"/>
      <c r="M588" s="61"/>
      <c r="N588" s="61"/>
      <c r="O588" s="65"/>
      <c r="P588" s="65"/>
      <c r="Q588" s="66" t="str">
        <f t="shared" ca="1" si="152"/>
        <v/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/>
      <c r="D589" s="62"/>
      <c r="E589" s="87"/>
      <c r="F589" s="88" t="str">
        <f>IFERROR(IF($D589="","",VLOOKUP($D589,Cadastro!$C$4:$E$7,3,FALSE())),"")</f>
        <v/>
      </c>
      <c r="G589" s="89"/>
      <c r="H589" s="88" t="str">
        <f>IFERROR(IF($G589="","",$G589*$S$594/$G$594/Cadastro!$E$33),"")</f>
        <v/>
      </c>
      <c r="I589" s="90" t="str">
        <f>IFERROR(IF($D589="","",VLOOKUP($D589,Cadastro!$C$4:$G$7,5,FALSE())),"")</f>
        <v/>
      </c>
      <c r="J589" s="91" t="str">
        <f t="shared" si="150"/>
        <v/>
      </c>
      <c r="K589" s="69" t="str">
        <f t="shared" si="151"/>
        <v/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/>
      <c r="D590" s="62"/>
      <c r="E590" s="87"/>
      <c r="F590" s="88" t="str">
        <f>IFERROR(IF($D590="","",VLOOKUP($D590,Cadastro!$C$4:$E$7,3,FALSE())),"")</f>
        <v/>
      </c>
      <c r="G590" s="89"/>
      <c r="H590" s="88" t="str">
        <f>IFERROR(IF($G590="","",$G590*$S$594/$G$594/Cadastro!$E$33),"")</f>
        <v/>
      </c>
      <c r="I590" s="90" t="str">
        <f>IFERROR(IF($D590="","",VLOOKUP($D590,Cadastro!$C$4:$G$7,5,FALSE())),"")</f>
        <v/>
      </c>
      <c r="J590" s="91" t="str">
        <f t="shared" si="150"/>
        <v/>
      </c>
      <c r="K590" s="64" t="str">
        <f t="shared" si="151"/>
        <v/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/>
      <c r="D591" s="62"/>
      <c r="E591" s="87"/>
      <c r="F591" s="88" t="str">
        <f>IFERROR(IF($D591="","",VLOOKUP($D591,Cadastro!$C$4:$E$7,3,FALSE())),"")</f>
        <v/>
      </c>
      <c r="G591" s="89"/>
      <c r="H591" s="88" t="str">
        <f>IFERROR(IF($G591="","",$G591*$S$594/$G$594/Cadastro!$E$33),"")</f>
        <v/>
      </c>
      <c r="I591" s="90" t="str">
        <f>IFERROR(IF($D591="","",VLOOKUP($D591,Cadastro!$C$4:$G$7,5,FALSE())),"")</f>
        <v/>
      </c>
      <c r="J591" s="91" t="str">
        <f t="shared" si="150"/>
        <v/>
      </c>
      <c r="K591" s="69" t="str">
        <f t="shared" si="151"/>
        <v/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/>
      <c r="D592" s="62"/>
      <c r="E592" s="87"/>
      <c r="F592" s="88" t="str">
        <f>IFERROR(IF($D592="","",VLOOKUP($D592,Cadastro!$C$4:$E$7,3,FALSE())),"")</f>
        <v/>
      </c>
      <c r="G592" s="89"/>
      <c r="H592" s="88" t="str">
        <f>IFERROR(IF($G592="","",$G592*$S$594/$G$594/Cadastro!$E$33),"")</f>
        <v/>
      </c>
      <c r="I592" s="90" t="str">
        <f>IFERROR(IF($D592="","",VLOOKUP($D592,Cadastro!$C$4:$G$7,5,FALSE())),"")</f>
        <v/>
      </c>
      <c r="J592" s="91" t="str">
        <f t="shared" si="150"/>
        <v/>
      </c>
      <c r="K592" s="64" t="str">
        <f t="shared" si="151"/>
        <v/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/>
      <c r="D593" s="62"/>
      <c r="E593" s="87"/>
      <c r="F593" s="92" t="str">
        <f>IFERROR(IF($D593="","",VLOOKUP($D593,Cadastro!$C$4:$E$7,3,FALSE())),"")</f>
        <v/>
      </c>
      <c r="G593" s="89"/>
      <c r="H593" s="92" t="str">
        <f>IFERROR(IF($G593="","",$G593*$S$594/$G$594/Cadastro!$E$33),"")</f>
        <v/>
      </c>
      <c r="I593" s="93" t="str">
        <f>IFERROR(IF($D593="","",VLOOKUP($D593,Cadastro!$C$4:$G$7,5,FALSE())),"")</f>
        <v/>
      </c>
      <c r="J593" s="94" t="str">
        <f t="shared" si="150"/>
        <v/>
      </c>
      <c r="K593" s="69" t="str">
        <f t="shared" si="151"/>
        <v/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6" t="s">
        <v>263</v>
      </c>
      <c r="B594" s="156"/>
      <c r="C594" s="156"/>
      <c r="D594" s="156"/>
      <c r="E594" s="156"/>
      <c r="F594" s="105"/>
      <c r="G594" s="96">
        <f>SUM(G582:G593)</f>
        <v>0</v>
      </c>
      <c r="H594" s="105">
        <f>IFERROR(SUM(H582:H593),"")</f>
        <v>0</v>
      </c>
      <c r="I594" s="106"/>
      <c r="J594" s="107">
        <f>IFERROR(SUM(J582:J593),"")</f>
        <v>0</v>
      </c>
      <c r="K594" s="2">
        <f>SUM(K582:K593)</f>
        <v>0</v>
      </c>
      <c r="L594" s="72"/>
      <c r="M594" s="72"/>
      <c r="N594" s="72"/>
      <c r="O594" s="134"/>
      <c r="P594" s="134"/>
      <c r="Q594" s="73">
        <f ca="1">IFERROR(SUM(Q582:Q593),"")</f>
        <v>0</v>
      </c>
      <c r="R594" s="2" t="s">
        <v>261</v>
      </c>
      <c r="S594" s="74"/>
      <c r="T594" s="99">
        <f>IFERROR(J594,"")</f>
        <v>0</v>
      </c>
    </row>
    <row r="595" spans="1:20" ht="18" customHeight="1">
      <c r="A595" s="157" t="s">
        <v>249</v>
      </c>
      <c r="B595" s="157"/>
      <c r="C595" s="157"/>
      <c r="D595" s="157"/>
      <c r="E595" s="157"/>
      <c r="F595" s="108"/>
      <c r="G595" s="109">
        <f>G581+G594</f>
        <v>0</v>
      </c>
      <c r="H595" s="108">
        <f>IFERROR(H581+H594,"")</f>
        <v>0</v>
      </c>
      <c r="I595" s="110"/>
      <c r="J595" s="111">
        <f>IFERROR(J581+J594,"")</f>
        <v>0</v>
      </c>
      <c r="K595" s="1">
        <f>K581+K594</f>
        <v>0</v>
      </c>
      <c r="L595" s="76"/>
      <c r="M595" s="76"/>
      <c r="N595" s="76"/>
      <c r="O595" s="135"/>
      <c r="P595" s="135"/>
      <c r="Q595" s="77">
        <f ca="1">IFERROR(Q581+Q594,"")</f>
        <v>0</v>
      </c>
      <c r="R595" s="1" t="s">
        <v>264</v>
      </c>
      <c r="S595" s="82">
        <f>IFERROR(S581+S594,"")</f>
        <v>0</v>
      </c>
      <c r="T595" s="118">
        <f>IFERROR(J595,"")</f>
        <v>0</v>
      </c>
    </row>
    <row r="596" spans="1:20" ht="15" customHeight="1">
      <c r="A596" s="59">
        <v>46257</v>
      </c>
      <c r="B596" s="60">
        <v>0.33333333333333298</v>
      </c>
      <c r="C596" s="61"/>
      <c r="D596" s="62"/>
      <c r="E596" s="87"/>
      <c r="F596" s="101" t="str">
        <f>IFERROR(IF($D596="","",VLOOKUP($D596,Cadastro!$C$4:$E$7,3,FALSE())),"")</f>
        <v/>
      </c>
      <c r="G596" s="89"/>
      <c r="H596" s="101" t="str">
        <f>IFERROR(IF($G596="","",$G596*$S$608/$G$608/Cadastro!$E$33),"")</f>
        <v/>
      </c>
      <c r="I596" s="102" t="str">
        <f>IFERROR(IF($D596="","",VLOOKUP($D596,Cadastro!$C$4:$G$7,5,FALSE())),"")</f>
        <v/>
      </c>
      <c r="J596" s="103" t="str">
        <f t="shared" ref="J596:J607" si="154">IFERROR(IF($H596="","",$H596*$F596*$I596),"")</f>
        <v/>
      </c>
      <c r="K596" s="64" t="str">
        <f t="shared" ref="K596:K607" si="155">IF(G596="","",IF(E596="PC 17",G596*4.2,IF(E596="PC 19",G596*5,IF(E596="CB",G596*24,""))))</f>
        <v/>
      </c>
      <c r="L596" s="61"/>
      <c r="M596" s="61"/>
      <c r="N596" s="61"/>
      <c r="O596" s="65"/>
      <c r="P596" s="65"/>
      <c r="Q596" s="66" t="str">
        <f t="shared" ref="Q596:Q607" ca="1" si="156">IFERROR(IF(O596="","",IF(P596="",MOD(NOW()-O596,1),IF(P596&gt;=O596,P596-O596,P596+1-O596))),"")</f>
        <v/>
      </c>
      <c r="R596" s="63"/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/>
      <c r="D597" s="62"/>
      <c r="E597" s="87"/>
      <c r="F597" s="88" t="str">
        <f>IFERROR(IF($D597="","",VLOOKUP($D597,Cadastro!$C$4:$E$7,3,FALSE())),"")</f>
        <v/>
      </c>
      <c r="G597" s="89"/>
      <c r="H597" s="88" t="str">
        <f>IFERROR(IF($G597="","",$G597*$S$608/$G$608/Cadastro!$E$33),"")</f>
        <v/>
      </c>
      <c r="I597" s="90" t="str">
        <f>IFERROR(IF($D597="","",VLOOKUP($D597,Cadastro!$C$4:$G$7,5,FALSE())),"")</f>
        <v/>
      </c>
      <c r="J597" s="91" t="str">
        <f t="shared" si="154"/>
        <v/>
      </c>
      <c r="K597" s="69" t="str">
        <f t="shared" si="155"/>
        <v/>
      </c>
      <c r="L597" s="70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/>
      <c r="D598" s="62"/>
      <c r="E598" s="87"/>
      <c r="F598" s="88" t="str">
        <f>IFERROR(IF($D598="","",VLOOKUP($D598,Cadastro!$C$4:$E$7,3,FALSE())),"")</f>
        <v/>
      </c>
      <c r="G598" s="89"/>
      <c r="H598" s="88" t="str">
        <f>IFERROR(IF($G598="","",$G598*$S$608/$G$608/Cadastro!$E$33),"")</f>
        <v/>
      </c>
      <c r="I598" s="90" t="str">
        <f>IFERROR(IF($D598="","",VLOOKUP($D598,Cadastro!$C$4:$G$7,5,FALSE())),"")</f>
        <v/>
      </c>
      <c r="J598" s="91" t="str">
        <f t="shared" si="154"/>
        <v/>
      </c>
      <c r="K598" s="64" t="str">
        <f t="shared" si="155"/>
        <v/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/>
      <c r="D599" s="62"/>
      <c r="E599" s="87"/>
      <c r="F599" s="88" t="str">
        <f>IFERROR(IF($D599="","",VLOOKUP($D599,Cadastro!$C$4:$E$7,3,FALSE())),"")</f>
        <v/>
      </c>
      <c r="G599" s="89"/>
      <c r="H599" s="88" t="str">
        <f>IFERROR(IF($G599="","",$G599*$S$608/$G$608/Cadastro!$E$33),"")</f>
        <v/>
      </c>
      <c r="I599" s="90" t="str">
        <f>IFERROR(IF($D599="","",VLOOKUP($D599,Cadastro!$C$4:$G$7,5,FALSE())),"")</f>
        <v/>
      </c>
      <c r="J599" s="91" t="str">
        <f t="shared" si="154"/>
        <v/>
      </c>
      <c r="K599" s="69" t="str">
        <f t="shared" si="155"/>
        <v/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/>
      <c r="D600" s="62"/>
      <c r="E600" s="87"/>
      <c r="F600" s="88" t="str">
        <f>IFERROR(IF($D600="","",VLOOKUP($D600,Cadastro!$C$4:$E$7,3,FALSE())),"")</f>
        <v/>
      </c>
      <c r="G600" s="89"/>
      <c r="H600" s="88" t="str">
        <f>IFERROR(IF($G600="","",$G600*$S$608/$G$608/Cadastro!$E$33),"")</f>
        <v/>
      </c>
      <c r="I600" s="90" t="str">
        <f>IFERROR(IF($D600="","",VLOOKUP($D600,Cadastro!$C$4:$G$7,5,FALSE())),"")</f>
        <v/>
      </c>
      <c r="J600" s="91" t="str">
        <f t="shared" si="154"/>
        <v/>
      </c>
      <c r="K600" s="64" t="str">
        <f t="shared" si="155"/>
        <v/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/>
      <c r="D601" s="62"/>
      <c r="E601" s="87"/>
      <c r="F601" s="88" t="str">
        <f>IFERROR(IF($D601="","",VLOOKUP($D601,Cadastro!$C$4:$E$7,3,FALSE())),"")</f>
        <v/>
      </c>
      <c r="G601" s="89"/>
      <c r="H601" s="88" t="str">
        <f>IFERROR(IF($G601="","",$G601*$S$608/$G$608/Cadastro!$E$33),"")</f>
        <v/>
      </c>
      <c r="I601" s="90" t="str">
        <f>IFERROR(IF($D601="","",VLOOKUP($D601,Cadastro!$C$4:$G$7,5,FALSE())),"")</f>
        <v/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/>
      <c r="D602" s="62"/>
      <c r="E602" s="87"/>
      <c r="F602" s="88" t="str">
        <f>IFERROR(IF($D602="","",VLOOKUP($D602,Cadastro!$C$4:$E$7,3,FALSE())),"")</f>
        <v/>
      </c>
      <c r="G602" s="89"/>
      <c r="H602" s="88" t="str">
        <f>IFERROR(IF($G602="","",$G602*$S$608/$G$608/Cadastro!$E$33),"")</f>
        <v/>
      </c>
      <c r="I602" s="90" t="str">
        <f>IFERROR(IF($D602="","",VLOOKUP($D602,Cadastro!$C$4:$G$7,5,FALSE())),"")</f>
        <v/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/>
      <c r="D603" s="62"/>
      <c r="E603" s="87"/>
      <c r="F603" s="88" t="str">
        <f>IFERROR(IF($D603="","",VLOOKUP($D603,Cadastro!$C$4:$E$7,3,FALSE())),"")</f>
        <v/>
      </c>
      <c r="G603" s="89"/>
      <c r="H603" s="88" t="str">
        <f>IFERROR(IF($G603="","",$G603*$S$608/$G$608/Cadastro!$E$33),"")</f>
        <v/>
      </c>
      <c r="I603" s="90" t="str">
        <f>IFERROR(IF($D603="","",VLOOKUP($D603,Cadastro!$C$4:$G$7,5,FALSE())),"")</f>
        <v/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/>
      <c r="D604" s="62"/>
      <c r="E604" s="87"/>
      <c r="F604" s="88" t="str">
        <f>IFERROR(IF($D604="","",VLOOKUP($D604,Cadastro!$C$4:$E$7,3,FALSE())),"")</f>
        <v/>
      </c>
      <c r="G604" s="89"/>
      <c r="H604" s="88" t="str">
        <f>IFERROR(IF($G604="","",$G604*$S$608/$G$608/Cadastro!$E$33),"")</f>
        <v/>
      </c>
      <c r="I604" s="90" t="str">
        <f>IFERROR(IF($D604="","",VLOOKUP($D604,Cadastro!$C$4:$G$7,5,FALSE())),"")</f>
        <v/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/>
      <c r="D605" s="62"/>
      <c r="E605" s="87"/>
      <c r="F605" s="88" t="str">
        <f>IFERROR(IF($D605="","",VLOOKUP($D605,Cadastro!$C$4:$E$7,3,FALSE())),"")</f>
        <v/>
      </c>
      <c r="G605" s="89"/>
      <c r="H605" s="88" t="str">
        <f>IFERROR(IF($G605="","",$G605*$S$608/$G$608/Cadastro!$E$33),"")</f>
        <v/>
      </c>
      <c r="I605" s="90" t="str">
        <f>IFERROR(IF($D605="","",VLOOKUP($D605,Cadastro!$C$4:$G$7,5,FALSE())),"")</f>
        <v/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/>
      <c r="D606" s="62"/>
      <c r="E606" s="87"/>
      <c r="F606" s="88" t="str">
        <f>IFERROR(IF($D606="","",VLOOKUP($D606,Cadastro!$C$4:$E$7,3,FALSE())),"")</f>
        <v/>
      </c>
      <c r="G606" s="89"/>
      <c r="H606" s="88" t="str">
        <f>IFERROR(IF($G606="","",$G606*$S$608/$G$608/Cadastro!$E$33),"")</f>
        <v/>
      </c>
      <c r="I606" s="90" t="str">
        <f>IFERROR(IF($D606="","",VLOOKUP($D606,Cadastro!$C$4:$G$7,5,FALSE())),"")</f>
        <v/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/>
      <c r="D607" s="62"/>
      <c r="E607" s="87"/>
      <c r="F607" s="92" t="str">
        <f>IFERROR(IF($D607="","",VLOOKUP($D607,Cadastro!$C$4:$E$7,3,FALSE())),"")</f>
        <v/>
      </c>
      <c r="G607" s="89"/>
      <c r="H607" s="92" t="str">
        <f>IFERROR(IF($G607="","",$G607*$S$608/$G$608/Cadastro!$E$33),"")</f>
        <v/>
      </c>
      <c r="I607" s="93" t="str">
        <f>IFERROR(IF($D607="","",VLOOKUP($D607,Cadastro!$C$4:$G$7,5,FALSE())),"")</f>
        <v/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6" t="s">
        <v>260</v>
      </c>
      <c r="B608" s="156"/>
      <c r="C608" s="156"/>
      <c r="D608" s="156"/>
      <c r="E608" s="156"/>
      <c r="F608" s="95"/>
      <c r="G608" s="96">
        <f>SUM(G596:G607)</f>
        <v>0</v>
      </c>
      <c r="H608" s="95">
        <f>IFERROR(SUM(H596:H607),"")</f>
        <v>0</v>
      </c>
      <c r="I608" s="97"/>
      <c r="J608" s="98">
        <f>IFERROR(SUM(J596:J607),"")</f>
        <v>0</v>
      </c>
      <c r="K608" s="2">
        <f>SUM(K596:K607)</f>
        <v>0</v>
      </c>
      <c r="L608" s="72"/>
      <c r="M608" s="72"/>
      <c r="N608" s="72"/>
      <c r="O608" s="134"/>
      <c r="P608" s="134"/>
      <c r="Q608" s="73">
        <f ca="1">IFERROR(SUM(Q596:Q607),"")</f>
        <v>0</v>
      </c>
      <c r="R608" s="2" t="s">
        <v>261</v>
      </c>
      <c r="S608" s="74"/>
      <c r="T608" s="99">
        <f>IFERROR(J608,"")</f>
        <v>0</v>
      </c>
    </row>
    <row r="609" spans="1:20" ht="15" customHeight="1">
      <c r="A609" s="18">
        <v>46257</v>
      </c>
      <c r="B609" s="68">
        <v>0.83333333333333304</v>
      </c>
      <c r="C609" s="70"/>
      <c r="D609" s="75"/>
      <c r="E609" s="100"/>
      <c r="F609" s="101" t="str">
        <f>IFERROR(IF($D609="","",VLOOKUP($D609,Cadastro!$C$4:$E$7,3,FALSE())),"")</f>
        <v/>
      </c>
      <c r="G609" s="89"/>
      <c r="H609" s="101" t="str">
        <f>IFERROR(IF($G609="","",$G609*$S$621/$G$621/Cadastro!$E$33),"")</f>
        <v/>
      </c>
      <c r="I609" s="102" t="str">
        <f>IFERROR(IF($D609="","",VLOOKUP($D609,Cadastro!$C$4:$G$7,5,FALSE())),"")</f>
        <v/>
      </c>
      <c r="J609" s="103" t="str">
        <f t="shared" ref="J609:J620" si="158">IFERROR(IF($H609="","",$H609*$F609*$I609),"")</f>
        <v/>
      </c>
      <c r="K609" s="69" t="str">
        <f t="shared" ref="K609:K614" si="159">IF(G609="","",IF(E609="PC 17",G609*4.2,IF(E609="PC 19",G609*5,IF(E609="CB",G609*24,""))))</f>
        <v/>
      </c>
      <c r="L609" s="70"/>
      <c r="M609" s="70"/>
      <c r="N609" s="70"/>
      <c r="O609" s="65"/>
      <c r="P609" s="65"/>
      <c r="Q609" s="71" t="str">
        <f t="shared" ref="Q609:Q620" ca="1" si="160">IFERROR(IF(O609="","",IF(P609="",MOD(NOW()-O609,1),IF(P609&gt;=O609,P609-O609,P609+1-O609))),"")</f>
        <v/>
      </c>
      <c r="R609" s="63"/>
      <c r="S609" s="133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/>
      <c r="D610" s="75"/>
      <c r="E610" s="100"/>
      <c r="F610" s="88" t="str">
        <f>IFERROR(IF($D610="","",VLOOKUP($D610,Cadastro!$C$4:$E$7,3,FALSE())),"")</f>
        <v/>
      </c>
      <c r="G610" s="89"/>
      <c r="H610" s="88" t="str">
        <f>IFERROR(IF($G610="","",$G610*$S$621/$G$621/Cadastro!$E$33),"")</f>
        <v/>
      </c>
      <c r="I610" s="90" t="str">
        <f>IFERROR(IF($D610="","",VLOOKUP($D610,Cadastro!$C$4:$G$7,5,FALSE())),"")</f>
        <v/>
      </c>
      <c r="J610" s="91" t="str">
        <f t="shared" si="158"/>
        <v/>
      </c>
      <c r="K610" s="64" t="str">
        <f t="shared" si="159"/>
        <v/>
      </c>
      <c r="L610" s="61"/>
      <c r="M610" s="61"/>
      <c r="N610" s="61"/>
      <c r="O610" s="65"/>
      <c r="P610" s="65"/>
      <c r="Q610" s="66" t="str">
        <f t="shared" ca="1" si="160"/>
        <v/>
      </c>
      <c r="R610" s="63"/>
      <c r="S610" s="133"/>
    </row>
    <row r="611" spans="1:20" ht="15" customHeight="1">
      <c r="A611" s="18">
        <v>46257</v>
      </c>
      <c r="B611" s="68">
        <f t="shared" si="161"/>
        <v>0.9166666666666663</v>
      </c>
      <c r="C611" s="70"/>
      <c r="D611" s="75"/>
      <c r="E611" s="100"/>
      <c r="F611" s="88" t="str">
        <f>IFERROR(IF($D611="","",VLOOKUP($D611,Cadastro!$C$4:$E$7,3,FALSE())),"")</f>
        <v/>
      </c>
      <c r="G611" s="89"/>
      <c r="H611" s="88" t="str">
        <f>IFERROR(IF($G611="","",$G611*$S$621/$G$621/Cadastro!$E$33),"")</f>
        <v/>
      </c>
      <c r="I611" s="90" t="str">
        <f>IFERROR(IF($D611="","",VLOOKUP($D611,Cadastro!$C$4:$G$7,5,FALSE())),"")</f>
        <v/>
      </c>
      <c r="J611" s="91" t="str">
        <f t="shared" si="158"/>
        <v/>
      </c>
      <c r="K611" s="69" t="str">
        <f t="shared" si="159"/>
        <v/>
      </c>
      <c r="L611" s="70"/>
      <c r="M611" s="70"/>
      <c r="N611" s="70"/>
      <c r="O611" s="65"/>
      <c r="P611" s="65"/>
      <c r="Q611" s="71" t="str">
        <f t="shared" ca="1" si="160"/>
        <v/>
      </c>
      <c r="R611" s="63"/>
      <c r="S611" s="133"/>
    </row>
    <row r="612" spans="1:20" ht="15" customHeight="1">
      <c r="A612" s="59">
        <v>46257</v>
      </c>
      <c r="B612" s="60">
        <f t="shared" si="161"/>
        <v>0.95833333333333293</v>
      </c>
      <c r="C612" s="70"/>
      <c r="D612" s="75"/>
      <c r="E612" s="100"/>
      <c r="F612" s="88" t="str">
        <f>IFERROR(IF($D612="","",VLOOKUP($D612,Cadastro!$C$4:$E$7,3,FALSE())),"")</f>
        <v/>
      </c>
      <c r="G612" s="89"/>
      <c r="H612" s="88" t="str">
        <f>IFERROR(IF($G612="","",$G612*$S$621/$G$621/Cadastro!$E$33),"")</f>
        <v/>
      </c>
      <c r="I612" s="90" t="str">
        <f>IFERROR(IF($D612="","",VLOOKUP($D612,Cadastro!$C$4:$G$7,5,FALSE())),"")</f>
        <v/>
      </c>
      <c r="J612" s="91" t="str">
        <f t="shared" si="158"/>
        <v/>
      </c>
      <c r="K612" s="64" t="str">
        <f t="shared" si="159"/>
        <v/>
      </c>
      <c r="L612" s="61"/>
      <c r="M612" s="61"/>
      <c r="N612" s="61"/>
      <c r="O612" s="65"/>
      <c r="P612" s="65"/>
      <c r="Q612" s="66" t="str">
        <f t="shared" ca="1" si="160"/>
        <v/>
      </c>
      <c r="R612" s="63"/>
      <c r="S612" s="133"/>
    </row>
    <row r="613" spans="1:20" ht="15" customHeight="1">
      <c r="A613" s="18">
        <v>46257</v>
      </c>
      <c r="B613" s="68">
        <f t="shared" si="161"/>
        <v>0.99999999999999956</v>
      </c>
      <c r="C613" s="70"/>
      <c r="D613" s="75"/>
      <c r="E613" s="100"/>
      <c r="F613" s="88" t="str">
        <f>IFERROR(IF($D613="","",VLOOKUP($D613,Cadastro!$C$4:$E$7,3,FALSE())),"")</f>
        <v/>
      </c>
      <c r="G613" s="89"/>
      <c r="H613" s="88" t="str">
        <f>IFERROR(IF($G613="","",$G613*$S$621/$G$621/Cadastro!$E$33),"")</f>
        <v/>
      </c>
      <c r="I613" s="90" t="str">
        <f>IFERROR(IF($D613="","",VLOOKUP($D613,Cadastro!$C$4:$G$7,5,FALSE())),"")</f>
        <v/>
      </c>
      <c r="J613" s="91" t="str">
        <f t="shared" si="158"/>
        <v/>
      </c>
      <c r="K613" s="69" t="str">
        <f t="shared" si="159"/>
        <v/>
      </c>
      <c r="L613" s="70"/>
      <c r="M613" s="70"/>
      <c r="N613" s="70"/>
      <c r="O613" s="65"/>
      <c r="P613" s="65"/>
      <c r="Q613" s="71" t="str">
        <f t="shared" ca="1" si="160"/>
        <v/>
      </c>
      <c r="R613" s="63"/>
      <c r="S613" s="133"/>
    </row>
    <row r="614" spans="1:20" ht="15" customHeight="1">
      <c r="A614" s="59">
        <v>46257</v>
      </c>
      <c r="B614" s="60">
        <f t="shared" si="161"/>
        <v>1.0416666666666663</v>
      </c>
      <c r="C614" s="70"/>
      <c r="D614" s="75"/>
      <c r="E614" s="100"/>
      <c r="F614" s="88" t="str">
        <f>IFERROR(IF($D614="","",VLOOKUP($D614,Cadastro!$C$4:$E$7,3,FALSE())),"")</f>
        <v/>
      </c>
      <c r="G614" s="89"/>
      <c r="H614" s="88" t="str">
        <f>IFERROR(IF($G614="","",$G614*$S$621/$G$621/Cadastro!$E$33),"")</f>
        <v/>
      </c>
      <c r="I614" s="90" t="str">
        <f>IFERROR(IF($D614="","",VLOOKUP($D614,Cadastro!$C$4:$G$7,5,FALSE())),"")</f>
        <v/>
      </c>
      <c r="J614" s="91" t="str">
        <f t="shared" si="158"/>
        <v/>
      </c>
      <c r="K614" s="64" t="str">
        <f t="shared" si="159"/>
        <v/>
      </c>
      <c r="L614" s="61"/>
      <c r="M614" s="61"/>
      <c r="N614" s="61"/>
      <c r="O614" s="65"/>
      <c r="P614" s="65"/>
      <c r="Q614" s="66" t="str">
        <f t="shared" ca="1" si="160"/>
        <v/>
      </c>
      <c r="R614" s="63"/>
      <c r="S614" s="133"/>
    </row>
    <row r="615" spans="1:20" ht="15" customHeight="1">
      <c r="A615" s="18">
        <v>46257</v>
      </c>
      <c r="B615" s="68">
        <f t="shared" si="161"/>
        <v>1.083333333333333</v>
      </c>
      <c r="C615" s="70"/>
      <c r="D615" s="75"/>
      <c r="E615" s="100"/>
      <c r="F615" s="88" t="str">
        <f>IFERROR(IF($D615="","",VLOOKUP($D615,Cadastro!$C$4:$E$7,3,FALSE())),"")</f>
        <v/>
      </c>
      <c r="G615" s="89"/>
      <c r="H615" s="88" t="str">
        <f>IFERROR(IF($G615="","",$G615*$S$621/$G$621/Cadastro!$E$33),"")</f>
        <v/>
      </c>
      <c r="I615" s="90" t="str">
        <f>IFERROR(IF($D615="","",VLOOKUP($D615,Cadastro!$C$4:$G$7,5,FALSE())),"")</f>
        <v/>
      </c>
      <c r="J615" s="91" t="str">
        <f t="shared" si="158"/>
        <v/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63"/>
      <c r="S615" s="133"/>
    </row>
    <row r="616" spans="1:20" ht="15" customHeight="1">
      <c r="A616" s="59">
        <v>46257</v>
      </c>
      <c r="B616" s="60">
        <f t="shared" si="161"/>
        <v>1.1249999999999998</v>
      </c>
      <c r="C616" s="70"/>
      <c r="D616" s="75"/>
      <c r="E616" s="100"/>
      <c r="F616" s="88" t="str">
        <f>IFERROR(IF($D616="","",VLOOKUP($D616,Cadastro!$C$4:$E$7,3,FALSE())),"")</f>
        <v/>
      </c>
      <c r="G616" s="89"/>
      <c r="H616" s="88" t="str">
        <f>IFERROR(IF($G616="","",$G616*$S$621/$G$621/Cadastro!$E$33),"")</f>
        <v/>
      </c>
      <c r="I616" s="90" t="str">
        <f>IFERROR(IF($D616="","",VLOOKUP($D616,Cadastro!$C$4:$G$7,5,FALSE())),"")</f>
        <v/>
      </c>
      <c r="J616" s="91" t="str">
        <f t="shared" si="158"/>
        <v/>
      </c>
      <c r="K616" s="64" t="str">
        <f>IF(G616="","",IF(E616="PC 17",G616*4.2,IF(E616="PC 19",G616*5,IF(E616="CB",G616*24,""))))</f>
        <v/>
      </c>
      <c r="L616" s="61"/>
      <c r="M616" s="61"/>
      <c r="N616" s="61"/>
      <c r="O616" s="65"/>
      <c r="P616" s="65"/>
      <c r="Q616" s="66" t="str">
        <f t="shared" ca="1" si="160"/>
        <v/>
      </c>
      <c r="R616" s="63"/>
      <c r="S616" s="133"/>
    </row>
    <row r="617" spans="1:20" ht="15" customHeight="1">
      <c r="A617" s="18">
        <v>46257</v>
      </c>
      <c r="B617" s="68">
        <f t="shared" si="161"/>
        <v>1.1666666666666665</v>
      </c>
      <c r="C617" s="70"/>
      <c r="D617" s="75"/>
      <c r="E617" s="100"/>
      <c r="F617" s="88" t="str">
        <f>IFERROR(IF($D617="","",VLOOKUP($D617,Cadastro!$C$4:$E$7,3,FALSE())),"")</f>
        <v/>
      </c>
      <c r="G617" s="89"/>
      <c r="H617" s="88" t="str">
        <f>IFERROR(IF($G617="","",$G617*$S$621/$G$621/Cadastro!$E$33),"")</f>
        <v/>
      </c>
      <c r="I617" s="90" t="str">
        <f>IFERROR(IF($D617="","",VLOOKUP($D617,Cadastro!$C$4:$G$7,5,FALSE())),"")</f>
        <v/>
      </c>
      <c r="J617" s="91" t="str">
        <f t="shared" si="158"/>
        <v/>
      </c>
      <c r="K617" s="69" t="str">
        <f>IF(G617="","",IF(E617="PC 17",G617*4.2,IF(E617="PC 19",G617*5,IF(E617="CB",G617*24,""))))</f>
        <v/>
      </c>
      <c r="L617" s="70"/>
      <c r="M617" s="70"/>
      <c r="N617" s="70"/>
      <c r="O617" s="65"/>
      <c r="P617" s="65"/>
      <c r="Q617" s="71" t="str">
        <f t="shared" ca="1" si="160"/>
        <v/>
      </c>
      <c r="R617" s="63"/>
      <c r="S617" s="133"/>
    </row>
    <row r="618" spans="1:20" ht="15" customHeight="1">
      <c r="A618" s="59">
        <v>46257</v>
      </c>
      <c r="B618" s="60">
        <f t="shared" si="161"/>
        <v>1.2083333333333333</v>
      </c>
      <c r="C618" s="70"/>
      <c r="D618" s="75"/>
      <c r="E618" s="100"/>
      <c r="F618" s="88" t="str">
        <f>IFERROR(IF($D618="","",VLOOKUP($D618,Cadastro!$C$4:$E$7,3,FALSE())),"")</f>
        <v/>
      </c>
      <c r="G618" s="89"/>
      <c r="H618" s="88" t="str">
        <f>IFERROR(IF($G618="","",$G618*$S$621/$G$621/Cadastro!$E$33),"")</f>
        <v/>
      </c>
      <c r="I618" s="90" t="str">
        <f>IFERROR(IF($D618="","",VLOOKUP($D618,Cadastro!$C$4:$G$7,5,FALSE())),"")</f>
        <v/>
      </c>
      <c r="J618" s="91" t="str">
        <f t="shared" si="158"/>
        <v/>
      </c>
      <c r="K618" s="64" t="str">
        <f>IF(G618="","",IF(E618="PC 17",G618*4.2,IF(E618="PC 19",G618*5,IF(E618="CB",G618*24,""))))</f>
        <v/>
      </c>
      <c r="L618" s="61"/>
      <c r="M618" s="61"/>
      <c r="N618" s="61"/>
      <c r="O618" s="65"/>
      <c r="P618" s="65"/>
      <c r="Q618" s="66" t="str">
        <f t="shared" ca="1" si="160"/>
        <v/>
      </c>
      <c r="R618" s="63"/>
      <c r="S618" s="133"/>
    </row>
    <row r="619" spans="1:20" ht="15" customHeight="1">
      <c r="A619" s="18">
        <v>46257</v>
      </c>
      <c r="B619" s="68">
        <f t="shared" si="161"/>
        <v>1.25</v>
      </c>
      <c r="C619" s="70"/>
      <c r="D619" s="75"/>
      <c r="E619" s="100"/>
      <c r="F619" s="88" t="str">
        <f>IFERROR(IF($D619="","",VLOOKUP($D619,Cadastro!$C$4:$E$7,3,FALSE())),"")</f>
        <v/>
      </c>
      <c r="G619" s="89"/>
      <c r="H619" s="88" t="str">
        <f>IFERROR(IF($G619="","",$G619*$S$621/$G$621/Cadastro!$E$33),"")</f>
        <v/>
      </c>
      <c r="I619" s="90" t="str">
        <f>IFERROR(IF($D619="","",VLOOKUP($D619,Cadastro!$C$4:$G$7,5,FALSE())),"")</f>
        <v/>
      </c>
      <c r="J619" s="91" t="str">
        <f t="shared" si="158"/>
        <v/>
      </c>
      <c r="K619" s="69" t="str">
        <f>IF(G619="","",IF(E619="PC 17",G619*4.2,IF(E619="PC 19",G619*5,IF(E619="CB",G619*24,""))))</f>
        <v/>
      </c>
      <c r="L619" s="70"/>
      <c r="M619" s="70"/>
      <c r="N619" s="70"/>
      <c r="O619" s="65"/>
      <c r="P619" s="65"/>
      <c r="Q619" s="71" t="str">
        <f t="shared" ca="1" si="160"/>
        <v/>
      </c>
      <c r="R619" s="63"/>
      <c r="S619" s="133"/>
    </row>
    <row r="620" spans="1:20" ht="15" customHeight="1">
      <c r="A620" s="59">
        <v>46257</v>
      </c>
      <c r="B620" s="60">
        <f t="shared" si="161"/>
        <v>1.2916666666666667</v>
      </c>
      <c r="C620" s="70"/>
      <c r="D620" s="75"/>
      <c r="E620" s="100"/>
      <c r="F620" s="92" t="str">
        <f>IFERROR(IF($D620="","",VLOOKUP($D620,Cadastro!$C$4:$E$7,3,FALSE())),"")</f>
        <v/>
      </c>
      <c r="G620" s="89"/>
      <c r="H620" s="92" t="str">
        <f>IFERROR(IF($G620="","",$G620*$S$621/$G$621/Cadastro!$E$33),"")</f>
        <v/>
      </c>
      <c r="I620" s="93" t="str">
        <f>IFERROR(IF($D620="","",VLOOKUP($D620,Cadastro!$C$4:$G$7,5,FALSE())),"")</f>
        <v/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63"/>
      <c r="S620" s="133"/>
    </row>
    <row r="621" spans="1:20" ht="15.75" customHeight="1">
      <c r="A621" s="156" t="s">
        <v>263</v>
      </c>
      <c r="B621" s="156"/>
      <c r="C621" s="156"/>
      <c r="D621" s="156"/>
      <c r="E621" s="156"/>
      <c r="F621" s="105"/>
      <c r="G621" s="96">
        <f>SUM(G609:G620)</f>
        <v>0</v>
      </c>
      <c r="H621" s="105">
        <f>IFERROR(SUM(H609:H620),"")</f>
        <v>0</v>
      </c>
      <c r="I621" s="106"/>
      <c r="J621" s="107">
        <f>IFERROR(SUM(J609:J620),"")</f>
        <v>0</v>
      </c>
      <c r="K621" s="2">
        <f>SUM(K609:K620)</f>
        <v>0</v>
      </c>
      <c r="L621" s="72"/>
      <c r="M621" s="72"/>
      <c r="N621" s="72"/>
      <c r="O621" s="134"/>
      <c r="P621" s="134"/>
      <c r="Q621" s="73">
        <f ca="1">IFERROR(SUM(Q609:Q620),"")</f>
        <v>0</v>
      </c>
      <c r="R621" s="2" t="s">
        <v>261</v>
      </c>
      <c r="S621" s="74"/>
      <c r="T621" s="99">
        <f>IFERROR(J621,"")</f>
        <v>0</v>
      </c>
    </row>
    <row r="622" spans="1:20" ht="18" customHeight="1">
      <c r="A622" s="157" t="s">
        <v>249</v>
      </c>
      <c r="B622" s="157"/>
      <c r="C622" s="157"/>
      <c r="D622" s="157"/>
      <c r="E622" s="157"/>
      <c r="F622" s="108"/>
      <c r="G622" s="109">
        <f>G608+G621</f>
        <v>0</v>
      </c>
      <c r="H622" s="108">
        <f>IFERROR(H608+H621,"")</f>
        <v>0</v>
      </c>
      <c r="I622" s="110"/>
      <c r="J622" s="111">
        <f>IFERROR(J608+J621,"")</f>
        <v>0</v>
      </c>
      <c r="K622" s="1">
        <f>K608+K621</f>
        <v>0</v>
      </c>
      <c r="L622" s="76"/>
      <c r="M622" s="76"/>
      <c r="N622" s="76"/>
      <c r="O622" s="135"/>
      <c r="P622" s="135"/>
      <c r="Q622" s="77">
        <f ca="1">IFERROR(Q608+Q621,"")</f>
        <v>0</v>
      </c>
      <c r="R622" s="1" t="s">
        <v>264</v>
      </c>
      <c r="S622" s="82">
        <f>IFERROR(S608+S621,"")</f>
        <v>0</v>
      </c>
      <c r="T622" s="118">
        <f>IFERROR(J622,"")</f>
        <v>0</v>
      </c>
    </row>
    <row r="623" spans="1:20" ht="15" customHeight="1">
      <c r="A623" s="18">
        <v>46258</v>
      </c>
      <c r="B623" s="68">
        <v>0.33333333333333298</v>
      </c>
      <c r="C623" s="70"/>
      <c r="D623" s="75"/>
      <c r="E623" s="100"/>
      <c r="F623" s="101" t="str">
        <f>IFERROR(IF($D623="","",VLOOKUP($D623,Cadastro!$C$4:$E$7,3,FALSE())),"")</f>
        <v/>
      </c>
      <c r="G623" s="89"/>
      <c r="H623" s="101" t="str">
        <f>IFERROR(IF($G623="","",$G623*$S$635/$G$635/Cadastro!$E$33),"")</f>
        <v/>
      </c>
      <c r="I623" s="102" t="str">
        <f>IFERROR(IF($D623="","",VLOOKUP($D623,Cadastro!$C$4:$G$7,5,FALSE())),"")</f>
        <v/>
      </c>
      <c r="J623" s="103" t="str">
        <f t="shared" ref="J623:J634" si="162">IFERROR(IF($H623="","",$H623*$F623*$I623),"")</f>
        <v/>
      </c>
      <c r="K623" s="69" t="str">
        <f t="shared" ref="K623:K634" si="163">IF(G623="","",IF(E623="PC 17",G623*4.2,IF(E623="PC 19",G623*5,IF(E623="CB",G623*24,""))))</f>
        <v/>
      </c>
      <c r="L623" s="70"/>
      <c r="M623" s="70"/>
      <c r="N623" s="70"/>
      <c r="O623" s="65"/>
      <c r="P623" s="65"/>
      <c r="Q623" s="71" t="str">
        <f t="shared" ref="Q623:Q634" ca="1" si="164">IFERROR(IF(O623="","",IF(P623="",MOD(NOW()-O623,1),IF(P623&gt;=O623,P623-O623,P623+1-O623))),"")</f>
        <v/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/>
      <c r="D624" s="75"/>
      <c r="E624" s="100"/>
      <c r="F624" s="88" t="str">
        <f>IFERROR(IF($D624="","",VLOOKUP($D624,Cadastro!$C$4:$E$7,3,FALSE())),"")</f>
        <v/>
      </c>
      <c r="G624" s="89"/>
      <c r="H624" s="88" t="str">
        <f>IFERROR(IF($G624="","",$G624*$S$635/$G$635/Cadastro!$E$33),"")</f>
        <v/>
      </c>
      <c r="I624" s="90" t="str">
        <f>IFERROR(IF($D624="","",VLOOKUP($D624,Cadastro!$C$4:$G$7,5,FALSE())),"")</f>
        <v/>
      </c>
      <c r="J624" s="91" t="str">
        <f t="shared" si="162"/>
        <v/>
      </c>
      <c r="K624" s="64" t="str">
        <f t="shared" si="163"/>
        <v/>
      </c>
      <c r="L624" s="61"/>
      <c r="M624" s="61"/>
      <c r="N624" s="61"/>
      <c r="O624" s="65"/>
      <c r="P624" s="65"/>
      <c r="Q624" s="66" t="str">
        <f t="shared" ca="1" si="164"/>
        <v/>
      </c>
      <c r="R624" s="63"/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/>
      <c r="D625" s="75"/>
      <c r="E625" s="100"/>
      <c r="F625" s="88" t="str">
        <f>IFERROR(IF($D625="","",VLOOKUP($D625,Cadastro!$C$4:$E$7,3,FALSE())),"")</f>
        <v/>
      </c>
      <c r="G625" s="89"/>
      <c r="H625" s="88" t="str">
        <f>IFERROR(IF($G625="","",$G625*$S$635/$G$635/Cadastro!$E$33),"")</f>
        <v/>
      </c>
      <c r="I625" s="90" t="str">
        <f>IFERROR(IF($D625="","",VLOOKUP($D625,Cadastro!$C$4:$G$7,5,FALSE())),"")</f>
        <v/>
      </c>
      <c r="J625" s="91" t="str">
        <f t="shared" si="162"/>
        <v/>
      </c>
      <c r="K625" s="69" t="str">
        <f t="shared" si="163"/>
        <v/>
      </c>
      <c r="L625" s="70"/>
      <c r="M625" s="70"/>
      <c r="N625" s="70"/>
      <c r="O625" s="65"/>
      <c r="P625" s="65"/>
      <c r="Q625" s="71" t="str">
        <f t="shared" ca="1" si="164"/>
        <v/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/>
      <c r="D626" s="75"/>
      <c r="E626" s="100"/>
      <c r="F626" s="88" t="str">
        <f>IFERROR(IF($D626="","",VLOOKUP($D626,Cadastro!$C$4:$E$7,3,FALSE())),"")</f>
        <v/>
      </c>
      <c r="G626" s="89"/>
      <c r="H626" s="88" t="str">
        <f>IFERROR(IF($G626="","",$G626*$S$635/$G$635/Cadastro!$E$33),"")</f>
        <v/>
      </c>
      <c r="I626" s="90" t="str">
        <f>IFERROR(IF($D626="","",VLOOKUP($D626,Cadastro!$C$4:$G$7,5,FALSE())),"")</f>
        <v/>
      </c>
      <c r="J626" s="91" t="str">
        <f t="shared" si="162"/>
        <v/>
      </c>
      <c r="K626" s="64" t="str">
        <f t="shared" si="163"/>
        <v/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/>
      <c r="D627" s="75"/>
      <c r="E627" s="100"/>
      <c r="F627" s="88" t="str">
        <f>IFERROR(IF($D627="","",VLOOKUP($D627,Cadastro!$C$4:$E$7,3,FALSE())),"")</f>
        <v/>
      </c>
      <c r="G627" s="89"/>
      <c r="H627" s="88" t="str">
        <f>IFERROR(IF($G627="","",$G627*$S$635/$G$635/Cadastro!$E$33),"")</f>
        <v/>
      </c>
      <c r="I627" s="90" t="str">
        <f>IFERROR(IF($D627="","",VLOOKUP($D627,Cadastro!$C$4:$G$7,5,FALSE())),"")</f>
        <v/>
      </c>
      <c r="J627" s="91" t="str">
        <f t="shared" si="162"/>
        <v/>
      </c>
      <c r="K627" s="69" t="str">
        <f t="shared" si="163"/>
        <v/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/>
      <c r="D628" s="75"/>
      <c r="E628" s="100"/>
      <c r="F628" s="88" t="str">
        <f>IFERROR(IF($D628="","",VLOOKUP($D628,Cadastro!$C$4:$E$7,3,FALSE())),"")</f>
        <v/>
      </c>
      <c r="G628" s="89"/>
      <c r="H628" s="88" t="str">
        <f>IFERROR(IF($G628="","",$G628*$S$635/$G$635/Cadastro!$E$33),"")</f>
        <v/>
      </c>
      <c r="I628" s="90" t="str">
        <f>IFERROR(IF($D628="","",VLOOKUP($D628,Cadastro!$C$4:$G$7,5,FALSE())),"")</f>
        <v/>
      </c>
      <c r="J628" s="91" t="str">
        <f t="shared" si="162"/>
        <v/>
      </c>
      <c r="K628" s="64" t="str">
        <f t="shared" si="163"/>
        <v/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/>
      <c r="D629" s="75"/>
      <c r="E629" s="100"/>
      <c r="F629" s="88" t="str">
        <f>IFERROR(IF($D629="","",VLOOKUP($D629,Cadastro!$C$4:$E$7,3,FALSE())),"")</f>
        <v/>
      </c>
      <c r="G629" s="89"/>
      <c r="H629" s="88" t="str">
        <f>IFERROR(IF($G629="","",$G629*$S$635/$G$635/Cadastro!$E$33),"")</f>
        <v/>
      </c>
      <c r="I629" s="90" t="str">
        <f>IFERROR(IF($D629="","",VLOOKUP($D629,Cadastro!$C$4:$G$7,5,FALSE())),"")</f>
        <v/>
      </c>
      <c r="J629" s="91" t="str">
        <f t="shared" si="162"/>
        <v/>
      </c>
      <c r="K629" s="69" t="str">
        <f t="shared" si="163"/>
        <v/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/>
      <c r="D630" s="75"/>
      <c r="E630" s="100"/>
      <c r="F630" s="88" t="str">
        <f>IFERROR(IF($D630="","",VLOOKUP($D630,Cadastro!$C$4:$E$7,3,FALSE())),"")</f>
        <v/>
      </c>
      <c r="G630" s="89"/>
      <c r="H630" s="88" t="str">
        <f>IFERROR(IF($G630="","",$G630*$S$635/$G$635/Cadastro!$E$33),"")</f>
        <v/>
      </c>
      <c r="I630" s="90" t="str">
        <f>IFERROR(IF($D630="","",VLOOKUP($D630,Cadastro!$C$4:$G$7,5,FALSE())),"")</f>
        <v/>
      </c>
      <c r="J630" s="91" t="str">
        <f t="shared" si="162"/>
        <v/>
      </c>
      <c r="K630" s="64" t="str">
        <f t="shared" si="163"/>
        <v/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/>
      <c r="D631" s="75"/>
      <c r="E631" s="100"/>
      <c r="F631" s="88" t="str">
        <f>IFERROR(IF($D631="","",VLOOKUP($D631,Cadastro!$C$4:$E$7,3,FALSE())),"")</f>
        <v/>
      </c>
      <c r="G631" s="89"/>
      <c r="H631" s="88" t="str">
        <f>IFERROR(IF($G631="","",$G631*$S$635/$G$635/Cadastro!$E$33),"")</f>
        <v/>
      </c>
      <c r="I631" s="90" t="str">
        <f>IFERROR(IF($D631="","",VLOOKUP($D631,Cadastro!$C$4:$G$7,5,FALSE())),"")</f>
        <v/>
      </c>
      <c r="J631" s="91" t="str">
        <f t="shared" si="162"/>
        <v/>
      </c>
      <c r="K631" s="69" t="str">
        <f t="shared" si="163"/>
        <v/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/>
      <c r="D632" s="75"/>
      <c r="E632" s="100"/>
      <c r="F632" s="88" t="str">
        <f>IFERROR(IF($D632="","",VLOOKUP($D632,Cadastro!$C$4:$E$7,3,FALSE())),"")</f>
        <v/>
      </c>
      <c r="G632" s="89"/>
      <c r="H632" s="88" t="str">
        <f>IFERROR(IF($G632="","",$G632*$S$635/$G$635/Cadastro!$E$33),"")</f>
        <v/>
      </c>
      <c r="I632" s="90" t="str">
        <f>IFERROR(IF($D632="","",VLOOKUP($D632,Cadastro!$C$4:$G$7,5,FALSE())),"")</f>
        <v/>
      </c>
      <c r="J632" s="91" t="str">
        <f t="shared" si="162"/>
        <v/>
      </c>
      <c r="K632" s="64" t="str">
        <f t="shared" si="163"/>
        <v/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/>
      <c r="D633" s="75"/>
      <c r="E633" s="100"/>
      <c r="F633" s="88" t="str">
        <f>IFERROR(IF($D633="","",VLOOKUP($D633,Cadastro!$C$4:$E$7,3,FALSE())),"")</f>
        <v/>
      </c>
      <c r="G633" s="89"/>
      <c r="H633" s="88" t="str">
        <f>IFERROR(IF($G633="","",$G633*$S$635/$G$635/Cadastro!$E$33),"")</f>
        <v/>
      </c>
      <c r="I633" s="90" t="str">
        <f>IFERROR(IF($D633="","",VLOOKUP($D633,Cadastro!$C$4:$G$7,5,FALSE())),"")</f>
        <v/>
      </c>
      <c r="J633" s="91" t="str">
        <f t="shared" si="162"/>
        <v/>
      </c>
      <c r="K633" s="69" t="str">
        <f t="shared" si="163"/>
        <v/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/>
      <c r="D634" s="75"/>
      <c r="E634" s="100"/>
      <c r="F634" s="92" t="str">
        <f>IFERROR(IF($D634="","",VLOOKUP($D634,Cadastro!$C$4:$E$7,3,FALSE())),"")</f>
        <v/>
      </c>
      <c r="G634" s="89"/>
      <c r="H634" s="92" t="str">
        <f>IFERROR(IF($G634="","",$G634*$S$635/$G$635/Cadastro!$E$33),"")</f>
        <v/>
      </c>
      <c r="I634" s="93" t="str">
        <f>IFERROR(IF($D634="","",VLOOKUP($D634,Cadastro!$C$4:$G$7,5,FALSE())),"")</f>
        <v/>
      </c>
      <c r="J634" s="94" t="str">
        <f t="shared" si="162"/>
        <v/>
      </c>
      <c r="K634" s="64" t="str">
        <f t="shared" si="163"/>
        <v/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6" t="s">
        <v>260</v>
      </c>
      <c r="B635" s="156"/>
      <c r="C635" s="156"/>
      <c r="D635" s="156"/>
      <c r="E635" s="156"/>
      <c r="F635" s="95"/>
      <c r="G635" s="96">
        <f>SUM(G623:G634)</f>
        <v>0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0</v>
      </c>
      <c r="L635" s="72"/>
      <c r="M635" s="72"/>
      <c r="N635" s="72"/>
      <c r="O635" s="134"/>
      <c r="P635" s="134"/>
      <c r="Q635" s="73">
        <f ca="1">IFERROR(SUM(Q623:Q634),"")</f>
        <v>0</v>
      </c>
      <c r="R635" s="2" t="s">
        <v>261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6" t="s">
        <v>263</v>
      </c>
      <c r="B648" s="156"/>
      <c r="C648" s="156"/>
      <c r="D648" s="156"/>
      <c r="E648" s="156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261</v>
      </c>
      <c r="S648" s="74"/>
      <c r="T648" s="99">
        <f>IFERROR(J648,"")</f>
        <v>0</v>
      </c>
    </row>
    <row r="649" spans="1:20" ht="18" customHeight="1">
      <c r="A649" s="157" t="s">
        <v>249</v>
      </c>
      <c r="B649" s="157"/>
      <c r="C649" s="157"/>
      <c r="D649" s="157"/>
      <c r="E649" s="157"/>
      <c r="F649" s="108"/>
      <c r="G649" s="109">
        <f>G635+G648</f>
        <v>0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0</v>
      </c>
      <c r="L649" s="76"/>
      <c r="M649" s="76"/>
      <c r="N649" s="76"/>
      <c r="O649" s="135"/>
      <c r="P649" s="135"/>
      <c r="Q649" s="77">
        <f ca="1">IFERROR(Q635+Q648,"")</f>
        <v>0</v>
      </c>
      <c r="R649" s="1" t="s">
        <v>264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6" t="s">
        <v>260</v>
      </c>
      <c r="B662" s="156"/>
      <c r="C662" s="156"/>
      <c r="D662" s="156"/>
      <c r="E662" s="156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261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6" t="s">
        <v>263</v>
      </c>
      <c r="B675" s="156"/>
      <c r="C675" s="156"/>
      <c r="D675" s="156"/>
      <c r="E675" s="156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261</v>
      </c>
      <c r="S675" s="74"/>
      <c r="T675" s="99">
        <f>IFERROR(J675,"")</f>
        <v>0</v>
      </c>
    </row>
    <row r="676" spans="1:20" ht="18" customHeight="1">
      <c r="A676" s="157" t="s">
        <v>249</v>
      </c>
      <c r="B676" s="157"/>
      <c r="C676" s="157"/>
      <c r="D676" s="157"/>
      <c r="E676" s="157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264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6" t="s">
        <v>260</v>
      </c>
      <c r="B689" s="156"/>
      <c r="C689" s="156"/>
      <c r="D689" s="156"/>
      <c r="E689" s="156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261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6" t="s">
        <v>263</v>
      </c>
      <c r="B702" s="156"/>
      <c r="C702" s="156"/>
      <c r="D702" s="156"/>
      <c r="E702" s="156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261</v>
      </c>
      <c r="S702" s="74"/>
      <c r="T702" s="99">
        <f>IFERROR(J702,"")</f>
        <v>0</v>
      </c>
    </row>
    <row r="703" spans="1:20" ht="18" customHeight="1">
      <c r="A703" s="157" t="s">
        <v>249</v>
      </c>
      <c r="B703" s="157"/>
      <c r="C703" s="157"/>
      <c r="D703" s="157"/>
      <c r="E703" s="157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264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6" t="s">
        <v>260</v>
      </c>
      <c r="B716" s="156"/>
      <c r="C716" s="156"/>
      <c r="D716" s="156"/>
      <c r="E716" s="156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261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6" t="s">
        <v>263</v>
      </c>
      <c r="B729" s="156"/>
      <c r="C729" s="156"/>
      <c r="D729" s="156"/>
      <c r="E729" s="156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261</v>
      </c>
      <c r="S729" s="74"/>
      <c r="T729" s="99">
        <f>IFERROR(J729,"")</f>
        <v>0</v>
      </c>
    </row>
    <row r="730" spans="1:20" ht="18" customHeight="1">
      <c r="A730" s="157" t="s">
        <v>249</v>
      </c>
      <c r="B730" s="157"/>
      <c r="C730" s="157"/>
      <c r="D730" s="157"/>
      <c r="E730" s="157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264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6" t="s">
        <v>260</v>
      </c>
      <c r="B743" s="156"/>
      <c r="C743" s="156"/>
      <c r="D743" s="156"/>
      <c r="E743" s="156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261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6" t="s">
        <v>263</v>
      </c>
      <c r="B756" s="156"/>
      <c r="C756" s="156"/>
      <c r="D756" s="156"/>
      <c r="E756" s="156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261</v>
      </c>
      <c r="S756" s="74"/>
      <c r="T756" s="99">
        <f>IFERROR(J756,"")</f>
        <v>0</v>
      </c>
    </row>
    <row r="757" spans="1:20" ht="18" customHeight="1">
      <c r="A757" s="157" t="s">
        <v>249</v>
      </c>
      <c r="B757" s="157"/>
      <c r="C757" s="157"/>
      <c r="D757" s="157"/>
      <c r="E757" s="157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264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6" t="s">
        <v>260</v>
      </c>
      <c r="B770" s="156"/>
      <c r="C770" s="156"/>
      <c r="D770" s="156"/>
      <c r="E770" s="156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261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6" t="s">
        <v>263</v>
      </c>
      <c r="B783" s="156"/>
      <c r="C783" s="156"/>
      <c r="D783" s="156"/>
      <c r="E783" s="156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261</v>
      </c>
      <c r="S783" s="74"/>
      <c r="T783" s="99">
        <f>IFERROR(J783,"")</f>
        <v>0</v>
      </c>
    </row>
    <row r="784" spans="1:20" ht="18" customHeight="1">
      <c r="A784" s="157" t="s">
        <v>249</v>
      </c>
      <c r="B784" s="157"/>
      <c r="C784" s="157"/>
      <c r="D784" s="157"/>
      <c r="E784" s="157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264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6" t="s">
        <v>260</v>
      </c>
      <c r="B797" s="156"/>
      <c r="C797" s="156"/>
      <c r="D797" s="156"/>
      <c r="E797" s="156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261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6" t="s">
        <v>263</v>
      </c>
      <c r="B810" s="156"/>
      <c r="C810" s="156"/>
      <c r="D810" s="156"/>
      <c r="E810" s="156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261</v>
      </c>
      <c r="S810" s="74"/>
      <c r="T810" s="99">
        <f>IFERROR(J810,"")</f>
        <v>0</v>
      </c>
    </row>
    <row r="811" spans="1:20" ht="18" customHeight="1">
      <c r="A811" s="157" t="s">
        <v>249</v>
      </c>
      <c r="B811" s="157"/>
      <c r="C811" s="157"/>
      <c r="D811" s="157"/>
      <c r="E811" s="157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6" t="s">
        <v>260</v>
      </c>
      <c r="B824" s="156"/>
      <c r="C824" s="156"/>
      <c r="D824" s="156"/>
      <c r="E824" s="156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261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6" t="s">
        <v>263</v>
      </c>
      <c r="B837" s="156"/>
      <c r="C837" s="156"/>
      <c r="D837" s="156"/>
      <c r="E837" s="156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261</v>
      </c>
      <c r="S837" s="74"/>
      <c r="T837" s="99">
        <f>IFERROR(J837,"")</f>
        <v>0</v>
      </c>
    </row>
    <row r="838" spans="1:20" ht="18" customHeight="1">
      <c r="A838" s="157" t="s">
        <v>249</v>
      </c>
      <c r="B838" s="157"/>
      <c r="C838" s="157"/>
      <c r="D838" s="157"/>
      <c r="E838" s="157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264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/>
</file>

<file path=customXml/itemProps2.xml><?xml version="1.0" encoding="utf-8"?>
<ds:datastoreItem xmlns:ds="http://schemas.openxmlformats.org/officeDocument/2006/customXml" ds:itemID="{F4B32959-3F17-4606-A7DA-57182556EC1F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2026-08-21T04:28:07Z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