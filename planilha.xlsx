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95" documentId="13_ncr:1_{A6DBCFB4-28D9-4249-9038-216934055CA6}" xr6:coauthVersionLast="47" xr6:coauthVersionMax="47" xr10:uidLastSave="{78884842-30C8-482B-BF46-748482EBCC33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Q500" i="6" l="1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730" i="6" s="1"/>
  <c r="Q473" i="4"/>
  <c r="Q743" i="4"/>
  <c r="M203" i="3"/>
  <c r="Q716" i="5"/>
  <c r="Q783" i="5"/>
  <c r="Q419" i="4"/>
  <c r="Q824" i="4"/>
  <c r="Q513" i="6"/>
  <c r="Q514" i="6" s="1"/>
  <c r="Q729" i="6"/>
  <c r="Q203" i="4"/>
  <c r="Q689" i="4"/>
  <c r="M419" i="3"/>
  <c r="Q297" i="5"/>
  <c r="Q298" i="5" s="1"/>
  <c r="Q527" i="5"/>
  <c r="Q797" i="5"/>
  <c r="Q81" i="6"/>
  <c r="Q162" i="6"/>
  <c r="Q284" i="6"/>
  <c r="Q324" i="6"/>
  <c r="Q446" i="6"/>
  <c r="Q122" i="6"/>
  <c r="Q136" i="6" s="1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298" i="4" s="1"/>
  <c r="Q392" i="4"/>
  <c r="Q406" i="4" s="1"/>
  <c r="Q459" i="4"/>
  <c r="Q432" i="5"/>
  <c r="Q837" i="5"/>
  <c r="Q14" i="6"/>
  <c r="Q28" i="6" s="1"/>
  <c r="Q527" i="4"/>
  <c r="Q729" i="4"/>
  <c r="Q365" i="5"/>
  <c r="Q379" i="5" s="1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09" i="4" s="1"/>
  <c r="Q14" i="4"/>
  <c r="Q28" i="4" s="1"/>
  <c r="Q635" i="5"/>
  <c r="Q257" i="5"/>
  <c r="Q176" i="5"/>
  <c r="Q190" i="5" s="1"/>
  <c r="M621" i="3"/>
  <c r="M81" i="3"/>
  <c r="Q622" i="6"/>
  <c r="Q325" i="5"/>
  <c r="M486" i="3"/>
  <c r="M716" i="3"/>
  <c r="M460" i="3"/>
  <c r="Q716" i="4"/>
  <c r="Q730" i="4" s="1"/>
  <c r="Q608" i="4"/>
  <c r="Q176" i="6"/>
  <c r="Q702" i="4"/>
  <c r="Q703" i="4" s="1"/>
  <c r="Q243" i="5"/>
  <c r="Q486" i="4"/>
  <c r="Q487" i="4" s="1"/>
  <c r="Q122" i="4"/>
  <c r="Q122" i="5"/>
  <c r="M608" i="3"/>
  <c r="M473" i="3"/>
  <c r="Q675" i="4"/>
  <c r="M54" i="3"/>
  <c r="M527" i="3"/>
  <c r="Q675" i="6"/>
  <c r="Q540" i="5"/>
  <c r="M270" i="3"/>
  <c r="M271" i="3" s="1"/>
  <c r="K500" i="6"/>
  <c r="K514" i="6" s="1"/>
  <c r="Q149" i="4"/>
  <c r="Q797" i="4"/>
  <c r="Q581" i="4"/>
  <c r="Q324" i="4"/>
  <c r="Q325" i="4" s="1"/>
  <c r="Q810" i="4"/>
  <c r="M365" i="3"/>
  <c r="M379" i="3" s="1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365" i="4"/>
  <c r="M540" i="3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Q662" i="4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513" i="3"/>
  <c r="M514" i="3" s="1"/>
  <c r="M95" i="3"/>
  <c r="Q554" i="4"/>
  <c r="M392" i="3"/>
  <c r="M406" i="3" s="1"/>
  <c r="M122" i="3"/>
  <c r="M136" i="3" s="1"/>
  <c r="Q351" i="4"/>
  <c r="Q352" i="4" s="1"/>
  <c r="Q189" i="4"/>
  <c r="Q190" i="4" s="1"/>
  <c r="M797" i="3"/>
  <c r="M594" i="3"/>
  <c r="M595" i="3" s="1"/>
  <c r="Q621" i="5"/>
  <c r="Q270" i="5"/>
  <c r="Q216" i="5"/>
  <c r="Q217" i="5" s="1"/>
  <c r="Q68" i="5"/>
  <c r="M783" i="3"/>
  <c r="M338" i="3"/>
  <c r="M352" i="3" s="1"/>
  <c r="M243" i="3"/>
  <c r="M230" i="3"/>
  <c r="M27" i="3"/>
  <c r="Q135" i="4"/>
  <c r="Q648" i="5"/>
  <c r="Q649" i="5" s="1"/>
  <c r="Q54" i="5"/>
  <c r="Q257" i="4"/>
  <c r="M648" i="3"/>
  <c r="Q756" i="4"/>
  <c r="Q757" i="4" s="1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82" i="4" l="1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<sst xmlns="http://schemas.openxmlformats.org/spreadsheetml/2006/main" count="9892" uniqueCount="423">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</sst>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activeCell="B1" sqref="B1"/>
      <selection pane="bottomLeft" activeCell="E34" sqref="E34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 x14ac:dyDescent="0.25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 x14ac:dyDescent="0.25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25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 x14ac:dyDescent="0.25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 x14ac:dyDescent="0.25">
      <c r="M2" s="164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25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25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25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25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25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25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25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25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25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25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25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25">
      <c r="A21" s="40"/>
      <c r="C21" s="40"/>
      <c r="J21" s="40"/>
      <c r="L21" s="40" t="s">
        <v>133</v>
      </c>
      <c r="M21" s="164"/>
      <c r="N21" s="40"/>
      <c r="O21" s="40"/>
      <c r="P21" s="40" t="s">
        <v>134</v>
      </c>
      <c r="Q21" s="40"/>
      <c r="R21" s="40" t="s">
        <v>135</v>
      </c>
    </row>
    <row r="22" spans="1:18" ht="15.75" customHeight="1" x14ac:dyDescent="0.25">
      <c r="A22" s="37"/>
      <c r="C22" s="37"/>
      <c r="J22" s="37"/>
      <c r="L22" s="37" t="s">
        <v>136</v>
      </c>
      <c r="M22" s="164"/>
      <c r="N22" s="37"/>
      <c r="O22" s="37"/>
      <c r="P22" s="37" t="s">
        <v>137</v>
      </c>
      <c r="Q22" s="37"/>
      <c r="R22" s="37" t="s">
        <v>138</v>
      </c>
    </row>
    <row r="23" spans="1:18" ht="15.75" customHeight="1" x14ac:dyDescent="0.25">
      <c r="A23" s="40"/>
      <c r="C23" s="40"/>
      <c r="J23" s="40"/>
      <c r="L23" s="40" t="s">
        <v>139</v>
      </c>
      <c r="M23" s="164"/>
      <c r="N23" s="40"/>
      <c r="O23" s="40"/>
      <c r="P23" s="40" t="s">
        <v>140</v>
      </c>
      <c r="Q23" s="40"/>
      <c r="R23" s="40" t="s">
        <v>141</v>
      </c>
    </row>
    <row r="24" spans="1:18" ht="15.75" customHeight="1" x14ac:dyDescent="0.25">
      <c r="A24" s="37"/>
      <c r="C24" s="37"/>
      <c r="J24" s="37"/>
      <c r="L24" s="37" t="s">
        <v>142</v>
      </c>
      <c r="M24" s="164"/>
      <c r="N24" s="37"/>
      <c r="O24" s="37"/>
      <c r="P24" s="37" t="s">
        <v>143</v>
      </c>
      <c r="Q24" s="37"/>
      <c r="R24" s="37" t="s">
        <v>144</v>
      </c>
    </row>
    <row r="25" spans="1:18" ht="15.75" customHeight="1" x14ac:dyDescent="0.25">
      <c r="A25" s="40"/>
      <c r="C25" s="40"/>
      <c r="J25" s="40"/>
      <c r="L25" s="40" t="s">
        <v>145</v>
      </c>
      <c r="M25" s="164"/>
      <c r="N25" s="40"/>
      <c r="O25" s="40"/>
      <c r="P25" s="40" t="s">
        <v>146</v>
      </c>
      <c r="Q25" s="40"/>
      <c r="R25" s="40" t="s">
        <v>147</v>
      </c>
    </row>
    <row r="26" spans="1:18" ht="15.75" customHeight="1" x14ac:dyDescent="0.25">
      <c r="A26" s="37"/>
      <c r="C26" s="37"/>
      <c r="J26" s="37"/>
      <c r="L26" s="37" t="s">
        <v>148</v>
      </c>
      <c r="M26" s="164"/>
      <c r="N26" s="37"/>
      <c r="O26" s="37"/>
      <c r="P26" s="37" t="s">
        <v>149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150</v>
      </c>
      <c r="M27" s="164"/>
      <c r="N27" s="40"/>
      <c r="O27" s="40"/>
      <c r="P27" s="40" t="s">
        <v>141</v>
      </c>
      <c r="Q27" s="40"/>
      <c r="R27" s="40" t="s">
        <v>71</v>
      </c>
    </row>
    <row r="28" spans="1:18" ht="15.75" customHeight="1" x14ac:dyDescent="0.25">
      <c r="A28" s="37"/>
      <c r="C28" s="37"/>
      <c r="J28" s="37"/>
      <c r="L28" s="37" t="s">
        <v>151</v>
      </c>
      <c r="M28" s="164"/>
      <c r="N28" s="37"/>
      <c r="O28" s="37"/>
      <c r="P28" s="37" t="s">
        <v>121</v>
      </c>
      <c r="Q28" s="37"/>
      <c r="R28" s="37" t="s">
        <v>152</v>
      </c>
    </row>
    <row r="29" spans="1:18" ht="15.75" customHeight="1" x14ac:dyDescent="0.25">
      <c r="A29" s="40"/>
      <c r="C29" s="40"/>
      <c r="J29" s="40"/>
      <c r="L29" s="40" t="s">
        <v>153</v>
      </c>
      <c r="M29" s="164"/>
      <c r="N29" s="40"/>
      <c r="O29" s="40"/>
      <c r="P29" s="40" t="s">
        <v>154</v>
      </c>
      <c r="Q29" s="40"/>
      <c r="R29" s="40" t="s">
        <v>155</v>
      </c>
    </row>
    <row r="30" spans="1:18" ht="15.75" customHeight="1" x14ac:dyDescent="0.25">
      <c r="A30" s="37"/>
      <c r="C30" s="37"/>
      <c r="J30" s="37"/>
      <c r="L30" s="37" t="s">
        <v>156</v>
      </c>
      <c r="M30" s="164"/>
      <c r="N30" s="37"/>
      <c r="O30" s="37"/>
      <c r="P30" s="37" t="s">
        <v>157</v>
      </c>
      <c r="Q30" s="37"/>
      <c r="R30" s="37" t="s">
        <v>158</v>
      </c>
    </row>
    <row r="31" spans="1:18" ht="15.75" customHeight="1" x14ac:dyDescent="0.25">
      <c r="A31" s="40"/>
      <c r="C31" s="40"/>
      <c r="J31" s="40"/>
      <c r="L31" s="40" t="s">
        <v>159</v>
      </c>
      <c r="M31" s="164"/>
      <c r="N31" s="40"/>
      <c r="O31" s="40"/>
      <c r="P31" s="40" t="s">
        <v>160</v>
      </c>
      <c r="Q31" s="40"/>
      <c r="R31" s="40" t="s">
        <v>161</v>
      </c>
    </row>
    <row r="32" spans="1:18" ht="15.75" customHeight="1" x14ac:dyDescent="0.25">
      <c r="A32" s="37"/>
      <c r="C32" s="37"/>
      <c r="J32" s="37"/>
      <c r="L32" s="37" t="s">
        <v>162</v>
      </c>
      <c r="M32" s="164"/>
      <c r="N32" s="37"/>
      <c r="O32" s="37"/>
      <c r="P32" s="37" t="s">
        <v>163</v>
      </c>
      <c r="Q32" s="37"/>
      <c r="R32" t="s">
        <v>164</v>
      </c>
    </row>
    <row r="33" spans="1:18" ht="15.75" customHeight="1" x14ac:dyDescent="0.25">
      <c r="A33" s="40"/>
      <c r="C33" s="50" t="s">
        <v>165</v>
      </c>
      <c r="E33" s="51">
        <v>1000</v>
      </c>
      <c r="J33" s="40"/>
      <c r="L33" s="40" t="s">
        <v>166</v>
      </c>
      <c r="M33" s="164"/>
      <c r="N33" s="40"/>
      <c r="O33" s="40"/>
      <c r="P33" s="40" t="s">
        <v>167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168</v>
      </c>
      <c r="M34" s="164"/>
      <c r="N34" s="37"/>
      <c r="O34" s="37"/>
      <c r="P34" s="37" t="s">
        <v>88</v>
      </c>
      <c r="Q34" s="37"/>
      <c r="R34" s="37" t="s">
        <v>169</v>
      </c>
    </row>
    <row r="35" spans="1:18" ht="15.75" customHeight="1" x14ac:dyDescent="0.25">
      <c r="A35" s="40"/>
      <c r="C35" s="40"/>
      <c r="J35" s="40"/>
      <c r="L35" s="40" t="s">
        <v>170</v>
      </c>
      <c r="M35" s="164"/>
      <c r="N35" s="40"/>
      <c r="O35" s="40"/>
      <c r="P35" s="40" t="s">
        <v>171</v>
      </c>
      <c r="Q35" s="40"/>
      <c r="R35" s="40" t="s">
        <v>172</v>
      </c>
    </row>
    <row r="36" spans="1:18" ht="15.75" customHeight="1" x14ac:dyDescent="0.25">
      <c r="A36" s="37"/>
      <c r="C36" s="37"/>
      <c r="J36" s="37"/>
      <c r="L36" s="37" t="s">
        <v>173</v>
      </c>
      <c r="M36" s="164"/>
      <c r="N36" s="37"/>
      <c r="O36" s="37"/>
      <c r="P36" s="37" t="s">
        <v>174</v>
      </c>
      <c r="Q36" s="37"/>
      <c r="R36" s="37" t="s">
        <v>175</v>
      </c>
    </row>
    <row r="37" spans="1:18" ht="15.75" customHeight="1" x14ac:dyDescent="0.25">
      <c r="A37" s="40"/>
      <c r="C37" s="40"/>
      <c r="J37" s="40"/>
      <c r="L37" s="40" t="s">
        <v>176</v>
      </c>
      <c r="M37" s="164"/>
      <c r="N37" s="40"/>
      <c r="O37" s="40"/>
      <c r="P37" s="40" t="s">
        <v>177</v>
      </c>
      <c r="Q37" s="40"/>
      <c r="R37" s="40" t="s">
        <v>178</v>
      </c>
    </row>
    <row r="38" spans="1:18" ht="15.75" customHeight="1" x14ac:dyDescent="0.25">
      <c r="A38" s="37"/>
      <c r="C38" s="37"/>
      <c r="J38" s="37"/>
      <c r="L38" s="37" t="s">
        <v>179</v>
      </c>
      <c r="M38" s="164"/>
      <c r="N38" s="37"/>
      <c r="O38" s="37"/>
      <c r="P38" s="37" t="s">
        <v>180</v>
      </c>
      <c r="Q38" s="37"/>
      <c r="R38" s="37" t="s">
        <v>181</v>
      </c>
    </row>
    <row r="39" spans="1:18" ht="15.75" customHeight="1" x14ac:dyDescent="0.25">
      <c r="A39" s="40"/>
      <c r="C39" s="40"/>
      <c r="J39" s="40"/>
      <c r="L39" s="40"/>
      <c r="M39" s="164"/>
      <c r="N39" s="40"/>
      <c r="O39" s="40"/>
      <c r="P39" s="40" t="s">
        <v>182</v>
      </c>
      <c r="Q39" s="40"/>
      <c r="R39" s="40" t="s">
        <v>183</v>
      </c>
    </row>
    <row r="40" spans="1:18" ht="15.75" customHeight="1" x14ac:dyDescent="0.25">
      <c r="A40" s="37"/>
      <c r="C40" s="37"/>
      <c r="J40" s="37"/>
      <c r="L40" s="37"/>
      <c r="M40" s="164"/>
      <c r="N40" s="37"/>
      <c r="O40" s="37"/>
      <c r="P40" s="37" t="s">
        <v>184</v>
      </c>
      <c r="Q40" s="37"/>
      <c r="R40" s="37" t="s">
        <v>185</v>
      </c>
    </row>
    <row r="41" spans="1:18" ht="15.75" customHeight="1" x14ac:dyDescent="0.25">
      <c r="A41" s="40"/>
      <c r="C41" s="40"/>
      <c r="J41" s="40"/>
      <c r="L41" s="40"/>
      <c r="M41" s="164"/>
      <c r="N41" s="40"/>
      <c r="O41" s="40"/>
      <c r="P41" s="40" t="s">
        <v>186</v>
      </c>
      <c r="Q41" s="40"/>
      <c r="R41" s="40" t="s">
        <v>187</v>
      </c>
    </row>
    <row r="42" spans="1:18" ht="15.75" customHeight="1" x14ac:dyDescent="0.25">
      <c r="A42" s="37"/>
      <c r="C42" s="37"/>
      <c r="J42" s="37"/>
      <c r="L42" s="37"/>
      <c r="M42" s="164"/>
      <c r="N42" s="37"/>
      <c r="O42" s="37"/>
      <c r="P42" s="37" t="s">
        <v>188</v>
      </c>
      <c r="Q42" s="37"/>
      <c r="R42" s="37" t="s">
        <v>189</v>
      </c>
    </row>
    <row r="43" spans="1:18" ht="15.75" customHeight="1" x14ac:dyDescent="0.25">
      <c r="A43" s="40"/>
      <c r="C43" s="40"/>
      <c r="J43" s="40"/>
      <c r="L43" s="40"/>
      <c r="M43" s="164"/>
      <c r="N43" s="40"/>
      <c r="O43" s="40"/>
      <c r="P43" s="40" t="s">
        <v>190</v>
      </c>
      <c r="Q43" s="40"/>
      <c r="R43" s="40" t="s">
        <v>191</v>
      </c>
    </row>
    <row r="44" spans="1:18" ht="15.75" customHeight="1" x14ac:dyDescent="0.25">
      <c r="A44" s="37"/>
      <c r="C44" s="37"/>
      <c r="J44" s="37"/>
      <c r="L44" s="37"/>
      <c r="M44" s="164"/>
      <c r="N44" s="37"/>
      <c r="O44" s="37"/>
      <c r="P44" s="37" t="s">
        <v>192</v>
      </c>
      <c r="Q44" s="37"/>
      <c r="R44" s="37" t="s">
        <v>193</v>
      </c>
    </row>
    <row r="45" spans="1:18" ht="15.75" customHeight="1" x14ac:dyDescent="0.25">
      <c r="A45" s="40"/>
      <c r="C45" s="40"/>
      <c r="J45" s="40"/>
      <c r="L45" s="40"/>
      <c r="M45" s="164"/>
      <c r="N45" s="40"/>
      <c r="O45" s="40"/>
      <c r="P45" s="40" t="s">
        <v>194</v>
      </c>
      <c r="Q45" s="40"/>
      <c r="R45" s="40" t="s">
        <v>195</v>
      </c>
    </row>
    <row r="46" spans="1:18" ht="15.75" customHeight="1" x14ac:dyDescent="0.25">
      <c r="A46" s="37"/>
      <c r="C46" s="37"/>
      <c r="J46" s="37"/>
      <c r="L46" s="37"/>
      <c r="M46" s="164"/>
      <c r="N46" s="37"/>
      <c r="O46" s="37"/>
      <c r="P46" s="37" t="s">
        <v>196</v>
      </c>
      <c r="Q46" s="37"/>
      <c r="R46" s="37" t="s">
        <v>197</v>
      </c>
    </row>
    <row r="47" spans="1:18" ht="15.75" customHeight="1" x14ac:dyDescent="0.25">
      <c r="A47" s="40"/>
      <c r="C47" s="40"/>
      <c r="J47" s="40"/>
      <c r="L47" s="40"/>
      <c r="M47" s="164"/>
      <c r="N47" s="40"/>
      <c r="O47" s="40"/>
      <c r="P47" s="40" t="s">
        <v>198</v>
      </c>
      <c r="Q47" s="40"/>
      <c r="R47" s="40" t="s">
        <v>199</v>
      </c>
    </row>
    <row r="48" spans="1:18" ht="15.75" customHeight="1" x14ac:dyDescent="0.25">
      <c r="A48" s="37"/>
      <c r="C48" s="37"/>
      <c r="J48" s="37"/>
      <c r="L48" s="37"/>
      <c r="M48" s="164"/>
      <c r="N48" s="37"/>
      <c r="O48" s="37"/>
      <c r="P48" s="37" t="s">
        <v>200</v>
      </c>
      <c r="Q48" s="37"/>
      <c r="R48" s="37" t="s">
        <v>201</v>
      </c>
    </row>
    <row r="49" spans="1:18" ht="18" customHeight="1" x14ac:dyDescent="0.25">
      <c r="M49" s="164"/>
      <c r="N49" s="40"/>
      <c r="O49" s="40"/>
      <c r="P49" s="40" t="s">
        <v>202</v>
      </c>
      <c r="Q49" s="40"/>
      <c r="R49" s="40" t="s">
        <v>203</v>
      </c>
    </row>
    <row r="50" spans="1:18" ht="21" customHeight="1" x14ac:dyDescent="0.25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205</v>
      </c>
      <c r="Q50" s="37"/>
      <c r="R50" s="37" t="s">
        <v>206</v>
      </c>
    </row>
    <row r="51" spans="1:18" ht="24" customHeight="1" x14ac:dyDescent="0.25">
      <c r="M51" s="164"/>
      <c r="N51" s="40"/>
      <c r="O51" s="40"/>
      <c r="P51" s="40" t="s">
        <v>207</v>
      </c>
      <c r="Q51" s="40"/>
      <c r="R51" s="40" t="s">
        <v>208</v>
      </c>
    </row>
    <row r="52" spans="1:18" ht="24" customHeight="1" x14ac:dyDescent="0.25">
      <c r="M52" s="164"/>
      <c r="N52" s="37"/>
      <c r="O52" s="37"/>
      <c r="P52" s="37" t="s">
        <v>209</v>
      </c>
      <c r="Q52" s="37"/>
      <c r="R52" s="37" t="s">
        <v>210</v>
      </c>
    </row>
    <row r="53" spans="1:18" ht="36" customHeight="1" x14ac:dyDescent="0.25">
      <c r="M53" s="164"/>
      <c r="N53" s="40"/>
      <c r="O53" s="40"/>
      <c r="P53" s="40" t="s">
        <v>211</v>
      </c>
      <c r="Q53" s="40"/>
      <c r="R53" s="40" t="s">
        <v>212</v>
      </c>
    </row>
    <row r="54" spans="1:18" ht="15" customHeight="1" x14ac:dyDescent="0.25">
      <c r="M54" s="164"/>
      <c r="N54" s="37"/>
      <c r="O54" s="37"/>
      <c r="P54" s="37" t="s">
        <v>213</v>
      </c>
      <c r="Q54" s="37"/>
      <c r="R54" s="37" t="s">
        <v>214</v>
      </c>
    </row>
    <row r="55" spans="1:18" ht="15" customHeight="1" x14ac:dyDescent="0.25">
      <c r="M55" s="164"/>
      <c r="N55" s="40"/>
      <c r="O55" s="40"/>
      <c r="P55" s="40" t="s">
        <v>215</v>
      </c>
      <c r="Q55" s="40"/>
      <c r="R55" s="40" t="s">
        <v>216</v>
      </c>
    </row>
    <row r="56" spans="1:18" ht="15" customHeight="1" x14ac:dyDescent="0.25">
      <c r="M56" s="164"/>
      <c r="N56" s="37"/>
      <c r="O56" s="37"/>
      <c r="P56" s="37" t="s">
        <v>217</v>
      </c>
      <c r="Q56" s="37"/>
      <c r="R56" s="37" t="s">
        <v>218</v>
      </c>
    </row>
    <row r="57" spans="1:18" ht="15" customHeight="1" x14ac:dyDescent="0.25">
      <c r="M57" s="164"/>
      <c r="N57" s="40"/>
      <c r="O57" s="40"/>
      <c r="P57" s="40" t="s">
        <v>59</v>
      </c>
      <c r="Q57" s="40"/>
      <c r="R57" s="40" t="s">
        <v>219</v>
      </c>
    </row>
    <row r="58" spans="1:18" ht="15" customHeight="1" x14ac:dyDescent="0.25">
      <c r="M58" s="164"/>
      <c r="N58" s="37"/>
      <c r="O58" s="37"/>
      <c r="P58" s="37" t="s">
        <v>220</v>
      </c>
      <c r="Q58" s="37"/>
      <c r="R58" s="37" t="s">
        <v>221</v>
      </c>
    </row>
    <row r="59" spans="1:18" ht="15" customHeight="1" x14ac:dyDescent="0.25">
      <c r="M59" s="164"/>
      <c r="N59" s="40"/>
      <c r="O59" s="40"/>
      <c r="P59" s="40" t="s">
        <v>222</v>
      </c>
      <c r="Q59" s="40"/>
      <c r="R59" s="40" t="s">
        <v>223</v>
      </c>
    </row>
    <row r="60" spans="1:18" ht="15" customHeight="1" x14ac:dyDescent="0.25">
      <c r="M60" s="164"/>
      <c r="N60" s="37"/>
      <c r="O60" s="37"/>
      <c r="P60" s="53" t="s">
        <v>114</v>
      </c>
      <c r="Q60" s="37"/>
      <c r="R60" s="37"/>
    </row>
    <row r="61" spans="1:18" ht="15" customHeight="1" x14ac:dyDescent="0.25">
      <c r="M61" s="164"/>
      <c r="N61" s="40"/>
      <c r="O61" s="40"/>
      <c r="P61" s="40" t="s">
        <v>224</v>
      </c>
      <c r="Q61" s="40"/>
      <c r="R61" s="40"/>
    </row>
    <row r="62" spans="1:18" ht="15" customHeight="1" x14ac:dyDescent="0.25">
      <c r="M62" s="164"/>
      <c r="N62" s="37"/>
      <c r="O62" s="37"/>
      <c r="P62" s="37" t="s">
        <v>225</v>
      </c>
      <c r="Q62" s="37"/>
      <c r="R62" s="37"/>
    </row>
    <row r="63" spans="1:18" ht="15" customHeight="1" x14ac:dyDescent="0.25">
      <c r="M63" s="164"/>
      <c r="N63" s="40"/>
      <c r="O63" s="40"/>
      <c r="P63" s="40" t="s">
        <v>226</v>
      </c>
      <c r="Q63" s="40"/>
      <c r="R63" s="40"/>
    </row>
    <row r="64" spans="1:18" ht="15" customHeight="1" x14ac:dyDescent="0.25">
      <c r="M64" s="164"/>
      <c r="N64" s="37"/>
      <c r="O64" s="37"/>
      <c r="P64" s="37" t="s">
        <v>227</v>
      </c>
      <c r="Q64" s="37"/>
      <c r="R64" s="37"/>
    </row>
    <row r="65" spans="13:18" ht="15" customHeight="1" x14ac:dyDescent="0.25">
      <c r="M65" s="164"/>
      <c r="N65" s="40"/>
      <c r="O65" s="40"/>
      <c r="P65" s="40" t="s">
        <v>228</v>
      </c>
      <c r="Q65" s="40"/>
      <c r="R65" s="40"/>
    </row>
    <row r="66" spans="13:18" ht="15" customHeight="1" x14ac:dyDescent="0.25">
      <c r="M66" s="164"/>
      <c r="N66" s="37"/>
      <c r="O66" s="37"/>
      <c r="P66" s="37" t="s">
        <v>229</v>
      </c>
      <c r="Q66" s="37"/>
      <c r="R66" s="37"/>
    </row>
    <row r="67" spans="13:18" ht="15" customHeight="1" x14ac:dyDescent="0.25">
      <c r="M67" s="164"/>
      <c r="N67" s="40"/>
      <c r="O67" s="40"/>
      <c r="P67" s="40" t="s">
        <v>230</v>
      </c>
      <c r="Q67" s="40"/>
      <c r="R67" s="40"/>
    </row>
    <row r="68" spans="13:18" ht="15" customHeight="1" x14ac:dyDescent="0.25">
      <c r="M68" s="164"/>
      <c r="N68" s="37"/>
      <c r="O68" s="37"/>
      <c r="P68" s="37" t="s">
        <v>231</v>
      </c>
      <c r="Q68" s="37"/>
      <c r="R68" s="37"/>
    </row>
    <row r="69" spans="13:18" ht="15" customHeight="1" x14ac:dyDescent="0.25">
      <c r="M69" s="164"/>
      <c r="N69" s="40"/>
      <c r="O69" s="40"/>
      <c r="P69" s="40" t="s">
        <v>232</v>
      </c>
      <c r="Q69" s="40"/>
      <c r="R69" s="40"/>
    </row>
    <row r="70" spans="13:18" ht="15" customHeight="1" x14ac:dyDescent="0.25">
      <c r="M70" s="164"/>
      <c r="N70" s="37"/>
      <c r="O70" s="37"/>
      <c r="P70" s="37" t="s">
        <v>233</v>
      </c>
      <c r="Q70" s="37"/>
      <c r="R70" s="37"/>
    </row>
    <row r="71" spans="13:18" ht="15" customHeight="1" x14ac:dyDescent="0.25">
      <c r="M71" s="164"/>
      <c r="N71" s="40"/>
      <c r="O71" s="40"/>
      <c r="P71" s="40" t="s">
        <v>234</v>
      </c>
      <c r="Q71" s="40"/>
      <c r="R71" s="40"/>
    </row>
    <row r="72" spans="13:18" ht="15" customHeight="1" x14ac:dyDescent="0.25">
      <c r="M72" s="164"/>
      <c r="N72" s="37"/>
      <c r="O72" s="37"/>
      <c r="P72" s="37" t="s">
        <v>235</v>
      </c>
      <c r="Q72" s="37"/>
      <c r="R72" s="37"/>
    </row>
    <row r="73" spans="13:18" ht="15" customHeight="1" x14ac:dyDescent="0.25">
      <c r="M73" s="164"/>
      <c r="N73" s="40"/>
      <c r="O73" s="40"/>
      <c r="P73" s="40" t="s">
        <v>236</v>
      </c>
      <c r="Q73" s="40"/>
      <c r="R73" s="40"/>
    </row>
    <row r="74" spans="13:18" ht="15" customHeight="1" x14ac:dyDescent="0.25">
      <c r="M74" s="164"/>
      <c r="N74" s="37"/>
      <c r="O74" s="37"/>
      <c r="P74" s="37" t="s">
        <v>237</v>
      </c>
      <c r="Q74" s="37"/>
      <c r="R74" s="37"/>
    </row>
    <row r="75" spans="13:18" ht="15" customHeight="1" x14ac:dyDescent="0.25">
      <c r="M75" s="164"/>
      <c r="N75" s="40"/>
      <c r="O75" s="40"/>
      <c r="P75" s="40" t="s">
        <v>238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 x14ac:dyDescent="0.25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25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25">
      <c r="A4" s="166" t="s">
        <v>250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25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25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25">
      <c r="A7" s="166" t="s">
        <v>250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25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25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25">
      <c r="A10" s="166" t="s">
        <v>250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25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25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25">
      <c r="A13" s="166" t="s">
        <v>250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25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25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25">
      <c r="A16" s="166" t="s">
        <v>250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25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25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25">
      <c r="A19" s="166" t="s">
        <v>250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25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25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25">
      <c r="A22" s="166" t="s">
        <v>250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25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25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25">
      <c r="A25" s="166" t="s">
        <v>250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25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25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25">
      <c r="A28" s="166" t="s">
        <v>250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25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25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25">
      <c r="A31" s="166" t="s">
        <v>250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25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25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25">
      <c r="A34" s="166" t="s">
        <v>250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25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25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25">
      <c r="A37" s="166" t="s">
        <v>250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25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25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25">
      <c r="A40" s="166" t="s">
        <v>250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25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25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25">
      <c r="A43" s="166" t="s">
        <v>250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25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25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25">
      <c r="A46" s="166" t="s">
        <v>250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25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25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25">
      <c r="A49" s="166" t="s">
        <v>250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25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25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25">
      <c r="A52" s="166" t="s">
        <v>250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25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25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25">
      <c r="A55" s="166" t="s">
        <v>250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25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 x14ac:dyDescent="0.25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 x14ac:dyDescent="0.25">
      <c r="A58" s="166" t="s">
        <v>250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 x14ac:dyDescent="0.25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 x14ac:dyDescent="0.25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 x14ac:dyDescent="0.25">
      <c r="A61" s="166" t="s">
        <v>250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 x14ac:dyDescent="0.25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 x14ac:dyDescent="0.25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 x14ac:dyDescent="0.25">
      <c r="A64" s="166" t="s">
        <v>250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 x14ac:dyDescent="0.25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 x14ac:dyDescent="0.25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 x14ac:dyDescent="0.25">
      <c r="A67" s="166" t="s">
        <v>250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 x14ac:dyDescent="0.25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 x14ac:dyDescent="0.25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 x14ac:dyDescent="0.25">
      <c r="A70" s="166" t="s">
        <v>250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 x14ac:dyDescent="0.25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25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25">
      <c r="A73" s="166" t="s">
        <v>250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25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25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25">
      <c r="A76" s="166" t="s">
        <v>250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25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25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25">
      <c r="A79" s="166" t="s">
        <v>250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25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25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25">
      <c r="A82" s="166" t="s">
        <v>250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25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25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25">
      <c r="A85" s="166" t="s">
        <v>250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25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25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25">
      <c r="A88" s="166" t="s">
        <v>250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25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25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25">
      <c r="A91" s="166" t="s">
        <v>250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25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25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25">
      <c r="A94" s="166" t="s">
        <v>250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59" activePane="bottomLeft" state="frozen"/>
      <selection pane="bottomLeft" activeCell="F587" sqref="F587"/>
    </sheetView>
  </sheetViews>
  <sheetFormatPr defaultColWidth="8.5703125" defaultRowHeight="15" x14ac:dyDescent="0.2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 x14ac:dyDescent="0.25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 x14ac:dyDescent="0.25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25">
      <c r="A14" s="167" t="s">
        <v>261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25">
      <c r="A27" s="167" t="s">
        <v>264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 x14ac:dyDescent="0.25">
      <c r="A28" s="168" t="s">
        <v>250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25">
      <c r="A41" s="167" t="s">
        <v>261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 x14ac:dyDescent="0.25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25">
      <c r="A54" s="167" t="s">
        <v>264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 x14ac:dyDescent="0.25">
      <c r="A55" s="168" t="s">
        <v>250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 x14ac:dyDescent="0.25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25">
      <c r="A68" s="167" t="s">
        <v>261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25">
      <c r="A81" s="167" t="s">
        <v>264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 x14ac:dyDescent="0.25">
      <c r="A82" s="168" t="s">
        <v>250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25">
      <c r="A95" s="167" t="s">
        <v>261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25">
      <c r="A108" s="167" t="s">
        <v>264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 x14ac:dyDescent="0.25">
      <c r="A109" s="168" t="s">
        <v>250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25">
      <c r="A122" s="167" t="s">
        <v>261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25">
      <c r="A135" s="167" t="s">
        <v>264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 x14ac:dyDescent="0.25">
      <c r="A136" s="168" t="s">
        <v>250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">
      <c r="A149" s="167" t="s">
        <v>261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">
      <c r="A162" s="167" t="s">
        <v>264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 x14ac:dyDescent="0.25">
      <c r="A163" s="168" t="s">
        <v>250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25">
      <c r="A176" s="167" t="s">
        <v>261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25">
      <c r="A189" s="167" t="s">
        <v>264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 x14ac:dyDescent="0.25">
      <c r="A190" s="168" t="s">
        <v>250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25">
      <c r="A203" s="167" t="s">
        <v>261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25">
      <c r="A216" s="167" t="s">
        <v>264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 x14ac:dyDescent="0.25">
      <c r="A217" s="168" t="s">
        <v>250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25">
      <c r="A230" s="167" t="s">
        <v>261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25">
      <c r="A243" s="167" t="s">
        <v>264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 x14ac:dyDescent="0.25">
      <c r="A244" s="168" t="s">
        <v>250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25">
      <c r="A257" s="167" t="s">
        <v>261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 x14ac:dyDescent="0.25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25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25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25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25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25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25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25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25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25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25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25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25">
      <c r="A270" s="167" t="s">
        <v>264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 x14ac:dyDescent="0.25">
      <c r="A271" s="168" t="s">
        <v>250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25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25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25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25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25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 x14ac:dyDescent="0.25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25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25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25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25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25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25">
      <c r="A284" s="167" t="s">
        <v>261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25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25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25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25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25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25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25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25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25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25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25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25">
      <c r="A297" s="167" t="s">
        <v>264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 x14ac:dyDescent="0.25">
      <c r="A298" s="168" t="s">
        <v>250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25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25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25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 x14ac:dyDescent="0.25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25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25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25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25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25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25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25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25">
      <c r="A311" s="167" t="s">
        <v>261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25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25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25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25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25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25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25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25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25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25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25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25">
      <c r="A324" s="167" t="s">
        <v>264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 x14ac:dyDescent="0.25">
      <c r="A325" s="168" t="s">
        <v>250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25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25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 x14ac:dyDescent="0.25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25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25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25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25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 x14ac:dyDescent="0.25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25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25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25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25">
      <c r="A338" s="167" t="s">
        <v>261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25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25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25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25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25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25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25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25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25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25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25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25">
      <c r="A351" s="167" t="s">
        <v>264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 x14ac:dyDescent="0.25">
      <c r="A352" s="168" t="s">
        <v>250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25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25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25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25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25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25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25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25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25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25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25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25">
      <c r="A365" s="167" t="s">
        <v>261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25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25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25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25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25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25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25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25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25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25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25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25">
      <c r="A378" s="167" t="s">
        <v>264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 x14ac:dyDescent="0.25">
      <c r="A379" s="168" t="s">
        <v>250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25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25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25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25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25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25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25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25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25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25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25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25">
      <c r="A392" s="167" t="s">
        <v>261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 x14ac:dyDescent="0.25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25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25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25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25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25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25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25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25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25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25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25">
      <c r="A405" s="167" t="s">
        <v>264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 x14ac:dyDescent="0.25">
      <c r="A406" s="168" t="s">
        <v>250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25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25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25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25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25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25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25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25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25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25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25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25">
      <c r="A419" s="167" t="s">
        <v>261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25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 x14ac:dyDescent="0.25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 x14ac:dyDescent="0.25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25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25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25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25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25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25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25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25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25">
      <c r="A432" s="167" t="s">
        <v>264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 x14ac:dyDescent="0.25">
      <c r="A433" s="168" t="s">
        <v>250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25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25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25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25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25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25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25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25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25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25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25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25">
      <c r="A446" s="167" t="s">
        <v>261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 x14ac:dyDescent="0.25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 x14ac:dyDescent="0.25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25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25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25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 x14ac:dyDescent="0.25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 x14ac:dyDescent="0.25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 x14ac:dyDescent="0.25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25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25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25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25">
      <c r="A459" s="167" t="s">
        <v>264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 x14ac:dyDescent="0.25">
      <c r="A460" s="168" t="s">
        <v>250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 x14ac:dyDescent="0.25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25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25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25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25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25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25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25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25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25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25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25">
      <c r="A473" s="167" t="s">
        <v>261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25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25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 x14ac:dyDescent="0.25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25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25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25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25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25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25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25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25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25">
      <c r="A486" s="167" t="s">
        <v>264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 x14ac:dyDescent="0.25">
      <c r="A487" s="168" t="s">
        <v>250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25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 x14ac:dyDescent="0.25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25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25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25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25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25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25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25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25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25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25">
      <c r="A500" s="167" t="s">
        <v>261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 x14ac:dyDescent="0.25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 x14ac:dyDescent="0.25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25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25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25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25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25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25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25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25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25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25">
      <c r="A513" s="167" t="s">
        <v>264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 x14ac:dyDescent="0.25">
      <c r="A514" s="168" t="s">
        <v>250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 x14ac:dyDescent="0.25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25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25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25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25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25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25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25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25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25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25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25">
      <c r="A527" s="167" t="s">
        <v>261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 x14ac:dyDescent="0.25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 x14ac:dyDescent="0.25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 x14ac:dyDescent="0.25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 x14ac:dyDescent="0.25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25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25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25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25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25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25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25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25">
      <c r="A540" s="167" t="s">
        <v>264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 x14ac:dyDescent="0.25">
      <c r="A541" s="168" t="s">
        <v>250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 x14ac:dyDescent="0.25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 x14ac:dyDescent="0.25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25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25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25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25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25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25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25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25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25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25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25">
      <c r="A554" s="167" t="s">
        <v>261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 x14ac:dyDescent="0.25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 x14ac:dyDescent="0.25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 x14ac:dyDescent="0.25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 x14ac:dyDescent="0.25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 x14ac:dyDescent="0.25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 x14ac:dyDescent="0.25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 x14ac:dyDescent="0.25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25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25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25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25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25">
      <c r="A567" s="167" t="s">
        <v>264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 x14ac:dyDescent="0.25">
      <c r="A568" s="168" t="s">
        <v>250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 x14ac:dyDescent="0.25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 x14ac:dyDescent="0.25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 x14ac:dyDescent="0.25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25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25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25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25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25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25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25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25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25">
      <c r="A581" s="167" t="s">
        <v>261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 x14ac:dyDescent="0.25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 x14ac:dyDescent="0.25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25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25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25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25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25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25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25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25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25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25">
      <c r="A594" s="167" t="s">
        <v>264</v>
      </c>
      <c r="B594" s="167"/>
      <c r="C594" s="167"/>
      <c r="D594" s="167"/>
      <c r="E594" s="167"/>
      <c r="F594" s="2">
        <f>SUM(F582:F593)</f>
        <v>202</v>
      </c>
      <c r="G594" s="2">
        <f>SUM(G582:G593)</f>
        <v>1010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 x14ac:dyDescent="0.25">
      <c r="A595" s="168" t="s">
        <v>250</v>
      </c>
      <c r="B595" s="168"/>
      <c r="C595" s="168"/>
      <c r="D595" s="168"/>
      <c r="E595" s="168"/>
      <c r="F595" s="1">
        <f>F581+F594</f>
        <v>580</v>
      </c>
      <c r="G595" s="1">
        <f>G581+G594</f>
        <v>2900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 x14ac:dyDescent="0.25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 x14ac:dyDescent="0.25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 x14ac:dyDescent="0.25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25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25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25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25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25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25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25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25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25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25">
      <c r="A608" s="167" t="s">
        <v>261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 x14ac:dyDescent="0.25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 x14ac:dyDescent="0.25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 x14ac:dyDescent="0.25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25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25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25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25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25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25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25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25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25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25">
      <c r="A621" s="167" t="s">
        <v>264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 x14ac:dyDescent="0.25">
      <c r="A622" s="168" t="s">
        <v>250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 x14ac:dyDescent="0.25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 x14ac:dyDescent="0.25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25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25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25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25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25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25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25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25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25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25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25">
      <c r="A635" s="167" t="s">
        <v>261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 x14ac:dyDescent="0.25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25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25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25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25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25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25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25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25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25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25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25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25">
      <c r="A648" s="167" t="s">
        <v>264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 x14ac:dyDescent="0.25">
      <c r="A649" s="168" t="s">
        <v>250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 x14ac:dyDescent="0.25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25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25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25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25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25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25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25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25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25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25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25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25">
      <c r="A662" s="167" t="s">
        <v>261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 x14ac:dyDescent="0.25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25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25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25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25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25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25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25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25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25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25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25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25">
      <c r="A675" s="167" t="s">
        <v>264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 x14ac:dyDescent="0.25">
      <c r="A676" s="168" t="s">
        <v>250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 x14ac:dyDescent="0.25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25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25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25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25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25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25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25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25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25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25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25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25">
      <c r="A689" s="167" t="s">
        <v>261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 x14ac:dyDescent="0.25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25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25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25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25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25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25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25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25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25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25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25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25">
      <c r="A702" s="167" t="s">
        <v>264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 x14ac:dyDescent="0.25">
      <c r="A703" s="168" t="s">
        <v>250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 x14ac:dyDescent="0.25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25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25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25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25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25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25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25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25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25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25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25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25">
      <c r="A716" s="167" t="s">
        <v>261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 x14ac:dyDescent="0.25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25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25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25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25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25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25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25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25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25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25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25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25">
      <c r="A729" s="167" t="s">
        <v>264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 x14ac:dyDescent="0.25">
      <c r="A730" s="168" t="s">
        <v>250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 x14ac:dyDescent="0.25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25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25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25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25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25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25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25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25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25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25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25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25">
      <c r="A743" s="167" t="s">
        <v>261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 x14ac:dyDescent="0.25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25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25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25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25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25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25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25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25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25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25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25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25">
      <c r="A756" s="167" t="s">
        <v>264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 x14ac:dyDescent="0.25">
      <c r="A757" s="168" t="s">
        <v>250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 x14ac:dyDescent="0.25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25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25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25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25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25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25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25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25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25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25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25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25">
      <c r="A770" s="167" t="s">
        <v>261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 x14ac:dyDescent="0.25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25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25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25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25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25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25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25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25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25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25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25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25">
      <c r="A783" s="167" t="s">
        <v>264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 x14ac:dyDescent="0.25">
      <c r="A784" s="168" t="s">
        <v>250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 x14ac:dyDescent="0.25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25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25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25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25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25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25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25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25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25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25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25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25">
      <c r="A797" s="167" t="s">
        <v>261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 x14ac:dyDescent="0.25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25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25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25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25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25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25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25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25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25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25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25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25">
      <c r="A810" s="167" t="s">
        <v>264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 x14ac:dyDescent="0.25">
      <c r="A811" s="168" t="s">
        <v>250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 x14ac:dyDescent="0.25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25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25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25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25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25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25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25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25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25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25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25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25">
      <c r="A824" s="167" t="s">
        <v>261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 x14ac:dyDescent="0.25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25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25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25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25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25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25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25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25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25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25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25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25">
      <c r="A837" s="167" t="s">
        <v>264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 x14ac:dyDescent="0.25">
      <c r="A838" s="168" t="s">
        <v>250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R584" sqref="R584"/>
    </sheetView>
  </sheetViews>
  <sheetFormatPr defaultColWidth="8.5703125" defaultRowHeight="15" x14ac:dyDescent="0.2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25">
      <c r="A14" s="159" t="s">
        <v>261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25">
      <c r="A27" s="159" t="s">
        <v>264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 x14ac:dyDescent="0.25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25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25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25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25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25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25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25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25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25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25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25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25">
      <c r="A41" s="159" t="s">
        <v>261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0.88261666666221572</v>
      </c>
      <c r="R53" s="80" t="s">
        <v>312</v>
      </c>
      <c r="S53" s="67"/>
    </row>
    <row r="54" spans="1:20" ht="15.75" customHeight="1" x14ac:dyDescent="0.25">
      <c r="A54" s="159" t="s">
        <v>264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1.0215055555511035</v>
      </c>
      <c r="R54" s="2" t="s">
        <v>262</v>
      </c>
      <c r="S54" s="113">
        <v>352430</v>
      </c>
      <c r="T54" s="114"/>
    </row>
    <row r="55" spans="1:20" ht="18" customHeight="1" x14ac:dyDescent="0.25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1.1062277777733263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25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25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25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25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25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25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25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 x14ac:dyDescent="0.25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25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25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25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35">
      <c r="A68" s="159" t="s">
        <v>261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25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25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25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25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25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25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25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 x14ac:dyDescent="0.25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25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25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25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35">
      <c r="A81" s="159" t="s">
        <v>264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 x14ac:dyDescent="0.25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35">
      <c r="A95" s="159" t="s">
        <v>261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35">
      <c r="A108" s="159" t="s">
        <v>264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 x14ac:dyDescent="0.25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35">
      <c r="A122" s="159" t="s">
        <v>261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35">
      <c r="A135" s="159" t="s">
        <v>264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 x14ac:dyDescent="0.25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35">
      <c r="A149" s="159" t="s">
        <v>261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35">
      <c r="A162" s="159" t="s">
        <v>264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 x14ac:dyDescent="0.25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25">
      <c r="A176" s="159" t="s">
        <v>261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25">
      <c r="A189" s="159" t="s">
        <v>264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 x14ac:dyDescent="0.25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25">
      <c r="A203" s="159" t="s">
        <v>261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25">
      <c r="A216" s="159" t="s">
        <v>264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 x14ac:dyDescent="0.25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25">
      <c r="A230" s="159" t="s">
        <v>261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25">
      <c r="A243" s="159" t="s">
        <v>264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 x14ac:dyDescent="0.25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25">
      <c r="A257" s="159" t="s">
        <v>261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25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25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25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25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25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25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25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25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25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25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25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25">
      <c r="A270" s="159" t="s">
        <v>264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 x14ac:dyDescent="0.25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2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2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2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2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2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25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25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25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25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25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25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25">
      <c r="A284" s="159" t="s">
        <v>261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 x14ac:dyDescent="0.25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25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25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25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25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25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25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25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25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25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25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25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25">
      <c r="A297" s="159" t="s">
        <v>264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 x14ac:dyDescent="0.25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2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2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2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2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2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2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2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2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2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2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2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25">
      <c r="A311" s="159" t="s">
        <v>261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2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25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25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25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25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25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25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25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25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25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25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25">
      <c r="A324" s="159" t="s">
        <v>264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 x14ac:dyDescent="0.25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 x14ac:dyDescent="0.25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25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 x14ac:dyDescent="0.25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 x14ac:dyDescent="0.25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25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 x14ac:dyDescent="0.25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 x14ac:dyDescent="0.25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25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25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25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25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25">
      <c r="A338" s="159" t="s">
        <v>261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2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2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 x14ac:dyDescent="0.2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2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 x14ac:dyDescent="0.2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2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2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2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2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2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2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25">
      <c r="A351" s="159" t="s">
        <v>264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 x14ac:dyDescent="0.25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 x14ac:dyDescent="0.2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2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2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2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2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2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2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2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2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2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2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25">
      <c r="A365" s="159" t="s">
        <v>261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2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 x14ac:dyDescent="0.2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2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2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2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2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2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2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2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2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2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25">
      <c r="A378" s="159" t="s">
        <v>264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 x14ac:dyDescent="0.25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2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2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2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2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2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 x14ac:dyDescent="0.2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2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2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2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2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2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25">
      <c r="A392" s="159" t="s">
        <v>261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2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2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2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 x14ac:dyDescent="0.2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2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2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2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2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2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2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2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25">
      <c r="A405" s="159" t="s">
        <v>264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 x14ac:dyDescent="0.25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2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2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2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2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2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2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2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2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2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2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2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25">
      <c r="A419" s="159" t="s">
        <v>261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 x14ac:dyDescent="0.2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2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2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2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2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2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2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2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2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2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2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25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 x14ac:dyDescent="0.25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 x14ac:dyDescent="0.2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2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2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2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2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2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2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2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2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2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2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25">
      <c r="A446" s="159" t="s">
        <v>261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25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25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25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25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25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 x14ac:dyDescent="0.25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 x14ac:dyDescent="0.25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25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25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25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25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25">
      <c r="A459" s="159" t="s">
        <v>264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 x14ac:dyDescent="0.25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2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2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2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2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 x14ac:dyDescent="0.2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2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2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2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2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2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2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25">
      <c r="A473" s="159" t="s">
        <v>261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2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2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 x14ac:dyDescent="0.2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2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2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 x14ac:dyDescent="0.2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2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2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2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2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2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25">
      <c r="A486" s="159" t="s">
        <v>264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 x14ac:dyDescent="0.25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 x14ac:dyDescent="0.25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25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25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25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 x14ac:dyDescent="0.25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25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25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25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25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25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25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25">
      <c r="A500" s="159" t="s">
        <v>261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 x14ac:dyDescent="0.25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 x14ac:dyDescent="0.25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 x14ac:dyDescent="0.25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 x14ac:dyDescent="0.25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 x14ac:dyDescent="0.25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 x14ac:dyDescent="0.25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 x14ac:dyDescent="0.25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 x14ac:dyDescent="0.25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25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25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25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25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 x14ac:dyDescent="0.25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 x14ac:dyDescent="0.25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 x14ac:dyDescent="0.25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 x14ac:dyDescent="0.25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 x14ac:dyDescent="0.25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 x14ac:dyDescent="0.25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25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25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25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25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25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25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25">
      <c r="A527" s="159" t="s">
        <v>261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 x14ac:dyDescent="0.25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 x14ac:dyDescent="0.25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 x14ac:dyDescent="0.25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 x14ac:dyDescent="0.25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 x14ac:dyDescent="0.25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 x14ac:dyDescent="0.25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 x14ac:dyDescent="0.25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 x14ac:dyDescent="0.25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 x14ac:dyDescent="0.25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 x14ac:dyDescent="0.25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25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25">
      <c r="A540" s="159" t="s">
        <v>264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 x14ac:dyDescent="0.25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 x14ac:dyDescent="0.25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 x14ac:dyDescent="0.25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 x14ac:dyDescent="0.25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 x14ac:dyDescent="0.25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25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25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25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25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25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25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25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25">
      <c r="A554" s="159" t="s">
        <v>261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 x14ac:dyDescent="0.25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25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25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25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25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25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25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25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25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25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25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25">
      <c r="A567" s="159" t="s">
        <v>264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 x14ac:dyDescent="0.25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 x14ac:dyDescent="0.25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 x14ac:dyDescent="0.25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25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25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25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25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25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25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25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25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25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25">
      <c r="A581" s="159" t="s">
        <v>261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 x14ac:dyDescent="0.25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 x14ac:dyDescent="0.25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170</v>
      </c>
      <c r="N584" s="61" t="s">
        <v>36</v>
      </c>
      <c r="O584" s="65">
        <v>0.94236111111111109</v>
      </c>
      <c r="P584" s="65"/>
      <c r="Q584" s="66">
        <f t="shared" ca="1" si="152"/>
        <v>6.1783333330822643E-2</v>
      </c>
      <c r="R584" s="80"/>
      <c r="S584" s="81"/>
    </row>
    <row r="585" spans="1:20" ht="15" customHeight="1" x14ac:dyDescent="0.25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 x14ac:dyDescent="0.25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 x14ac:dyDescent="0.25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 x14ac:dyDescent="0.25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25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25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25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25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25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25">
      <c r="A594" s="159" t="s">
        <v>264</v>
      </c>
      <c r="B594" s="159"/>
      <c r="C594" s="159"/>
      <c r="D594" s="159"/>
      <c r="E594" s="159"/>
      <c r="F594" s="105"/>
      <c r="G594" s="96">
        <f>SUM(G582:G593)</f>
        <v>40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168.00000000000003</v>
      </c>
      <c r="L594" s="72"/>
      <c r="M594" s="72"/>
      <c r="N594" s="72"/>
      <c r="O594" s="72"/>
      <c r="P594" s="72"/>
      <c r="Q594" s="73">
        <f ca="1">IFERROR(SUM(Q582:Q593),"")</f>
        <v>0.13400555555304494</v>
      </c>
      <c r="R594" s="2" t="s">
        <v>262</v>
      </c>
      <c r="S594" s="74"/>
      <c r="T594" s="99">
        <f>IFERROR(J594,"")</f>
        <v>0</v>
      </c>
    </row>
    <row r="595" spans="1:20" ht="18" customHeight="1" x14ac:dyDescent="0.25">
      <c r="A595" s="158" t="s">
        <v>250</v>
      </c>
      <c r="B595" s="158"/>
      <c r="C595" s="158"/>
      <c r="D595" s="158"/>
      <c r="E595" s="158"/>
      <c r="F595" s="108"/>
      <c r="G595" s="109">
        <f>G581+G594</f>
        <v>89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373.80000000000007</v>
      </c>
      <c r="L595" s="76"/>
      <c r="M595" s="76"/>
      <c r="N595" s="76"/>
      <c r="O595" s="76"/>
      <c r="P595" s="76"/>
      <c r="Q595" s="77">
        <f ca="1">IFERROR(Q581+Q594,"")</f>
        <v>0.53817222221971162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 x14ac:dyDescent="0.25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 x14ac:dyDescent="0.25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25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25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25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25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25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25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25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25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25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25">
      <c r="A608" s="159" t="s">
        <v>261</v>
      </c>
      <c r="B608" s="159"/>
      <c r="C608" s="159"/>
      <c r="D608" s="159"/>
      <c r="E608" s="159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25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25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25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25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25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25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25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25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25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25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25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25">
      <c r="A621" s="159" t="s">
        <v>264</v>
      </c>
      <c r="B621" s="159"/>
      <c r="C621" s="159"/>
      <c r="D621" s="159"/>
      <c r="E621" s="159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 x14ac:dyDescent="0.25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2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2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2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2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2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2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2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2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2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2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2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25">
      <c r="A635" s="159" t="s">
        <v>261</v>
      </c>
      <c r="B635" s="159"/>
      <c r="C635" s="159"/>
      <c r="D635" s="159"/>
      <c r="E635" s="159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2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2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2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2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2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2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2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2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2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2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2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25">
      <c r="A648" s="159" t="s">
        <v>264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 x14ac:dyDescent="0.25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2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2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2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2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2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2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2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2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2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2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2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25">
      <c r="A662" s="159" t="s">
        <v>261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2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2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2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2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2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2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2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2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2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2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2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25">
      <c r="A675" s="159" t="s">
        <v>264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 x14ac:dyDescent="0.25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2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2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2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2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2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2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2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2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2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2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2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25">
      <c r="A689" s="159" t="s">
        <v>261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2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2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2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2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2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2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2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2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2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2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2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25">
      <c r="A702" s="159" t="s">
        <v>264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 x14ac:dyDescent="0.25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2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2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2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2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2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2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2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2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2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2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2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25">
      <c r="A716" s="159" t="s">
        <v>261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2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2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2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2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2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2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2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2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2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2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2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25">
      <c r="A729" s="159" t="s">
        <v>264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 x14ac:dyDescent="0.25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2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2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2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2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2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2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2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2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2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2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2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25">
      <c r="A743" s="159" t="s">
        <v>261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2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2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2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2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2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2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2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2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2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2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2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25">
      <c r="A756" s="159" t="s">
        <v>264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 x14ac:dyDescent="0.25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2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2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2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2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2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2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2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2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2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2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2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25">
      <c r="A770" s="159" t="s">
        <v>261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2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2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2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2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2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2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2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2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2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2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2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25">
      <c r="A783" s="159" t="s">
        <v>264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 x14ac:dyDescent="0.25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2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2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2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2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2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2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2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2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2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2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2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25">
      <c r="A797" s="159" t="s">
        <v>261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2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2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2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2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2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2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2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2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2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2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2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25">
      <c r="A810" s="159" t="s">
        <v>264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 x14ac:dyDescent="0.25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2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2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2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2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2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2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2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2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2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2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2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25">
      <c r="A824" s="159" t="s">
        <v>261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2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2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2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2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2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2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2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2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2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2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2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25">
      <c r="A837" s="159" t="s">
        <v>264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 x14ac:dyDescent="0.25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85" sqref="G585"/>
    </sheetView>
  </sheetViews>
  <sheetFormatPr defaultColWidth="8.5703125" defaultRowHeight="15" x14ac:dyDescent="0.2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25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25">
      <c r="A14" s="159" t="s">
        <v>261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25">
      <c r="A27" s="159" t="s">
        <v>264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 x14ac:dyDescent="0.25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25">
      <c r="A41" s="159" t="s">
        <v>261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25">
      <c r="A54" s="159" t="s">
        <v>264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 x14ac:dyDescent="0.25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25">
      <c r="A68" s="159" t="s">
        <v>261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25">
      <c r="A81" s="159" t="s">
        <v>264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 x14ac:dyDescent="0.25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25">
      <c r="A95" s="159" t="s">
        <v>261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25">
      <c r="A108" s="159" t="s">
        <v>264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 x14ac:dyDescent="0.25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25">
      <c r="A122" s="159" t="s">
        <v>261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25">
      <c r="A135" s="159" t="s">
        <v>264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 x14ac:dyDescent="0.25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25">
      <c r="A149" s="159" t="s">
        <v>261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25">
      <c r="A162" s="159" t="s">
        <v>264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 x14ac:dyDescent="0.25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25">
      <c r="A176" s="159" t="s">
        <v>261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25">
      <c r="A189" s="159" t="s">
        <v>264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 x14ac:dyDescent="0.25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25">
      <c r="A203" s="159" t="s">
        <v>261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25">
      <c r="A216" s="159" t="s">
        <v>264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 x14ac:dyDescent="0.25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25">
      <c r="A230" s="159" t="s">
        <v>261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25">
      <c r="A243" s="159" t="s">
        <v>264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 x14ac:dyDescent="0.25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25">
      <c r="A257" s="159" t="s">
        <v>261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25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25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25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25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25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25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25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25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25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25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25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25">
      <c r="A270" s="159" t="s">
        <v>264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 x14ac:dyDescent="0.25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25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25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25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25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25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25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25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25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25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25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25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25">
      <c r="A284" s="159" t="s">
        <v>261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25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25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25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25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25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25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25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25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25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25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25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25">
      <c r="A297" s="159" t="s">
        <v>264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 x14ac:dyDescent="0.25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25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25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25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25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25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25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25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25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25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25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25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25">
      <c r="A311" s="159" t="s">
        <v>261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25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25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25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25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25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25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25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25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25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25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25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25">
      <c r="A324" s="159" t="s">
        <v>264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 x14ac:dyDescent="0.25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 x14ac:dyDescent="0.25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 x14ac:dyDescent="0.25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25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 x14ac:dyDescent="0.25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25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25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25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25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25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25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25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25">
      <c r="A338" s="159" t="s">
        <v>261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25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25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25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25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25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25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25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25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25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25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25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25">
      <c r="A351" s="159" t="s">
        <v>264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 x14ac:dyDescent="0.25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25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 x14ac:dyDescent="0.25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25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25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25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25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25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25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25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25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25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25">
      <c r="A365" s="159" t="s">
        <v>261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25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25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25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25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25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25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25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25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25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25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25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25">
      <c r="A378" s="159" t="s">
        <v>264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 x14ac:dyDescent="0.25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25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25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25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 x14ac:dyDescent="0.25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 x14ac:dyDescent="0.25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25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25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25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25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25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25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25">
      <c r="A392" s="159" t="s">
        <v>261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25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25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25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25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25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25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25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25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25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25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25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25">
      <c r="A405" s="159" t="s">
        <v>264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 x14ac:dyDescent="0.25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25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 x14ac:dyDescent="0.25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25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25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25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25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25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25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25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25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25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25">
      <c r="A419" s="159" t="s">
        <v>261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 x14ac:dyDescent="0.25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25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25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25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25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25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25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25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25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25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25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25">
      <c r="A432" s="159" t="s">
        <v>264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 x14ac:dyDescent="0.25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 x14ac:dyDescent="0.25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25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 x14ac:dyDescent="0.25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25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25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25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25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25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25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25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25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25">
      <c r="A446" s="159" t="s">
        <v>261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25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25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 x14ac:dyDescent="0.25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25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25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25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25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25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25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25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25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25">
      <c r="A459" s="159" t="s">
        <v>264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 x14ac:dyDescent="0.25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25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25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25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25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25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25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25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25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25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25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25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25">
      <c r="A473" s="159" t="s">
        <v>261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 x14ac:dyDescent="0.25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25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25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 x14ac:dyDescent="0.25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25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25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25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25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25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25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25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25">
      <c r="A486" s="159" t="s">
        <v>264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 x14ac:dyDescent="0.25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25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25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25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25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25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25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25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25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25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 x14ac:dyDescent="0.25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25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25">
      <c r="A500" s="159" t="s">
        <v>261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 x14ac:dyDescent="0.25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 x14ac:dyDescent="0.25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 x14ac:dyDescent="0.25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 x14ac:dyDescent="0.25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 x14ac:dyDescent="0.25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 x14ac:dyDescent="0.25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25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25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25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25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25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25">
      <c r="A513" s="159" t="s">
        <v>264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 x14ac:dyDescent="0.25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 x14ac:dyDescent="0.25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 x14ac:dyDescent="0.25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 x14ac:dyDescent="0.25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 x14ac:dyDescent="0.25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 x14ac:dyDescent="0.25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 x14ac:dyDescent="0.25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 x14ac:dyDescent="0.25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 x14ac:dyDescent="0.25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 x14ac:dyDescent="0.25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 x14ac:dyDescent="0.25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 x14ac:dyDescent="0.25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 x14ac:dyDescent="0.25">
      <c r="A527" s="159" t="s">
        <v>261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 x14ac:dyDescent="0.25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 x14ac:dyDescent="0.25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 x14ac:dyDescent="0.25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 x14ac:dyDescent="0.25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 x14ac:dyDescent="0.25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 x14ac:dyDescent="0.25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25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25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25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25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25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25">
      <c r="A540" s="159" t="s">
        <v>264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 x14ac:dyDescent="0.25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 x14ac:dyDescent="0.25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 x14ac:dyDescent="0.25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 x14ac:dyDescent="0.25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 x14ac:dyDescent="0.25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25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25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25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25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25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25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25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25">
      <c r="A554" s="159" t="s">
        <v>261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 x14ac:dyDescent="0.25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 x14ac:dyDescent="0.25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 x14ac:dyDescent="0.25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 x14ac:dyDescent="0.25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 x14ac:dyDescent="0.25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 x14ac:dyDescent="0.25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 x14ac:dyDescent="0.25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 x14ac:dyDescent="0.25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 x14ac:dyDescent="0.25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 x14ac:dyDescent="0.25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 x14ac:dyDescent="0.25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 x14ac:dyDescent="0.25">
      <c r="A567" s="159" t="s">
        <v>264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 x14ac:dyDescent="0.25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 x14ac:dyDescent="0.25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 x14ac:dyDescent="0.25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 x14ac:dyDescent="0.25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 x14ac:dyDescent="0.25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 x14ac:dyDescent="0.25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25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25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25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25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25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25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25">
      <c r="A581" s="159" t="s">
        <v>261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 x14ac:dyDescent="0.25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370</v>
      </c>
      <c r="S583" s="81"/>
    </row>
    <row r="584" spans="1:20" ht="15" customHeight="1" x14ac:dyDescent="0.25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 x14ac:dyDescent="0.25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 x14ac:dyDescent="0.25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25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25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25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25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25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25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25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25">
      <c r="A594" s="159" t="s">
        <v>264</v>
      </c>
      <c r="B594" s="159"/>
      <c r="C594" s="159"/>
      <c r="D594" s="159"/>
      <c r="E594" s="159"/>
      <c r="F594" s="105"/>
      <c r="G594" s="96">
        <f>SUM(G582:G593)</f>
        <v>13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54.599999999999994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 x14ac:dyDescent="0.25">
      <c r="A595" s="158" t="s">
        <v>250</v>
      </c>
      <c r="B595" s="158"/>
      <c r="C595" s="158"/>
      <c r="D595" s="158"/>
      <c r="E595" s="158"/>
      <c r="F595" s="108"/>
      <c r="G595" s="109">
        <f>G581+G594</f>
        <v>176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748.00000000000011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 x14ac:dyDescent="0.25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 x14ac:dyDescent="0.25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 x14ac:dyDescent="0.25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 x14ac:dyDescent="0.25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 x14ac:dyDescent="0.25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25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25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25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25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25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25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25">
      <c r="A608" s="159" t="s">
        <v>261</v>
      </c>
      <c r="B608" s="159"/>
      <c r="C608" s="159"/>
      <c r="D608" s="159"/>
      <c r="E608" s="159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25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25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25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25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25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25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25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25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25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25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25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25">
      <c r="A621" s="159" t="s">
        <v>264</v>
      </c>
      <c r="B621" s="159"/>
      <c r="C621" s="159"/>
      <c r="D621" s="159"/>
      <c r="E621" s="159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 x14ac:dyDescent="0.25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25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25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25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25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25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25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25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25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25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25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25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25">
      <c r="A635" s="159" t="s">
        <v>261</v>
      </c>
      <c r="B635" s="159"/>
      <c r="C635" s="159"/>
      <c r="D635" s="159"/>
      <c r="E635" s="159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25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25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25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25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25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25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25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25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25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25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25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25">
      <c r="A648" s="159" t="s">
        <v>264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 x14ac:dyDescent="0.25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25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25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25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25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25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25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25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25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25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25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25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25">
      <c r="A662" s="159" t="s">
        <v>261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25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25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25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25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25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25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25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25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25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25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25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25">
      <c r="A675" s="159" t="s">
        <v>264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 x14ac:dyDescent="0.25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25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25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25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25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25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25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25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25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25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25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25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25">
      <c r="A689" s="159" t="s">
        <v>261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25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25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25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25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25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25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25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25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25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25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25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25">
      <c r="A702" s="159" t="s">
        <v>264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 x14ac:dyDescent="0.25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25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25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25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25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25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25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25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25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25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25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25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25">
      <c r="A716" s="159" t="s">
        <v>261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25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25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25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25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25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25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25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25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25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25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25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25">
      <c r="A729" s="159" t="s">
        <v>264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 x14ac:dyDescent="0.25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25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25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25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25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25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25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25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25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25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25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25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25">
      <c r="A743" s="159" t="s">
        <v>261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25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25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25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25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25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25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25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25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25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25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25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25">
      <c r="A756" s="159" t="s">
        <v>264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 x14ac:dyDescent="0.25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25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25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25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25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25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25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25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25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25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25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25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25">
      <c r="A770" s="159" t="s">
        <v>261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25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25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25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25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25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25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25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25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25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25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25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25">
      <c r="A783" s="159" t="s">
        <v>264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 x14ac:dyDescent="0.25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25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25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25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25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25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25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25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25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25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25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25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25">
      <c r="A797" s="159" t="s">
        <v>261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25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25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25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25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25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25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25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25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25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25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25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25">
      <c r="A810" s="159" t="s">
        <v>264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 x14ac:dyDescent="0.25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25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25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25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25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25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25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25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25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25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25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25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25">
      <c r="A824" s="159" t="s">
        <v>261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25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25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25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25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25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25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25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25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25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25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25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25">
      <c r="A837" s="159" t="s">
        <v>264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 x14ac:dyDescent="0.25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74" activePane="bottomLeft" state="frozen"/>
      <selection pane="bottomLeft" activeCell="P585" sqref="P585"/>
    </sheetView>
  </sheetViews>
  <sheetFormatPr defaultColWidth="8.5703125" defaultRowHeight="15" x14ac:dyDescent="0.2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25">
      <c r="A14" s="159" t="s">
        <v>261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25">
      <c r="A27" s="159" t="s">
        <v>264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 x14ac:dyDescent="0.25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25">
      <c r="A41" s="159" t="s">
        <v>261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25">
      <c r="A54" s="159" t="s">
        <v>264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 x14ac:dyDescent="0.25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25">
      <c r="A68" s="159" t="s">
        <v>261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25">
      <c r="A81" s="159" t="s">
        <v>264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 x14ac:dyDescent="0.25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25">
      <c r="A95" s="159" t="s">
        <v>261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25">
      <c r="A108" s="159" t="s">
        <v>264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 x14ac:dyDescent="0.25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25">
      <c r="A122" s="159" t="s">
        <v>261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25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 x14ac:dyDescent="0.25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25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25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25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25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 x14ac:dyDescent="0.25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25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25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25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25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25">
      <c r="A135" s="159" t="s">
        <v>264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 x14ac:dyDescent="0.25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25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25">
      <c r="A162" s="159" t="s">
        <v>264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 x14ac:dyDescent="0.25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25">
      <c r="A176" s="159" t="s">
        <v>261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25">
      <c r="A189" s="159" t="s">
        <v>264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 x14ac:dyDescent="0.25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25">
      <c r="A203" s="159" t="s">
        <v>261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25">
      <c r="A216" s="159" t="s">
        <v>264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 x14ac:dyDescent="0.25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25">
      <c r="A230" s="159" t="s">
        <v>261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25">
      <c r="A243" s="159" t="s">
        <v>264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 x14ac:dyDescent="0.25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25">
      <c r="A257" s="159" t="s">
        <v>261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25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25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25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25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25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25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25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25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25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25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25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25">
      <c r="A270" s="159" t="s">
        <v>264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 x14ac:dyDescent="0.25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2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2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2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2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2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25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25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25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25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25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25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25">
      <c r="A284" s="159" t="s">
        <v>261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25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25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25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25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25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25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25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25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25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25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25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25">
      <c r="A297" s="159" t="s">
        <v>264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 x14ac:dyDescent="0.25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2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2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2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2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2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2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2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2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2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2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2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25">
      <c r="A311" s="159" t="s">
        <v>261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2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25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25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25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25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25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25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25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25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25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25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25">
      <c r="A324" s="159" t="s">
        <v>264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 x14ac:dyDescent="0.25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25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25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25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25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25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25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25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25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25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25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25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25">
      <c r="A338" s="159" t="s">
        <v>261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2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2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2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2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2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2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2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 x14ac:dyDescent="0.2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 x14ac:dyDescent="0.2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2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2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25">
      <c r="A351" s="159" t="s">
        <v>264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 x14ac:dyDescent="0.25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2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2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2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 x14ac:dyDescent="0.2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2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 x14ac:dyDescent="0.2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2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2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2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2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2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25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2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2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2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2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2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2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 x14ac:dyDescent="0.2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2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2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2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2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25">
      <c r="A378" s="159" t="s">
        <v>264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 x14ac:dyDescent="0.25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2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2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2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2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 x14ac:dyDescent="0.2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 x14ac:dyDescent="0.2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2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2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2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2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2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25">
      <c r="A392" s="159" t="s">
        <v>261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2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 x14ac:dyDescent="0.2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2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2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2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2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2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2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2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2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2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25">
      <c r="A405" s="159" t="s">
        <v>264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 x14ac:dyDescent="0.25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 x14ac:dyDescent="0.2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2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2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2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2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2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2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2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2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2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2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25">
      <c r="A419" s="159" t="s">
        <v>261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2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2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2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 x14ac:dyDescent="0.2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2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2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2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2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2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2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2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25">
      <c r="A432" s="159" t="s">
        <v>264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 x14ac:dyDescent="0.25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2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2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2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2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2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2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2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2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2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2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2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25">
      <c r="A446" s="159" t="s">
        <v>261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 x14ac:dyDescent="0.25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25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25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25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 x14ac:dyDescent="0.25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25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25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25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25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25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25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25">
      <c r="A459" s="159" t="s">
        <v>264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 x14ac:dyDescent="0.25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2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2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2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2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2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2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2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2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2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2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2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25">
      <c r="A473" s="159" t="s">
        <v>261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2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2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 x14ac:dyDescent="0.2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2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2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 x14ac:dyDescent="0.2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2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2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2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2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2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25">
      <c r="A486" s="159" t="s">
        <v>264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 x14ac:dyDescent="0.25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25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25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25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25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25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25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25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25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25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25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25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25">
      <c r="A500" s="159" t="s">
        <v>261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 x14ac:dyDescent="0.25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 x14ac:dyDescent="0.25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 x14ac:dyDescent="0.25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 x14ac:dyDescent="0.25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 x14ac:dyDescent="0.25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 x14ac:dyDescent="0.25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 x14ac:dyDescent="0.25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25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25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25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25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25">
      <c r="A513" s="159" t="s">
        <v>264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 x14ac:dyDescent="0.25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 x14ac:dyDescent="0.25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 x14ac:dyDescent="0.25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 x14ac:dyDescent="0.25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 x14ac:dyDescent="0.25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25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25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25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25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25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25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25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25">
      <c r="A527" s="159" t="s">
        <v>261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 x14ac:dyDescent="0.25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 x14ac:dyDescent="0.25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 x14ac:dyDescent="0.25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 x14ac:dyDescent="0.25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 x14ac:dyDescent="0.25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 x14ac:dyDescent="0.25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 x14ac:dyDescent="0.25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 x14ac:dyDescent="0.25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 x14ac:dyDescent="0.25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25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25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25">
      <c r="A540" s="159" t="s">
        <v>264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 x14ac:dyDescent="0.25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 x14ac:dyDescent="0.25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 x14ac:dyDescent="0.25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 x14ac:dyDescent="0.25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 x14ac:dyDescent="0.25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 x14ac:dyDescent="0.25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 x14ac:dyDescent="0.25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 x14ac:dyDescent="0.25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 x14ac:dyDescent="0.25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 x14ac:dyDescent="0.25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 x14ac:dyDescent="0.25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 x14ac:dyDescent="0.25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 x14ac:dyDescent="0.25">
      <c r="A554" s="159" t="s">
        <v>261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 x14ac:dyDescent="0.25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 x14ac:dyDescent="0.25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 x14ac:dyDescent="0.25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 x14ac:dyDescent="0.25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 x14ac:dyDescent="0.25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 x14ac:dyDescent="0.25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 x14ac:dyDescent="0.25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 x14ac:dyDescent="0.25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 x14ac:dyDescent="0.25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 x14ac:dyDescent="0.25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 x14ac:dyDescent="0.25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 x14ac:dyDescent="0.25">
      <c r="A567" s="159" t="s">
        <v>264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 x14ac:dyDescent="0.25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 x14ac:dyDescent="0.25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 x14ac:dyDescent="0.25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 x14ac:dyDescent="0.25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 x14ac:dyDescent="0.25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 x14ac:dyDescent="0.25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 x14ac:dyDescent="0.25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 x14ac:dyDescent="0.25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 x14ac:dyDescent="0.25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25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25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25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25">
      <c r="A581" s="159" t="s">
        <v>261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 x14ac:dyDescent="0.25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421</v>
      </c>
      <c r="S583" s="133"/>
    </row>
    <row r="584" spans="1:20" ht="15" customHeight="1" x14ac:dyDescent="0.25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422</v>
      </c>
      <c r="S584" s="133"/>
    </row>
    <row r="585" spans="1:20" ht="15" customHeight="1" x14ac:dyDescent="0.25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/>
      <c r="M585" s="70"/>
      <c r="N585" s="70"/>
      <c r="O585" s="65">
        <v>0.92569444444444449</v>
      </c>
      <c r="P585" s="65"/>
      <c r="Q585" s="71">
        <f t="shared" ca="1" si="152"/>
        <v>7.8450000000884756E-2</v>
      </c>
      <c r="R585" s="63"/>
      <c r="S585" s="133"/>
    </row>
    <row r="586" spans="1:20" ht="15" customHeight="1" x14ac:dyDescent="0.25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 x14ac:dyDescent="0.25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 x14ac:dyDescent="0.25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 x14ac:dyDescent="0.25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25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25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25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25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25">
      <c r="A594" s="159" t="s">
        <v>264</v>
      </c>
      <c r="B594" s="159"/>
      <c r="C594" s="159"/>
      <c r="D594" s="159"/>
      <c r="E594" s="159"/>
      <c r="F594" s="105"/>
      <c r="G594" s="96">
        <f>SUM(G582:G593)</f>
        <v>50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210</v>
      </c>
      <c r="L594" s="72"/>
      <c r="M594" s="72"/>
      <c r="N594" s="72"/>
      <c r="O594" s="134"/>
      <c r="P594" s="134"/>
      <c r="Q594" s="73">
        <f ca="1">IFERROR(SUM(Q582:Q593),"")</f>
        <v>0.12081111111199583</v>
      </c>
      <c r="R594" s="2" t="s">
        <v>262</v>
      </c>
      <c r="S594" s="74"/>
      <c r="T594" s="99">
        <f>IFERROR(J594,"")</f>
        <v>0</v>
      </c>
    </row>
    <row r="595" spans="1:20" ht="18" customHeight="1" x14ac:dyDescent="0.25">
      <c r="A595" s="158" t="s">
        <v>250</v>
      </c>
      <c r="B595" s="158"/>
      <c r="C595" s="158"/>
      <c r="D595" s="158"/>
      <c r="E595" s="158"/>
      <c r="F595" s="108"/>
      <c r="G595" s="109">
        <f>G581+G594</f>
        <v>252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1074.4000000000001</v>
      </c>
      <c r="L595" s="76"/>
      <c r="M595" s="76"/>
      <c r="N595" s="76"/>
      <c r="O595" s="135"/>
      <c r="P595" s="135"/>
      <c r="Q595" s="77">
        <f ca="1">IFERROR(Q581+Q594,"")</f>
        <v>0.25483888888977368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 x14ac:dyDescent="0.25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25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25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25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25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25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25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25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25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25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25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25">
      <c r="A608" s="159" t="s">
        <v>261</v>
      </c>
      <c r="B608" s="159"/>
      <c r="C608" s="159"/>
      <c r="D608" s="159"/>
      <c r="E608" s="159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25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25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25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25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25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25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25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25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25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25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25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25">
      <c r="A621" s="159" t="s">
        <v>264</v>
      </c>
      <c r="B621" s="159"/>
      <c r="C621" s="159"/>
      <c r="D621" s="159"/>
      <c r="E621" s="159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 x14ac:dyDescent="0.25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2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2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2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2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2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2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2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2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2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2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2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25">
      <c r="A635" s="159" t="s">
        <v>261</v>
      </c>
      <c r="B635" s="159"/>
      <c r="C635" s="159"/>
      <c r="D635" s="159"/>
      <c r="E635" s="159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2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2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2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2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2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2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2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2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2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2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2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25">
      <c r="A648" s="159" t="s">
        <v>264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 x14ac:dyDescent="0.25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2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2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2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2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2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2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2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2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2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2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2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25">
      <c r="A662" s="159" t="s">
        <v>261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2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2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2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2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2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2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2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2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2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2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2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25">
      <c r="A675" s="159" t="s">
        <v>264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 x14ac:dyDescent="0.25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2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2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2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2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2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2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2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2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2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2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2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25">
      <c r="A689" s="159" t="s">
        <v>261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2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2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2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2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2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2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2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2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2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2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2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25">
      <c r="A702" s="159" t="s">
        <v>264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 x14ac:dyDescent="0.25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2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2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2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2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2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2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2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2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2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2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2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25">
      <c r="A716" s="159" t="s">
        <v>261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2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2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2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2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2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2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2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2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2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2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2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25">
      <c r="A729" s="159" t="s">
        <v>264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 x14ac:dyDescent="0.25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2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2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2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2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2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2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2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2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2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2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2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25">
      <c r="A743" s="159" t="s">
        <v>261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2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2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2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2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2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2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2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2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2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2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2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25">
      <c r="A756" s="159" t="s">
        <v>264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 x14ac:dyDescent="0.25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2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2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2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2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2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2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2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2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2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2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2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25">
      <c r="A770" s="159" t="s">
        <v>261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2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2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2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2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2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2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2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2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2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2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2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25">
      <c r="A783" s="159" t="s">
        <v>264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 x14ac:dyDescent="0.25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2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2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2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2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2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2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2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2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2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2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2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25">
      <c r="A797" s="159" t="s">
        <v>261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2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2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2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2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2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2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2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2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2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2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2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25">
      <c r="A810" s="159" t="s">
        <v>264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 x14ac:dyDescent="0.25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2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2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2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2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2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2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2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2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2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2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2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25">
      <c r="A824" s="159" t="s">
        <v>261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2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2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2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2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2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2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2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2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2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2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2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25">
      <c r="A837" s="159" t="s">
        <v>264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 x14ac:dyDescent="0.25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infopath/2007/PartnerControls"/>
    <ds:schemaRef ds:uri="http://purl.org/dc/terms/"/>
    <ds:schemaRef ds:uri="http://purl.org/dc/elements/1.1/"/>
    <ds:schemaRef ds:uri="http://www.w3.org/XML/1998/namespace"/>
    <ds:schemaRef ds:uri="http://purl.org/dc/dcmitype/"/>
    <ds:schemaRef ds:uri="http://schemas.openxmlformats.org/package/2006/metadata/core-properties"/>
    <ds:schemaRef ds:uri="771c9ca5-affe-4166-ad8c-7e4536f98f4b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2026-08-23T04:06:02Z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