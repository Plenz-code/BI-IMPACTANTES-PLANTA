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544" documentId="8_{AF585B22-221D-4780-BB9C-493D365A6A02}" xr6:coauthVersionLast="47" xr6:coauthVersionMax="47" xr10:uidLastSave="{57C69A47-FDB9-47DA-BE24-3A0C64AC21BA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<sst xmlns="http://schemas.openxmlformats.org/spreadsheetml/2006/main" count="5115" uniqueCount="295">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</sst>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33867540</v>
      </c>
      <c r="D35" s="13">
        <f>IFERROR(SUM(D4:D34),"")</f>
        <v>11860280</v>
      </c>
      <c r="E35" s="13">
        <f>IFERROR(SUM(E4:E34),"")</f>
        <v>8208750</v>
      </c>
      <c r="F35" s="13">
        <f>IFERROR(SUM(F4:F34),"")</f>
        <v>15429200</v>
      </c>
      <c r="G35" s="13">
        <f>IFERROR(SUM(G4:G34),"")</f>
        <v>35498230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80" activePane="bottomLeft" state="frozen"/>
      <selection pane="bottomLeft" activeCell="J299" sqref="J2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227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227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227</v>
      </c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216</v>
      </c>
      <c r="O297" s="39">
        <v>1843460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219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213</v>
      </c>
      <c r="F299" s="27"/>
      <c r="G299" s="34" t="str">
        <f t="shared" ref="G299:G310" si="66">IF(F299="","",IF(E299="PC 17",F299*4.2,IF(E299="PC 19",F299*5,"")))</f>
        <v/>
      </c>
      <c r="H299" s="33" t="s">
        <v>18</v>
      </c>
      <c r="I299" s="33" t="s">
        <v>23</v>
      </c>
      <c r="J299" s="33" t="s">
        <v>126</v>
      </c>
      <c r="K299" s="29">
        <v>0.35</v>
      </c>
      <c r="L299" s="29"/>
      <c r="M299" s="35">
        <f t="shared" ref="M299:M310" ca="1" si="67">IFERROR(IF(K299="","",IF(L299="",MOD(NOW()-K299,1),IF(L299&gt;=K299,L299-K299,L299+1-K299))),"")</f>
        <v>3.8888888957444578E-4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213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213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213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213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213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213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213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213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213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213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3.8888888957444578E-4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3.8888888957444578E-4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72" activePane="bottomLeft" state="frozen"/>
      <selection pane="bottomLeft" activeCell="F300" sqref="F3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>
        <v>761660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4.1666666666666519E-3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4.1666666666666519E-3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69" zoomScale="50" zoomScaleNormal="50" workbookViewId="0">
      <selection activeCell="F300" sqref="F3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>
        <v>487980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118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213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4.1666666666666519E-3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4.1666666666666519E-3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80" activePane="bottomLeft" state="frozen"/>
      <selection pane="bottomLeft" activeCell="F299" sqref="F2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0.10108333333482733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0.30038888889038295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0.66775000000149398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216</v>
      </c>
      <c r="O297" s="39">
        <v>1049090</v>
      </c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219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/>
      <c r="G299" s="34" t="str">
        <f t="shared" ref="G299:G310" si="66">IF(F299="","",IF(E299="PC 17",F299*4.2,IF(E299="PC 19",F299*5,"")))</f>
        <v/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/>
      <c r="M299" s="35">
        <f t="shared" ref="M299:M310" ca="1" si="67">IFERROR(IF(K299="","",IF(L299="",MOD(NOW()-K299,1),IF(L299&gt;=K299,L299-K299,L299+1-K299))),"")</f>
        <v>5.8722222223877907E-2</v>
      </c>
      <c r="N299" s="27" t="s">
        <v>294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5.8722222223877907E-2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5.8722222223877907E-2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2026-07-12T12:24:37Z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