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595" documentId="8_{AF585B22-221D-4780-BB9C-493D365A6A02}" xr6:coauthVersionLast="47" xr6:coauthVersionMax="47" xr10:uidLastSave="{1D00A1BA-3402-4F31-A3A6-90F236977A0C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<sst xmlns="http://schemas.openxmlformats.org/spreadsheetml/2006/main" count="11546" uniqueCount="422">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</sst>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1" sqref="F76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80</v>
      </c>
      <c r="G770" s="36">
        <f>SUM(G758:G769)</f>
        <v>400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80</v>
      </c>
      <c r="G784" s="40">
        <f>G770+G783</f>
        <v>400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51" activePane="bottomLeft" state="frozen"/>
      <selection pane="bottomLeft" activeCell="L760" sqref="L7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0.21438090277661104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0.37201979166549992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0.48174201388772209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0.19285312500142027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0.36368645833475366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0.50882534722364259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49</v>
      </c>
      <c r="G770" s="36">
        <f>SUM(G758:G769)</f>
        <v>205.79999999999998</v>
      </c>
      <c r="H770" s="37"/>
      <c r="I770" s="37"/>
      <c r="J770" s="37"/>
      <c r="K770" s="37"/>
      <c r="L770" s="37"/>
      <c r="M770" s="38">
        <f ca="1">IFERROR(SUM(M758:M769),"")</f>
        <v>4.4444444444444453E-2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49</v>
      </c>
      <c r="G784" s="40">
        <f>G770+G783</f>
        <v>205.79999999999998</v>
      </c>
      <c r="H784" s="41"/>
      <c r="I784" s="41"/>
      <c r="J784" s="41"/>
      <c r="K784" s="41"/>
      <c r="L784" s="41"/>
      <c r="M784" s="42">
        <f ca="1">IFERROR(M770+M783,"")</f>
        <v>4.4444444444444453E-2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L762" sqref="L7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344</v>
      </c>
      <c r="N166" s="27" t="s">
        <v>345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368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/>
      <c r="G761" s="34" t="str">
        <f t="shared" si="168"/>
        <v/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259</v>
      </c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37"/>
      <c r="L770" s="37"/>
      <c r="M770" s="38">
        <f ca="1">IFERROR(SUM(M758:M769),"")</f>
        <v>6.597222222222221E-2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</v>
      </c>
      <c r="G784" s="40">
        <f>G770+G783</f>
        <v>33.6</v>
      </c>
      <c r="H784" s="41"/>
      <c r="I784" s="41"/>
      <c r="J784" s="41"/>
      <c r="K784" s="41"/>
      <c r="L784" s="41"/>
      <c r="M784" s="42">
        <f ca="1">IFERROR(M770+M783,"")</f>
        <v>6.597222222222221E-2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09" activePane="bottomLeft" state="frozen"/>
      <selection pane="bottomLeft" activeCell="F759" sqref="F75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373</v>
      </c>
      <c r="L58" s="29">
        <v>0.54097222222222219</v>
      </c>
      <c r="M58" s="30" t="str">
        <f t="shared" ca="1" si="13"/>
        <v/>
      </c>
      <c r="N58" s="27" t="s">
        <v>374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0.20465868055907777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0.40396423611463339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0.77132534722574442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420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421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/>
      <c r="M758" s="30">
        <f t="shared" ref="M758:M769" ca="1" si="169">IFERROR(IF(K758="","",IF(L758="",MOD(NOW()-K758,1),IF(L758&gt;=K758,L758-K758,L758+1-K758))),"")</f>
        <v>0.16229756944812834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0.16229756944812834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0.16229756944812834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2026-07-29T14:55:34Z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