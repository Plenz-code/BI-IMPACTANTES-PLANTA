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016" documentId="8_{C51EB6CB-002B-4D6B-B68F-DDEBDB4460C0}" xr6:coauthVersionLast="47" xr6:coauthVersionMax="47" xr10:uidLastSave="{330E7B00-F3DC-40CE-83E9-15F9A361C933}"/>
  <bookViews>
    <workbookView xWindow="-108" yWindow="-108" windowWidth="23256" windowHeight="12456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<sst xmlns="http://schemas.openxmlformats.org/spreadsheetml/2006/main" count="2619" uniqueCount="266">
  <si>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</si>
  <si>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</si>
  <si>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</si>
  <si>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</si>
  <si>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</si>
  <si>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</si>
  <si>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</si>
  <si>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</si>
  <si>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</si>
  <si>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</si>
  <si>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</si>
  <si>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</si>
  <si>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</si>
  <si>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</si>
  <si>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</si>
  <si>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</si>
  <si>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</si>
  <si>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</si>
  <si>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</si>
  <si>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</si>
  <si>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</si>
  <si>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</si>
  <si>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</si>
  <si>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</si>
  <si>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</si>
  <si>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</si>
  <si>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</si>
  <si>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</si>
  <si>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</si>
  <si>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</si>
  <si>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</si>
  <si>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</si>
  <si>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</si>
  <si>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</si>
  <si>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</si>
  <si>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</si>
  <si>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</si>
  <si>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</si>
  <si>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</si>
  <si>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</si>
  <si>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</si>
  <si>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</si>
  <si>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</si>
  <si>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</si>
  <si>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</si>
  <si>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</si>
  <si>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</si>
  <si>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</si>
  <si>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</si>
  <si>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</si>
  <si>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</si>
  <si>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</si>
  <si>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</si>
  <si>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</si>
  <si>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</si>
  <si>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</si>
  <si>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</si>
  <si>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</si>
  <si>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</si>
  <si>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</si>
  <si>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</si>
  <si>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</si>
  <si>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</si>
  <si>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</si>
  <si>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</si>
  <si>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</si>
  <si>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</si>
  <si>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</si>
  <si>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</si>
  <si>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</si>
  <si>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</si>
  <si>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</si>
  <si>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</si>
  <si>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</si>
  <si>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</si>
  <si>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</si>
  <si>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</si>
  <si>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</si>
  <si>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</si>
  <si>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</si>
  <si>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</si>
  <si>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</si>
  <si>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</si>
  <si>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</si>
  <si>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</si>
  <si>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</si>
  <si>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</si>
  <si>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</si>
  <si>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</si>
  <si>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</si>
  <si>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</si>
  <si>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</si>
  <si>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</si>
  <si>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</si>
  <si>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</si>
  <si>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</si>
  <si>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</si>
  <si>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</si>
  <si>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</si>
  <si>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</si>
  <si>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</si>
  <si>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</si>
  <si>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</si>
  <si>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</si>
  <si>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</si>
  <si>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</si>
  <si>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</si>
  <si>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</si>
  <si>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</si>
  <si>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</si>
  <si>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</si>
  <si>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</si>
  <si>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</si>
  <si>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</si>
  <si>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</si>
  <si>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</si>
  <si>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</si>
  <si>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</si>
  <si>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</si>
  <si>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</si>
  <si>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</si>
  <si>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</si>
  <si>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</si>
  <si>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</si>
  <si>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</si>
  <si>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</si>
  <si>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</si>
  <si>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</si>
  <si>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</si>
  <si>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</si>
  <si>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</si>
  <si>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</si>
  <si>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</si>
  <si>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</si>
  <si>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</si>
  <si>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</si>
  <si>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</si>
  <si>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</si>
  <si>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</si>
  <si>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</si>
  <si>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</si>
  <si>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</si>
  <si>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</si>
  <si>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</si>
  <si>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</si>
  <si>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</si>
  <si>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</si>
  <si>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</si>
  <si>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</si>
  <si>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</si>
  <si>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</si>
  <si>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</si>
  <si>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</si>
  <si>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</si>
  <si>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</si>
  <si>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</si>
  <si>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</si>
  <si>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</si>
  <si>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</si>
  <si>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</si>
  <si>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</si>
  <si>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</si>
  <si>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</si>
  <si>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</si>
  <si>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</si>
  <si>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</si>
  <si>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</si>
  <si>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</si>
  <si>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</si>
  <si>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</si>
  <si>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</si>
  <si>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</si>
  <si>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</si>
  <si>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</si>
  <si>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</si>
  <si>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</si>
  <si>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</si>
  <si>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</si>
  <si>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</si>
  <si>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</si>
  <si>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</si>
  <si>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</si>
  <si>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</si>
  <si>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</si>
  <si>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</si>
  <si>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</si>
  <si>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</si>
  <si>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</si>
  <si>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</si>
  <si>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</si>
  <si>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</si>
  <si>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</si>
  <si>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</si>
  <si>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</si>
  <si>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</si>
  <si>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</si>
  <si>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</si>
  <si>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</si>
  <si>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</si>
  <si>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</si>
  <si>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</si>
  <si>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</si>
  <si>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</si>
  <si>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</si>
  <si>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</si>
  <si>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</si>
  <si>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</si>
  <si>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</si>
  <si>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</si>
  <si>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</si>
  <si>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</si>
  <si>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</si>
  <si>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</si>
  <si>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</si>
  <si>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</si>
  <si>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</si>
  <si>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</si>
  <si>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</si>
  <si>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</si>
  <si>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</si>
  <si>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</si>
  <si>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</si>
  <si>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</si>
  <si>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</si>
  <si>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</si>
  <si>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</si>
  <si>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</si>
  <si>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</si>
  <si>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</si>
  <si>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</si>
  <si>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</si>
  <si>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</si>
  <si>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</si>
  <si>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</si>
  <si>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</si>
  <si>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</si>
  <si>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</si>
  <si>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</si>
  <si>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</si>
  <si>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</si>
  <si>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</si>
  <si>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</si>
  <si>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</si>
  <si>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</si>
  <si>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</si>
  <si>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</si>
  <si>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</si>
  <si>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</si>
  <si>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</si>
  <si>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</si>
  <si>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</si>
  <si>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bomba com problema,troca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</si>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</sst>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7" sqref="G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2050</v>
      </c>
      <c r="D7" s="11">
        <f>IFERROR('Linha 1'!O109,"")</f>
        <v>449600</v>
      </c>
      <c r="E7" s="11">
        <f>IFERROR('Linha 2'!O109,"")</f>
        <v>204160</v>
      </c>
      <c r="F7" s="11">
        <f>IFERROR('Linha 3'!O109,"")</f>
        <v>786700</v>
      </c>
      <c r="G7" s="12">
        <f t="shared" si="0"/>
        <v>1440460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7781455</v>
      </c>
      <c r="D35" s="13">
        <f>IFERROR(SUM(D4:D34),"")</f>
        <v>3343680</v>
      </c>
      <c r="E35" s="13">
        <f>IFERROR(SUM(E4:E34),"")</f>
        <v>1813040</v>
      </c>
      <c r="F35" s="13">
        <f>IFERROR(SUM(F4:F34),"")</f>
        <v>4048370</v>
      </c>
      <c r="G35" s="13">
        <f>IFERROR(SUM(G4:G34),"")</f>
        <v>9205090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9" activePane="bottomLeft" state="frozen"/>
      <selection pane="bottomLeft" activeCell="F99" sqref="F9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228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228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228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237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>
        <v>1547910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228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228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228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238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228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228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228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228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228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228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230</v>
      </c>
      <c r="O95" s="39">
        <v>2050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228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228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228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228</v>
      </c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228</v>
      </c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104</v>
      </c>
      <c r="G108" s="36">
        <f>SUM(G96:G107)</f>
        <v>520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413</v>
      </c>
      <c r="G109" s="40">
        <f>G95+G108</f>
        <v>2065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234</v>
      </c>
      <c r="O109" s="43">
        <f>IFERROR(O95+O108,"")</f>
        <v>2050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92" activePane="bottomLeft" state="frozen"/>
      <selection pane="bottomLeft" activeCell="E102" sqref="E10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239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239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239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239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239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239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239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239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239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239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239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0.83176631943933899</v>
      </c>
      <c r="N53" s="46" t="s">
        <v>248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0.97065520832822783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1.0553774305504502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239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239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239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239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239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249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239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239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239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230</v>
      </c>
      <c r="O81" s="54">
        <v>634210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234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250</v>
      </c>
      <c r="E83" s="59" t="s">
        <v>239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230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/>
      <c r="K96" s="29">
        <v>0.79166666666666663</v>
      </c>
      <c r="L96" s="29"/>
      <c r="M96" s="30">
        <f t="shared" ref="M96:M107" ca="1" si="22">IFERROR(IF(K96="","",IF(L96="",MOD(NOW()-K96,1),IF(L96&gt;=K96,L96-K96,L96+1-K96))),"")</f>
        <v>0.16162743055610918</v>
      </c>
      <c r="N96" s="46" t="s">
        <v>251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239</v>
      </c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239</v>
      </c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3</v>
      </c>
      <c r="G108" s="36">
        <f>SUM(G96:G107)</f>
        <v>12.600000000000001</v>
      </c>
      <c r="H108" s="37"/>
      <c r="I108" s="37"/>
      <c r="J108" s="37"/>
      <c r="K108" s="37"/>
      <c r="L108" s="37"/>
      <c r="M108" s="38">
        <f ca="1">IFERROR(SUM(M96:M107),"")</f>
        <v>0.16162743055610918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99</v>
      </c>
      <c r="G109" s="40">
        <f>G95+G108</f>
        <v>415.8</v>
      </c>
      <c r="H109" s="41"/>
      <c r="I109" s="41"/>
      <c r="J109" s="41"/>
      <c r="K109" s="41"/>
      <c r="L109" s="41"/>
      <c r="M109" s="42">
        <f ca="1">IFERROR(M95+M108,"")</f>
        <v>0.3782940972227759</v>
      </c>
      <c r="N109" s="40" t="s">
        <v>234</v>
      </c>
      <c r="O109" s="82">
        <f>IFERROR(O95+O108,"")</f>
        <v>449600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8" zoomScale="50" zoomScaleNormal="50" workbookViewId="0">
      <selection activeCell="L98" sqref="L9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239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239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239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239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249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239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239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239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239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239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254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239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239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239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239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255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>
        <v>185920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256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257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230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/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/>
      <c r="G97" s="28" t="str">
        <f t="shared" si="21"/>
        <v/>
      </c>
      <c r="H97" s="33" t="s">
        <v>18</v>
      </c>
      <c r="I97" s="33" t="s">
        <v>135</v>
      </c>
      <c r="J97" s="33"/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258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>
        <v>5</v>
      </c>
      <c r="G98" s="34">
        <f t="shared" si="21"/>
        <v>21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10</v>
      </c>
      <c r="G108" s="36">
        <f>SUM(G96:G107)</f>
        <v>42</v>
      </c>
      <c r="H108" s="37"/>
      <c r="I108" s="37"/>
      <c r="J108" s="37"/>
      <c r="K108" s="37"/>
      <c r="L108" s="37"/>
      <c r="M108" s="38">
        <f ca="1">IFERROR(SUM(M96:M107),"")</f>
        <v>4.2361111111111072E-2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58</v>
      </c>
      <c r="G109" s="40">
        <f>G95+G108</f>
        <v>243.6</v>
      </c>
      <c r="H109" s="41"/>
      <c r="I109" s="41"/>
      <c r="J109" s="41"/>
      <c r="K109" s="41"/>
      <c r="L109" s="41"/>
      <c r="M109" s="42">
        <f ca="1">IFERROR(M95+M108,"")</f>
        <v>0.19861111111111107</v>
      </c>
      <c r="N109" s="40" t="s">
        <v>234</v>
      </c>
      <c r="O109" s="43">
        <f>IFERROR(O95+O108,"")</f>
        <v>204160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94" activePane="bottomLeft" state="frozen"/>
      <selection pane="bottomLeft" activeCell="F99" sqref="F9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252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>
        <v>612410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230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>
        <v>20</v>
      </c>
      <c r="G97" s="28">
        <f t="shared" si="21"/>
        <v>84</v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239</v>
      </c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239</v>
      </c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239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239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239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239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239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55</v>
      </c>
      <c r="G108" s="36">
        <f>SUM(G96:G107)</f>
        <v>231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238</v>
      </c>
      <c r="G109" s="40">
        <f>G95+G108</f>
        <v>999.6</v>
      </c>
      <c r="H109" s="41"/>
      <c r="I109" s="41"/>
      <c r="J109" s="41"/>
      <c r="K109" s="63"/>
      <c r="L109" s="63"/>
      <c r="M109" s="42">
        <f ca="1">IFERROR(M95+M108,"")</f>
        <v>4.0972222222222132E-2</v>
      </c>
      <c r="N109" s="40" t="s">
        <v>234</v>
      </c>
      <c r="O109" s="48">
        <f>IFERROR(O95+O108,"")</f>
        <v>786700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2026-08-05T02:52:51Z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