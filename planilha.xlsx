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37" documentId="8_{AF585B22-221D-4780-BB9C-493D365A6A02}" xr6:coauthVersionLast="47" xr6:coauthVersionMax="47" xr10:uidLastSave="{65B831BC-6C57-41D5-B93B-636293CA547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5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<sst xmlns="http://schemas.openxmlformats.org/spreadsheetml/2006/main" count="6732" uniqueCount="330">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</sst>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L408" sqref="L4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123</v>
      </c>
      <c r="G419" s="36">
        <f>SUM(G407:G418)</f>
        <v>615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123</v>
      </c>
      <c r="G433" s="40">
        <f>G419+G432</f>
        <v>615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J410" sqref="J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0.2492607638851041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0.40689965277399298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0.51662187499621515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/>
      <c r="M410" s="30">
        <f t="shared" ca="1" si="91"/>
        <v>1.3149652775609866E-2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54</v>
      </c>
      <c r="G419" s="36">
        <f>SUM(G407:G418)</f>
        <v>226.8</v>
      </c>
      <c r="H419" s="37"/>
      <c r="I419" s="37"/>
      <c r="J419" s="37"/>
      <c r="K419" s="37"/>
      <c r="L419" s="37"/>
      <c r="M419" s="38">
        <f ca="1">IFERROR(SUM(M407:M418),"")</f>
        <v>4.6482986108943136E-2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54</v>
      </c>
      <c r="G433" s="40">
        <f>G419+G432</f>
        <v>226.8</v>
      </c>
      <c r="H433" s="41"/>
      <c r="I433" s="41"/>
      <c r="J433" s="41"/>
      <c r="K433" s="41"/>
      <c r="L433" s="41"/>
      <c r="M433" s="42">
        <f ca="1">IFERROR(M419+M432,"")</f>
        <v>4.6482986108943136E-2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J407" sqref="J4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/>
      <c r="M407" s="35">
        <f t="shared" ref="M407:M418" ca="1" si="91">IFERROR(IF(K407="","",IF(L407="",MOD(NOW()-K407,1),IF(L407&gt;=K407,L407-K407,L407+1-K407))),"")</f>
        <v>1.3149652775609866E-2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24</v>
      </c>
      <c r="G419" s="36">
        <f>SUM(G407:G418)</f>
        <v>100.80000000000001</v>
      </c>
      <c r="H419" s="37"/>
      <c r="I419" s="37"/>
      <c r="J419" s="37"/>
      <c r="K419" s="37"/>
      <c r="L419" s="37"/>
      <c r="M419" s="38">
        <f ca="1">IFERROR(SUM(M407:M418),"")</f>
        <v>1.3149652775609866E-2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24</v>
      </c>
      <c r="G433" s="40">
        <f>G419+G432</f>
        <v>100.80000000000001</v>
      </c>
      <c r="H433" s="41"/>
      <c r="I433" s="41"/>
      <c r="J433" s="41"/>
      <c r="K433" s="41"/>
      <c r="L433" s="41"/>
      <c r="M433" s="42">
        <f ca="1">IFERROR(M419+M432,"")</f>
        <v>1.3149652775609866E-2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J409" sqref="J4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0.23953854166757083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0.43884409722312645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0.80620520833423748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/>
      <c r="M409" s="35">
        <f t="shared" ca="1" si="91"/>
        <v>1.3149652775609866E-2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28</v>
      </c>
      <c r="G419" s="36">
        <f>SUM(G407:G418)</f>
        <v>117.60000000000001</v>
      </c>
      <c r="H419" s="37"/>
      <c r="I419" s="37"/>
      <c r="J419" s="37"/>
      <c r="K419" s="61"/>
      <c r="L419" s="61"/>
      <c r="M419" s="38">
        <f ca="1">IFERROR(SUM(M407:M418),"")</f>
        <v>9.3705208331165413E-2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28</v>
      </c>
      <c r="G433" s="40">
        <f>G419+G432</f>
        <v>117.60000000000001</v>
      </c>
      <c r="H433" s="41"/>
      <c r="I433" s="41"/>
      <c r="J433" s="41"/>
      <c r="K433" s="63"/>
      <c r="L433" s="63"/>
      <c r="M433" s="42">
        <f ca="1">IFERROR(M419+M432,"")</f>
        <v>9.3705208331165413E-2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2026-07-16T15:44:29Z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