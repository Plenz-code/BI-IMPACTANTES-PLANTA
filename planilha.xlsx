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93" documentId="8_{C51EB6CB-002B-4D6B-B68F-DDEBDB4460C0}" xr6:coauthVersionLast="47" xr6:coauthVersionMax="47" xr10:uidLastSave="{F9686B80-9B35-49C0-A86F-0067FEEEE9BA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<sst xmlns="http://schemas.openxmlformats.org/spreadsheetml/2006/main" count="4379" uniqueCount="305">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</sst>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D225" sqref="D2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03" activePane="bottomLeft" state="frozen"/>
      <selection pane="bottomLeft" activeCell="H225" sqref="H2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0.19355856480979128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0.33244745369868017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0.41716967592090248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/>
      <c r="G218" s="28" t="str">
        <f t="shared" ref="G218:G229" si="48">IF(F218="","",IF(E218="PC 17",F218*4.2,IF(E218="PC 19",F218*5,IF(E218="CB",F218*24,""))))</f>
        <v/>
      </c>
      <c r="H218" s="26" t="s">
        <v>20</v>
      </c>
      <c r="I218" s="26" t="s">
        <v>31</v>
      </c>
      <c r="J218" s="33" t="s">
        <v>167</v>
      </c>
      <c r="K218" s="29">
        <v>0.29166666666666669</v>
      </c>
      <c r="L218" s="29"/>
      <c r="M218" s="30">
        <f t="shared" ref="M218:M229" ca="1" si="49">IFERROR(IF(K218="","",IF(L218="",MOD(NOW()-K218,1),IF(L218&gt;=K218,L218-K218,L218+1-K218))),"")</f>
        <v>2.3419675926561467E-2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2.3419675926561467E-2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2.3419675926561467E-2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2" zoomScale="50" zoomScaleNormal="50" workbookViewId="0">
      <selection activeCell="D226" sqref="D2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D224" sqref="D2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2026-08-09T11:33:49Z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