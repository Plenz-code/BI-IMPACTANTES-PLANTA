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25" documentId="8_{AF585B22-221D-4780-BB9C-493D365A6A02}" xr6:coauthVersionLast="47" xr6:coauthVersionMax="47" xr10:uidLastSave="{B24DF79B-7985-44CC-B02F-D3D3BA8149F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<sst xmlns="http://schemas.openxmlformats.org/spreadsheetml/2006/main" count="9674" uniqueCount="384">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</sst>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4" sqref="F6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13" activePane="bottomLeft" state="frozen"/>
      <selection pane="bottomLeft" activeCell="J625" sqref="J6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0.51368657407147111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0.67132546296036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0.78104768518258216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0.49215879629628034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0.66299212962961374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0.80813101851850266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/>
      <c r="M625" s="35">
        <f t="shared" ref="M625:M634" ca="1" si="140">IFERROR(IF(K625="","",IF(L625="",MOD(NOW()-K625,1),IF(L625&gt;=K625,L625-K625,L625+1-K625))),"")</f>
        <v>4.9212962767342106E-4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91</v>
      </c>
      <c r="G635" s="36">
        <f>SUM(G623:G634)</f>
        <v>382.2</v>
      </c>
      <c r="H635" s="37"/>
      <c r="I635" s="37"/>
      <c r="J635" s="37"/>
      <c r="K635" s="37"/>
      <c r="L635" s="37"/>
      <c r="M635" s="38">
        <f ca="1">IFERROR(SUM(M623:M634),"")</f>
        <v>0.95882546296100657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91</v>
      </c>
      <c r="G649" s="40">
        <f>G635+G648</f>
        <v>382.2</v>
      </c>
      <c r="H649" s="41"/>
      <c r="I649" s="41"/>
      <c r="J649" s="41"/>
      <c r="K649" s="41"/>
      <c r="L649" s="41"/>
      <c r="M649" s="42">
        <f ca="1">IFERROR(M635+M648,"")</f>
        <v>0.95882546296100657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4" sqref="F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144</v>
      </c>
      <c r="G635" s="36">
        <f>SUM(G623:G634)</f>
        <v>604.79999999999995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144</v>
      </c>
      <c r="G649" s="40">
        <f>G635+G648</f>
        <v>604.79999999999995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34" sqref="F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0.50396435185393784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0.70326990740949347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1.0706310185206045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/>
      <c r="M628" s="30">
        <f t="shared" ca="1" si="139"/>
        <v>6.5075462960521691E-2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0.13799212962718849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0.13799212962718849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