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62" documentId="8_{AF585B22-221D-4780-BB9C-493D365A6A02}" xr6:coauthVersionLast="47" xr6:coauthVersionMax="47" xr10:uidLastSave="{AA021D33-2342-4047-BC80-E8617C91E81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<sst xmlns="http://schemas.openxmlformats.org/spreadsheetml/2006/main" count="7671" uniqueCount="352">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</sst>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83" sqref="F4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0.94349618055275641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1.1011350694416453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1.2108572916638676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0.92196840277756564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1.092801736110899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1.237940624999788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112</v>
      </c>
      <c r="G486" s="36">
        <f>SUM(G474:G485)</f>
        <v>560</v>
      </c>
      <c r="H486" s="37"/>
      <c r="I486" s="37"/>
      <c r="J486" s="37"/>
      <c r="K486" s="37"/>
      <c r="L486" s="37"/>
      <c r="M486" s="38">
        <f ca="1">IFERROR(SUM(M474:M485),"")</f>
        <v>7.8472222222222276E-2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235</v>
      </c>
      <c r="G487" s="40">
        <f>G473+G486</f>
        <v>1175</v>
      </c>
      <c r="H487" s="41"/>
      <c r="I487" s="41"/>
      <c r="J487" s="41"/>
      <c r="K487" s="41"/>
      <c r="L487" s="41"/>
      <c r="M487" s="42">
        <f ca="1">IFERROR(M473+M486,"")</f>
        <v>0.18958333333333327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83" sqref="F4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52</v>
      </c>
      <c r="G486" s="36">
        <f>SUM(G474:G485)</f>
        <v>260</v>
      </c>
      <c r="H486" s="37"/>
      <c r="I486" s="37"/>
      <c r="J486" s="37"/>
      <c r="K486" s="37"/>
      <c r="L486" s="37"/>
      <c r="M486" s="38">
        <f ca="1">IFERROR(SUM(M474:M485),"")</f>
        <v>2.7083333333333251E-2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82</v>
      </c>
      <c r="G487" s="40">
        <f>G473+G486</f>
        <v>410</v>
      </c>
      <c r="H487" s="41"/>
      <c r="I487" s="41"/>
      <c r="J487" s="41"/>
      <c r="K487" s="41"/>
      <c r="L487" s="41"/>
      <c r="M487" s="42">
        <f ca="1">IFERROR(M473+M486,"")</f>
        <v>0.15694444444444428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57" activePane="bottomLeft" state="frozen"/>
      <selection pane="bottomLeft" activeCell="J474" sqref="J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0.93377418981981464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1.1330797453753703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1.5004408564864813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/>
      <c r="M474" s="30">
        <f t="shared" ref="M474:M485" ca="1" si="106">IFERROR(IF(K474="","",IF(L474="",MOD(NOW()-K474,1),IF(L474&gt;=K474,L474-K474,L474+1-K474))),"")</f>
        <v>4.6075231512077153E-3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124</v>
      </c>
      <c r="G486" s="36">
        <f>SUM(G474:G485)</f>
        <v>620</v>
      </c>
      <c r="H486" s="37"/>
      <c r="I486" s="37"/>
      <c r="J486" s="37"/>
      <c r="K486" s="61"/>
      <c r="L486" s="61"/>
      <c r="M486" s="38">
        <f ca="1">IFERROR(SUM(M474:M485),"")</f>
        <v>4.6075231512077153E-3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239</v>
      </c>
      <c r="G487" s="40">
        <f>G473+G486</f>
        <v>1195</v>
      </c>
      <c r="H487" s="41"/>
      <c r="I487" s="41"/>
      <c r="J487" s="41"/>
      <c r="K487" s="63"/>
      <c r="L487" s="63"/>
      <c r="M487" s="42">
        <f ca="1">IFERROR(M473+M486,"")</f>
        <v>0.14557974537342988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2026-07-19T08:23:52Z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