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74" documentId="8_{AF585B22-221D-4780-BB9C-493D365A6A02}" xr6:coauthVersionLast="47" xr6:coauthVersionMax="47" xr10:uidLastSave="{501B0859-6541-4FD4-9787-6D743D7C84D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<sst xmlns="http://schemas.openxmlformats.org/spreadsheetml/2006/main" count="4929" uniqueCount="293">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</sst>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93" sqref="F2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214</v>
      </c>
      <c r="G297" s="36">
        <f>SUM(G285:G296)</f>
        <v>1070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530</v>
      </c>
      <c r="G298" s="40">
        <f>G284+G297</f>
        <v>2650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L290" sqref="L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/>
      <c r="I289" s="33" t="s">
        <v>31</v>
      </c>
      <c r="J289" s="33"/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27</v>
      </c>
      <c r="G290" s="28">
        <f t="shared" si="63"/>
        <v>113.4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115</v>
      </c>
      <c r="G297" s="36">
        <f>SUM(G285:G296)</f>
        <v>489.4</v>
      </c>
      <c r="H297" s="37"/>
      <c r="I297" s="37"/>
      <c r="J297" s="37"/>
      <c r="K297" s="37"/>
      <c r="L297" s="37"/>
      <c r="M297" s="38">
        <f ca="1">IFERROR(SUM(M285:M296),"")</f>
        <v>0.10694444444444443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298</v>
      </c>
      <c r="G298" s="40">
        <f>G284+G297</f>
        <v>1258</v>
      </c>
      <c r="H298" s="41"/>
      <c r="I298" s="41"/>
      <c r="J298" s="41"/>
      <c r="K298" s="41"/>
      <c r="L298" s="41"/>
      <c r="M298" s="42">
        <f ca="1">IFERROR(M284+M297,"")</f>
        <v>0.26458333333333328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2" sqref="F2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72</v>
      </c>
      <c r="G297" s="36">
        <f>SUM(G285:G296)</f>
        <v>302.40000000000003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72</v>
      </c>
      <c r="G298" s="40">
        <f>G284+G297</f>
        <v>609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F292" sqref="F2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0.87757847222383134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1.076884027779387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1.444245138890498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120</v>
      </c>
      <c r="G297" s="36">
        <f>SUM(G285:G296)</f>
        <v>517.6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307</v>
      </c>
      <c r="G298" s="40">
        <f>G284+G297</f>
        <v>1303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2026-07-12T07:03:13Z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