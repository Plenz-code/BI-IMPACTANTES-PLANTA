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1" documentId="13_ncr:1_{A6DBCFB4-28D9-4249-9038-216934055CA6}" xr6:coauthVersionLast="47" xr6:coauthVersionMax="47" xr10:uidLastSave="{338D1EF2-36E9-44DF-A1BA-A028016D5CD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<sst xmlns="http://schemas.openxmlformats.org/spreadsheetml/2006/main" count="8986" uniqueCount="401">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</sst>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34" sqref="D53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60</v>
      </c>
      <c r="G540" s="2">
        <f>SUM(G528:G539)</f>
        <v>300</v>
      </c>
      <c r="H540" s="72"/>
      <c r="I540" s="72"/>
      <c r="J540" s="72"/>
      <c r="K540" s="72"/>
      <c r="L540" s="72"/>
      <c r="M540" s="73">
        <f ca="1">IFERROR(SUM(M528:M539),"")</f>
        <v>6.9444444444444198E-3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248</v>
      </c>
      <c r="G541" s="1">
        <f>G527+G540</f>
        <v>1181.5999999999999</v>
      </c>
      <c r="H541" s="76"/>
      <c r="I541" s="76"/>
      <c r="J541" s="76"/>
      <c r="K541" s="76"/>
      <c r="L541" s="76"/>
      <c r="M541" s="77">
        <f ca="1">IFERROR(M527+M540,"")</f>
        <v>5.208333333333337E-2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2" sqref="G53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0.84117719907226274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0.98006608796115047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1.0647883101833733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30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>
        <v>6</v>
      </c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201.60000000000002</v>
      </c>
      <c r="L540" s="72"/>
      <c r="M540" s="72"/>
      <c r="N540" s="72"/>
      <c r="O540" s="72"/>
      <c r="P540" s="72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223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1027</v>
      </c>
      <c r="L541" s="76"/>
      <c r="M541" s="76"/>
      <c r="N541" s="76"/>
      <c r="O541" s="76"/>
      <c r="P541" s="76"/>
      <c r="Q541" s="77">
        <f ca="1">IFERROR(Q527+Q540,"")</f>
        <v>9.7222222222222265E-2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2" sqref="G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 t="str">
        <f t="shared" si="132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2.9166666666666674E-2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114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9.7916666666666596E-2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E533" sqref="E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 t="s">
        <v>274</v>
      </c>
      <c r="F531" s="88">
        <f>IFERROR(IF($D531="","",VLOOKUP($D531,Cadastro!$C$4:$E$7,3,FALSE())),"")</f>
        <v>0.35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 t="s">
        <v>274</v>
      </c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 t="s">
        <v>274</v>
      </c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250.4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1151.4000000000001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2026-08-21T03:06:23Z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