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54" documentId="13_ncr:1_{A6DBCFB4-28D9-4249-9038-216934055CA6}" xr6:coauthVersionLast="47" xr6:coauthVersionMax="47" xr10:uidLastSave="{753D688D-C1B3-48D6-B419-E132599DD80E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9" i="5" l="1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<sst xmlns="http://schemas.openxmlformats.org/spreadsheetml/2006/main" count="9400" uniqueCount="413">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</sst>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40" activePane="bottomLeft" state="frozen"/>
      <selection pane="bottomLeft" activeCell="H557" sqref="H557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29</v>
      </c>
      <c r="I557" s="70" t="s">
        <v>32</v>
      </c>
      <c r="J557" s="70"/>
      <c r="K557" s="65">
        <v>2.5694444444444443E-2</v>
      </c>
      <c r="L557" s="65"/>
      <c r="M557" s="71">
        <f t="shared" ca="1" si="120"/>
        <v>1.0180555618717335E-3</v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7" t="s">
        <v>264</v>
      </c>
      <c r="B567" s="157"/>
      <c r="C567" s="157"/>
      <c r="D567" s="157"/>
      <c r="E567" s="157"/>
      <c r="F567" s="2">
        <f>SUM(F555:F566)</f>
        <v>28</v>
      </c>
      <c r="G567" s="2">
        <f>SUM(G555:G566)</f>
        <v>140</v>
      </c>
      <c r="H567" s="72"/>
      <c r="I567" s="72"/>
      <c r="J567" s="72"/>
      <c r="K567" s="72"/>
      <c r="L567" s="72"/>
      <c r="M567" s="73">
        <f ca="1">IFERROR(SUM(M555:M566),"")</f>
        <v>0.1614347222285385</v>
      </c>
      <c r="N567" s="2" t="s">
        <v>262</v>
      </c>
      <c r="O567" s="74"/>
    </row>
    <row r="568" spans="1:15" ht="18" customHeight="1">
      <c r="A568" s="158" t="s">
        <v>250</v>
      </c>
      <c r="B568" s="158"/>
      <c r="C568" s="158"/>
      <c r="D568" s="158"/>
      <c r="E568" s="158"/>
      <c r="F568" s="1">
        <f>F554+F567</f>
        <v>28</v>
      </c>
      <c r="G568" s="1">
        <f>G554+G567</f>
        <v>140</v>
      </c>
      <c r="H568" s="76"/>
      <c r="I568" s="76"/>
      <c r="J568" s="76"/>
      <c r="K568" s="76"/>
      <c r="L568" s="76"/>
      <c r="M568" s="77">
        <f ca="1">IFERROR(M554+M567,"")</f>
        <v>0.66143472222853839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7" t="s">
        <v>261</v>
      </c>
      <c r="B581" s="157"/>
      <c r="C581" s="157"/>
      <c r="D581" s="157"/>
      <c r="E581" s="157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58" t="s">
        <v>250</v>
      </c>
      <c r="B595" s="158"/>
      <c r="C595" s="158"/>
      <c r="D595" s="158"/>
      <c r="E595" s="158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34" activePane="bottomLeft" state="frozen"/>
      <selection pane="bottomLeft" activeCell="G574" sqref="G574:G57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0.90518472222174751</v>
      </c>
      <c r="R53" s="80" t="s">
        <v>308</v>
      </c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1.0440736111106352</v>
      </c>
      <c r="R54" s="2" t="s">
        <v>262</v>
      </c>
      <c r="S54" s="113">
        <v>352430</v>
      </c>
      <c r="T54" s="114"/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1.128795833332858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0.2350458333385177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0.2350458333385177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0.55657361111629533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O559" sqref="O55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57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254.6</v>
      </c>
      <c r="L567" s="72"/>
      <c r="M567" s="72"/>
      <c r="N567" s="72"/>
      <c r="O567" s="72"/>
      <c r="P567" s="72"/>
      <c r="Q567" s="73">
        <f ca="1">IFERROR(SUM(Q555:Q566),"")</f>
        <v>2.7083333333333459E-2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66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292.39999999999998</v>
      </c>
      <c r="L568" s="76"/>
      <c r="M568" s="76"/>
      <c r="N568" s="76"/>
      <c r="O568" s="76"/>
      <c r="P568" s="76"/>
      <c r="Q568" s="77">
        <f ca="1">IFERROR(Q554+Q567,"")</f>
        <v>0.43750000000000017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K562" sqref="K56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411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412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>
        <v>0.99722222222222223</v>
      </c>
      <c r="P562" s="65"/>
      <c r="Q562" s="66">
        <f t="shared" ca="1" si="145"/>
        <v>2.9490277782315388E-2</v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48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204.00000000000003</v>
      </c>
      <c r="L567" s="72"/>
      <c r="M567" s="72"/>
      <c r="N567" s="72"/>
      <c r="O567" s="134"/>
      <c r="P567" s="134"/>
      <c r="Q567" s="73">
        <f ca="1">IFERROR(SUM(Q555:Q566),"")</f>
        <v>7.2545833337870902E-2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179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754.2</v>
      </c>
      <c r="L568" s="76"/>
      <c r="M568" s="76"/>
      <c r="N568" s="76"/>
      <c r="O568" s="135"/>
      <c r="P568" s="135"/>
      <c r="Q568" s="77">
        <f ca="1">IFERROR(Q554+Q567,"")</f>
        <v>0.22879583333787096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2026-08-22T04:38:38Z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