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2" documentId="13_ncr:1_{0A10D8D4-8450-4366-8075-B53B08E6B7EA}" xr6:coauthVersionLast="47" xr6:coauthVersionMax="47" xr10:uidLastSave="{02B07D30-6D4E-449F-ABEA-D5F716898D97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63" i="4"/>
  <c r="J363" i="4" s="1"/>
  <c r="H364" i="4"/>
  <c r="J36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1" i="4" l="1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<sst xmlns="http://schemas.openxmlformats.org/spreadsheetml/2006/main" count="6364" uniqueCount="348">
  <si>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</si>
  <si>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</si>
  <si>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</si>
  <si>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</si>
  <si>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</si>
  <si>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</si>
  <si>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</si>
  <si>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</si>
  <si>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</si>
  <si>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</si>
  <si>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</si>
  <si>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</si>
  <si>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</si>
  <si>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</si>
  <si>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</si>
  <si>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</si>
  <si>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</si>
  <si>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</si>
  <si>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</si>
  <si>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</si>
  <si>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</si>
  <si>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</si>
  <si>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</si>
  <si>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</si>
  <si>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</si>
  <si>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</si>
  <si>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</si>
  <si>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</si>
  <si>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</si>
  <si>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</si>
  <si>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</si>
  <si>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</si>
  <si>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</si>
  <si>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</si>
  <si>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</si>
  <si>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</si>
  <si>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</si>
  <si>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</si>
  <si>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</si>
  <si>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</si>
  <si>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</si>
  <si>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</si>
  <si>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</si>
  <si>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</si>
  <si>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</si>
  <si>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</si>
  <si>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</si>
  <si>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</si>
  <si>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</si>
  <si>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</si>
  <si>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</si>
  <si>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</si>
  <si>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</si>
  <si>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</si>
  <si>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</si>
  <si>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</si>
  <si>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</si>
  <si>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</si>
  <si>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</si>
  <si>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</si>
  <si>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</si>
  <si>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</si>
  <si>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</si>
  <si>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</si>
  <si>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</si>
  <si>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</si>
  <si>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</si>
  <si>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</si>
  <si>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</si>
  <si>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</si>
  <si>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</si>
  <si>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</si>
  <si>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</si>
  <si>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</si>
  <si>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</si>
  <si>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</si>
  <si>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</si>
  <si>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</si>
  <si>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</si>
  <si>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</si>
  <si>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</si>
  <si>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</si>
  <si>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</si>
  <si>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</si>
  <si>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</si>
  <si>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</si>
  <si>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</si>
  <si>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</si>
  <si>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</si>
  <si>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</si>
  <si>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</si>
  <si>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</si>
  <si>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</si>
  <si>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</si>
  <si>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</si>
  <si>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</si>
  <si>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</si>
  <si>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</si>
  <si>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</si>
  <si>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</si>
  <si>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</si>
  <si>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</si>
  <si>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</si>
  <si>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</si>
  <si>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</si>
  <si>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</si>
  <si>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</si>
  <si>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</si>
  <si>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</si>
  <si>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</si>
  <si>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</si>
  <si>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</si>
  <si>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</si>
  <si>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</si>
  <si>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</si>
  <si>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</si>
  <si>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</si>
  <si>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</si>
  <si>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</si>
  <si>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</si>
  <si>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</si>
  <si>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</si>
  <si>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</si>
  <si>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</si>
  <si>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</si>
  <si>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</si>
  <si>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</si>
  <si>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</si>
  <si>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</si>
  <si>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</si>
  <si>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</si>
  <si>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</si>
  <si>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</si>
  <si>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</si>
  <si>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</si>
  <si>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</si>
  <si>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</si>
  <si>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</si>
  <si>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</si>
  <si>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</si>
  <si>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</si>
  <si>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</si>
  <si>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</si>
  <si>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</si>
  <si>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</si>
  <si>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</si>
  <si>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</si>
  <si>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</si>
  <si>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</si>
  <si>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</si>
  <si>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</si>
  <si>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</si>
  <si>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</si>
  <si>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</si>
  <si>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</si>
  <si>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</si>
  <si>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</si>
  <si>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</si>
  <si>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</si>
  <si>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</si>
  <si>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</si>
  <si>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</si>
  <si>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</si>
  <si>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</si>
  <si>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</si>
  <si>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</si>
  <si>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</si>
  <si>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</si>
  <si>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</si>
  <si>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</si>
  <si>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</si>
  <si>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</si>
  <si>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</si>
  <si>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</si>
  <si>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</si>
  <si>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</si>
  <si>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</si>
  <si>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</si>
  <si>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</si>
  <si>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</si>
  <si>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</si>
  <si>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</si>
  <si>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</si>
  <si>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</si>
  <si>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</si>
  <si>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</si>
  <si>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</si>
  <si>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</si>
  <si>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</si>
  <si>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</si>
  <si>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</si>
  <si>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</si>
  <si>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</si>
  <si>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</si>
  <si>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</si>
  <si>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</si>
  <si>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</si>
  <si>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</si>
  <si>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</si>
  <si>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</si>
  <si>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</si>
  <si>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</si>
  <si>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</si>
  <si>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</si>
  <si>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</si>
  <si>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</si>
  <si>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</si>
  <si>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</si>
  <si>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</si>
  <si>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</si>
  <si>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</si>
  <si>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</si>
  <si>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</si>
  <si>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</si>
  <si>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</si>
  <si>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</si>
  <si>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</si>
  <si>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</si>
  <si>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</si>
  <si>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</si>
  <si>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</si>
  <si>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</si>
  <si>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</si>
  <si>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</si>
  <si>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</si>
  <si>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</si>
  <si>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</si>
  <si>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</si>
  <si>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</si>
  <si>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</si>
  <si>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</si>
  <si>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</si>
  <si>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</si>
  <si>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</si>
  <si>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</si>
  <si>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</si>
  <si>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</si>
  <si>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</si>
  <si>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</si>
  <si>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</si>
  <si>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</si>
  <si>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</si>
  <si>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</si>
  <si>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</si>
  <si>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</si>
  <si>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</si>
  <si>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</si>
  <si>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</si>
  <si>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</si>
  <si>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</si>
  <si>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</si>
  <si>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</si>
  <si>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</si>
  <si>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</si>
  <si>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</si>
  <si>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</si>
  <si>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</si>
  <si>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</si>
  <si>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</si>
  <si>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</si>
  <si>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</si>
  <si>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</si>
  <si>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</si>
  <si>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</si>
  <si>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</si>
  <si>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</si>
  <si>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</si>
  <si>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</si>
  <si>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</si>
  <si>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</si>
  <si>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</si>
  <si>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</si>
  <si>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</si>
  <si>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</si>
  <si>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</si>
  <si>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</si>
  <si>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</si>
  <si>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</si>
  <si>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</si>
  <si>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</si>
  <si>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</si>
  <si>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</si>
  <si>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</si>
  <si>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</si>
  <si>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</si>
  <si>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</si>
  <si>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</si>
  <si>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</si>
  <si>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</si>
  <si>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</si>
  <si>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</si>
  <si>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</si>
  <si>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</si>
  <si>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</si>
  <si>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</si>
  <si>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</si>
  <si>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</si>
  <si>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</si>
  <si>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</si>
  <si>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</si>
  <si>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</si>
  <si>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</si>
  <si>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</si>
  <si>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</si>
  <si>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</si>
  <si>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</si>
  <si>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</si>
  <si>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</si>
  <si>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</si>
  <si>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</si>
  <si>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</si>
  <si>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</si>
  <si>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</si>
  <si>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</si>
  <si>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</si>
  <si>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</si>
  <si>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</si>
  <si>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</si>
  <si>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15;44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</si>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</sst>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63" sqref="G36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0.65093865740345791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0.78982754629234675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0.87454976851456911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/>
      <c r="H363" s="134" t="str">
        <f>IFERROR(IF($G363="","",$G363*$S$365/$G$365/Cadastro!$E$33),"")</f>
        <v/>
      </c>
      <c r="I363" s="135">
        <f>IFERROR(IF($D363="","",VLOOKUP($D363,Cadastro!$C$4:$G$7,5,FALSE)),"")</f>
        <v>0.6</v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0" activePane="bottomLeft" state="frozen"/>
      <selection pane="bottomLeft" activeCell="R355" sqref="R35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144</v>
      </c>
      <c r="O357" s="29" t="s">
        <v>318</v>
      </c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5.9027777777777735E-2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5.9027777777777735E-2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35" activePane="bottomLeft" state="frozen"/>
      <selection pane="bottomLeft" activeCell="R358" sqref="R35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2026-08-14T22:32:39Z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