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97" documentId="8_{AF585B22-221D-4780-BB9C-493D365A6A02}" xr6:coauthVersionLast="47" xr6:coauthVersionMax="47" xr10:uidLastSave="{1CCC435F-47F9-4EF7-9E4B-74BBAFE2E58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<sst xmlns="http://schemas.openxmlformats.org/spreadsheetml/2006/main" count="3929" uniqueCount="270">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</sst>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03" activePane="bottomLeft" state="frozen"/>
      <selection pane="bottomLeft" activeCell="E229" sqref="E22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5.5945833337318618E-2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5.5945833337318618E-2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5.5945833337318618E-2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8" sqref="F2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04" zoomScale="50" zoomScaleNormal="50" workbookViewId="0">
      <selection activeCell="G225" sqref="G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96" activePane="bottomLeft" state="frozen"/>
      <selection pane="bottomLeft" activeCell="J218" sqref="J2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9.8306944448268041E-2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0.29761250000382367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0.66497361111493469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/>
      <c r="G218" s="28" t="str">
        <f t="shared" ref="G218:G229" si="48">IF(F218="","",IF(E218="PC 17",F218*4.2,IF(E218="PC 19",F218*5,"")))</f>
        <v/>
      </c>
      <c r="H218" s="26" t="s">
        <v>19</v>
      </c>
      <c r="I218" s="26" t="s">
        <v>47</v>
      </c>
      <c r="J218" s="26" t="s">
        <v>27</v>
      </c>
      <c r="K218" s="29">
        <v>0.33541666666666664</v>
      </c>
      <c r="L218" s="29"/>
      <c r="M218" s="30">
        <f t="shared" ref="M218:M229" ca="1" si="49">IFERROR(IF(K218="","",IF(L218="",MOD(NOW()-K218,1),IF(L218&gt;=K218,L218-K218,L218+1-K218))),"")</f>
        <v>1.2195833332953043E-2</v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1.2195833332953043E-2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1.2195833332953043E-2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2026-07-09T12:20:44Z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