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52" documentId="8_{C51EB6CB-002B-4D6B-B68F-DDEBDB4460C0}" xr6:coauthVersionLast="47" xr6:coauthVersionMax="47" xr10:uidLastSave="{880DE802-C419-4B74-A18F-C5316964449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<sst xmlns="http://schemas.openxmlformats.org/spreadsheetml/2006/main" count="2829" uniqueCount="270">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</sst>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5" activePane="bottomLeft" state="frozen"/>
      <selection pane="bottomLeft" activeCell="F114" sqref="F1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J113" sqref="J11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0.34547719907277497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0.48436608796166386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0.56908831018388617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/>
      <c r="M110" s="35">
        <f t="shared" ref="M110:M121" ca="1" si="25">IFERROR(IF(K110="","",IF(L110="",MOD(NOW()-K110,1),IF(L110&gt;=K110,L110-K110,L110+1-K110))),"")</f>
        <v>7.2827546318876557E-3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76</v>
      </c>
      <c r="G122" s="36">
        <f>SUM(G110:G121)</f>
        <v>319.2</v>
      </c>
      <c r="H122" s="37"/>
      <c r="I122" s="37"/>
      <c r="J122" s="37"/>
      <c r="K122" s="37"/>
      <c r="L122" s="37"/>
      <c r="M122" s="38">
        <f ca="1">IFERROR(SUM(M110:M121),"")</f>
        <v>7.2827546318876557E-3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76</v>
      </c>
      <c r="G136" s="40">
        <f>G122+G135</f>
        <v>319.2</v>
      </c>
      <c r="H136" s="41"/>
      <c r="I136" s="41"/>
      <c r="J136" s="41"/>
      <c r="K136" s="41"/>
      <c r="L136" s="41"/>
      <c r="M136" s="42">
        <f ca="1">IFERROR(M122+M135,"")</f>
        <v>7.2827546318876557E-3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1" zoomScale="50" zoomScaleNormal="50" workbookViewId="0">
      <selection activeCell="F114" sqref="F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0.18853275463334285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0.23575497685556504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0.39200497685556501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26</v>
      </c>
      <c r="G122" s="36">
        <f>SUM(G110:G121)</f>
        <v>109.2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26</v>
      </c>
      <c r="G136" s="40">
        <f>G122+G135</f>
        <v>109.2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112" sqref="J11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/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 t="s">
        <v>18</v>
      </c>
      <c r="I112" s="26" t="s">
        <v>137</v>
      </c>
      <c r="J112" s="26" t="s">
        <v>127</v>
      </c>
      <c r="K112" s="29">
        <v>0.46180555555555558</v>
      </c>
      <c r="L112" s="29"/>
      <c r="M112" s="30">
        <f t="shared" ca="1" si="25"/>
        <v>5.1994212990393862E-3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69</v>
      </c>
      <c r="G122" s="36">
        <f>SUM(G110:G121)</f>
        <v>289.8</v>
      </c>
      <c r="H122" s="37"/>
      <c r="I122" s="37"/>
      <c r="J122" s="37"/>
      <c r="K122" s="61"/>
      <c r="L122" s="61"/>
      <c r="M122" s="38">
        <f ca="1">IFERROR(SUM(M110:M121),"")</f>
        <v>3.9921643521261652E-2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69</v>
      </c>
      <c r="G136" s="40">
        <f>G122+G135</f>
        <v>289.8</v>
      </c>
      <c r="H136" s="41"/>
      <c r="I136" s="41"/>
      <c r="J136" s="41"/>
      <c r="K136" s="63"/>
      <c r="L136" s="63"/>
      <c r="M136" s="42">
        <f ca="1">IFERROR(M122+M135,"")</f>
        <v>3.9921643521261652E-2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2026-08-05T15:12:45Z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