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56" documentId="13_ncr:1_{A6DBCFB4-28D9-4249-9038-216934055CA6}" xr6:coauthVersionLast="47" xr6:coauthVersionMax="47" xr10:uidLastSave="{9B4E256B-E8D5-4E19-B3B3-90A7933964FD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621" i="6" l="1"/>
  <c r="Q622" i="6" s="1"/>
  <c r="Q203" i="5"/>
  <c r="Q378" i="5"/>
  <c r="Q379" i="5" s="1"/>
  <c r="Q81" i="6"/>
  <c r="Q82" i="6" s="1"/>
  <c r="Q473" i="5"/>
  <c r="M351" i="3"/>
  <c r="Q297" i="4"/>
  <c r="Q298" i="4" s="1"/>
  <c r="G581" i="3"/>
  <c r="G595" i="3" s="1"/>
  <c r="Q392" i="4"/>
  <c r="Q406" i="4" s="1"/>
  <c r="Q432" i="6"/>
  <c r="Q216" i="4"/>
  <c r="Q217" i="4" s="1"/>
  <c r="Q149" i="6"/>
  <c r="Q163" i="6" s="1"/>
  <c r="Q162" i="4"/>
  <c r="Q689" i="5"/>
  <c r="Q703" i="5" s="1"/>
  <c r="Q486" i="6"/>
  <c r="Q487" i="6" s="1"/>
  <c r="Q770" i="5"/>
  <c r="Q41" i="6"/>
  <c r="Q82" i="4"/>
  <c r="Q783" i="5"/>
  <c r="Q784" i="5" s="1"/>
  <c r="M824" i="3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68" i="5"/>
  <c r="M783" i="3"/>
  <c r="M784" i="3" s="1"/>
  <c r="M338" i="3"/>
  <c r="M243" i="3"/>
  <c r="M230" i="3"/>
  <c r="M244" i="3" s="1"/>
  <c r="M27" i="3"/>
  <c r="Q135" i="4"/>
  <c r="Q648" i="5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352" i="3" l="1"/>
  <c r="Q487" i="5"/>
  <c r="Q217" i="5"/>
  <c r="Q649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<sst xmlns="http://schemas.openxmlformats.org/spreadsheetml/2006/main" count="9684" uniqueCount="420">
  <si>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</si>
  <si>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</si>
  <si>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</si>
  <si>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</si>
  <si>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</si>
  <si>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</si>
  <si>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</si>
  <si>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</si>
  <si>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</si>
  <si>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</si>
  <si>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</si>
  <si>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</si>
  <si>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</si>
  <si>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</si>
  <si>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</si>
  <si>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</si>
  <si>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</si>
  <si>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</si>
  <si>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</si>
  <si>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</si>
  <si>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</si>
  <si>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</si>
  <si>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</si>
  <si>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</si>
  <si>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</si>
  <si>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</si>
  <si>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</si>
  <si>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</si>
  <si>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</si>
  <si>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</si>
  <si>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</si>
  <si>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</si>
  <si>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</si>
  <si>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</si>
  <si>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</si>
  <si>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</si>
  <si>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</si>
  <si>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</si>
  <si>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</si>
  <si>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</si>
  <si>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</si>
  <si>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</si>
  <si>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</si>
  <si>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</si>
  <si>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</si>
  <si>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</si>
  <si>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</si>
  <si>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</si>
  <si>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</si>
  <si>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</si>
  <si>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</si>
  <si>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</si>
  <si>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</si>
  <si>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</si>
  <si>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</si>
  <si>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</si>
  <si>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</si>
  <si>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</si>
  <si>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</si>
  <si>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</si>
  <si>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</si>
  <si>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</si>
  <si>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</si>
  <si>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</si>
  <si>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</si>
  <si>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</si>
  <si>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</si>
  <si>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</si>
  <si>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</si>
  <si>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</si>
  <si>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</si>
  <si>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</si>
  <si>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</si>
  <si>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</si>
  <si>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</si>
  <si>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</si>
  <si>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</si>
  <si>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</si>
  <si>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</si>
  <si>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</si>
  <si>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</si>
  <si>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</si>
  <si>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</si>
  <si>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</si>
  <si>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</si>
  <si>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</si>
  <si>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</si>
  <si>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</si>
  <si>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</si>
  <si>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</si>
  <si>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</si>
  <si>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</si>
  <si>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</si>
  <si>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</si>
  <si>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</si>
  <si>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</si>
  <si>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</si>
  <si>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</si>
  <si>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</si>
  <si>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</si>
  <si>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</si>
  <si>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</si>
  <si>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</si>
  <si>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</si>
  <si>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</si>
  <si>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</si>
  <si>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</si>
  <si>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</si>
  <si>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</si>
  <si>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</si>
  <si>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</si>
  <si>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</si>
  <si>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</si>
  <si>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</si>
  <si>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</si>
  <si>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</si>
  <si>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</si>
  <si>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</si>
  <si>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</si>
  <si>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</si>
  <si>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</si>
  <si>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</si>
  <si>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</si>
  <si>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</si>
  <si>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</si>
  <si>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</si>
  <si>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</si>
  <si>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</si>
  <si>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</si>
  <si>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</si>
  <si>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</si>
  <si>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</si>
  <si>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</si>
  <si>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</si>
  <si>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</si>
  <si>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</si>
  <si>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</si>
  <si>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</si>
  <si>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</si>
  <si>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</si>
  <si>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</si>
  <si>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</si>
  <si>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</si>
  <si>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</si>
  <si>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</si>
  <si>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</si>
  <si>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</si>
  <si>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</si>
  <si>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</si>
  <si>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</si>
  <si>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</si>
  <si>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</si>
  <si>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</si>
  <si>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</si>
  <si>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</si>
  <si>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</si>
  <si>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</si>
  <si>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</si>
  <si>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</si>
  <si>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</si>
  <si>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</si>
  <si>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</si>
  <si>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</si>
  <si>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</si>
  <si>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</si>
  <si>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</si>
  <si>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</si>
  <si>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</si>
  <si>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</si>
  <si>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</si>
  <si>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</si>
  <si>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</si>
  <si>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</si>
  <si>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</si>
  <si>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</si>
  <si>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</si>
  <si>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</si>
  <si>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</si>
  <si>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</si>
  <si>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</si>
  <si>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</si>
  <si>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</si>
  <si>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</si>
  <si>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</si>
  <si>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</si>
  <si>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</si>
  <si>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</si>
  <si>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</si>
  <si>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</si>
  <si>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</si>
  <si>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</si>
  <si>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</si>
  <si>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</si>
  <si>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</si>
  <si>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</si>
  <si>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</si>
  <si>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</si>
  <si>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</si>
  <si>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</si>
  <si>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</si>
  <si>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</si>
  <si>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</si>
  <si>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</si>
  <si>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</si>
  <si>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</si>
  <si>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</si>
  <si>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</si>
  <si>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</si>
  <si>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</si>
  <si>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</si>
  <si>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</si>
  <si>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</si>
  <si>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</si>
  <si>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</si>
  <si>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</si>
  <si>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</si>
  <si>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</si>
  <si>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</si>
  <si>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</si>
  <si>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</si>
  <si>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</si>
  <si>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</si>
  <si>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</si>
  <si>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</si>
  <si>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</si>
  <si>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</si>
  <si>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</si>
  <si>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</si>
  <si>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</si>
  <si>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</si>
  <si>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</si>
  <si>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</si>
  <si>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</si>
  <si>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</si>
  <si>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</si>
  <si>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</si>
  <si>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</si>
  <si>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</si>
  <si>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</si>
  <si>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</si>
  <si>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</si>
  <si>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</si>
  <si>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</si>
  <si>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</si>
  <si>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</si>
  <si>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</si>
  <si>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</si>
  <si>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</si>
  <si>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</si>
  <si>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</si>
  <si>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</si>
  <si>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</si>
  <si>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</si>
  <si>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</si>
  <si>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</si>
  <si>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</si>
  <si>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</si>
  <si>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</si>
  <si>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</si>
  <si>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</si>
  <si>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</si>
  <si>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</si>
  <si>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</si>
  <si>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</si>
  <si>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</si>
  <si>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</si>
  <si>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</si>
  <si>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</si>
  <si>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</si>
  <si>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</si>
  <si>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</si>
  <si>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</si>
  <si>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</si>
  <si>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</si>
  <si>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</si>
  <si>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</si>
  <si>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</si>
  <si>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</si>
  <si>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</si>
  <si>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</si>
  <si>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</si>
  <si>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</si>
  <si>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</si>
  <si>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</si>
  <si>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</si>
  <si>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</si>
  <si>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</si>
  <si>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</si>
  <si>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</si>
  <si>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</si>
  <si>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</si>
  <si>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</si>
  <si>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</si>
  <si>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</si>
  <si>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</si>
  <si>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</si>
  <si>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</si>
  <si>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</si>
  <si>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</si>
  <si>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</si>
  <si>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</si>
  <si>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</si>
  <si>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</si>
  <si>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</si>
  <si>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</si>
  <si>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</si>
  <si>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</si>
  <si>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</si>
  <si>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</si>
  <si>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</si>
  <si>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</si>
  <si>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</si>
  <si>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</si>
  <si>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</si>
  <si>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</si>
  <si>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</si>
  <si>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</si>
  <si>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</si>
  <si>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</si>
  <si>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</si>
  <si>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</si>
  <si>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</si>
  <si>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</si>
  <si>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</si>
  <si>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</si>
  <si>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</si>
  <si>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</si>
  <si>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</si>
  <si>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</si>
  <si>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</si>
  <si>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</si>
  <si>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</si>
  <si>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</si>
  <si>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</si>
  <si>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</si>
  <si>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</si>
  <si>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</si>
  <si>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</si>
  <si>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</si>
  <si>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</si>
  <si>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</si>
  <si>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</si>
  <si>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</si>
  <si>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</si>
  <si>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</si>
  <si>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</si>
  <si>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</si>
  <si>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</si>
  <si>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</si>
  <si>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</si>
  <si>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</si>
  <si>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</si>
  <si>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</si>
  <si>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</si>
  <si>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</si>
  <si>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</si>
  <si>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</si>
  <si>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</si>
  <si>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</si>
  <si>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</si>
  <si>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</si>
  <si>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</si>
  <si>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</si>
  <si>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</si>
  <si>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</si>
  <si>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</si>
  <si>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</si>
  <si>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</si>
  <si>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</si>
  <si>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</si>
  <si>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</si>
  <si>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</si>
  <si>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</si>
  <si>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</si>
  <si>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</si>
  <si>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</si>
  <si>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</si>
  <si>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</si>
  <si>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</si>
  <si>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</si>
  <si>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</si>
  <si>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</si>
  <si>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</si>
  <si>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</si>
  <si>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</si>
  <si>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</si>
  <si>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</si>
  <si>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</si>
  <si>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</si>
  <si>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</si>
  <si>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</si>
  <si>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</si>
  <si>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</si>
  <si>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</si>
  <si>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</si>
  <si>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</si>
  <si>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</si>
  <si>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</si>
  <si>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</si>
  <si>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</si>
  <si>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</si>
  <si>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</si>
  <si>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</si>
  <si>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</si>
  <si>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</si>
  <si>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</si>
  <si>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</si>
  <si>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</si>
  <si>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</si>
  <si>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</si>
  <si>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</si>
  <si>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</si>
  <si>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</si>
  <si>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</si>
  <si>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</si>
  <si>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</si>
  <si>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</si>
  <si>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</si>
  <si>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</si>
  <si>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QUAL O MOTIVO DA PARADA??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</si>
</sst>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4" activePane="bottomLeft" state="frozen"/>
      <selection activeCell="B1" sqref="B1"/>
      <selection pane="bottomLeft" activeCell="G4" sqref="G4:G2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3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3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3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3"/>
      <c r="N63" s="40"/>
      <c r="O63" s="40"/>
      <c r="P63" s="40" t="s">
        <v>226</v>
      </c>
      <c r="Q63" s="40"/>
      <c r="R63" s="40"/>
    </row>
    <row r="64" spans="1:18" ht="15" customHeight="1" x14ac:dyDescent="0.25">
      <c r="M64" s="163"/>
      <c r="N64" s="37"/>
      <c r="O64" s="37"/>
      <c r="P64" s="37" t="s">
        <v>227</v>
      </c>
      <c r="Q64" s="37"/>
      <c r="R64" s="37"/>
    </row>
    <row r="65" spans="13:18" ht="15" customHeight="1" x14ac:dyDescent="0.25">
      <c r="M65" s="163"/>
      <c r="N65" s="40"/>
      <c r="O65" s="40"/>
      <c r="P65" s="40" t="s">
        <v>228</v>
      </c>
      <c r="Q65" s="40"/>
      <c r="R65" s="40"/>
    </row>
    <row r="66" spans="13:18" ht="15" customHeight="1" x14ac:dyDescent="0.25">
      <c r="M66" s="163"/>
      <c r="N66" s="37"/>
      <c r="O66" s="37"/>
      <c r="P66" s="37" t="s">
        <v>229</v>
      </c>
      <c r="Q66" s="37"/>
      <c r="R66" s="37"/>
    </row>
    <row r="67" spans="13:18" ht="15" customHeight="1" x14ac:dyDescent="0.25">
      <c r="M67" s="163"/>
      <c r="N67" s="40"/>
      <c r="O67" s="40"/>
      <c r="P67" s="40" t="s">
        <v>230</v>
      </c>
      <c r="Q67" s="40"/>
      <c r="R67" s="40"/>
    </row>
    <row r="68" spans="13:18" ht="15" customHeight="1" x14ac:dyDescent="0.25">
      <c r="M68" s="163"/>
      <c r="N68" s="37"/>
      <c r="O68" s="37"/>
      <c r="P68" s="37" t="s">
        <v>231</v>
      </c>
      <c r="Q68" s="37"/>
      <c r="R68" s="37"/>
    </row>
    <row r="69" spans="13:18" ht="15" customHeight="1" x14ac:dyDescent="0.25">
      <c r="M69" s="163"/>
      <c r="N69" s="40"/>
      <c r="O69" s="40"/>
      <c r="P69" s="40" t="s">
        <v>232</v>
      </c>
      <c r="Q69" s="40"/>
      <c r="R69" s="40"/>
    </row>
    <row r="70" spans="13:18" ht="15" customHeight="1" x14ac:dyDescent="0.25">
      <c r="M70" s="163"/>
      <c r="N70" s="37"/>
      <c r="O70" s="37"/>
      <c r="P70" s="37" t="s">
        <v>233</v>
      </c>
      <c r="Q70" s="37"/>
      <c r="R70" s="37"/>
    </row>
    <row r="71" spans="13:18" ht="15" customHeight="1" x14ac:dyDescent="0.25">
      <c r="M71" s="163"/>
      <c r="N71" s="40"/>
      <c r="O71" s="40"/>
      <c r="P71" s="40" t="s">
        <v>234</v>
      </c>
      <c r="Q71" s="40"/>
      <c r="R71" s="40"/>
    </row>
    <row r="72" spans="13:18" ht="15" customHeight="1" x14ac:dyDescent="0.25">
      <c r="M72" s="163"/>
      <c r="N72" s="37"/>
      <c r="O72" s="37"/>
      <c r="P72" s="37" t="s">
        <v>235</v>
      </c>
      <c r="Q72" s="37"/>
      <c r="R72" s="37"/>
    </row>
    <row r="73" spans="13:18" ht="15" customHeight="1" x14ac:dyDescent="0.25">
      <c r="M73" s="163"/>
      <c r="N73" s="40"/>
      <c r="O73" s="40"/>
      <c r="P73" s="40" t="s">
        <v>236</v>
      </c>
      <c r="Q73" s="40"/>
      <c r="R73" s="40"/>
    </row>
    <row r="74" spans="13:18" ht="15" customHeight="1" x14ac:dyDescent="0.25">
      <c r="M74" s="163"/>
      <c r="N74" s="37"/>
      <c r="O74" s="37"/>
      <c r="P74" s="37" t="s">
        <v>237</v>
      </c>
      <c r="Q74" s="37"/>
      <c r="R74" s="37"/>
    </row>
    <row r="75" spans="13:18" ht="15" customHeight="1" x14ac:dyDescent="0.25">
      <c r="M75" s="163"/>
      <c r="N75" s="40"/>
      <c r="O75" s="40"/>
      <c r="P75" s="40" t="s">
        <v>238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25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31" activePane="bottomLeft" state="frozen"/>
      <selection pane="bottomLeft" activeCell="H555" sqref="H555:H561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25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25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25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25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25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25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25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25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25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25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25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25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25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25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25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25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25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25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25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25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57" t="s">
        <v>264</v>
      </c>
      <c r="B567" s="157"/>
      <c r="C567" s="157"/>
      <c r="D567" s="157"/>
      <c r="E567" s="15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25">
      <c r="A568" s="158" t="s">
        <v>250</v>
      </c>
      <c r="B568" s="158"/>
      <c r="C568" s="158"/>
      <c r="D568" s="158"/>
      <c r="E568" s="15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57" t="s">
        <v>261</v>
      </c>
      <c r="B581" s="157"/>
      <c r="C581" s="157"/>
      <c r="D581" s="157"/>
      <c r="E581" s="157"/>
      <c r="F581" s="2">
        <f>SUM(F569:F580)</f>
        <v>135</v>
      </c>
      <c r="G581" s="2">
        <f>SUM(G569:G580)</f>
        <v>675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 x14ac:dyDescent="0.2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25">
      <c r="A595" s="158" t="s">
        <v>250</v>
      </c>
      <c r="B595" s="158"/>
      <c r="C595" s="158"/>
      <c r="D595" s="158"/>
      <c r="E595" s="158"/>
      <c r="F595" s="1">
        <f>F581+F594</f>
        <v>135</v>
      </c>
      <c r="G595" s="1">
        <f>G581+G594</f>
        <v>675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25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25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25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25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25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25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25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25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25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8" activePane="bottomLeft" state="frozen"/>
      <selection pane="bottomLeft" activeCell="M569" sqref="M569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0.3127274305516039</v>
      </c>
      <c r="R53" s="80" t="s">
        <v>311</v>
      </c>
      <c r="S53" s="67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0.45161631944049163</v>
      </c>
      <c r="R54" s="2" t="s">
        <v>262</v>
      </c>
      <c r="S54" s="113">
        <v>352430</v>
      </c>
      <c r="T54" s="114"/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0.53633854166271444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0.14258854166837409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0.14258854166837409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0.14258854166837409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9" activePane="bottomLeft" state="frozen"/>
      <selection pane="bottomLeft" activeCell="R584" sqref="R584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40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168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 t="s">
        <v>419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40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168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B1" zoomScale="85" zoomScaleNormal="85" workbookViewId="0">
      <pane ySplit="1" topLeftCell="A550" activePane="bottomLeft" state="frozen"/>
      <selection pane="bottomLeft" activeCell="L555" sqref="L555:L566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45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189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45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189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2026-08-22T14:29:40Z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