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7" documentId="8_{C51EB6CB-002B-4D6B-B68F-DDEBDB4460C0}" xr6:coauthVersionLast="47" xr6:coauthVersionMax="47" xr10:uidLastSave="{1074F719-78B8-4D67-B4EA-6A7787AE745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<sst xmlns="http://schemas.openxmlformats.org/spreadsheetml/2006/main" count="5499" uniqueCount="335">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</sst>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2" sqref="F29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206</v>
      </c>
      <c r="G297" s="36">
        <f>SUM(G285:G296)</f>
        <v>865.2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469</v>
      </c>
      <c r="G298" s="40">
        <f>G284+G297</f>
        <v>2180.1999999999998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0.96803032406751299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1.1069192129564018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1.1916414351786242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431.4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920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0.89511365740327165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0.9569192129588272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1.0180303240699384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44</v>
      </c>
      <c r="G297" s="36">
        <f>SUM(G285:G296)</f>
        <v>215.2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139</v>
      </c>
      <c r="G298" s="40">
        <f>G284+G297</f>
        <v>622.20000000000005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59" activePane="bottomLeft" state="frozen"/>
      <selection pane="bottomLeft" activeCell="N286" sqref="N28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/>
      <c r="M285" s="35">
        <f t="shared" ref="M285:M296" ca="1" si="64">IFERROR(IF(K285="","",IF(L285="",MOD(NOW()-K285,1),IF(L285&gt;=K285,L285-K285,L285+1-K285))),"")</f>
        <v>1.2474768518586643E-2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102</v>
      </c>
      <c r="G297" s="36">
        <f>SUM(G285:G296)</f>
        <v>488.4</v>
      </c>
      <c r="H297" s="37"/>
      <c r="I297" s="37"/>
      <c r="J297" s="37"/>
      <c r="K297" s="61"/>
      <c r="L297" s="61"/>
      <c r="M297" s="38">
        <f ca="1">IFERROR(SUM(M285:M296),"")</f>
        <v>1.2474768518586643E-2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274</v>
      </c>
      <c r="G298" s="40">
        <f>G284+G297</f>
        <v>1210.8</v>
      </c>
      <c r="H298" s="41"/>
      <c r="I298" s="41"/>
      <c r="J298" s="41"/>
      <c r="K298" s="63"/>
      <c r="L298" s="63"/>
      <c r="M298" s="42">
        <f ca="1">IFERROR(M284+M297,"")</f>
        <v>8.4696990740808831E-2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2026-08-12T06:09:31Z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