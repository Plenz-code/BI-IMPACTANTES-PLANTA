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928" documentId="8_{C51EB6CB-002B-4D6B-B68F-DDEBDB4460C0}" xr6:coauthVersionLast="47" xr6:coauthVersionMax="47" xr10:uidLastSave="{6B522F97-988C-421C-A86A-C707ABC7606E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<sst xmlns="http://schemas.openxmlformats.org/spreadsheetml/2006/main" count="4116" uniqueCount="301">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</sst>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1" sqref="G11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5" activePane="bottomLeft" state="frozen"/>
      <selection pane="bottomLeft" activeCell="N194" sqref="N19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/>
      <c r="M193" s="35">
        <f t="shared" ca="1" si="43"/>
        <v>9.5898148138076067E-3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196</v>
      </c>
      <c r="G203" s="36">
        <f>SUM(G191:G202)</f>
        <v>980</v>
      </c>
      <c r="H203" s="37"/>
      <c r="I203" s="37"/>
      <c r="J203" s="37"/>
      <c r="K203" s="37"/>
      <c r="L203" s="37"/>
      <c r="M203" s="38">
        <f ca="1">IFERROR(SUM(M191:M202),"")</f>
        <v>6.097870370269648E-2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196</v>
      </c>
      <c r="G217" s="40">
        <f>G203+G216</f>
        <v>980</v>
      </c>
      <c r="H217" s="41"/>
      <c r="I217" s="41"/>
      <c r="J217" s="41"/>
      <c r="K217" s="41"/>
      <c r="L217" s="41"/>
      <c r="M217" s="42">
        <f ca="1">IFERROR(M203+M216,"")</f>
        <v>6.097870370269648E-2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3" activePane="bottomLeft" state="frozen"/>
      <selection pane="bottomLeft" activeCell="N196" sqref="N1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0.49222870369703742</v>
      </c>
      <c r="N53" s="46" t="s">
        <v>259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0.63111759258592626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0.71583981480814862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/>
      <c r="M195" s="35">
        <f t="shared" ca="1" si="43"/>
        <v>9.5898148138076067E-3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83</v>
      </c>
      <c r="G203" s="36">
        <f>SUM(G191:G202)</f>
        <v>348.6</v>
      </c>
      <c r="H203" s="37"/>
      <c r="I203" s="37"/>
      <c r="J203" s="37"/>
      <c r="K203" s="37"/>
      <c r="L203" s="37"/>
      <c r="M203" s="38">
        <f ca="1">IFERROR(SUM(M191:M202),"")</f>
        <v>9.5700925924918689E-2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83</v>
      </c>
      <c r="G217" s="40">
        <f>G203+G216</f>
        <v>348.6</v>
      </c>
      <c r="H217" s="41"/>
      <c r="I217" s="41"/>
      <c r="J217" s="41"/>
      <c r="K217" s="41"/>
      <c r="L217" s="41"/>
      <c r="M217" s="42">
        <f ca="1">IFERROR(M203+M216,"")</f>
        <v>9.5700925924918689E-2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70" zoomScale="50" zoomScaleNormal="50" workbookViewId="0">
      <selection activeCell="L198" sqref="L19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6</v>
      </c>
      <c r="G203" s="36">
        <f>SUM(G191:G202)</f>
        <v>25.200000000000003</v>
      </c>
      <c r="H203" s="37"/>
      <c r="I203" s="37"/>
      <c r="J203" s="37"/>
      <c r="K203" s="37"/>
      <c r="L203" s="37"/>
      <c r="M203" s="38">
        <f ca="1">IFERROR(SUM(M191:M202),"")</f>
        <v>0.13194444444444448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6</v>
      </c>
      <c r="G217" s="40">
        <f>G203+G216</f>
        <v>25.200000000000003</v>
      </c>
      <c r="H217" s="41"/>
      <c r="I217" s="41"/>
      <c r="J217" s="41"/>
      <c r="K217" s="41"/>
      <c r="L217" s="41"/>
      <c r="M217" s="42">
        <f ca="1">IFERROR(M203+M216,"")</f>
        <v>0.13194444444444448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3" activePane="bottomLeft" state="frozen"/>
      <selection pane="bottomLeft" activeCell="F197" sqref="F19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89</v>
      </c>
      <c r="G203" s="36">
        <f>SUM(G191:G202)</f>
        <v>373.80000000000007</v>
      </c>
      <c r="H203" s="37"/>
      <c r="I203" s="37"/>
      <c r="J203" s="37"/>
      <c r="K203" s="61"/>
      <c r="L203" s="61"/>
      <c r="M203" s="38">
        <f ca="1">IFERROR(SUM(M191:M202),"")</f>
        <v>5.5555555555555525E-2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89</v>
      </c>
      <c r="G217" s="40">
        <f>G203+G216</f>
        <v>373.80000000000007</v>
      </c>
      <c r="H217" s="41"/>
      <c r="I217" s="41"/>
      <c r="J217" s="41"/>
      <c r="K217" s="63"/>
      <c r="L217" s="63"/>
      <c r="M217" s="42">
        <f ca="1">IFERROR(M203+M216,"")</f>
        <v>5.5555555555555525E-2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2026-08-08T18:44:42Z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