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502" documentId="8_{C51EB6CB-002B-4D6B-B68F-DDEBDB4460C0}" xr6:coauthVersionLast="47" xr6:coauthVersionMax="47" xr10:uidLastSave="{77C6157C-C358-4A60-94FC-4E14C22A3235}"/>
  <bookViews>
    <workbookView xWindow="-120" yWindow="-120" windowWidth="29040" windowHeight="1572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4" l="1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<sst xmlns="http://schemas.openxmlformats.org/spreadsheetml/2006/main" count="5335" uniqueCount="333">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</sst>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6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6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6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6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6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6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6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6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6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6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6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6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6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6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6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6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6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6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6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6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6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6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6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6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6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6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6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6"/>
      <c r="I58" s="16"/>
      <c r="J58" s="16"/>
      <c r="K58" s="16" t="s">
        <v>208</v>
      </c>
      <c r="L58" s="16"/>
      <c r="M58" s="16"/>
    </row>
    <row r="59" spans="1:13" ht="15" customHeight="1">
      <c r="H59" s="116"/>
      <c r="I59" s="17"/>
      <c r="J59" s="17"/>
      <c r="K59" s="17" t="s">
        <v>209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210</v>
      </c>
      <c r="L61" s="17"/>
      <c r="M61" s="17"/>
    </row>
    <row r="62" spans="1:13" ht="15" customHeight="1">
      <c r="H62" s="116"/>
      <c r="I62" s="16"/>
      <c r="J62" s="16"/>
      <c r="K62" s="16" t="s">
        <v>211</v>
      </c>
      <c r="L62" s="16"/>
      <c r="M62" s="16"/>
    </row>
    <row r="63" spans="1:13" ht="15" customHeight="1">
      <c r="H63" s="116"/>
      <c r="I63" s="17"/>
      <c r="J63" s="17"/>
      <c r="K63" s="17" t="s">
        <v>212</v>
      </c>
      <c r="L63" s="17"/>
      <c r="M63" s="17"/>
    </row>
    <row r="64" spans="1:13" ht="15" customHeight="1">
      <c r="H64" s="116"/>
      <c r="I64" s="16"/>
      <c r="J64" s="16"/>
      <c r="K64" s="16" t="s">
        <v>213</v>
      </c>
      <c r="L64" s="16"/>
      <c r="M64" s="16"/>
    </row>
    <row r="65" spans="8:13" ht="15" customHeight="1">
      <c r="H65" s="116"/>
      <c r="I65" s="17"/>
      <c r="J65" s="17"/>
      <c r="K65" s="17" t="s">
        <v>214</v>
      </c>
      <c r="L65" s="17"/>
      <c r="M65" s="17"/>
    </row>
    <row r="66" spans="8:13" ht="15" customHeight="1">
      <c r="H66" s="116"/>
      <c r="I66" s="16"/>
      <c r="J66" s="16"/>
      <c r="K66" s="16" t="s">
        <v>215</v>
      </c>
      <c r="L66" s="16"/>
      <c r="M66" s="16"/>
    </row>
    <row r="67" spans="8:13" ht="15" customHeight="1">
      <c r="H67" s="116"/>
      <c r="I67" s="17"/>
      <c r="J67" s="17"/>
      <c r="K67" s="17" t="s">
        <v>216</v>
      </c>
      <c r="L67" s="17"/>
      <c r="M67" s="17"/>
    </row>
    <row r="68" spans="8:13" ht="15" customHeight="1">
      <c r="H68" s="116"/>
      <c r="I68" s="16"/>
      <c r="J68" s="16"/>
      <c r="K68" s="16" t="s">
        <v>217</v>
      </c>
      <c r="L68" s="16"/>
      <c r="M68" s="16"/>
    </row>
    <row r="69" spans="8:13" ht="15" customHeight="1">
      <c r="H69" s="116"/>
      <c r="I69" s="17"/>
      <c r="J69" s="17"/>
      <c r="K69" s="17" t="s">
        <v>218</v>
      </c>
      <c r="L69" s="17"/>
      <c r="M69" s="17"/>
    </row>
    <row r="70" spans="8:13" ht="15" customHeight="1">
      <c r="H70" s="116"/>
      <c r="I70" s="16"/>
      <c r="J70" s="16"/>
      <c r="K70" s="16" t="s">
        <v>219</v>
      </c>
      <c r="L70" s="16"/>
      <c r="M70" s="16"/>
    </row>
    <row r="71" spans="8:13" ht="15" customHeight="1">
      <c r="H71" s="116"/>
      <c r="I71" s="17"/>
      <c r="J71" s="17"/>
      <c r="K71" s="17" t="s">
        <v>220</v>
      </c>
      <c r="L71" s="17"/>
      <c r="M71" s="17"/>
    </row>
    <row r="72" spans="8:13" ht="15" customHeight="1">
      <c r="H72" s="116"/>
      <c r="I72" s="16"/>
      <c r="J72" s="16"/>
      <c r="K72" s="16" t="s">
        <v>221</v>
      </c>
      <c r="L72" s="16"/>
      <c r="M72" s="16"/>
    </row>
    <row r="73" spans="8:13" ht="15" customHeight="1">
      <c r="H73" s="116"/>
      <c r="I73" s="17"/>
      <c r="J73" s="17"/>
      <c r="K73" s="17" t="s">
        <v>222</v>
      </c>
      <c r="L73" s="17"/>
      <c r="M73" s="17"/>
    </row>
    <row r="74" spans="8:13" ht="15" customHeight="1">
      <c r="H74" s="116"/>
      <c r="I74" s="16"/>
      <c r="J74" s="16"/>
      <c r="K74" s="16" t="s">
        <v>223</v>
      </c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67" activePane="bottomLeft" state="frozen"/>
      <selection pane="bottomLeft" activeCell="N277" sqref="N277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190</v>
      </c>
      <c r="G284" s="36">
        <f>SUM(G272:G283)</f>
        <v>950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190</v>
      </c>
      <c r="G298" s="40">
        <f>G284+G297</f>
        <v>950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70" zoomScaleNormal="70" workbookViewId="0">
      <pane ySplit="1" topLeftCell="A252" activePane="bottomLeft" state="frozen"/>
      <selection pane="bottomLeft" activeCell="F280" sqref="F28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0.51968298610881902</v>
      </c>
      <c r="N53" s="46" t="s">
        <v>266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0.65857187499770786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0.74329409721993023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268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269</v>
      </c>
      <c r="M96" s="30" t="str">
        <f t="shared" ref="M96:M107" ca="1" si="22">IFERROR(IF(K96="","",IF(L96="",MOD(NOW()-K96,1),IF(L96&gt;=K96,L96-K96,L96+1-K96))),"")</f>
        <v/>
      </c>
      <c r="N96" s="46" t="s">
        <v>270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278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275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279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280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273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267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281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282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283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284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285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286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287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2"/>
        <v/>
      </c>
      <c r="H280" s="26"/>
      <c r="I280" s="26"/>
      <c r="J280" s="26"/>
      <c r="K280" s="29"/>
      <c r="L280" s="29"/>
      <c r="M280" s="30" t="str">
        <f t="shared" ca="1" si="60"/>
        <v/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2"/>
        <v/>
      </c>
      <c r="H281" s="33"/>
      <c r="I281" s="33"/>
      <c r="J281" s="33"/>
      <c r="K281" s="29"/>
      <c r="L281" s="29"/>
      <c r="M281" s="35" t="str">
        <f t="shared" ca="1" si="60"/>
        <v/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2"/>
        <v/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2"/>
        <v/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75</v>
      </c>
      <c r="G284" s="90">
        <f>SUM(G272:G283)</f>
        <v>285.60000000000002</v>
      </c>
      <c r="H284" s="37"/>
      <c r="I284" s="37"/>
      <c r="J284" s="37"/>
      <c r="K284" s="37"/>
      <c r="L284" s="37"/>
      <c r="M284" s="38">
        <f ca="1">IFERROR(SUM(M272:M283),"")</f>
        <v>8.1249999999999989E-2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75</v>
      </c>
      <c r="G298" s="40">
        <f>G284+G297</f>
        <v>285.60000000000002</v>
      </c>
      <c r="H298" s="41"/>
      <c r="I298" s="41"/>
      <c r="J298" s="41"/>
      <c r="K298" s="41"/>
      <c r="L298" s="41"/>
      <c r="M298" s="42">
        <f ca="1">IFERROR(M284+M297,"")</f>
        <v>8.1249999999999989E-2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8" zoomScale="68" zoomScaleNormal="68" workbookViewId="0">
      <selection activeCell="F280" sqref="F28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279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301</v>
      </c>
      <c r="M222" s="30" t="str">
        <f t="shared" ca="1" si="49"/>
        <v/>
      </c>
      <c r="N222" s="27" t="s">
        <v>302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303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267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0.44676631944457768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0.50857187500013323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0.56968298611124446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68</v>
      </c>
      <c r="G284" s="36">
        <f>SUM(G272:G283)</f>
        <v>285.60000000000002</v>
      </c>
      <c r="H284" s="37"/>
      <c r="I284" s="37"/>
      <c r="J284" s="37"/>
      <c r="K284" s="37"/>
      <c r="L284" s="37"/>
      <c r="M284" s="38">
        <f ca="1">IFERROR(SUM(M272:M283),"")</f>
        <v>0.10138888888888892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68</v>
      </c>
      <c r="G298" s="40">
        <f>G284+G297</f>
        <v>285.60000000000002</v>
      </c>
      <c r="H298" s="41"/>
      <c r="I298" s="41"/>
      <c r="J298" s="41"/>
      <c r="K298" s="41"/>
      <c r="L298" s="41"/>
      <c r="M298" s="42">
        <f ca="1">IFERROR(M284+M297,"")</f>
        <v>0.10138888888888892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53" activePane="bottomLeft" state="frozen"/>
      <selection pane="bottomLeft" activeCell="F280" sqref="F280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318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320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321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322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323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324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325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326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327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328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329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295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330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331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332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0.53263888888888888</v>
      </c>
      <c r="L279" s="29"/>
      <c r="M279" s="35">
        <f ca="1">IFERROR(IF(K279="","",IF(L279="",MOD(NOW()-K279,1),IF(L279&gt;=K279,L279-K279,L279+1-K279))),"")</f>
        <v>0.10857187500369037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/>
      <c r="G280" s="28" t="str">
        <f t="shared" si="60"/>
        <v/>
      </c>
      <c r="H280" s="26"/>
      <c r="I280" s="26"/>
      <c r="J280" s="26"/>
      <c r="K280" s="29">
        <v>0.625</v>
      </c>
      <c r="L280" s="29"/>
      <c r="M280" s="30">
        <f ca="1">IFERROR(IF(K280="","",IF(L280="",MOD(NOW()-K280,1),IF(L280&gt;=K280,L280-K280,L280+1-K280))),"")</f>
        <v>1.6210763889830559E-2</v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108</v>
      </c>
      <c r="G284" s="36">
        <f>SUM(G272:G283)</f>
        <v>453.6</v>
      </c>
      <c r="H284" s="37"/>
      <c r="I284" s="37"/>
      <c r="J284" s="37"/>
      <c r="K284" s="61"/>
      <c r="L284" s="61"/>
      <c r="M284" s="38">
        <f ca="1">IFERROR(SUM(M272:M283),"")</f>
        <v>0.17478263889352086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108</v>
      </c>
      <c r="G298" s="40">
        <f>G284+G297</f>
        <v>453.6</v>
      </c>
      <c r="H298" s="41"/>
      <c r="I298" s="41"/>
      <c r="J298" s="41"/>
      <c r="K298" s="63"/>
      <c r="L298" s="63"/>
      <c r="M298" s="42">
        <f ca="1">IFERROR(M284+M297,"")</f>
        <v>0.17478263889352086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2026-08-11T19:23:30Z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