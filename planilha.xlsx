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798" documentId="8_{AF585B22-221D-4780-BB9C-493D365A6A02}" xr6:coauthVersionLast="47" xr6:coauthVersionMax="47" xr10:uidLastSave="{F314B380-3705-493B-A0C3-24699E33EBB8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<sst xmlns="http://schemas.openxmlformats.org/spreadsheetml/2006/main" count="6865" uniqueCount="332">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</sst>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3" sqref="F4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>
        <v>27</v>
      </c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>
        <v>36</v>
      </c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83</v>
      </c>
      <c r="G432" s="36">
        <f>SUM(G420:G431)</f>
        <v>100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304</v>
      </c>
      <c r="G433" s="40">
        <f>G419+G432</f>
        <v>1205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7" activePane="bottomLeft" state="frozen"/>
      <selection pane="bottomLeft" activeCell="K421" sqref="K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0.70998587962822057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0.86762476851710946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0.97734699073933162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246</v>
      </c>
      <c r="F420" s="27">
        <v>4</v>
      </c>
      <c r="G420" s="28">
        <f t="shared" ref="G420:G431" si="93">IF(F420="","",IF(E420="PC 17",F420*4.2,IF(E420="PC 19",F420*5,"")))</f>
        <v>16.8</v>
      </c>
      <c r="H420" s="26"/>
      <c r="I420" s="26"/>
      <c r="J420" s="26"/>
      <c r="K420" s="29">
        <v>0.81666666666666665</v>
      </c>
      <c r="L420" s="29"/>
      <c r="M420" s="30">
        <f t="shared" ref="M420:M431" ca="1" si="94">IFERROR(IF(K420="","",IF(L420="",MOD(NOW()-K420,1),IF(L420&gt;=K420,L420-K420,L420+1-K420))),"")</f>
        <v>0.13290254629828269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246</v>
      </c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246</v>
      </c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246</v>
      </c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246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4</v>
      </c>
      <c r="G432" s="36">
        <f>SUM(G420:G431)</f>
        <v>16.8</v>
      </c>
      <c r="H432" s="37"/>
      <c r="I432" s="37"/>
      <c r="J432" s="37"/>
      <c r="K432" s="37"/>
      <c r="L432" s="37"/>
      <c r="M432" s="38">
        <f ca="1">IFERROR(SUM(M420:M431),"")</f>
        <v>0.13290254629828269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143</v>
      </c>
      <c r="G433" s="40">
        <f>G419+G432</f>
        <v>613.40000000000009</v>
      </c>
      <c r="H433" s="41"/>
      <c r="I433" s="41"/>
      <c r="J433" s="41"/>
      <c r="K433" s="41"/>
      <c r="L433" s="41"/>
      <c r="M433" s="42">
        <f ca="1">IFERROR(M419+M432,"")</f>
        <v>0.27804143518717156</v>
      </c>
      <c r="N433" s="40" t="s">
        <v>226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17" zoomScale="50" zoomScaleNormal="50" workbookViewId="0">
      <selection activeCell="K421" sqref="K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220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/>
      <c r="M420" s="30">
        <f t="shared" ref="M420:M431" ca="1" si="94">IFERROR(IF(K420="","",IF(L420="",MOD(NOW()-K420,1),IF(L420&gt;=K420,L420-K420,L420+1-K420))),"")</f>
        <v>0.13290254629828269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246</v>
      </c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246</v>
      </c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246</v>
      </c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246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246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246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246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3</v>
      </c>
      <c r="G432" s="36">
        <f>SUM(G420:G431)</f>
        <v>15</v>
      </c>
      <c r="H432" s="37"/>
      <c r="I432" s="37"/>
      <c r="J432" s="37"/>
      <c r="K432" s="37"/>
      <c r="L432" s="37"/>
      <c r="M432" s="38">
        <f ca="1">IFERROR(SUM(M420:M431),"")</f>
        <v>0.13290254629828269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64</v>
      </c>
      <c r="G433" s="40">
        <f>G419+G432</f>
        <v>275.2</v>
      </c>
      <c r="H433" s="41"/>
      <c r="I433" s="41"/>
      <c r="J433" s="41"/>
      <c r="K433" s="41"/>
      <c r="L433" s="41"/>
      <c r="M433" s="42">
        <f ca="1">IFERROR(M419+M432,"")</f>
        <v>0.22456921296494936</v>
      </c>
      <c r="N433" s="40" t="s">
        <v>226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E428" sqref="E4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0.7002636574106873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0.89956921296624293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1.266930324077354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114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0.23402777777777778</v>
      </c>
      <c r="N433" s="40" t="s">
        <v>226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2026-07-17T02:47:53Z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