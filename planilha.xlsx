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2" documentId="13_ncr:1_{A6DBCFB4-28D9-4249-9038-216934055CA6}" xr6:coauthVersionLast="47" xr6:coauthVersionMax="47" xr10:uidLastSave="{1796C735-365F-47B8-9C11-B626570461C1}"/>
  <bookViews>
    <workbookView xWindow="-108" yWindow="-108" windowWidth="23256" windowHeight="12456" tabRatio="500" firstSheet="3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07" i="6" l="1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6" l="1"/>
  <c r="J510" i="6"/>
  <c r="J507" i="5"/>
  <c r="J512" i="5"/>
  <c r="K527" i="6"/>
  <c r="K541" i="6" s="1"/>
  <c r="K527" i="5"/>
  <c r="K541" i="5" s="1"/>
  <c r="K527" i="4"/>
  <c r="K541" i="4" s="1"/>
  <c r="M500" i="3"/>
  <c r="Q527" i="5"/>
  <c r="Q149" i="6"/>
  <c r="Q459" i="4"/>
  <c r="Q432" i="5"/>
  <c r="G527" i="3"/>
  <c r="G541" i="3" s="1"/>
  <c r="Q770" i="5"/>
  <c r="Q216" i="4"/>
  <c r="M824" i="3"/>
  <c r="Q351" i="5"/>
  <c r="M581" i="3"/>
  <c r="Q689" i="5"/>
  <c r="Q203" i="6"/>
  <c r="Q581" i="6"/>
  <c r="M446" i="3"/>
  <c r="Q108" i="4"/>
  <c r="Q284" i="4"/>
  <c r="Q203" i="5"/>
  <c r="Q419" i="5"/>
  <c r="Q162" i="6"/>
  <c r="Q405" i="6"/>
  <c r="Q729" i="6"/>
  <c r="Q162" i="4"/>
  <c r="Q527" i="4"/>
  <c r="Q689" i="4"/>
  <c r="M203" i="3"/>
  <c r="Q14" i="6"/>
  <c r="M378" i="3"/>
  <c r="Q230" i="4"/>
  <c r="M459" i="3"/>
  <c r="Q284" i="5"/>
  <c r="Q68" i="6"/>
  <c r="M257" i="3"/>
  <c r="Q486" i="6"/>
  <c r="Q716" i="6"/>
  <c r="Q824" i="4"/>
  <c r="Q567" i="5"/>
  <c r="Q122" i="6"/>
  <c r="Q473" i="6"/>
  <c r="Q243" i="4"/>
  <c r="Q567" i="6"/>
  <c r="Q824" i="6"/>
  <c r="Q108" i="5"/>
  <c r="Q297" i="4"/>
  <c r="Q338" i="4"/>
  <c r="Q419" i="4"/>
  <c r="M405" i="3"/>
  <c r="Q27" i="6"/>
  <c r="Q621" i="6"/>
  <c r="Q297" i="5"/>
  <c r="Q473" i="5"/>
  <c r="Q837" i="5"/>
  <c r="Q81" i="6"/>
  <c r="Q230" i="6"/>
  <c r="Q459" i="6"/>
  <c r="Q27" i="4"/>
  <c r="Q716" i="5"/>
  <c r="Q797" i="5"/>
  <c r="Q135" i="6"/>
  <c r="Q284" i="6"/>
  <c r="Q108" i="6"/>
  <c r="Q257" i="6"/>
  <c r="Q324" i="6"/>
  <c r="Q500" i="6"/>
  <c r="Q176" i="4"/>
  <c r="Q500" i="4"/>
  <c r="M554" i="3"/>
  <c r="M756" i="3"/>
  <c r="Q68" i="4"/>
  <c r="Q405" i="4"/>
  <c r="Q743" i="4"/>
  <c r="Q378" i="5"/>
  <c r="Q608" i="6"/>
  <c r="Q810" i="6"/>
  <c r="Q81" i="4"/>
  <c r="Q648" i="4"/>
  <c r="M419" i="3"/>
  <c r="Q189" i="6"/>
  <c r="Q446" i="6"/>
  <c r="Q527" i="6"/>
  <c r="Q311" i="4"/>
  <c r="Q729" i="4"/>
  <c r="M351" i="3"/>
  <c r="Q324" i="5"/>
  <c r="Q702" i="5"/>
  <c r="Q783" i="5"/>
  <c r="Q41" i="6"/>
  <c r="Q203" i="4"/>
  <c r="Q392" i="4"/>
  <c r="M41" i="3"/>
  <c r="M108" i="3"/>
  <c r="Q473" i="4"/>
  <c r="M176" i="3"/>
  <c r="Q189" i="5"/>
  <c r="Q365" i="5"/>
  <c r="Q446" i="5"/>
  <c r="Q432" i="6"/>
  <c r="Q513" i="6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Q352" i="5" s="1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811" i="5" l="1"/>
  <c r="Q541" i="5"/>
  <c r="J513" i="6"/>
  <c r="T513" i="6" s="1"/>
  <c r="J513" i="5"/>
  <c r="T513" i="5" s="1"/>
  <c r="M352" i="3"/>
  <c r="M163" i="3"/>
  <c r="J513" i="4"/>
  <c r="T513" i="4" s="1"/>
  <c r="Q433" i="5"/>
  <c r="Q163" i="4"/>
  <c r="Q109" i="4"/>
  <c r="Q163" i="6"/>
  <c r="Q244" i="4"/>
  <c r="M595" i="3"/>
  <c r="Q460" i="4"/>
  <c r="Q217" i="4"/>
  <c r="Q379" i="5"/>
  <c r="M217" i="3"/>
  <c r="M730" i="3"/>
  <c r="Q28" i="4"/>
  <c r="Q487" i="6"/>
  <c r="M838" i="3"/>
  <c r="Q217" i="6"/>
  <c r="Q298" i="5"/>
  <c r="Q622" i="6"/>
  <c r="Q730" i="5"/>
  <c r="Q109" i="6"/>
  <c r="Q217" i="5"/>
  <c r="Q379" i="6"/>
  <c r="M514" i="3"/>
  <c r="M379" i="3"/>
  <c r="Q676" i="4"/>
  <c r="Q136" i="6"/>
  <c r="Q568" i="5"/>
  <c r="Q325" i="5"/>
  <c r="Q55" i="6"/>
  <c r="Q784" i="5"/>
  <c r="M568" i="3"/>
  <c r="Q757" i="5"/>
  <c r="Q136" i="5"/>
  <c r="Q838" i="4"/>
  <c r="Q325" i="6"/>
  <c r="Q568" i="4"/>
  <c r="Q838" i="6"/>
  <c r="Q271" i="6"/>
  <c r="M541" i="3"/>
  <c r="Q730" i="4"/>
  <c r="Q28" i="6"/>
  <c r="Q811" i="6"/>
  <c r="Q325" i="4"/>
  <c r="Q298" i="6"/>
  <c r="Q595" i="5"/>
  <c r="Q541" i="6"/>
  <c r="Q109" i="5"/>
  <c r="M460" i="3"/>
  <c r="Q649" i="5"/>
  <c r="Q379" i="4"/>
  <c r="Q271" i="5"/>
  <c r="Q649" i="4"/>
  <c r="Q190" i="6"/>
  <c r="Q757" i="6"/>
  <c r="Q514" i="4"/>
  <c r="M244" i="3"/>
  <c r="M298" i="3"/>
  <c r="Q703" i="4"/>
  <c r="Q757" i="4"/>
  <c r="M109" i="3"/>
  <c r="Q541" i="4"/>
  <c r="Q82" i="6"/>
  <c r="Q622" i="4"/>
  <c r="Q406" i="4"/>
  <c r="Q595" i="4"/>
  <c r="M55" i="3"/>
  <c r="Q838" i="5"/>
  <c r="M784" i="3"/>
  <c r="M325" i="3"/>
  <c r="Q514" i="6"/>
  <c r="Q487" i="5"/>
  <c r="Q703" i="6"/>
  <c r="M271" i="3"/>
  <c r="Q244" i="6"/>
  <c r="Q568" i="6"/>
  <c r="Q190" i="4"/>
  <c r="Q82" i="4"/>
  <c r="Q784" i="4"/>
  <c r="M190" i="3"/>
  <c r="Q190" i="5"/>
  <c r="Q433" i="6"/>
  <c r="Q406" i="6"/>
  <c r="Q298" i="4"/>
  <c r="M757" i="3"/>
  <c r="Q352" i="4"/>
  <c r="Q649" i="6"/>
  <c r="M136" i="3"/>
  <c r="Q406" i="5"/>
  <c r="Q487" i="4"/>
  <c r="Q460" i="6"/>
  <c r="Q730" i="6"/>
  <c r="Q460" i="5"/>
  <c r="M811" i="3"/>
  <c r="M433" i="3"/>
  <c r="Q433" i="4"/>
  <c r="M406" i="3"/>
  <c r="Q595" i="6"/>
  <c r="Q70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<sst xmlns="http://schemas.openxmlformats.org/spreadsheetml/2006/main" count="8810" uniqueCount="400">
  <si>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</si>
  <si>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</si>
  <si>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</si>
  <si>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</si>
  <si>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</si>
  <si>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</si>
  <si>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</si>
  <si>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</si>
  <si>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</si>
  <si>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</si>
  <si>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</si>
  <si>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</si>
  <si>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</si>
  <si>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</si>
  <si>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</si>
  <si>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</si>
  <si>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</si>
  <si>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</si>
  <si>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</si>
  <si>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</si>
  <si>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</si>
  <si>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</si>
  <si>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</si>
  <si>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</si>
  <si>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</si>
  <si>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</si>
  <si>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</si>
  <si>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</si>
  <si>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</si>
  <si>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</si>
  <si>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</si>
  <si>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</si>
  <si>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</si>
  <si>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</si>
  <si>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</si>
  <si>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</si>
  <si>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</si>
  <si>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</si>
  <si>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</si>
  <si>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</si>
  <si>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</si>
  <si>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</si>
  <si>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</si>
  <si>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</si>
  <si>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</si>
  <si>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</si>
  <si>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</si>
  <si>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</si>
  <si>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</si>
  <si>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</si>
  <si>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</si>
  <si>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</si>
  <si>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</si>
  <si>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</si>
  <si>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</si>
  <si>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</si>
  <si>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</si>
  <si>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</si>
  <si>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</si>
  <si>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</si>
  <si>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</si>
  <si>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</si>
  <si>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</si>
  <si>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</si>
  <si>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</si>
  <si>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</si>
  <si>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</si>
  <si>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</si>
  <si>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</si>
  <si>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</si>
  <si>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</si>
  <si>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</si>
  <si>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</si>
  <si>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</si>
  <si>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</si>
  <si>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</si>
  <si>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</si>
  <si>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</si>
  <si>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</si>
  <si>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</si>
  <si>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</si>
  <si>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</si>
  <si>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</si>
  <si>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</si>
  <si>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</si>
  <si>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</si>
  <si>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</si>
  <si>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</si>
  <si>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</si>
  <si>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</si>
  <si>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</si>
  <si>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</si>
  <si>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</si>
  <si>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</si>
  <si>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</si>
  <si>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</si>
  <si>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</si>
  <si>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</si>
  <si>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</si>
  <si>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</si>
  <si>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</si>
  <si>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</si>
  <si>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</si>
  <si>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</si>
  <si>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</si>
  <si>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</si>
  <si>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</si>
  <si>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</si>
  <si>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</si>
  <si>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</si>
  <si>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</si>
  <si>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</si>
  <si>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</si>
  <si>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</si>
  <si>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</si>
  <si>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</si>
  <si>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</si>
  <si>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</si>
  <si>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</si>
  <si>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</si>
  <si>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</si>
  <si>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</si>
  <si>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</si>
  <si>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</si>
  <si>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</si>
  <si>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</si>
  <si>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</si>
  <si>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</si>
  <si>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</si>
  <si>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</si>
  <si>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</si>
  <si>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</si>
  <si>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</si>
  <si>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</si>
  <si>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</si>
  <si>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</si>
  <si>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</si>
  <si>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</si>
  <si>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</si>
  <si>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</si>
  <si>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</si>
  <si>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</si>
  <si>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</si>
  <si>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</si>
  <si>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</si>
  <si>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</si>
  <si>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</si>
  <si>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</si>
  <si>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</si>
  <si>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</si>
  <si>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</si>
  <si>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</si>
  <si>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</si>
  <si>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</si>
  <si>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</si>
  <si>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</si>
  <si>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</si>
  <si>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</si>
  <si>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</si>
  <si>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</si>
  <si>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</si>
  <si>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</si>
  <si>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</si>
  <si>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</si>
  <si>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</si>
  <si>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</si>
  <si>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</si>
  <si>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</si>
  <si>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</si>
  <si>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</si>
  <si>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</si>
  <si>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</si>
  <si>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</si>
  <si>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</si>
  <si>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</si>
  <si>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</si>
  <si>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</si>
  <si>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</si>
  <si>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</si>
  <si>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</si>
  <si>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</si>
  <si>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</si>
  <si>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</si>
  <si>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</si>
  <si>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</si>
  <si>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</si>
  <si>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</si>
  <si>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</si>
  <si>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</si>
  <si>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</si>
  <si>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</si>
  <si>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</si>
  <si>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</si>
  <si>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</si>
  <si>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</si>
  <si>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</si>
  <si>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</si>
  <si>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</si>
  <si>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</si>
  <si>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</si>
  <si>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</si>
  <si>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</si>
  <si>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</si>
  <si>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</si>
  <si>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</si>
  <si>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</si>
  <si>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</si>
  <si>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</si>
  <si>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</si>
  <si>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</si>
  <si>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</si>
  <si>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</si>
  <si>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</si>
  <si>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</si>
  <si>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</si>
  <si>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</si>
  <si>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</si>
  <si>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</si>
  <si>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</si>
  <si>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</si>
  <si>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</si>
  <si>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</si>
  <si>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</si>
  <si>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</si>
  <si>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</si>
  <si>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</si>
  <si>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</si>
  <si>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</si>
  <si>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</si>
  <si>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</si>
  <si>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</si>
  <si>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</si>
  <si>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</si>
  <si>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</si>
  <si>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</si>
  <si>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</si>
  <si>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</si>
  <si>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</si>
  <si>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</si>
  <si>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</si>
  <si>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</si>
  <si>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</si>
  <si>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</si>
  <si>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</si>
  <si>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</si>
  <si>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</si>
  <si>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</si>
  <si>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</si>
  <si>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</si>
  <si>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</si>
  <si>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</si>
  <si>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</si>
  <si>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</si>
  <si>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</si>
  <si>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</si>
  <si>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</si>
  <si>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</si>
  <si>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</si>
  <si>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</si>
  <si>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</si>
  <si>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</si>
  <si>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</si>
  <si>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</si>
  <si>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</si>
  <si>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</si>
  <si>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</si>
  <si>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</si>
  <si>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</si>
  <si>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</si>
  <si>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</si>
  <si>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</si>
  <si>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</si>
  <si>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</si>
  <si>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</si>
  <si>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</si>
  <si>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</si>
  <si>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</si>
  <si>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</si>
  <si>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</si>
  <si>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</si>
  <si>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</si>
  <si>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</si>
  <si>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</si>
  <si>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</si>
  <si>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</si>
  <si>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</si>
  <si>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</si>
  <si>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</si>
  <si>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</si>
  <si>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</si>
  <si>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</si>
  <si>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</si>
  <si>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</si>
  <si>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</si>
  <si>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</si>
  <si>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</si>
  <si>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</si>
  <si>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</si>
  <si>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</si>
  <si>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</si>
  <si>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</si>
  <si>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</si>
  <si>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</si>
  <si>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</si>
  <si>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</si>
  <si>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</si>
  <si>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</si>
  <si>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</si>
  <si>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</si>
  <si>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</si>
  <si>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</si>
  <si>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</si>
  <si>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</si>
  <si>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</si>
  <si>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</si>
  <si>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</si>
  <si>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</si>
  <si>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</si>
  <si>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</si>
  <si>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</si>
  <si>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</si>
  <si>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</si>
  <si>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</si>
  <si>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</si>
  <si>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</si>
  <si>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</si>
  <si>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</si>
  <si>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</si>
  <si>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</si>
  <si>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</si>
  <si>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</si>
  <si>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</si>
  <si>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</si>
  <si>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</si>
  <si>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</si>
  <si>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</si>
  <si>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</si>
  <si>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</si>
  <si>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</si>
  <si>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</si>
  <si>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</si>
  <si>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</si>
  <si>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</si>
  <si>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</si>
  <si>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</si>
  <si>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</si>
  <si>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</si>
  <si>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</si>
  <si>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</si>
  <si>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</si>
  <si>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</si>
  <si>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</si>
  <si>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</si>
  <si>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</si>
  <si>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</si>
  <si>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</si>
  <si>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</si>
  <si>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</si>
  <si>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</si>
  <si>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</si>
  <si>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</si>
  <si>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</si>
  <si>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</si>
  <si>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</si>
  <si>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</si>
  <si>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</si>
  <si>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</si>
  <si>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</si>
  <si>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</si>
  <si>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</si>
  <si>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</si>
  <si>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</si>
  <si>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</si>
  <si>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</si>
  <si>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</si>
  <si>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</si>
  <si>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</si>
  <si>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</si>
  <si>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</si>
  <si>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</si>
  <si>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</si>
  <si>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</si>
  <si>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</si>
  <si>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</si>
  <si>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</si>
  <si>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</si>
  <si>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</si>
  <si>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</si>
  <si>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</si>
  <si>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</si>
  <si>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</si>
  <si>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</si>
  <si>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</si>
  <si>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</si>
  <si>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</si>
  <si>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</si>
  <si>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</si>
  <si>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</si>
  <si>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</si>
  <si>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PC 17;PC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</si>
</sst>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 x14ac:dyDescent="0.3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570.15974331967209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5515.6539083798607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 x14ac:dyDescent="0.3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 x14ac:dyDescent="0.3">
      <c r="M2" s="161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1"/>
      <c r="N59" s="40"/>
      <c r="O59" s="40"/>
      <c r="P59" s="40" t="s">
        <v>222</v>
      </c>
      <c r="Q59" s="40"/>
      <c r="R59" s="40"/>
    </row>
    <row r="60" spans="1:18" ht="15" customHeight="1" x14ac:dyDescent="0.3">
      <c r="M60" s="161"/>
      <c r="N60" s="37"/>
      <c r="O60" s="37"/>
      <c r="P60" s="53" t="s">
        <v>114</v>
      </c>
      <c r="Q60" s="37"/>
      <c r="R60" s="37"/>
    </row>
    <row r="61" spans="1:18" ht="15" customHeight="1" x14ac:dyDescent="0.3">
      <c r="M61" s="161"/>
      <c r="N61" s="40"/>
      <c r="O61" s="40"/>
      <c r="P61" s="40" t="s">
        <v>223</v>
      </c>
      <c r="Q61" s="40"/>
      <c r="R61" s="40"/>
    </row>
    <row r="62" spans="1:18" ht="15" customHeight="1" x14ac:dyDescent="0.3">
      <c r="M62" s="161"/>
      <c r="N62" s="37"/>
      <c r="O62" s="37"/>
      <c r="P62" s="37" t="s">
        <v>224</v>
      </c>
      <c r="Q62" s="37"/>
      <c r="R62" s="37"/>
    </row>
    <row r="63" spans="1:18" ht="15" customHeight="1" x14ac:dyDescent="0.3">
      <c r="M63" s="161"/>
      <c r="N63" s="40"/>
      <c r="O63" s="40"/>
      <c r="P63" s="40" t="s">
        <v>225</v>
      </c>
      <c r="Q63" s="40"/>
      <c r="R63" s="40"/>
    </row>
    <row r="64" spans="1:18" ht="15" customHeight="1" x14ac:dyDescent="0.3">
      <c r="M64" s="161"/>
      <c r="N64" s="37"/>
      <c r="O64" s="37"/>
      <c r="P64" s="37" t="s">
        <v>226</v>
      </c>
      <c r="Q64" s="37"/>
      <c r="R64" s="37"/>
    </row>
    <row r="65" spans="13:18" ht="15" customHeight="1" x14ac:dyDescent="0.3">
      <c r="M65" s="161"/>
      <c r="N65" s="40"/>
      <c r="O65" s="40"/>
      <c r="P65" s="40" t="s">
        <v>227</v>
      </c>
      <c r="Q65" s="40"/>
      <c r="R65" s="40"/>
    </row>
    <row r="66" spans="13:18" ht="15" customHeight="1" x14ac:dyDescent="0.3">
      <c r="M66" s="161"/>
      <c r="N66" s="37"/>
      <c r="O66" s="37"/>
      <c r="P66" s="37" t="s">
        <v>228</v>
      </c>
      <c r="Q66" s="37"/>
      <c r="R66" s="37"/>
    </row>
    <row r="67" spans="13:18" ht="15" customHeight="1" x14ac:dyDescent="0.3">
      <c r="M67" s="161"/>
      <c r="N67" s="40"/>
      <c r="O67" s="40"/>
      <c r="P67" s="40" t="s">
        <v>229</v>
      </c>
      <c r="Q67" s="40"/>
      <c r="R67" s="40"/>
    </row>
    <row r="68" spans="13:18" ht="15" customHeight="1" x14ac:dyDescent="0.3">
      <c r="M68" s="161"/>
      <c r="N68" s="37"/>
      <c r="O68" s="37"/>
      <c r="P68" s="37" t="s">
        <v>230</v>
      </c>
      <c r="Q68" s="37"/>
      <c r="R68" s="37"/>
    </row>
    <row r="69" spans="13:18" ht="15" customHeight="1" x14ac:dyDescent="0.3">
      <c r="M69" s="161"/>
      <c r="N69" s="40"/>
      <c r="O69" s="40"/>
      <c r="P69" s="40" t="s">
        <v>231</v>
      </c>
      <c r="Q69" s="40"/>
      <c r="R69" s="40"/>
    </row>
    <row r="70" spans="13:18" ht="15" customHeight="1" x14ac:dyDescent="0.3">
      <c r="M70" s="161"/>
      <c r="N70" s="37"/>
      <c r="O70" s="37"/>
      <c r="P70" s="37" t="s">
        <v>232</v>
      </c>
      <c r="Q70" s="37"/>
      <c r="R70" s="37"/>
    </row>
    <row r="71" spans="13:18" ht="15" customHeight="1" x14ac:dyDescent="0.3">
      <c r="M71" s="161"/>
      <c r="N71" s="40"/>
      <c r="O71" s="40"/>
      <c r="P71" s="40" t="s">
        <v>233</v>
      </c>
      <c r="Q71" s="40"/>
      <c r="R71" s="40"/>
    </row>
    <row r="72" spans="13:18" ht="15" customHeight="1" x14ac:dyDescent="0.3">
      <c r="M72" s="161"/>
      <c r="N72" s="37"/>
      <c r="O72" s="37"/>
      <c r="P72" s="37" t="s">
        <v>234</v>
      </c>
      <c r="Q72" s="37"/>
      <c r="R72" s="37"/>
    </row>
    <row r="73" spans="13:18" ht="15" customHeight="1" x14ac:dyDescent="0.3">
      <c r="M73" s="161"/>
      <c r="N73" s="40"/>
      <c r="O73" s="40"/>
      <c r="P73" s="40" t="s">
        <v>235</v>
      </c>
      <c r="Q73" s="40"/>
      <c r="R73" s="40"/>
    </row>
    <row r="74" spans="13:18" ht="15" customHeight="1" x14ac:dyDescent="0.3">
      <c r="M74" s="161"/>
      <c r="N74" s="37"/>
      <c r="O74" s="37"/>
      <c r="P74" s="37" t="s">
        <v>236</v>
      </c>
      <c r="Q74" s="37"/>
      <c r="R74" s="37"/>
    </row>
    <row r="75" spans="13:18" ht="15" customHeight="1" x14ac:dyDescent="0.3">
      <c r="M75" s="161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3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H509" sqref="H509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3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3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3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3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3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3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3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3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3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3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3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3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3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3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3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3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3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3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3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 x14ac:dyDescent="0.3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 x14ac:dyDescent="0.3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 x14ac:dyDescent="0.3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3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3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3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3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3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3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3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3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3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3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3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488" activePane="bottomLeft" state="frozen"/>
      <selection pane="bottomLeft" activeCell="D501" sqref="D501:D512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0.17855069444340188</v>
      </c>
      <c r="R53" s="80" t="s">
        <v>305</v>
      </c>
      <c r="S53" s="67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0.31743958333228961</v>
      </c>
      <c r="R54" s="2" t="s">
        <v>261</v>
      </c>
      <c r="S54" s="113">
        <v>352430</v>
      </c>
      <c r="T54" s="114"/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0.40216180555451242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64" t="s">
        <v>260</v>
      </c>
      <c r="B68" s="164"/>
      <c r="C68" s="164"/>
      <c r="D68" s="164"/>
      <c r="E68" s="16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64" t="s">
        <v>263</v>
      </c>
      <c r="B81" s="164"/>
      <c r="C81" s="164"/>
      <c r="D81" s="164"/>
      <c r="E81" s="16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64" t="s">
        <v>260</v>
      </c>
      <c r="B95" s="164"/>
      <c r="C95" s="164"/>
      <c r="D95" s="164"/>
      <c r="E95" s="16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64" t="s">
        <v>263</v>
      </c>
      <c r="B108" s="164"/>
      <c r="C108" s="164"/>
      <c r="D108" s="164"/>
      <c r="E108" s="16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64" t="s">
        <v>260</v>
      </c>
      <c r="B122" s="164"/>
      <c r="C122" s="164"/>
      <c r="D122" s="164"/>
      <c r="E122" s="16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64" t="s">
        <v>263</v>
      </c>
      <c r="B135" s="164"/>
      <c r="C135" s="164"/>
      <c r="D135" s="164"/>
      <c r="E135" s="16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64" t="s">
        <v>260</v>
      </c>
      <c r="B149" s="164"/>
      <c r="C149" s="164"/>
      <c r="D149" s="164"/>
      <c r="E149" s="16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64" t="s">
        <v>263</v>
      </c>
      <c r="B162" s="164"/>
      <c r="C162" s="164"/>
      <c r="D162" s="164"/>
      <c r="E162" s="16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64" t="s">
        <v>260</v>
      </c>
      <c r="B365" s="164"/>
      <c r="C365" s="164"/>
      <c r="D365" s="164"/>
      <c r="E365" s="16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7.3643213114754102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11.046481967213113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15.649182786885243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102.46927081967212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102.46927081967212</v>
      </c>
    </row>
    <row r="514" spans="1:20" ht="18" customHeight="1" x14ac:dyDescent="0.3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188.63023081967214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188.63023081967214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87" activePane="bottomLeft" state="frozen"/>
      <selection pane="bottomLeft" activeCell="D501" sqref="D501:D512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64" t="s">
        <v>260</v>
      </c>
      <c r="B68" s="164"/>
      <c r="C68" s="164"/>
      <c r="D68" s="164"/>
      <c r="E68" s="16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64" t="s">
        <v>263</v>
      </c>
      <c r="B81" s="164"/>
      <c r="C81" s="164"/>
      <c r="D81" s="164"/>
      <c r="E81" s="16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64" t="s">
        <v>260</v>
      </c>
      <c r="B95" s="164"/>
      <c r="C95" s="164"/>
      <c r="D95" s="164"/>
      <c r="E95" s="16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64" t="s">
        <v>263</v>
      </c>
      <c r="B108" s="164"/>
      <c r="C108" s="164"/>
      <c r="D108" s="164"/>
      <c r="E108" s="16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64" t="s">
        <v>260</v>
      </c>
      <c r="B122" s="164"/>
      <c r="C122" s="164"/>
      <c r="D122" s="164"/>
      <c r="E122" s="16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64" t="s">
        <v>263</v>
      </c>
      <c r="B135" s="164"/>
      <c r="C135" s="164"/>
      <c r="D135" s="164"/>
      <c r="E135" s="16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64" t="s">
        <v>260</v>
      </c>
      <c r="B149" s="164"/>
      <c r="C149" s="164"/>
      <c r="D149" s="164"/>
      <c r="E149" s="16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64" t="s">
        <v>263</v>
      </c>
      <c r="B162" s="164"/>
      <c r="C162" s="164"/>
      <c r="D162" s="164"/>
      <c r="E162" s="16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64" t="s">
        <v>260</v>
      </c>
      <c r="B365" s="164"/>
      <c r="C365" s="164"/>
      <c r="D365" s="164"/>
      <c r="E365" s="16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64" t="s">
        <v>263</v>
      </c>
      <c r="B432" s="164"/>
      <c r="C432" s="164"/>
      <c r="D432" s="164"/>
      <c r="E432" s="16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65" t="s">
        <v>249</v>
      </c>
      <c r="B433" s="165"/>
      <c r="C433" s="165"/>
      <c r="D433" s="165"/>
      <c r="E433" s="16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5.3571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31</v>
      </c>
      <c r="E507" s="100" t="s">
        <v>274</v>
      </c>
      <c r="F507" s="88">
        <f>IFERROR(IF($D507="","",VLOOKUP($D507,Cadastro!$C$4:$E$7,3,FALSE())),"")</f>
        <v>0.35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10.7142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64" t="s">
        <v>263</v>
      </c>
      <c r="B513" s="164"/>
      <c r="C513" s="164"/>
      <c r="D513" s="164"/>
      <c r="E513" s="164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66.861710000000002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66.861710000000002</v>
      </c>
    </row>
    <row r="514" spans="1:20" ht="18" customHeight="1" x14ac:dyDescent="0.3">
      <c r="A514" s="165" t="s">
        <v>249</v>
      </c>
      <c r="B514" s="165"/>
      <c r="C514" s="165"/>
      <c r="D514" s="165"/>
      <c r="E514" s="165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120.46571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120.46571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399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30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">
      <c r="A517" s="18">
        <v>46254</v>
      </c>
      <c r="B517" s="68">
        <f t="shared" si="130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">
      <c r="A518" s="59">
        <v>46254</v>
      </c>
      <c r="B518" s="60">
        <f t="shared" si="130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">
      <c r="A519" s="18">
        <v>46254</v>
      </c>
      <c r="B519" s="68">
        <f t="shared" si="130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30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30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30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30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30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30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30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topLeftCell="L1" zoomScale="85" zoomScaleNormal="85" workbookViewId="0">
      <pane ySplit="1" topLeftCell="A492" activePane="bottomLeft" state="frozen"/>
      <selection pane="bottomLeft" activeCell="U510" sqref="U510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64" t="s">
        <v>260</v>
      </c>
      <c r="B68" s="164"/>
      <c r="C68" s="164"/>
      <c r="D68" s="164"/>
      <c r="E68" s="16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64" t="s">
        <v>263</v>
      </c>
      <c r="B81" s="164"/>
      <c r="C81" s="164"/>
      <c r="D81" s="164"/>
      <c r="E81" s="16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64" t="s">
        <v>260</v>
      </c>
      <c r="B95" s="164"/>
      <c r="C95" s="164"/>
      <c r="D95" s="164"/>
      <c r="E95" s="16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64" t="s">
        <v>263</v>
      </c>
      <c r="B108" s="164"/>
      <c r="C108" s="164"/>
      <c r="D108" s="164"/>
      <c r="E108" s="16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64" t="s">
        <v>260</v>
      </c>
      <c r="B122" s="164"/>
      <c r="C122" s="164"/>
      <c r="D122" s="164"/>
      <c r="E122" s="16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64" t="s">
        <v>263</v>
      </c>
      <c r="B135" s="164"/>
      <c r="C135" s="164"/>
      <c r="D135" s="164"/>
      <c r="E135" s="16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64" t="s">
        <v>263</v>
      </c>
      <c r="B162" s="164"/>
      <c r="C162" s="164"/>
      <c r="D162" s="164"/>
      <c r="E162" s="16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64" t="s">
        <v>263</v>
      </c>
      <c r="B432" s="164"/>
      <c r="C432" s="164"/>
      <c r="D432" s="164"/>
      <c r="E432" s="16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65" t="s">
        <v>249</v>
      </c>
      <c r="B433" s="165"/>
      <c r="C433" s="165"/>
      <c r="D433" s="165"/>
      <c r="E433" s="16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31</v>
      </c>
      <c r="E505" s="100" t="s">
        <v>274</v>
      </c>
      <c r="F505" s="88">
        <f>IFERROR(IF($D505="","",VLOOKUP($D505,Cadastro!$C$4:$E$7,3,FALSE())),"")</f>
        <v>0.35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6.6857437499999994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31</v>
      </c>
      <c r="E506" s="100" t="s">
        <v>274</v>
      </c>
      <c r="F506" s="88">
        <f>IFERROR(IF($D506="","",VLOOKUP($D506,Cadastro!$C$4:$E$7,3,FALSE())),"")</f>
        <v>0.35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13.371487499999999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31</v>
      </c>
      <c r="E507" s="154" t="s">
        <v>274</v>
      </c>
      <c r="F507" s="88">
        <f>IFERROR(IF($D507="","",VLOOKUP($D507,Cadastro!$C$4:$E$7,3,FALSE())),"")</f>
        <v>0.35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21.012337499999997</v>
      </c>
      <c r="K507" s="64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64" t="s">
        <v>263</v>
      </c>
      <c r="B513" s="164"/>
      <c r="C513" s="164"/>
      <c r="D513" s="164"/>
      <c r="E513" s="164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136.6074825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136.6074825</v>
      </c>
    </row>
    <row r="514" spans="1:20" ht="18" customHeight="1" x14ac:dyDescent="0.3">
      <c r="A514" s="165" t="s">
        <v>249</v>
      </c>
      <c r="B514" s="165"/>
      <c r="C514" s="165"/>
      <c r="D514" s="165"/>
      <c r="E514" s="165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261.06380250000001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261.06380250000001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/>
      <c r="Q515" s="71">
        <f t="shared" ref="Q515:Q526" ca="1" si="132">IFERROR(IF(O515="","",IF(P515="",MOD(NOW()-O515,1),IF(P515&gt;=O515,P515-O515,P515+1-O515))),"")</f>
        <v>7.7291666821110994E-4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7.7291666821110994E-4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7.7291666821110994E-4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2026-08-20T11:12:14Z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