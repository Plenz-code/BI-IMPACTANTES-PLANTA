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168" documentId="13_ncr:1_{9DFDFEE8-78F7-4C04-B87C-99924EE6CC37}" xr6:coauthVersionLast="47" xr6:coauthVersionMax="47" xr10:uidLastSave="{2F5263BE-6A84-41BF-8FA3-85F76A655E3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<sst xmlns="http://schemas.openxmlformats.org/spreadsheetml/2006/main" count="1357" uniqueCount="291">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</sst>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27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E13" sqref="E1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/>
      <c r="I2" s="76"/>
      <c r="J2" s="76"/>
      <c r="K2" s="80"/>
      <c r="L2" s="80"/>
      <c r="M2" s="81" t="str">
        <f t="shared" ref="M2:M13" ca="1" si="1">IFERROR(IF(K2="","",IF(L2="",MOD(NOW()-K2,1),IF(L2&gt;=K2,L2-K2,L2+1-K2))),"")</f>
        <v/>
      </c>
      <c r="N2" s="78"/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/>
      <c r="G3" s="84" t="str">
        <f t="shared" si="0"/>
        <v/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/>
      <c r="G4" s="79" t="str">
        <f t="shared" si="0"/>
        <v/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265</v>
      </c>
      <c r="B14" s="176"/>
      <c r="C14" s="176"/>
      <c r="D14" s="176"/>
      <c r="E14" s="176"/>
      <c r="F14" s="2">
        <f>SUM(F2:F13)</f>
        <v>20</v>
      </c>
      <c r="G14" s="2">
        <f>SUM(G2:G13)</f>
        <v>100</v>
      </c>
      <c r="H14" s="87"/>
      <c r="I14" s="87"/>
      <c r="J14" s="87"/>
      <c r="K14" s="87"/>
      <c r="L14" s="87"/>
      <c r="M14" s="88">
        <f ca="1">IFERROR(SUM(M2:M13),"")</f>
        <v>0</v>
      </c>
      <c r="N14" s="2" t="s">
        <v>266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267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266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20</v>
      </c>
      <c r="G28" s="1">
        <f>G14+G27</f>
        <v>100</v>
      </c>
      <c r="H28" s="91"/>
      <c r="I28" s="91"/>
      <c r="J28" s="91"/>
      <c r="K28" s="91"/>
      <c r="L28" s="91"/>
      <c r="M28" s="92">
        <f ca="1">IFERROR(M14+M27,"")</f>
        <v>0</v>
      </c>
      <c r="N28" s="1" t="s">
        <v>268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265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266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267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266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268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265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266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267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266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268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265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266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267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268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265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266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267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268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265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266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267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266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268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265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266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267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266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265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267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265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267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266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265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267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266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265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267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265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267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266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265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267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266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265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267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266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265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267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266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265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267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266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265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267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266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265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267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266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265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267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266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265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267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266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265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267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266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265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267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266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265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267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266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265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267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266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265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267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266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265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267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266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265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267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266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265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267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265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267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265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267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265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267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9" sqref="G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6" t="str">
        <f t="shared" ref="Q2:Q13" ca="1" si="2">IFERROR(IF(O2="","",IF(P2="",MOD(NOW()-O2,1),IF(P2&gt;=O2,P2-O2,P2+1-O2))),"")</f>
        <v/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D13" sqref="D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1" t="str">
        <f t="shared" ref="Q2:Q13" ca="1" si="2">IFERROR(IF(O2="","",IF(P2="",MOD(NOW()-O2,1),IF(P2&gt;=O2,P2-O2,P2+1-O2))),"")</f>
        <v/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N3" sqref="N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/>
      <c r="Q3" s="86">
        <f t="shared" ca="1" si="2"/>
        <v>6.4768518495839089E-4</v>
      </c>
      <c r="R3" s="78"/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154"/>
      <c r="P14" s="154"/>
      <c r="Q14" s="88">
        <f ca="1">IFERROR(SUM(Q2:Q13),"")</f>
        <v>3.4675462962736159E-2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155"/>
      <c r="P28" s="155"/>
      <c r="Q28" s="92">
        <f ca="1">IFERROR(Q14+Q27,"")</f>
        <v>3.4675462962736159E-2</v>
      </c>
      <c r="R28" s="1" t="s">
        <v>268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268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268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268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268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265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273</v>
      </c>
      <c r="C1" s="159" t="s">
        <v>274</v>
      </c>
      <c r="D1" s="159" t="s">
        <v>275</v>
      </c>
      <c r="E1" s="159" t="s">
        <v>276</v>
      </c>
      <c r="F1" s="159" t="s">
        <v>277</v>
      </c>
      <c r="G1" s="159" t="s">
        <v>278</v>
      </c>
      <c r="H1" s="159" t="s">
        <v>279</v>
      </c>
      <c r="I1" s="159" t="s">
        <v>280</v>
      </c>
      <c r="J1" s="159" t="s">
        <v>281</v>
      </c>
      <c r="K1" s="159" t="s">
        <v>282</v>
      </c>
      <c r="L1" s="159" t="s">
        <v>283</v>
      </c>
      <c r="M1" s="159" t="s">
        <v>284</v>
      </c>
      <c r="N1" s="159" t="s">
        <v>285</v>
      </c>
      <c r="O1" s="159" t="s">
        <v>286</v>
      </c>
      <c r="P1" s="159" t="s">
        <v>287</v>
      </c>
      <c r="Q1" s="159" t="s">
        <v>288</v>
      </c>
      <c r="R1" s="159" t="s">
        <v>289</v>
      </c>
      <c r="S1" s="159" t="s">
        <v>290</v>
      </c>
    </row>
    <row r="2" spans="1:19">
      <c r="E2" s="163"/>
      <c r="K2" s="163"/>
      <c r="Q2" s="163"/>
      <c r="R2" s="163"/>
      <c r="S2" s="163"/>
    </row>
    <row r="3" spans="1:19">
      <c r="E3" s="163"/>
      <c r="K3" s="163"/>
      <c r="Q3" s="163"/>
      <c r="R3" s="163"/>
      <c r="S3" s="163"/>
    </row>
    <row r="4" spans="1:19">
      <c r="E4" s="163"/>
      <c r="K4" s="163"/>
      <c r="Q4" s="163"/>
      <c r="R4" s="163"/>
      <c r="S4" s="163"/>
    </row>
    <row r="5" spans="1:19">
      <c r="E5" s="163"/>
      <c r="K5" s="163"/>
      <c r="Q5" s="163"/>
      <c r="R5" s="163"/>
      <c r="S5" s="163"/>
    </row>
    <row r="6" spans="1:19">
      <c r="E6" s="163"/>
      <c r="K6" s="163"/>
      <c r="Q6" s="163"/>
      <c r="R6" s="163"/>
      <c r="S6" s="163"/>
    </row>
    <row r="7" spans="1:19">
      <c r="E7" s="163"/>
      <c r="K7" s="163"/>
      <c r="Q7" s="163"/>
      <c r="R7" s="163"/>
      <c r="S7" s="163"/>
    </row>
    <row r="8" spans="1:19">
      <c r="E8" s="163"/>
      <c r="K8" s="163"/>
      <c r="Q8" s="163"/>
      <c r="R8" s="163"/>
      <c r="S8" s="163"/>
    </row>
    <row r="9" spans="1:19">
      <c r="E9" s="163"/>
      <c r="K9" s="163"/>
      <c r="Q9" s="163"/>
      <c r="R9" s="163"/>
      <c r="S9" s="163"/>
    </row>
    <row r="10" spans="1:19">
      <c r="E10" s="163"/>
      <c r="K10" s="163"/>
      <c r="Q10" s="163"/>
      <c r="R10" s="163"/>
      <c r="S10" s="163"/>
    </row>
    <row r="11" spans="1:19">
      <c r="E11" s="163"/>
      <c r="K11" s="163"/>
      <c r="Q11" s="163"/>
      <c r="R11" s="163"/>
      <c r="S11" s="163"/>
    </row>
    <row r="12" spans="1:19">
      <c r="E12" s="163"/>
      <c r="K12" s="163"/>
      <c r="Q12" s="163"/>
      <c r="R12" s="163"/>
      <c r="S12" s="163"/>
    </row>
    <row r="13" spans="1:19">
      <c r="E13" s="163"/>
      <c r="K13" s="163"/>
      <c r="Q13" s="163"/>
      <c r="R13" s="163"/>
      <c r="S13" s="163"/>
    </row>
    <row r="14" spans="1:19">
      <c r="E14" s="163"/>
      <c r="K14" s="163"/>
      <c r="Q14" s="163"/>
      <c r="R14" s="163"/>
      <c r="S14" s="163"/>
    </row>
    <row r="15" spans="1:19">
      <c r="E15" s="163"/>
      <c r="K15" s="163"/>
      <c r="Q15" s="163"/>
      <c r="R15" s="163"/>
      <c r="S15" s="163"/>
    </row>
    <row r="16" spans="1:19">
      <c r="E16" s="163"/>
      <c r="K16" s="163"/>
      <c r="Q16" s="163"/>
      <c r="R16" s="163"/>
      <c r="S16" s="163"/>
    </row>
    <row r="17" spans="5:19">
      <c r="E17" s="163"/>
      <c r="K17" s="163"/>
      <c r="Q17" s="163"/>
      <c r="R17" s="163"/>
      <c r="S17" s="163"/>
    </row>
    <row r="18" spans="5:19">
      <c r="E18" s="163"/>
      <c r="K18" s="163"/>
      <c r="Q18" s="163"/>
      <c r="R18" s="163"/>
      <c r="S18" s="163"/>
    </row>
    <row r="19" spans="5:19">
      <c r="E19" s="163"/>
      <c r="K19" s="163"/>
      <c r="Q19" s="163"/>
      <c r="R19" s="163"/>
      <c r="S19" s="163"/>
    </row>
    <row r="20" spans="5:19">
      <c r="E20" s="163"/>
      <c r="K20" s="163"/>
      <c r="Q20" s="163"/>
      <c r="R20" s="163"/>
      <c r="S20" s="163"/>
    </row>
    <row r="21" spans="5:19">
      <c r="E21" s="163"/>
      <c r="K21" s="163"/>
      <c r="Q21" s="163"/>
      <c r="R21" s="163"/>
      <c r="S21" s="163"/>
    </row>
    <row r="22" spans="5:19">
      <c r="E22" s="163"/>
      <c r="K22" s="163"/>
      <c r="Q22" s="163"/>
      <c r="R22" s="163"/>
      <c r="S22" s="163"/>
    </row>
    <row r="23" spans="5:19">
      <c r="E23" s="163"/>
      <c r="K23" s="163"/>
      <c r="Q23" s="163"/>
      <c r="R23" s="163"/>
      <c r="S23" s="163"/>
    </row>
    <row r="24" spans="5:19">
      <c r="E24" s="163"/>
      <c r="K24" s="163"/>
      <c r="Q24" s="163"/>
      <c r="R24" s="163"/>
      <c r="S24" s="163"/>
    </row>
    <row r="25" spans="5:19">
      <c r="E25" s="163"/>
      <c r="K25" s="163"/>
      <c r="Q25" s="163"/>
      <c r="R25" s="163"/>
      <c r="S25" s="163"/>
    </row>
    <row r="26" spans="5:19">
      <c r="E26" s="163"/>
      <c r="K26" s="163"/>
      <c r="Q26" s="163"/>
      <c r="R26" s="163"/>
      <c r="S26" s="163"/>
    </row>
    <row r="27" spans="5:19">
      <c r="E27" s="163"/>
      <c r="K27" s="163"/>
      <c r="Q27" s="163"/>
      <c r="R27" s="163"/>
      <c r="S27" s="163"/>
    </row>
    <row r="28" spans="5:19">
      <c r="E28" s="163"/>
      <c r="K28" s="163"/>
      <c r="Q28" s="163"/>
      <c r="R28" s="163"/>
      <c r="S28" s="163"/>
    </row>
    <row r="29" spans="5:19">
      <c r="E29" s="163"/>
      <c r="K29" s="163"/>
      <c r="Q29" s="163"/>
      <c r="R29" s="163"/>
      <c r="S29" s="163"/>
    </row>
    <row r="30" spans="5:19">
      <c r="E30" s="163"/>
      <c r="K30" s="163"/>
      <c r="Q30" s="163"/>
      <c r="R30" s="163"/>
      <c r="S30" s="163"/>
    </row>
    <row r="31" spans="5:19">
      <c r="E31" s="163"/>
      <c r="K31" s="163"/>
      <c r="Q31" s="163"/>
      <c r="R31" s="163"/>
      <c r="S31" s="163"/>
    </row>
    <row r="32" spans="5:19">
      <c r="E32" s="163"/>
      <c r="K32" s="163"/>
      <c r="Q32" s="163"/>
      <c r="R32" s="163"/>
      <c r="S32" s="163"/>
    </row>
    <row r="33" spans="5:19">
      <c r="E33" s="163"/>
      <c r="K33" s="163"/>
      <c r="Q33" s="163"/>
      <c r="R33" s="163"/>
      <c r="S33" s="163"/>
    </row>
    <row r="34" spans="5:19">
      <c r="E34" s="163"/>
      <c r="K34" s="163"/>
      <c r="Q34" s="163"/>
      <c r="R34" s="163"/>
      <c r="S34" s="163"/>
    </row>
    <row r="35" spans="5:19">
      <c r="E35" s="163"/>
      <c r="K35" s="163"/>
      <c r="Q35" s="163"/>
      <c r="R35" s="163"/>
      <c r="S35" s="163"/>
    </row>
    <row r="36" spans="5:19">
      <c r="E36" s="163"/>
      <c r="K36" s="163"/>
      <c r="Q36" s="163"/>
      <c r="R36" s="163"/>
      <c r="S36" s="163"/>
    </row>
    <row r="37" spans="5:19">
      <c r="E37" s="163"/>
      <c r="K37" s="163"/>
      <c r="Q37" s="163"/>
      <c r="R37" s="163"/>
      <c r="S37" s="163"/>
    </row>
    <row r="38" spans="5:19">
      <c r="E38" s="163"/>
      <c r="K38" s="163"/>
      <c r="Q38" s="163"/>
      <c r="R38" s="163"/>
      <c r="S38" s="163"/>
    </row>
    <row r="39" spans="5:19">
      <c r="E39" s="163"/>
      <c r="K39" s="163"/>
      <c r="Q39" s="163"/>
      <c r="R39" s="163"/>
      <c r="S39" s="163"/>
    </row>
    <row r="40" spans="5:19">
      <c r="E40" s="163"/>
      <c r="K40" s="163"/>
      <c r="Q40" s="163"/>
      <c r="R40" s="163"/>
      <c r="S40" s="163"/>
    </row>
    <row r="41" spans="5:19">
      <c r="E41" s="163"/>
      <c r="K41" s="163"/>
      <c r="Q41" s="163"/>
      <c r="R41" s="163"/>
      <c r="S41" s="163"/>
    </row>
    <row r="42" spans="5:19">
      <c r="E42" s="163"/>
      <c r="K42" s="163"/>
      <c r="Q42" s="163"/>
      <c r="R42" s="163"/>
      <c r="S42" s="163"/>
    </row>
    <row r="43" spans="5:19">
      <c r="E43" s="163"/>
      <c r="K43" s="163"/>
      <c r="Q43" s="163"/>
      <c r="R43" s="163"/>
      <c r="S43" s="163"/>
    </row>
    <row r="44" spans="5:19">
      <c r="E44" s="163"/>
      <c r="K44" s="163"/>
      <c r="Q44" s="163"/>
      <c r="R44" s="163"/>
      <c r="S44" s="163"/>
    </row>
    <row r="45" spans="5:19">
      <c r="E45" s="163"/>
      <c r="K45" s="163"/>
      <c r="Q45" s="163"/>
      <c r="R45" s="163"/>
      <c r="S45" s="163"/>
    </row>
    <row r="46" spans="5:19">
      <c r="E46" s="163"/>
      <c r="K46" s="163"/>
      <c r="Q46" s="163"/>
      <c r="R46" s="163"/>
      <c r="S46" s="163"/>
    </row>
    <row r="47" spans="5:19">
      <c r="E47" s="163"/>
      <c r="K47" s="163"/>
      <c r="Q47" s="163"/>
      <c r="R47" s="163"/>
      <c r="S47" s="163"/>
    </row>
    <row r="48" spans="5:19">
      <c r="E48" s="163"/>
      <c r="K48" s="163"/>
      <c r="Q48" s="163"/>
      <c r="R48" s="163"/>
      <c r="S48" s="163"/>
    </row>
    <row r="49" spans="5:19">
      <c r="E49" s="163"/>
      <c r="K49" s="163"/>
      <c r="Q49" s="163"/>
      <c r="R49" s="163"/>
      <c r="S49" s="163"/>
    </row>
    <row r="50" spans="5:19">
      <c r="E50" s="163"/>
      <c r="K50" s="163"/>
      <c r="Q50" s="163"/>
      <c r="R50" s="163"/>
      <c r="S50" s="163"/>
    </row>
    <row r="51" spans="5:19">
      <c r="E51" s="163"/>
      <c r="K51" s="163"/>
      <c r="Q51" s="163"/>
      <c r="R51" s="163"/>
      <c r="S51" s="163"/>
    </row>
    <row r="52" spans="5:19">
      <c r="E52" s="163"/>
      <c r="K52" s="163"/>
      <c r="Q52" s="163"/>
      <c r="R52" s="163"/>
      <c r="S52" s="163"/>
    </row>
    <row r="53" spans="5:19">
      <c r="E53" s="163"/>
      <c r="K53" s="163"/>
      <c r="Q53" s="163"/>
      <c r="R53" s="163"/>
      <c r="S53" s="163"/>
    </row>
    <row r="54" spans="5:19">
      <c r="E54" s="163"/>
      <c r="K54" s="163"/>
      <c r="Q54" s="163"/>
      <c r="R54" s="163"/>
      <c r="S54" s="163"/>
    </row>
    <row r="55" spans="5:19">
      <c r="E55" s="163"/>
      <c r="K55" s="163"/>
      <c r="Q55" s="163"/>
      <c r="R55" s="163"/>
      <c r="S55" s="163"/>
    </row>
    <row r="56" spans="5:19">
      <c r="E56" s="163"/>
      <c r="K56" s="163"/>
      <c r="Q56" s="163"/>
      <c r="R56" s="163"/>
      <c r="S56" s="163"/>
    </row>
    <row r="57" spans="5:19">
      <c r="E57" s="163"/>
      <c r="K57" s="163"/>
      <c r="Q57" s="163"/>
      <c r="R57" s="163"/>
      <c r="S57" s="163"/>
    </row>
    <row r="58" spans="5:19">
      <c r="E58" s="163"/>
      <c r="K58" s="163"/>
      <c r="Q58" s="163"/>
      <c r="R58" s="163"/>
      <c r="S58" s="163"/>
    </row>
    <row r="59" spans="5:19">
      <c r="E59" s="163"/>
      <c r="K59" s="163"/>
      <c r="Q59" s="163"/>
      <c r="R59" s="163"/>
      <c r="S59" s="163"/>
    </row>
    <row r="60" spans="5:19">
      <c r="E60" s="163"/>
      <c r="K60" s="163"/>
      <c r="Q60" s="163"/>
      <c r="R60" s="163"/>
      <c r="S60" s="163"/>
    </row>
    <row r="61" spans="5:19">
      <c r="E61" s="163"/>
      <c r="K61" s="163"/>
      <c r="Q61" s="163"/>
      <c r="R61" s="163"/>
      <c r="S61" s="163"/>
    </row>
    <row r="62" spans="5:19">
      <c r="E62" s="163"/>
      <c r="K62" s="163"/>
      <c r="Q62" s="163"/>
      <c r="R62" s="163"/>
      <c r="S62" s="163"/>
    </row>
    <row r="63" spans="5:19">
      <c r="E63" s="163"/>
      <c r="K63" s="163"/>
      <c r="Q63" s="163"/>
      <c r="R63" s="163"/>
      <c r="S63" s="163"/>
    </row>
    <row r="64" spans="5:19">
      <c r="E64" s="163"/>
      <c r="K64" s="163"/>
      <c r="Q64" s="163"/>
      <c r="R64" s="163"/>
      <c r="S64" s="163"/>
    </row>
    <row r="65" spans="5:19">
      <c r="E65" s="163"/>
      <c r="K65" s="163"/>
      <c r="Q65" s="163"/>
      <c r="R65" s="163"/>
      <c r="S65" s="163"/>
    </row>
    <row r="66" spans="5:19">
      <c r="E66" s="163"/>
      <c r="K66" s="163"/>
      <c r="Q66" s="163"/>
      <c r="R66" s="163"/>
      <c r="S66" s="163"/>
    </row>
    <row r="67" spans="5:19">
      <c r="E67" s="163"/>
      <c r="K67" s="163"/>
      <c r="Q67" s="163"/>
      <c r="R67" s="163"/>
      <c r="S67" s="163"/>
    </row>
    <row r="68" spans="5:19">
      <c r="E68" s="163"/>
      <c r="K68" s="163"/>
      <c r="Q68" s="163"/>
      <c r="R68" s="163"/>
      <c r="S68" s="163"/>
    </row>
    <row r="69" spans="5:19">
      <c r="E69" s="163"/>
      <c r="K69" s="163"/>
      <c r="Q69" s="163"/>
      <c r="R69" s="163"/>
      <c r="S69" s="163"/>
    </row>
    <row r="70" spans="5:19">
      <c r="E70" s="163"/>
      <c r="K70" s="163"/>
      <c r="Q70" s="163"/>
      <c r="R70" s="163"/>
      <c r="S70" s="163"/>
    </row>
    <row r="71" spans="5:19">
      <c r="E71" s="163"/>
      <c r="K71" s="163"/>
      <c r="Q71" s="163"/>
      <c r="R71" s="163"/>
      <c r="S71" s="163"/>
    </row>
    <row r="72" spans="5:19">
      <c r="E72" s="163"/>
      <c r="K72" s="163"/>
      <c r="Q72" s="163"/>
      <c r="R72" s="163"/>
      <c r="S72" s="163"/>
    </row>
    <row r="73" spans="5:19">
      <c r="E73" s="163"/>
      <c r="K73" s="163"/>
      <c r="Q73" s="163"/>
      <c r="R73" s="163"/>
      <c r="S73" s="163"/>
    </row>
    <row r="74" spans="5:19">
      <c r="E74" s="163"/>
      <c r="K74" s="163"/>
      <c r="Q74" s="163"/>
      <c r="R74" s="163"/>
      <c r="S74" s="163"/>
    </row>
    <row r="75" spans="5:19">
      <c r="E75" s="163"/>
      <c r="K75" s="163"/>
      <c r="Q75" s="163"/>
      <c r="R75" s="163"/>
      <c r="S75" s="163"/>
    </row>
    <row r="76" spans="5:19">
      <c r="E76" s="163"/>
      <c r="K76" s="163"/>
      <c r="Q76" s="163"/>
      <c r="R76" s="163"/>
      <c r="S76" s="163"/>
    </row>
    <row r="77" spans="5:19">
      <c r="E77" s="163"/>
      <c r="K77" s="163"/>
      <c r="Q77" s="163"/>
      <c r="R77" s="163"/>
      <c r="S77" s="163"/>
    </row>
    <row r="78" spans="5:19">
      <c r="E78" s="163"/>
      <c r="K78" s="163"/>
      <c r="Q78" s="163"/>
      <c r="R78" s="163"/>
      <c r="S78" s="163"/>
    </row>
    <row r="79" spans="5:19">
      <c r="E79" s="163"/>
      <c r="K79" s="163"/>
      <c r="Q79" s="163"/>
      <c r="R79" s="163"/>
      <c r="S79" s="163"/>
    </row>
    <row r="80" spans="5:19">
      <c r="E80" s="163"/>
      <c r="K80" s="163"/>
      <c r="Q80" s="163"/>
      <c r="R80" s="163"/>
      <c r="S80" s="163"/>
    </row>
    <row r="81" spans="5:19">
      <c r="E81" s="163"/>
      <c r="K81" s="163"/>
      <c r="Q81" s="163"/>
      <c r="R81" s="163"/>
      <c r="S81" s="163"/>
    </row>
    <row r="82" spans="5:19">
      <c r="E82" s="163"/>
      <c r="K82" s="163"/>
      <c r="Q82" s="163"/>
      <c r="R82" s="163"/>
      <c r="S82" s="163"/>
    </row>
    <row r="83" spans="5:19">
      <c r="E83" s="163"/>
      <c r="K83" s="163"/>
      <c r="Q83" s="163"/>
      <c r="R83" s="163"/>
      <c r="S83" s="163"/>
    </row>
    <row r="84" spans="5:19">
      <c r="E84" s="163"/>
      <c r="K84" s="163"/>
      <c r="Q84" s="163"/>
      <c r="R84" s="163"/>
      <c r="S84" s="163"/>
    </row>
    <row r="85" spans="5:19">
      <c r="E85" s="163"/>
      <c r="K85" s="163"/>
      <c r="Q85" s="163"/>
      <c r="R85" s="163"/>
      <c r="S85" s="163"/>
    </row>
    <row r="86" spans="5:19">
      <c r="E86" s="163"/>
      <c r="K86" s="163"/>
      <c r="Q86" s="163"/>
      <c r="R86" s="163"/>
      <c r="S86" s="163"/>
    </row>
    <row r="87" spans="5:19">
      <c r="E87" s="163"/>
      <c r="K87" s="163"/>
      <c r="Q87" s="163"/>
      <c r="R87" s="163"/>
      <c r="S87" s="163"/>
    </row>
    <row r="88" spans="5:19">
      <c r="E88" s="163"/>
      <c r="K88" s="163"/>
      <c r="Q88" s="163"/>
      <c r="R88" s="163"/>
      <c r="S88" s="163"/>
    </row>
    <row r="89" spans="5:19">
      <c r="E89" s="163"/>
      <c r="K89" s="163"/>
      <c r="Q89" s="163"/>
      <c r="R89" s="163"/>
      <c r="S89" s="163"/>
    </row>
    <row r="90" spans="5:19">
      <c r="E90" s="163"/>
      <c r="K90" s="163"/>
      <c r="Q90" s="163"/>
      <c r="R90" s="163"/>
      <c r="S90" s="163"/>
    </row>
    <row r="91" spans="5:19">
      <c r="E91" s="163"/>
      <c r="K91" s="163"/>
      <c r="Q91" s="163"/>
      <c r="R91" s="163"/>
      <c r="S91" s="163"/>
    </row>
    <row r="92" spans="5:19">
      <c r="E92" s="163"/>
      <c r="K92" s="163"/>
      <c r="Q92" s="163"/>
      <c r="R92" s="163"/>
      <c r="S92" s="163"/>
    </row>
    <row r="93" spans="5:19">
      <c r="E93" s="163"/>
      <c r="K93" s="163"/>
      <c r="Q93" s="163"/>
      <c r="R93" s="163"/>
      <c r="S93" s="163"/>
    </row>
    <row r="94" spans="5:19">
      <c r="E94" s="163"/>
      <c r="K94" s="163"/>
      <c r="Q94" s="163"/>
      <c r="R94" s="163"/>
      <c r="S94" s="163"/>
    </row>
    <row r="95" spans="5:19">
      <c r="E95" s="163"/>
      <c r="K95" s="163"/>
      <c r="Q95" s="163"/>
      <c r="R95" s="163"/>
      <c r="S95" s="163"/>
    </row>
    <row r="96" spans="5:19">
      <c r="E96" s="163"/>
      <c r="K96" s="163"/>
      <c r="Q96" s="163"/>
      <c r="R96" s="163"/>
      <c r="S96" s="163"/>
    </row>
    <row r="97" spans="5:19">
      <c r="E97" s="163"/>
      <c r="K97" s="163"/>
      <c r="Q97" s="163"/>
      <c r="R97" s="163"/>
      <c r="S97" s="163"/>
    </row>
    <row r="98" spans="5:19">
      <c r="E98" s="163"/>
      <c r="K98" s="163"/>
      <c r="Q98" s="163"/>
      <c r="R98" s="163"/>
      <c r="S98" s="163"/>
    </row>
    <row r="99" spans="5:19">
      <c r="E99" s="163"/>
      <c r="K99" s="163"/>
      <c r="Q99" s="163"/>
      <c r="R99" s="163"/>
      <c r="S99" s="163"/>
    </row>
    <row r="100" spans="5:19">
      <c r="E100" s="163"/>
      <c r="K100" s="163"/>
      <c r="Q100" s="163"/>
      <c r="R100" s="163"/>
      <c r="S100" s="163"/>
    </row>
    <row r="101" spans="5:19">
      <c r="E101" s="163"/>
      <c r="K101" s="163"/>
      <c r="Q101" s="163"/>
      <c r="R101" s="163"/>
      <c r="S101" s="163"/>
    </row>
    <row r="102" spans="5:19">
      <c r="E102" s="163"/>
      <c r="K102" s="163"/>
      <c r="Q102" s="163"/>
      <c r="R102" s="163"/>
      <c r="S102" s="163"/>
    </row>
    <row r="103" spans="5:19">
      <c r="E103" s="163"/>
      <c r="K103" s="163"/>
      <c r="Q103" s="163"/>
      <c r="R103" s="163"/>
      <c r="S103" s="163"/>
    </row>
    <row r="104" spans="5:19">
      <c r="E104" s="163"/>
      <c r="K104" s="163"/>
      <c r="Q104" s="163"/>
      <c r="R104" s="163"/>
      <c r="S104" s="163"/>
    </row>
    <row r="105" spans="5:19">
      <c r="E105" s="163"/>
      <c r="K105" s="163"/>
      <c r="Q105" s="163"/>
      <c r="R105" s="163"/>
      <c r="S105" s="163"/>
    </row>
    <row r="106" spans="5:19">
      <c r="E106" s="163"/>
      <c r="K106" s="163"/>
      <c r="Q106" s="163"/>
      <c r="R106" s="163"/>
      <c r="S106" s="163"/>
    </row>
    <row r="107" spans="5:19">
      <c r="E107" s="163"/>
      <c r="K107" s="163"/>
      <c r="Q107" s="163"/>
      <c r="R107" s="163"/>
      <c r="S107" s="163"/>
    </row>
    <row r="108" spans="5:19">
      <c r="E108" s="163"/>
      <c r="K108" s="163"/>
      <c r="Q108" s="163"/>
      <c r="R108" s="163"/>
      <c r="S108" s="163"/>
    </row>
    <row r="109" spans="5:19">
      <c r="E109" s="163"/>
      <c r="K109" s="163"/>
      <c r="Q109" s="163"/>
      <c r="R109" s="163"/>
      <c r="S109" s="163"/>
    </row>
    <row r="110" spans="5:19">
      <c r="E110" s="163"/>
      <c r="K110" s="163"/>
      <c r="Q110" s="163"/>
      <c r="R110" s="163"/>
      <c r="S110" s="163"/>
    </row>
    <row r="111" spans="5:19">
      <c r="E111" s="163"/>
      <c r="K111" s="163"/>
      <c r="Q111" s="163"/>
      <c r="R111" s="163"/>
      <c r="S111" s="163"/>
    </row>
    <row r="112" spans="5:19">
      <c r="E112" s="163"/>
      <c r="K112" s="163"/>
      <c r="Q112" s="163"/>
      <c r="R112" s="163"/>
      <c r="S112" s="163"/>
    </row>
    <row r="113" spans="5:19">
      <c r="E113" s="163"/>
      <c r="K113" s="163"/>
      <c r="Q113" s="163"/>
      <c r="R113" s="163"/>
      <c r="S113" s="163"/>
    </row>
    <row r="114" spans="5:19">
      <c r="E114" s="163"/>
      <c r="K114" s="163"/>
      <c r="Q114" s="163"/>
      <c r="R114" s="163"/>
      <c r="S114" s="163"/>
    </row>
    <row r="115" spans="5:19">
      <c r="E115" s="163"/>
      <c r="K115" s="163"/>
      <c r="Q115" s="163"/>
      <c r="R115" s="163"/>
      <c r="S115" s="163"/>
    </row>
    <row r="116" spans="5:19">
      <c r="E116" s="163"/>
      <c r="K116" s="163"/>
      <c r="Q116" s="163"/>
      <c r="R116" s="163"/>
      <c r="S116" s="163"/>
    </row>
    <row r="117" spans="5:19">
      <c r="E117" s="163"/>
      <c r="K117" s="163"/>
      <c r="Q117" s="163"/>
      <c r="R117" s="163"/>
      <c r="S117" s="163"/>
    </row>
    <row r="118" spans="5:19">
      <c r="E118" s="163"/>
      <c r="K118" s="163"/>
      <c r="Q118" s="163"/>
      <c r="R118" s="163"/>
      <c r="S118" s="163"/>
    </row>
    <row r="119" spans="5:19">
      <c r="E119" s="163"/>
      <c r="K119" s="163"/>
      <c r="Q119" s="163"/>
      <c r="R119" s="163"/>
      <c r="S119" s="163"/>
    </row>
    <row r="120" spans="5:19">
      <c r="E120" s="163"/>
      <c r="K120" s="163"/>
      <c r="Q120" s="163"/>
      <c r="R120" s="163"/>
      <c r="S120" s="163"/>
    </row>
    <row r="121" spans="5:19">
      <c r="E121" s="163"/>
      <c r="K121" s="163"/>
      <c r="Q121" s="163"/>
      <c r="R121" s="163"/>
      <c r="S121" s="163"/>
    </row>
    <row r="122" spans="5:19">
      <c r="E122" s="163"/>
      <c r="K122" s="163"/>
      <c r="Q122" s="163"/>
      <c r="R122" s="163"/>
      <c r="S122" s="163"/>
    </row>
    <row r="123" spans="5:19">
      <c r="E123" s="163"/>
      <c r="K123" s="163"/>
      <c r="M123" s="164"/>
      <c r="Q123" s="163"/>
      <c r="R123" s="163"/>
      <c r="S123" s="163"/>
    </row>
    <row r="124" spans="5:19">
      <c r="E124" s="163"/>
      <c r="K124" s="163"/>
      <c r="Q124" s="163"/>
      <c r="R124" s="163"/>
      <c r="S124" s="163"/>
    </row>
    <row r="125" spans="5:19">
      <c r="E125" s="163"/>
      <c r="K125" s="163"/>
      <c r="Q125" s="163"/>
      <c r="R125" s="163"/>
      <c r="S125" s="163"/>
    </row>
    <row r="126" spans="5:19">
      <c r="E126" s="163"/>
      <c r="K126" s="163"/>
      <c r="Q126" s="163"/>
      <c r="R126" s="163"/>
      <c r="S126" s="163"/>
    </row>
    <row r="127" spans="5:19">
      <c r="E127" s="163"/>
      <c r="K127" s="163"/>
      <c r="Q127" s="163"/>
      <c r="R127" s="163"/>
      <c r="S127" s="163"/>
    </row>
    <row r="128" spans="5:19">
      <c r="E128" s="163"/>
      <c r="K128" s="163"/>
      <c r="Q128" s="163"/>
      <c r="R128" s="163"/>
      <c r="S128" s="163"/>
    </row>
    <row r="129" spans="5:19">
      <c r="E129" s="163"/>
      <c r="K129" s="163"/>
      <c r="Q129" s="163"/>
      <c r="R129" s="163"/>
      <c r="S129" s="163"/>
    </row>
    <row r="130" spans="5:19">
      <c r="E130" s="163"/>
      <c r="K130" s="163"/>
      <c r="Q130" s="163"/>
      <c r="R130" s="163"/>
      <c r="S130" s="163"/>
    </row>
    <row r="131" spans="5:19">
      <c r="E131" s="163"/>
      <c r="K131" s="163"/>
      <c r="Q131" s="163"/>
      <c r="R131" s="163"/>
      <c r="S131" s="163"/>
    </row>
    <row r="132" spans="5:19">
      <c r="E132" s="163"/>
      <c r="K132" s="163"/>
      <c r="Q132" s="163"/>
      <c r="R132" s="163"/>
      <c r="S132" s="163"/>
    </row>
    <row r="133" spans="5:19">
      <c r="E133" s="163"/>
      <c r="K133" s="163"/>
      <c r="Q133" s="163"/>
      <c r="R133" s="163"/>
      <c r="S133" s="163"/>
    </row>
    <row r="134" spans="5:19">
      <c r="E134" s="163"/>
      <c r="K134" s="163"/>
      <c r="Q134" s="163"/>
      <c r="R134" s="163"/>
      <c r="S134" s="163"/>
    </row>
    <row r="135" spans="5:19">
      <c r="E135" s="163"/>
      <c r="K135" s="163"/>
      <c r="Q135" s="163"/>
      <c r="R135" s="163"/>
      <c r="S135" s="163"/>
    </row>
    <row r="136" spans="5:19">
      <c r="E136" s="163"/>
      <c r="K136" s="163"/>
      <c r="Q136" s="163"/>
      <c r="R136" s="163"/>
      <c r="S136" s="163"/>
    </row>
    <row r="137" spans="5:19">
      <c r="E137" s="163"/>
      <c r="K137" s="163"/>
      <c r="Q137" s="163"/>
      <c r="R137" s="163"/>
      <c r="S137" s="163"/>
    </row>
    <row r="138" spans="5:19">
      <c r="E138" s="163"/>
      <c r="K138" s="163"/>
      <c r="Q138" s="163"/>
      <c r="R138" s="163"/>
      <c r="S138" s="163"/>
    </row>
    <row r="139" spans="5:19">
      <c r="E139" s="163"/>
      <c r="K139" s="163"/>
      <c r="Q139" s="163"/>
      <c r="R139" s="163"/>
      <c r="S139" s="163"/>
    </row>
    <row r="140" spans="5:19">
      <c r="E140" s="163"/>
      <c r="K140" s="163"/>
      <c r="Q140" s="163"/>
      <c r="R140" s="163"/>
      <c r="S140" s="163"/>
    </row>
    <row r="141" spans="5:19">
      <c r="E141" s="163"/>
      <c r="K141" s="163"/>
      <c r="Q141" s="163"/>
      <c r="R141" s="163"/>
      <c r="S141" s="163"/>
    </row>
    <row r="142" spans="5:19">
      <c r="E142" s="163"/>
      <c r="K142" s="163"/>
      <c r="Q142" s="163"/>
      <c r="R142" s="163"/>
      <c r="S142" s="163"/>
    </row>
    <row r="143" spans="5:19">
      <c r="E143" s="163"/>
      <c r="K143" s="163"/>
      <c r="Q143" s="163"/>
      <c r="R143" s="163"/>
      <c r="S143" s="163"/>
    </row>
    <row r="144" spans="5:19">
      <c r="E144" s="163"/>
      <c r="K144" s="163"/>
      <c r="Q144" s="163"/>
      <c r="R144" s="163"/>
      <c r="S144" s="163"/>
    </row>
    <row r="145" spans="5:19">
      <c r="E145" s="163"/>
      <c r="K145" s="163"/>
      <c r="Q145" s="163"/>
      <c r="R145" s="163"/>
      <c r="S145" s="163"/>
    </row>
    <row r="146" spans="5:19">
      <c r="E146" s="163"/>
      <c r="K146" s="163"/>
      <c r="Q146" s="163"/>
      <c r="R146" s="163"/>
      <c r="S146" s="163"/>
    </row>
    <row r="147" spans="5:19">
      <c r="E147" s="163"/>
      <c r="K147" s="163"/>
      <c r="Q147" s="163"/>
      <c r="R147" s="163"/>
      <c r="S147" s="163"/>
    </row>
    <row r="148" spans="5:19">
      <c r="E148" s="163"/>
      <c r="K148" s="163"/>
      <c r="Q148" s="163"/>
      <c r="R148" s="163"/>
      <c r="S148" s="163"/>
    </row>
    <row r="149" spans="5:19">
      <c r="E149" s="163"/>
      <c r="K149" s="163"/>
      <c r="Q149" s="163"/>
      <c r="R149" s="163"/>
      <c r="S149" s="163"/>
    </row>
    <row r="150" spans="5:19">
      <c r="E150" s="163"/>
      <c r="K150" s="163"/>
      <c r="Q150" s="163"/>
      <c r="R150" s="163"/>
      <c r="S150" s="163"/>
    </row>
    <row r="151" spans="5:19">
      <c r="E151" s="163"/>
      <c r="K151" s="163"/>
      <c r="Q151" s="163"/>
      <c r="R151" s="163"/>
      <c r="S151" s="163"/>
    </row>
    <row r="152" spans="5:19">
      <c r="E152" s="163"/>
      <c r="K152" s="163"/>
      <c r="Q152" s="163"/>
      <c r="R152" s="163"/>
      <c r="S152" s="163"/>
    </row>
    <row r="153" spans="5:19">
      <c r="E153" s="163"/>
      <c r="K153" s="163"/>
      <c r="Q153" s="163"/>
      <c r="R153" s="163"/>
      <c r="S153" s="163"/>
    </row>
    <row r="154" spans="5:19">
      <c r="E154" s="163"/>
      <c r="K154" s="163"/>
      <c r="Q154" s="163"/>
      <c r="R154" s="163"/>
      <c r="S154" s="163"/>
    </row>
    <row r="155" spans="5:19">
      <c r="E155" s="163"/>
      <c r="K155" s="163"/>
      <c r="Q155" s="163"/>
      <c r="R155" s="163"/>
      <c r="S155" s="163"/>
    </row>
    <row r="156" spans="5:19">
      <c r="E156" s="163"/>
      <c r="K156" s="163"/>
      <c r="Q156" s="163"/>
      <c r="R156" s="163"/>
      <c r="S156" s="163"/>
    </row>
    <row r="157" spans="5:19">
      <c r="E157" s="163"/>
      <c r="K157" s="163"/>
      <c r="Q157" s="163"/>
      <c r="R157" s="163"/>
      <c r="S157" s="163"/>
    </row>
    <row r="158" spans="5:19">
      <c r="E158" s="163"/>
      <c r="K158" s="163"/>
      <c r="Q158" s="163"/>
      <c r="R158" s="163"/>
      <c r="S158" s="163"/>
    </row>
    <row r="159" spans="5:19">
      <c r="E159" s="163"/>
      <c r="K159" s="163"/>
      <c r="Q159" s="163"/>
      <c r="R159" s="163"/>
      <c r="S159" s="163"/>
    </row>
    <row r="160" spans="5:19">
      <c r="E160" s="163"/>
      <c r="K160" s="163"/>
      <c r="Q160" s="163"/>
      <c r="R160" s="163"/>
      <c r="S160" s="163"/>
    </row>
    <row r="161" spans="5:19">
      <c r="E161" s="163"/>
      <c r="K161" s="163"/>
      <c r="Q161" s="163"/>
      <c r="R161" s="163"/>
      <c r="S161" s="163"/>
    </row>
    <row r="162" spans="5:19">
      <c r="E162" s="163"/>
      <c r="K162" s="163"/>
      <c r="Q162" s="163"/>
      <c r="R162" s="163"/>
      <c r="S162" s="163"/>
    </row>
    <row r="163" spans="5:19">
      <c r="E163" s="163"/>
      <c r="K163" s="163"/>
      <c r="Q163" s="163"/>
      <c r="R163" s="163"/>
      <c r="S163" s="163"/>
    </row>
    <row r="164" spans="5:19">
      <c r="E164" s="163"/>
      <c r="K164" s="163"/>
      <c r="Q164" s="163"/>
      <c r="R164" s="163"/>
      <c r="S164" s="163"/>
    </row>
    <row r="165" spans="5:19">
      <c r="E165" s="163"/>
      <c r="K165" s="163"/>
      <c r="Q165" s="163"/>
      <c r="R165" s="163"/>
      <c r="S165" s="163"/>
    </row>
    <row r="166" spans="5:19">
      <c r="E166" s="163"/>
      <c r="K166" s="163"/>
      <c r="Q166" s="163"/>
      <c r="R166" s="163"/>
      <c r="S166" s="163"/>
    </row>
    <row r="167" spans="5:19">
      <c r="E167" s="163"/>
      <c r="K167" s="163"/>
      <c r="Q167" s="163"/>
      <c r="R167" s="163"/>
      <c r="S167" s="163"/>
    </row>
    <row r="168" spans="5:19">
      <c r="E168" s="163"/>
      <c r="K168" s="163"/>
      <c r="Q168" s="163"/>
      <c r="R168" s="163"/>
      <c r="S168" s="163"/>
    </row>
    <row r="169" spans="5:19">
      <c r="E169" s="163"/>
      <c r="K169" s="163"/>
      <c r="Q169" s="163"/>
      <c r="R169" s="163"/>
      <c r="S169" s="163"/>
    </row>
    <row r="170" spans="5:19">
      <c r="E170" s="163"/>
      <c r="K170" s="163"/>
      <c r="Q170" s="163"/>
      <c r="R170" s="163"/>
      <c r="S170" s="163"/>
    </row>
    <row r="171" spans="5:19">
      <c r="E171" s="163"/>
      <c r="K171" s="163"/>
      <c r="Q171" s="163"/>
      <c r="R171" s="163"/>
      <c r="S171" s="163"/>
    </row>
    <row r="172" spans="5:19">
      <c r="E172" s="163"/>
      <c r="K172" s="163"/>
      <c r="Q172" s="163"/>
      <c r="R172" s="163"/>
      <c r="S172" s="163"/>
    </row>
    <row r="173" spans="5:19">
      <c r="E173" s="163"/>
      <c r="K173" s="163"/>
      <c r="Q173" s="163"/>
      <c r="R173" s="163"/>
      <c r="S173" s="163"/>
    </row>
    <row r="174" spans="5:19">
      <c r="E174" s="163"/>
      <c r="K174" s="163"/>
      <c r="Q174" s="163"/>
      <c r="R174" s="163"/>
      <c r="S174" s="163"/>
    </row>
    <row r="175" spans="5:19">
      <c r="E175" s="163"/>
      <c r="K175" s="163"/>
      <c r="Q175" s="163"/>
      <c r="R175" s="163"/>
      <c r="S175" s="163"/>
    </row>
    <row r="176" spans="5:19">
      <c r="E176" s="163"/>
      <c r="K176" s="163"/>
      <c r="Q176" s="163"/>
      <c r="R176" s="163"/>
      <c r="S176" s="163"/>
    </row>
    <row r="177" spans="5:19">
      <c r="E177" s="163"/>
      <c r="K177" s="163"/>
      <c r="Q177" s="163"/>
      <c r="R177" s="163"/>
      <c r="S177" s="163"/>
    </row>
    <row r="178" spans="5:19">
      <c r="E178" s="163"/>
      <c r="K178" s="163"/>
      <c r="Q178" s="163"/>
      <c r="R178" s="163"/>
      <c r="S178" s="163"/>
    </row>
    <row r="179" spans="5:19">
      <c r="E179" s="163"/>
      <c r="K179" s="163"/>
      <c r="Q179" s="163"/>
      <c r="R179" s="163"/>
      <c r="S179" s="163"/>
    </row>
    <row r="180" spans="5:19">
      <c r="E180" s="163"/>
      <c r="K180" s="163"/>
      <c r="Q180" s="163"/>
      <c r="R180" s="163"/>
      <c r="S180" s="163"/>
    </row>
    <row r="181" spans="5:19">
      <c r="E181" s="163"/>
      <c r="K181" s="163"/>
      <c r="Q181" s="163"/>
      <c r="R181" s="163"/>
      <c r="S181" s="163"/>
    </row>
    <row r="182" spans="5:19">
      <c r="E182" s="163"/>
      <c r="K182" s="163"/>
      <c r="Q182" s="163"/>
      <c r="R182" s="163"/>
      <c r="S182" s="163"/>
    </row>
    <row r="183" spans="5:19">
      <c r="E183" s="163"/>
      <c r="K183" s="163"/>
      <c r="Q183" s="163"/>
      <c r="R183" s="163"/>
      <c r="S183" s="163"/>
    </row>
    <row r="184" spans="5:19">
      <c r="E184" s="163"/>
      <c r="K184" s="163"/>
      <c r="Q184" s="163"/>
      <c r="R184" s="163"/>
      <c r="S184" s="163"/>
    </row>
    <row r="185" spans="5:19">
      <c r="E185" s="163"/>
      <c r="K185" s="163"/>
      <c r="Q185" s="163"/>
      <c r="R185" s="163"/>
      <c r="S185" s="163"/>
    </row>
    <row r="186" spans="5:19">
      <c r="E186" s="163"/>
      <c r="K186" s="163"/>
      <c r="Q186" s="163"/>
      <c r="R186" s="163"/>
      <c r="S186" s="163"/>
    </row>
    <row r="187" spans="5:19">
      <c r="E187" s="163"/>
      <c r="K187" s="163"/>
      <c r="Q187" s="163"/>
      <c r="R187" s="163"/>
      <c r="S187" s="163"/>
    </row>
    <row r="188" spans="5:19">
      <c r="E188" s="163"/>
      <c r="K188" s="163"/>
      <c r="Q188" s="163"/>
      <c r="R188" s="163"/>
      <c r="S188" s="163"/>
    </row>
    <row r="189" spans="5:19">
      <c r="E189" s="163"/>
      <c r="K189" s="163"/>
      <c r="Q189" s="163"/>
      <c r="R189" s="163"/>
      <c r="S189" s="163"/>
    </row>
    <row r="190" spans="5:19">
      <c r="E190" s="163"/>
      <c r="K190" s="163"/>
      <c r="Q190" s="163"/>
      <c r="R190" s="163"/>
      <c r="S190" s="163"/>
    </row>
    <row r="191" spans="5:19">
      <c r="E191" s="163"/>
      <c r="K191" s="163"/>
      <c r="Q191" s="163"/>
      <c r="R191" s="163"/>
      <c r="S191" s="163"/>
    </row>
    <row r="192" spans="5:19">
      <c r="E192" s="163"/>
      <c r="K192" s="163"/>
      <c r="Q192" s="163"/>
      <c r="R192" s="163"/>
      <c r="S192" s="163"/>
    </row>
    <row r="193" spans="5:19">
      <c r="E193" s="163"/>
      <c r="K193" s="163"/>
      <c r="Q193" s="163"/>
      <c r="R193" s="163"/>
      <c r="S193" s="163"/>
    </row>
    <row r="194" spans="5:19">
      <c r="E194" s="163"/>
      <c r="K194" s="163"/>
      <c r="Q194" s="163"/>
      <c r="R194" s="163"/>
      <c r="S194" s="163"/>
    </row>
    <row r="195" spans="5:19">
      <c r="E195" s="163"/>
      <c r="K195" s="163"/>
      <c r="Q195" s="163"/>
      <c r="R195" s="163"/>
      <c r="S195" s="163"/>
    </row>
    <row r="196" spans="5:19">
      <c r="E196" s="163"/>
      <c r="K196" s="163"/>
      <c r="Q196" s="163"/>
      <c r="R196" s="163"/>
      <c r="S196" s="163"/>
    </row>
    <row r="197" spans="5:19">
      <c r="E197" s="163"/>
      <c r="K197" s="163"/>
      <c r="Q197" s="163"/>
      <c r="R197" s="163"/>
      <c r="S197" s="163"/>
    </row>
    <row r="198" spans="5:19">
      <c r="E198" s="163"/>
      <c r="K198" s="163"/>
      <c r="Q198" s="163"/>
      <c r="R198" s="163"/>
      <c r="S198" s="163"/>
    </row>
    <row r="199" spans="5:19">
      <c r="E199" s="163"/>
      <c r="K199" s="163"/>
      <c r="Q199" s="163"/>
      <c r="R199" s="163"/>
      <c r="S199" s="163"/>
    </row>
    <row r="200" spans="5:19">
      <c r="E200" s="163"/>
      <c r="K200" s="163"/>
      <c r="Q200" s="163"/>
      <c r="R200" s="163"/>
      <c r="S200" s="163"/>
    </row>
    <row r="201" spans="5:19">
      <c r="E201" s="163"/>
      <c r="K201" s="163"/>
      <c r="Q201" s="163"/>
      <c r="R201" s="163"/>
      <c r="S201" s="163"/>
    </row>
    <row r="202" spans="5:19">
      <c r="E202" s="163"/>
      <c r="K202" s="163"/>
      <c r="Q202" s="163"/>
      <c r="R202" s="163"/>
      <c r="S202" s="163"/>
    </row>
    <row r="203" spans="5:19">
      <c r="E203" s="163"/>
      <c r="K203" s="163"/>
      <c r="Q203" s="163"/>
      <c r="R203" s="163"/>
      <c r="S203" s="163"/>
    </row>
    <row r="204" spans="5:19">
      <c r="E204" s="163"/>
      <c r="K204" s="163"/>
      <c r="Q204" s="163"/>
      <c r="R204" s="163"/>
      <c r="S204" s="163"/>
    </row>
    <row r="205" spans="5:19">
      <c r="E205" s="163"/>
      <c r="K205" s="163"/>
      <c r="Q205" s="163"/>
      <c r="R205" s="163"/>
      <c r="S205" s="163"/>
    </row>
    <row r="206" spans="5:19">
      <c r="E206" s="163"/>
      <c r="K206" s="163"/>
      <c r="Q206" s="163"/>
      <c r="R206" s="163"/>
      <c r="S206" s="163"/>
    </row>
    <row r="207" spans="5:19">
      <c r="E207" s="163"/>
      <c r="K207" s="163"/>
      <c r="Q207" s="163"/>
      <c r="R207" s="163"/>
      <c r="S207" s="163"/>
    </row>
    <row r="208" spans="5:19">
      <c r="E208" s="163"/>
      <c r="K208" s="163"/>
      <c r="Q208" s="163"/>
      <c r="R208" s="163"/>
      <c r="S208" s="163"/>
    </row>
    <row r="209" spans="5:19">
      <c r="E209" s="163"/>
      <c r="K209" s="163"/>
      <c r="Q209" s="163"/>
      <c r="R209" s="163"/>
      <c r="S209" s="163"/>
    </row>
    <row r="210" spans="5:19">
      <c r="E210" s="163"/>
      <c r="K210" s="163"/>
      <c r="Q210" s="163"/>
      <c r="R210" s="163"/>
      <c r="S210" s="163"/>
    </row>
    <row r="211" spans="5:19">
      <c r="E211" s="163"/>
      <c r="K211" s="163"/>
      <c r="Q211" s="163"/>
      <c r="R211" s="163"/>
      <c r="S211" s="163"/>
    </row>
    <row r="212" spans="5:19">
      <c r="E212" s="163"/>
      <c r="K212" s="163"/>
      <c r="Q212" s="163"/>
      <c r="R212" s="163"/>
      <c r="S212" s="163"/>
    </row>
    <row r="213" spans="5:19">
      <c r="E213" s="163"/>
      <c r="K213" s="163"/>
      <c r="Q213" s="163"/>
      <c r="R213" s="163"/>
      <c r="S213" s="163"/>
    </row>
    <row r="214" spans="5:19">
      <c r="E214" s="163"/>
      <c r="K214" s="163"/>
      <c r="Q214" s="163"/>
      <c r="R214" s="163"/>
      <c r="S214" s="163"/>
    </row>
    <row r="215" spans="5:19">
      <c r="E215" s="163"/>
      <c r="K215" s="163"/>
      <c r="Q215" s="163"/>
      <c r="R215" s="163"/>
      <c r="S215" s="163"/>
    </row>
    <row r="216" spans="5:19">
      <c r="E216" s="163"/>
      <c r="K216" s="163"/>
      <c r="Q216" s="163"/>
      <c r="R216" s="163"/>
      <c r="S216" s="163"/>
    </row>
    <row r="217" spans="5:19">
      <c r="E217" s="163"/>
      <c r="K217" s="163"/>
      <c r="Q217" s="163"/>
      <c r="R217" s="163"/>
      <c r="S217" s="163"/>
    </row>
    <row r="218" spans="5:19">
      <c r="E218" s="163"/>
      <c r="K218" s="163"/>
      <c r="Q218" s="163"/>
      <c r="R218" s="163"/>
      <c r="S218" s="163"/>
    </row>
    <row r="219" spans="5:19">
      <c r="E219" s="163"/>
      <c r="K219" s="163"/>
      <c r="Q219" s="163"/>
      <c r="R219" s="163"/>
      <c r="S219" s="163"/>
    </row>
    <row r="220" spans="5:19">
      <c r="E220" s="163"/>
      <c r="K220" s="163"/>
      <c r="Q220" s="163"/>
      <c r="R220" s="163"/>
      <c r="S220" s="163"/>
    </row>
    <row r="221" spans="5:19">
      <c r="E221" s="163"/>
      <c r="K221" s="163"/>
      <c r="Q221" s="163"/>
      <c r="R221" s="163"/>
      <c r="S221" s="163"/>
    </row>
    <row r="222" spans="5:19">
      <c r="E222" s="163"/>
      <c r="K222" s="163"/>
      <c r="Q222" s="163"/>
      <c r="R222" s="163"/>
      <c r="S222" s="163"/>
    </row>
    <row r="223" spans="5:19">
      <c r="E223" s="163"/>
      <c r="K223" s="163"/>
      <c r="Q223" s="163"/>
      <c r="R223" s="163"/>
      <c r="S223" s="163"/>
    </row>
    <row r="224" spans="5:19">
      <c r="E224" s="163"/>
      <c r="K224" s="163"/>
      <c r="Q224" s="163"/>
      <c r="R224" s="163"/>
      <c r="S224" s="163"/>
    </row>
    <row r="225" spans="5:19">
      <c r="E225" s="163"/>
      <c r="K225" s="163"/>
      <c r="Q225" s="163"/>
      <c r="R225" s="163"/>
      <c r="S225" s="163"/>
    </row>
    <row r="226" spans="5:19">
      <c r="E226" s="163"/>
      <c r="K226" s="163"/>
      <c r="Q226" s="163"/>
      <c r="R226" s="163"/>
      <c r="S226" s="163"/>
    </row>
    <row r="227" spans="5:19">
      <c r="E227" s="163"/>
      <c r="K227" s="163"/>
      <c r="Q227" s="163"/>
      <c r="R227" s="163"/>
      <c r="S227" s="163"/>
    </row>
    <row r="228" spans="5:19">
      <c r="E228" s="163"/>
      <c r="K228" s="163"/>
      <c r="Q228" s="163"/>
      <c r="R228" s="163"/>
      <c r="S228" s="163"/>
    </row>
    <row r="229" spans="5:19">
      <c r="E229" s="163"/>
      <c r="K229" s="163"/>
      <c r="Q229" s="163"/>
      <c r="R229" s="163"/>
      <c r="S229" s="163"/>
    </row>
    <row r="230" spans="5:19">
      <c r="E230" s="163"/>
      <c r="K230" s="163"/>
      <c r="Q230" s="163"/>
      <c r="R230" s="163"/>
      <c r="S230" s="163"/>
    </row>
    <row r="231" spans="5:19">
      <c r="E231" s="163"/>
      <c r="K231" s="163"/>
      <c r="Q231" s="163"/>
      <c r="R231" s="163"/>
      <c r="S231" s="163"/>
    </row>
    <row r="232" spans="5:19">
      <c r="E232" s="163"/>
      <c r="K232" s="163"/>
      <c r="Q232" s="163"/>
      <c r="R232" s="163"/>
      <c r="S232" s="163"/>
    </row>
    <row r="233" spans="5:19">
      <c r="E233" s="163"/>
      <c r="K233" s="163"/>
      <c r="Q233" s="163"/>
      <c r="R233" s="163"/>
      <c r="S233" s="163"/>
    </row>
    <row r="234" spans="5:19">
      <c r="E234" s="163"/>
      <c r="K234" s="163"/>
      <c r="Q234" s="163"/>
      <c r="R234" s="163"/>
      <c r="S234" s="163"/>
    </row>
    <row r="235" spans="5:19">
      <c r="E235" s="163"/>
      <c r="K235" s="163"/>
      <c r="Q235" s="163"/>
      <c r="R235" s="163"/>
      <c r="S235" s="163"/>
    </row>
    <row r="236" spans="5:19">
      <c r="E236" s="163"/>
      <c r="K236" s="163"/>
      <c r="Q236" s="163"/>
      <c r="R236" s="163"/>
      <c r="S236" s="163"/>
    </row>
    <row r="237" spans="5:19">
      <c r="E237" s="163"/>
      <c r="K237" s="163"/>
      <c r="Q237" s="163"/>
      <c r="R237" s="163"/>
      <c r="S237" s="163"/>
    </row>
    <row r="238" spans="5:19">
      <c r="E238" s="163"/>
      <c r="K238" s="163"/>
      <c r="Q238" s="163"/>
      <c r="R238" s="163"/>
      <c r="S238" s="163"/>
    </row>
    <row r="239" spans="5:19">
      <c r="E239" s="163"/>
      <c r="K239" s="163"/>
      <c r="Q239" s="163"/>
      <c r="R239" s="163"/>
      <c r="S239" s="163"/>
    </row>
    <row r="240" spans="5:19">
      <c r="E240" s="163"/>
      <c r="K240" s="163"/>
      <c r="Q240" s="163"/>
      <c r="R240" s="163"/>
      <c r="S240" s="163"/>
    </row>
    <row r="241" spans="5:19">
      <c r="E241" s="163"/>
      <c r="K241" s="163"/>
      <c r="Q241" s="163"/>
      <c r="R241" s="163"/>
      <c r="S241" s="163"/>
    </row>
    <row r="242" spans="5:19">
      <c r="E242" s="163"/>
      <c r="K242" s="163"/>
      <c r="Q242" s="163"/>
      <c r="R242" s="163"/>
      <c r="S242" s="163"/>
    </row>
    <row r="243" spans="5:19">
      <c r="E243" s="163"/>
      <c r="K243" s="163"/>
      <c r="Q243" s="163"/>
      <c r="R243" s="163"/>
      <c r="S243" s="163"/>
    </row>
    <row r="244" spans="5:19">
      <c r="E244" s="163"/>
      <c r="K244" s="163"/>
      <c r="Q244" s="163"/>
      <c r="R244" s="163"/>
      <c r="S244" s="163"/>
    </row>
    <row r="245" spans="5:19">
      <c r="E245" s="163"/>
      <c r="K245" s="163"/>
      <c r="Q245" s="163"/>
      <c r="R245" s="163"/>
      <c r="S245" s="163"/>
    </row>
    <row r="246" spans="5:19">
      <c r="E246" s="163"/>
      <c r="K246" s="163"/>
      <c r="Q246" s="163"/>
      <c r="R246" s="163"/>
      <c r="S246" s="163"/>
    </row>
    <row r="247" spans="5:19">
      <c r="E247" s="163"/>
      <c r="K247" s="163"/>
      <c r="Q247" s="163"/>
      <c r="R247" s="163"/>
      <c r="S247" s="163"/>
    </row>
    <row r="248" spans="5:19">
      <c r="E248" s="163"/>
      <c r="K248" s="163"/>
      <c r="Q248" s="163"/>
      <c r="R248" s="163"/>
      <c r="S248" s="163"/>
    </row>
    <row r="249" spans="5:19">
      <c r="E249" s="163"/>
      <c r="K249" s="163"/>
      <c r="Q249" s="163"/>
      <c r="R249" s="163"/>
      <c r="S249" s="163"/>
    </row>
    <row r="250" spans="5:19">
      <c r="E250" s="163"/>
      <c r="K250" s="163"/>
      <c r="Q250" s="163"/>
      <c r="R250" s="163"/>
      <c r="S250" s="163"/>
    </row>
    <row r="251" spans="5:19">
      <c r="E251" s="163"/>
      <c r="K251" s="163"/>
      <c r="Q251" s="163"/>
      <c r="R251" s="163"/>
      <c r="S251" s="163"/>
    </row>
    <row r="252" spans="5:19">
      <c r="E252" s="163"/>
      <c r="K252" s="163"/>
      <c r="Q252" s="163"/>
      <c r="R252" s="163"/>
      <c r="S252" s="163"/>
    </row>
    <row r="253" spans="5:19">
      <c r="E253" s="163"/>
      <c r="K253" s="163"/>
      <c r="Q253" s="163"/>
      <c r="R253" s="163"/>
      <c r="S253" s="163"/>
    </row>
    <row r="254" spans="5:19">
      <c r="E254" s="163"/>
      <c r="K254" s="163"/>
      <c r="Q254" s="163"/>
      <c r="R254" s="163"/>
      <c r="S254" s="163"/>
    </row>
    <row r="255" spans="5:19">
      <c r="E255" s="163"/>
      <c r="K255" s="163"/>
      <c r="Q255" s="163"/>
      <c r="R255" s="163"/>
      <c r="S255" s="163"/>
    </row>
    <row r="256" spans="5:19">
      <c r="E256" s="163"/>
      <c r="K256" s="163"/>
      <c r="Q256" s="163"/>
      <c r="R256" s="163"/>
      <c r="S256" s="163"/>
    </row>
    <row r="257" spans="5:19">
      <c r="E257" s="163"/>
      <c r="K257" s="163"/>
      <c r="Q257" s="163"/>
      <c r="R257" s="163"/>
      <c r="S257" s="163"/>
    </row>
    <row r="258" spans="5:19">
      <c r="E258" s="163"/>
      <c r="K258" s="163"/>
      <c r="Q258" s="163"/>
      <c r="R258" s="163"/>
      <c r="S258" s="163"/>
    </row>
    <row r="259" spans="5:19">
      <c r="E259" s="163"/>
      <c r="K259" s="163"/>
      <c r="Q259" s="163"/>
      <c r="R259" s="163"/>
      <c r="S259" s="163"/>
    </row>
    <row r="260" spans="5:19">
      <c r="E260" s="163"/>
      <c r="K260" s="163"/>
      <c r="Q260" s="163"/>
      <c r="R260" s="163"/>
      <c r="S260" s="163"/>
    </row>
    <row r="261" spans="5:19">
      <c r="E261" s="163"/>
      <c r="K261" s="163"/>
      <c r="Q261" s="163"/>
      <c r="R261" s="163"/>
      <c r="S261" s="163"/>
    </row>
    <row r="262" spans="5:19">
      <c r="E262" s="163"/>
      <c r="K262" s="163"/>
      <c r="Q262" s="163"/>
      <c r="R262" s="163"/>
      <c r="S262" s="163"/>
    </row>
    <row r="263" spans="5:19">
      <c r="E263" s="163"/>
      <c r="K263" s="163"/>
      <c r="Q263" s="163"/>
      <c r="R263" s="163"/>
      <c r="S263" s="163"/>
    </row>
    <row r="264" spans="5:19">
      <c r="E264" s="163"/>
      <c r="K264" s="163"/>
      <c r="Q264" s="163"/>
      <c r="R264" s="163"/>
      <c r="S264" s="163"/>
    </row>
    <row r="265" spans="5:19">
      <c r="E265" s="163"/>
      <c r="K265" s="163"/>
      <c r="Q265" s="163"/>
      <c r="R265" s="163"/>
      <c r="S265" s="163"/>
    </row>
    <row r="266" spans="5:19">
      <c r="E266" s="163"/>
      <c r="K266" s="163"/>
      <c r="Q266" s="163"/>
      <c r="R266" s="163"/>
      <c r="S266" s="163"/>
    </row>
    <row r="267" spans="5:19">
      <c r="E267" s="163"/>
      <c r="K267" s="163"/>
      <c r="Q267" s="163"/>
      <c r="R267" s="163"/>
      <c r="S267" s="163"/>
    </row>
    <row r="268" spans="5:19">
      <c r="E268" s="163"/>
      <c r="K268" s="163"/>
      <c r="Q268" s="163"/>
      <c r="R268" s="163"/>
      <c r="S268" s="163"/>
    </row>
    <row r="269" spans="5:19">
      <c r="E269" s="163"/>
      <c r="K269" s="163"/>
      <c r="Q269" s="163"/>
      <c r="R269" s="163"/>
      <c r="S269" s="163"/>
    </row>
    <row r="270" spans="5:19">
      <c r="E270" s="163"/>
      <c r="K270" s="163"/>
      <c r="Q270" s="163"/>
      <c r="R270" s="163"/>
      <c r="S270" s="163"/>
    </row>
    <row r="271" spans="5:19">
      <c r="E271" s="163"/>
      <c r="K271" s="163"/>
      <c r="Q271" s="163"/>
      <c r="R271" s="163"/>
      <c r="S271" s="163"/>
    </row>
    <row r="272" spans="5:19">
      <c r="E272" s="163"/>
      <c r="K272" s="163"/>
      <c r="Q272" s="163"/>
      <c r="R272" s="163"/>
      <c r="S272" s="163"/>
    </row>
    <row r="273" spans="5:19">
      <c r="E273" s="163"/>
      <c r="K273" s="163"/>
      <c r="Q273" s="163"/>
      <c r="R273" s="163"/>
      <c r="S273" s="163"/>
    </row>
    <row r="274" spans="5:19">
      <c r="E274" s="163"/>
      <c r="K274" s="163"/>
      <c r="Q274" s="163"/>
      <c r="R274" s="163"/>
      <c r="S274" s="163"/>
    </row>
    <row r="275" spans="5:19">
      <c r="E275" s="163"/>
      <c r="K275" s="163"/>
      <c r="Q275" s="163"/>
      <c r="R275" s="163"/>
      <c r="S275" s="163"/>
    </row>
    <row r="276" spans="5:19">
      <c r="E276" s="163"/>
      <c r="K276" s="163"/>
      <c r="Q276" s="163"/>
      <c r="R276" s="163"/>
      <c r="S276" s="163"/>
    </row>
    <row r="277" spans="5:19">
      <c r="E277" s="163"/>
      <c r="K277" s="163"/>
      <c r="Q277" s="163"/>
      <c r="R277" s="163"/>
      <c r="S277" s="163"/>
    </row>
    <row r="278" spans="5:19">
      <c r="E278" s="163"/>
      <c r="K278" s="163"/>
      <c r="Q278" s="163"/>
      <c r="R278" s="163"/>
      <c r="S278" s="163"/>
    </row>
    <row r="279" spans="5:19">
      <c r="E279" s="163"/>
      <c r="K279" s="163"/>
      <c r="Q279" s="163"/>
      <c r="R279" s="163"/>
      <c r="S279" s="163"/>
    </row>
    <row r="280" spans="5:19">
      <c r="E280" s="163"/>
      <c r="K280" s="163"/>
      <c r="Q280" s="163"/>
      <c r="R280" s="163"/>
      <c r="S280" s="163"/>
    </row>
    <row r="281" spans="5:19">
      <c r="E281" s="163"/>
      <c r="K281" s="163"/>
      <c r="Q281" s="163"/>
      <c r="R281" s="163"/>
      <c r="S281" s="163"/>
    </row>
    <row r="282" spans="5:19">
      <c r="E282" s="163"/>
      <c r="K282" s="163"/>
      <c r="Q282" s="163"/>
      <c r="R282" s="163"/>
      <c r="S282" s="163"/>
    </row>
    <row r="283" spans="5:19">
      <c r="E283" s="163"/>
      <c r="K283" s="163"/>
      <c r="Q283" s="163"/>
      <c r="R283" s="163"/>
      <c r="S283" s="163"/>
    </row>
    <row r="284" spans="5:19">
      <c r="E284" s="163"/>
      <c r="K284" s="163"/>
      <c r="Q284" s="163"/>
      <c r="R284" s="163"/>
      <c r="S284" s="163"/>
    </row>
    <row r="285" spans="5:19">
      <c r="E285" s="163"/>
      <c r="K285" s="163"/>
      <c r="Q285" s="163"/>
      <c r="R285" s="163"/>
      <c r="S285" s="163"/>
    </row>
    <row r="286" spans="5:19">
      <c r="E286" s="163"/>
      <c r="K286" s="163"/>
      <c r="Q286" s="163"/>
      <c r="R286" s="163"/>
      <c r="S286" s="163"/>
    </row>
    <row r="287" spans="5:19">
      <c r="E287" s="163"/>
      <c r="K287" s="163"/>
      <c r="Q287" s="163"/>
      <c r="R287" s="163"/>
      <c r="S287" s="163"/>
    </row>
    <row r="288" spans="5:19">
      <c r="E288" s="163"/>
      <c r="K288" s="163"/>
      <c r="Q288" s="163"/>
      <c r="R288" s="163"/>
      <c r="S288" s="163"/>
    </row>
    <row r="289" spans="5:19">
      <c r="E289" s="163"/>
      <c r="K289" s="163"/>
      <c r="Q289" s="163"/>
      <c r="R289" s="163"/>
      <c r="S289" s="163"/>
    </row>
    <row r="290" spans="5:19">
      <c r="E290" s="163"/>
      <c r="K290" s="163"/>
      <c r="Q290" s="163"/>
      <c r="R290" s="163"/>
      <c r="S290" s="163"/>
    </row>
    <row r="291" spans="5:19">
      <c r="E291" s="163"/>
      <c r="K291" s="163"/>
      <c r="Q291" s="163"/>
      <c r="R291" s="163"/>
      <c r="S291" s="163"/>
    </row>
    <row r="292" spans="5:19">
      <c r="E292" s="163"/>
      <c r="K292" s="163"/>
      <c r="Q292" s="163"/>
      <c r="R292" s="163"/>
      <c r="S292" s="163"/>
    </row>
    <row r="293" spans="5:19">
      <c r="E293" s="163"/>
      <c r="K293" s="163"/>
      <c r="Q293" s="163"/>
      <c r="R293" s="163"/>
      <c r="S293" s="163"/>
    </row>
    <row r="294" spans="5:19">
      <c r="E294" s="163"/>
      <c r="K294" s="163"/>
      <c r="Q294" s="163"/>
      <c r="R294" s="163"/>
      <c r="S294" s="163"/>
    </row>
    <row r="295" spans="5:19">
      <c r="E295" s="163"/>
      <c r="K295" s="163"/>
      <c r="Q295" s="163"/>
      <c r="R295" s="163"/>
      <c r="S295" s="163"/>
    </row>
    <row r="296" spans="5:19">
      <c r="E296" s="163"/>
      <c r="K296" s="163"/>
      <c r="Q296" s="163"/>
      <c r="R296" s="163"/>
      <c r="S296" s="163"/>
    </row>
    <row r="297" spans="5:19">
      <c r="E297" s="163"/>
      <c r="K297" s="163"/>
      <c r="Q297" s="163"/>
      <c r="R297" s="163"/>
      <c r="S297" s="163"/>
    </row>
    <row r="298" spans="5:19">
      <c r="E298" s="163"/>
      <c r="K298" s="163"/>
      <c r="Q298" s="163"/>
      <c r="R298" s="163"/>
      <c r="S298" s="163"/>
    </row>
    <row r="299" spans="5:19">
      <c r="E299" s="163"/>
      <c r="K299" s="163"/>
      <c r="Q299" s="163"/>
      <c r="R299" s="163"/>
      <c r="S299" s="163"/>
    </row>
    <row r="300" spans="5:19">
      <c r="E300" s="163"/>
      <c r="K300" s="163"/>
      <c r="Q300" s="163"/>
      <c r="R300" s="163"/>
      <c r="S300" s="163"/>
    </row>
    <row r="301" spans="5:19">
      <c r="E301" s="163"/>
      <c r="K301" s="163"/>
      <c r="Q301" s="163"/>
      <c r="R301" s="163"/>
      <c r="S301" s="163"/>
    </row>
    <row r="302" spans="5:19">
      <c r="E302" s="163"/>
      <c r="K302" s="163"/>
      <c r="Q302" s="163"/>
      <c r="R302" s="163"/>
      <c r="S302" s="163"/>
    </row>
    <row r="303" spans="5:19">
      <c r="E303" s="163"/>
      <c r="K303" s="163"/>
      <c r="Q303" s="163"/>
      <c r="R303" s="163"/>
      <c r="S303" s="163"/>
    </row>
    <row r="304" spans="5:19">
      <c r="E304" s="163"/>
      <c r="K304" s="163"/>
      <c r="Q304" s="163"/>
      <c r="R304" s="163"/>
      <c r="S304" s="163"/>
    </row>
    <row r="305" spans="5:19">
      <c r="E305" s="163"/>
      <c r="K305" s="163"/>
      <c r="Q305" s="163"/>
      <c r="R305" s="163"/>
      <c r="S305" s="163"/>
    </row>
    <row r="306" spans="5:19">
      <c r="E306" s="163"/>
      <c r="K306" s="163"/>
      <c r="Q306" s="163"/>
      <c r="R306" s="163"/>
      <c r="S306" s="163"/>
    </row>
    <row r="307" spans="5:19">
      <c r="E307" s="163"/>
      <c r="K307" s="163"/>
      <c r="Q307" s="163"/>
      <c r="R307" s="163"/>
      <c r="S307" s="163"/>
    </row>
    <row r="308" spans="5:19">
      <c r="E308" s="163"/>
      <c r="K308" s="163"/>
      <c r="Q308" s="163"/>
      <c r="R308" s="163"/>
      <c r="S308" s="163"/>
    </row>
    <row r="309" spans="5:19">
      <c r="E309" s="163"/>
      <c r="K309" s="163"/>
      <c r="Q309" s="163"/>
      <c r="R309" s="163"/>
      <c r="S309" s="163"/>
    </row>
    <row r="310" spans="5:19">
      <c r="E310" s="163"/>
      <c r="K310" s="163"/>
      <c r="Q310" s="163"/>
      <c r="R310" s="163"/>
      <c r="S310" s="163"/>
    </row>
    <row r="311" spans="5:19">
      <c r="E311" s="163"/>
      <c r="K311" s="163"/>
      <c r="Q311" s="163"/>
      <c r="R311" s="163"/>
      <c r="S311" s="163"/>
    </row>
    <row r="312" spans="5:19">
      <c r="E312" s="163"/>
      <c r="K312" s="163"/>
      <c r="Q312" s="163"/>
      <c r="R312" s="163"/>
      <c r="S312" s="163"/>
    </row>
    <row r="313" spans="5:19">
      <c r="E313" s="163"/>
      <c r="K313" s="163"/>
      <c r="Q313" s="163"/>
      <c r="R313" s="163"/>
      <c r="S313" s="163"/>
    </row>
    <row r="314" spans="5:19">
      <c r="E314" s="163"/>
      <c r="K314" s="163"/>
      <c r="Q314" s="163"/>
      <c r="R314" s="163"/>
      <c r="S314" s="163"/>
    </row>
    <row r="315" spans="5:19">
      <c r="E315" s="163"/>
      <c r="K315" s="163"/>
      <c r="Q315" s="163"/>
      <c r="R315" s="163"/>
      <c r="S315" s="163"/>
    </row>
    <row r="316" spans="5:19">
      <c r="E316" s="163"/>
      <c r="K316" s="163"/>
      <c r="Q316" s="163"/>
      <c r="R316" s="163"/>
      <c r="S316" s="163"/>
    </row>
    <row r="317" spans="5:19">
      <c r="E317" s="163"/>
      <c r="K317" s="163"/>
      <c r="Q317" s="163"/>
      <c r="R317" s="163"/>
      <c r="S317" s="163"/>
    </row>
    <row r="318" spans="5:19">
      <c r="E318" s="163"/>
      <c r="K318" s="163"/>
      <c r="Q318" s="163"/>
      <c r="R318" s="163"/>
      <c r="S318" s="163"/>
    </row>
    <row r="319" spans="5:19">
      <c r="E319" s="163"/>
      <c r="K319" s="163"/>
      <c r="Q319" s="163"/>
      <c r="R319" s="163"/>
      <c r="S319" s="163"/>
    </row>
    <row r="320" spans="5:19">
      <c r="E320" s="163"/>
      <c r="K320" s="163"/>
      <c r="Q320" s="163"/>
      <c r="R320" s="163"/>
      <c r="S320" s="163"/>
    </row>
    <row r="321" spans="5:19">
      <c r="E321" s="163"/>
      <c r="K321" s="163"/>
      <c r="Q321" s="163"/>
      <c r="R321" s="163"/>
      <c r="S321" s="163"/>
    </row>
    <row r="322" spans="5:19">
      <c r="E322" s="163"/>
      <c r="K322" s="163"/>
      <c r="Q322" s="163"/>
      <c r="R322" s="163"/>
      <c r="S322" s="163"/>
    </row>
    <row r="323" spans="5:19">
      <c r="E323" s="163"/>
      <c r="K323" s="163"/>
      <c r="Q323" s="163"/>
      <c r="R323" s="163"/>
      <c r="S323" s="163"/>
    </row>
    <row r="324" spans="5:19">
      <c r="E324" s="163"/>
      <c r="K324" s="163"/>
      <c r="Q324" s="163"/>
      <c r="R324" s="163"/>
      <c r="S324" s="163"/>
    </row>
    <row r="325" spans="5:19">
      <c r="E325" s="163"/>
      <c r="K325" s="163"/>
      <c r="Q325" s="163"/>
      <c r="R325" s="163"/>
      <c r="S325" s="163"/>
    </row>
    <row r="326" spans="5:19">
      <c r="E326" s="163"/>
      <c r="K326" s="163"/>
      <c r="Q326" s="163"/>
      <c r="R326" s="163"/>
      <c r="S326" s="163"/>
    </row>
    <row r="327" spans="5:19">
      <c r="E327" s="163"/>
      <c r="K327" s="163"/>
      <c r="Q327" s="163"/>
      <c r="R327" s="163"/>
      <c r="S327" s="163"/>
    </row>
    <row r="328" spans="5:19">
      <c r="E328" s="163"/>
      <c r="K328" s="163"/>
      <c r="Q328" s="163"/>
      <c r="R328" s="163"/>
      <c r="S328" s="163"/>
    </row>
    <row r="329" spans="5:19">
      <c r="E329" s="163"/>
      <c r="K329" s="163"/>
      <c r="Q329" s="163"/>
      <c r="R329" s="163"/>
      <c r="S329" s="163"/>
    </row>
    <row r="330" spans="5:19">
      <c r="E330" s="163"/>
      <c r="K330" s="163"/>
      <c r="Q330" s="163"/>
      <c r="R330" s="163"/>
      <c r="S330" s="163"/>
    </row>
    <row r="331" spans="5:19">
      <c r="E331" s="163"/>
      <c r="K331" s="163"/>
      <c r="Q331" s="163"/>
      <c r="R331" s="163"/>
      <c r="S331" s="163"/>
    </row>
    <row r="332" spans="5:19">
      <c r="E332" s="163"/>
      <c r="K332" s="163"/>
      <c r="Q332" s="163"/>
      <c r="R332" s="163"/>
      <c r="S332" s="163"/>
    </row>
    <row r="333" spans="5:19">
      <c r="E333" s="163"/>
      <c r="K333" s="163"/>
      <c r="Q333" s="163"/>
      <c r="R333" s="163"/>
      <c r="S333" s="163"/>
    </row>
    <row r="334" spans="5:19">
      <c r="E334" s="163"/>
      <c r="K334" s="163"/>
      <c r="Q334" s="163"/>
      <c r="R334" s="163"/>
      <c r="S334" s="163"/>
    </row>
    <row r="335" spans="5:19">
      <c r="E335" s="163"/>
      <c r="K335" s="163"/>
      <c r="Q335" s="163"/>
      <c r="R335" s="163"/>
      <c r="S335" s="163"/>
    </row>
    <row r="336" spans="5:19">
      <c r="E336" s="163"/>
      <c r="K336" s="163"/>
      <c r="Q336" s="163"/>
      <c r="R336" s="163"/>
      <c r="S336" s="163"/>
    </row>
    <row r="337" spans="5:19">
      <c r="E337" s="163"/>
      <c r="K337" s="163"/>
      <c r="Q337" s="163"/>
      <c r="R337" s="163"/>
      <c r="S337" s="163"/>
    </row>
    <row r="338" spans="5:19">
      <c r="E338" s="163"/>
      <c r="K338" s="163"/>
      <c r="Q338" s="163"/>
      <c r="R338" s="163"/>
      <c r="S338" s="163"/>
    </row>
    <row r="339" spans="5:19">
      <c r="E339" s="163"/>
      <c r="K339" s="163"/>
      <c r="Q339" s="163"/>
      <c r="R339" s="163"/>
      <c r="S339" s="163"/>
    </row>
    <row r="340" spans="5:19">
      <c r="E340" s="163"/>
      <c r="K340" s="163"/>
      <c r="Q340" s="163"/>
      <c r="R340" s="163"/>
      <c r="S340" s="163"/>
    </row>
    <row r="341" spans="5:19">
      <c r="E341" s="163"/>
      <c r="K341" s="163"/>
      <c r="Q341" s="163"/>
      <c r="R341" s="163"/>
      <c r="S341" s="163"/>
    </row>
    <row r="342" spans="5:19">
      <c r="E342" s="163"/>
      <c r="K342" s="163"/>
      <c r="Q342" s="163"/>
      <c r="R342" s="163"/>
      <c r="S342" s="163"/>
    </row>
    <row r="343" spans="5:19">
      <c r="E343" s="163"/>
      <c r="K343" s="163"/>
      <c r="Q343" s="163"/>
      <c r="R343" s="163"/>
      <c r="S343" s="163"/>
    </row>
    <row r="344" spans="5:19">
      <c r="E344" s="163"/>
      <c r="K344" s="163"/>
      <c r="Q344" s="163"/>
      <c r="R344" s="163"/>
      <c r="S344" s="163"/>
    </row>
    <row r="345" spans="5:19">
      <c r="E345" s="163"/>
      <c r="K345" s="163"/>
      <c r="Q345" s="163"/>
      <c r="R345" s="163"/>
      <c r="S345" s="163"/>
    </row>
    <row r="346" spans="5:19">
      <c r="E346" s="163"/>
      <c r="K346" s="163"/>
      <c r="Q346" s="163"/>
      <c r="R346" s="163"/>
      <c r="S346" s="163"/>
    </row>
    <row r="347" spans="5:19">
      <c r="E347" s="163"/>
      <c r="K347" s="163"/>
      <c r="Q347" s="163"/>
      <c r="R347" s="163"/>
      <c r="S347" s="163"/>
    </row>
    <row r="348" spans="5:19">
      <c r="E348" s="163"/>
      <c r="K348" s="163"/>
      <c r="Q348" s="163"/>
      <c r="R348" s="163"/>
      <c r="S348" s="163"/>
    </row>
    <row r="349" spans="5:19">
      <c r="E349" s="163"/>
      <c r="K349" s="163"/>
      <c r="Q349" s="163"/>
      <c r="R349" s="163"/>
      <c r="S349" s="163"/>
    </row>
    <row r="350" spans="5:19">
      <c r="E350" s="163"/>
      <c r="K350" s="163"/>
      <c r="Q350" s="163"/>
      <c r="R350" s="163"/>
      <c r="S350" s="163"/>
    </row>
    <row r="351" spans="5:19">
      <c r="E351" s="163"/>
      <c r="K351" s="163"/>
      <c r="Q351" s="163"/>
      <c r="R351" s="163"/>
      <c r="S351" s="163"/>
    </row>
    <row r="352" spans="5:19">
      <c r="E352" s="163"/>
      <c r="K352" s="163"/>
      <c r="Q352" s="163"/>
      <c r="R352" s="163"/>
      <c r="S352" s="163"/>
    </row>
    <row r="353" spans="5:19">
      <c r="E353" s="163"/>
      <c r="K353" s="163"/>
      <c r="Q353" s="163"/>
      <c r="R353" s="163"/>
      <c r="S353" s="163"/>
    </row>
    <row r="354" spans="5:19">
      <c r="E354" s="163"/>
      <c r="K354" s="163"/>
      <c r="Q354" s="163"/>
      <c r="R354" s="163"/>
      <c r="S354" s="163"/>
    </row>
    <row r="355" spans="5:19">
      <c r="E355" s="163"/>
      <c r="K355" s="163"/>
      <c r="Q355" s="163"/>
      <c r="R355" s="163"/>
      <c r="S355" s="163"/>
    </row>
    <row r="356" spans="5:19">
      <c r="E356" s="163"/>
      <c r="K356" s="163"/>
      <c r="Q356" s="163"/>
      <c r="R356" s="163"/>
      <c r="S356" s="163"/>
    </row>
    <row r="357" spans="5:19">
      <c r="E357" s="163"/>
      <c r="K357" s="163"/>
      <c r="Q357" s="163"/>
      <c r="R357" s="163"/>
      <c r="S357" s="163"/>
    </row>
    <row r="358" spans="5:19">
      <c r="E358" s="163"/>
      <c r="K358" s="163"/>
      <c r="Q358" s="163"/>
      <c r="R358" s="163"/>
      <c r="S358" s="163"/>
    </row>
    <row r="359" spans="5:19">
      <c r="E359" s="163"/>
      <c r="K359" s="163"/>
      <c r="Q359" s="163"/>
      <c r="R359" s="163"/>
      <c r="S359" s="163"/>
    </row>
    <row r="360" spans="5:19">
      <c r="E360" s="163"/>
      <c r="K360" s="163"/>
      <c r="Q360" s="163"/>
      <c r="R360" s="163"/>
      <c r="S360" s="163"/>
    </row>
    <row r="361" spans="5:19">
      <c r="E361" s="163"/>
      <c r="K361" s="163"/>
      <c r="Q361" s="163"/>
      <c r="R361" s="163"/>
      <c r="S361" s="163"/>
    </row>
    <row r="362" spans="5:19">
      <c r="E362" s="163"/>
      <c r="K362" s="163"/>
      <c r="Q362" s="163"/>
      <c r="R362" s="163"/>
      <c r="S362" s="163"/>
    </row>
    <row r="363" spans="5:19">
      <c r="E363" s="163"/>
      <c r="K363" s="163"/>
      <c r="Q363" s="163"/>
      <c r="R363" s="163"/>
      <c r="S363" s="163"/>
    </row>
    <row r="364" spans="5:19">
      <c r="E364" s="163"/>
      <c r="K364" s="163"/>
      <c r="Q364" s="163"/>
      <c r="R364" s="163"/>
      <c r="S364" s="163"/>
    </row>
    <row r="365" spans="5:19">
      <c r="E365" s="163"/>
      <c r="K365" s="163"/>
      <c r="Q365" s="163"/>
      <c r="R365" s="163"/>
      <c r="S365" s="163"/>
    </row>
    <row r="366" spans="5:19">
      <c r="E366" s="163"/>
      <c r="K366" s="163"/>
      <c r="Q366" s="163"/>
      <c r="R366" s="163"/>
      <c r="S366" s="163"/>
    </row>
    <row r="367" spans="5:19">
      <c r="E367" s="163"/>
      <c r="K367" s="163"/>
      <c r="Q367" s="163"/>
      <c r="R367" s="163"/>
      <c r="S367" s="163"/>
    </row>
    <row r="368" spans="5:19">
      <c r="E368" s="163"/>
      <c r="K368" s="163"/>
      <c r="Q368" s="163"/>
      <c r="R368" s="163"/>
      <c r="S368" s="163"/>
    </row>
    <row r="369" spans="5:19">
      <c r="E369" s="163"/>
      <c r="K369" s="163"/>
      <c r="Q369" s="163"/>
      <c r="R369" s="163"/>
      <c r="S369" s="163"/>
    </row>
    <row r="370" spans="5:19">
      <c r="E370" s="163"/>
      <c r="K370" s="163"/>
      <c r="Q370" s="163"/>
      <c r="R370" s="163"/>
      <c r="S370" s="163"/>
    </row>
    <row r="371" spans="5:19">
      <c r="E371" s="163"/>
      <c r="K371" s="163"/>
      <c r="Q371" s="163"/>
      <c r="R371" s="163"/>
      <c r="S371" s="163"/>
    </row>
    <row r="372" spans="5:19">
      <c r="E372" s="163"/>
      <c r="K372" s="163"/>
      <c r="Q372" s="163"/>
      <c r="R372" s="163"/>
      <c r="S372" s="163"/>
    </row>
    <row r="373" spans="5:19">
      <c r="E373" s="163"/>
      <c r="K373" s="163"/>
      <c r="Q373" s="163"/>
      <c r="R373" s="163"/>
      <c r="S373" s="163"/>
    </row>
    <row r="374" spans="5:19">
      <c r="E374" s="163"/>
      <c r="K374" s="163"/>
      <c r="Q374" s="163"/>
      <c r="R374" s="163"/>
      <c r="S374" s="163"/>
    </row>
    <row r="375" spans="5:19">
      <c r="E375" s="163"/>
      <c r="K375" s="163"/>
      <c r="Q375" s="163"/>
      <c r="R375" s="163"/>
      <c r="S375" s="163"/>
    </row>
    <row r="376" spans="5:19">
      <c r="E376" s="163"/>
      <c r="K376" s="163"/>
      <c r="Q376" s="163"/>
      <c r="R376" s="163"/>
      <c r="S376" s="163"/>
    </row>
    <row r="377" spans="5:19">
      <c r="E377" s="163"/>
      <c r="K377" s="163"/>
      <c r="Q377" s="163"/>
      <c r="R377" s="163"/>
      <c r="S377" s="163"/>
    </row>
    <row r="378" spans="5:19">
      <c r="E378" s="163"/>
      <c r="K378" s="163"/>
      <c r="Q378" s="163"/>
      <c r="R378" s="163"/>
      <c r="S378" s="163"/>
    </row>
    <row r="379" spans="5:19">
      <c r="E379" s="163"/>
      <c r="K379" s="163"/>
      <c r="Q379" s="163"/>
      <c r="R379" s="163"/>
      <c r="S379" s="163"/>
    </row>
    <row r="380" spans="5:19">
      <c r="E380" s="163"/>
      <c r="K380" s="163"/>
      <c r="Q380" s="163"/>
      <c r="R380" s="163"/>
      <c r="S380" s="163"/>
    </row>
    <row r="381" spans="5:19">
      <c r="E381" s="163"/>
      <c r="K381" s="163"/>
      <c r="Q381" s="163"/>
      <c r="R381" s="163"/>
      <c r="S381" s="163"/>
    </row>
    <row r="382" spans="5:19">
      <c r="E382" s="163"/>
      <c r="K382" s="163"/>
      <c r="Q382" s="163"/>
      <c r="R382" s="163"/>
      <c r="S382" s="163"/>
    </row>
    <row r="383" spans="5:19">
      <c r="E383" s="163"/>
      <c r="K383" s="163"/>
      <c r="Q383" s="163"/>
      <c r="R383" s="163"/>
      <c r="S383" s="163"/>
    </row>
    <row r="384" spans="5:19">
      <c r="E384" s="163"/>
      <c r="K384" s="163"/>
      <c r="Q384" s="163"/>
      <c r="R384" s="163"/>
      <c r="S384" s="163"/>
    </row>
    <row r="385" spans="5:19">
      <c r="E385" s="163"/>
      <c r="K385" s="163"/>
      <c r="Q385" s="163"/>
      <c r="R385" s="163"/>
      <c r="S385" s="163"/>
    </row>
    <row r="386" spans="5:19">
      <c r="E386" s="163"/>
      <c r="K386" s="163"/>
      <c r="Q386" s="163"/>
      <c r="R386" s="163"/>
      <c r="S386" s="163"/>
    </row>
    <row r="387" spans="5:19">
      <c r="E387" s="163"/>
      <c r="K387" s="163"/>
      <c r="Q387" s="163"/>
      <c r="R387" s="163"/>
      <c r="S387" s="163"/>
    </row>
    <row r="388" spans="5:19">
      <c r="E388" s="163"/>
      <c r="K388" s="163"/>
      <c r="Q388" s="163"/>
      <c r="R388" s="163"/>
      <c r="S388" s="163"/>
    </row>
    <row r="389" spans="5:19">
      <c r="E389" s="163"/>
      <c r="K389" s="163"/>
      <c r="Q389" s="163"/>
      <c r="R389" s="163"/>
      <c r="S389" s="163"/>
    </row>
    <row r="390" spans="5:19">
      <c r="E390" s="163"/>
      <c r="K390" s="163"/>
      <c r="Q390" s="163"/>
      <c r="R390" s="163"/>
      <c r="S390" s="163"/>
    </row>
    <row r="391" spans="5:19">
      <c r="E391" s="163"/>
      <c r="K391" s="163"/>
      <c r="Q391" s="163"/>
      <c r="R391" s="163"/>
      <c r="S391" s="163"/>
    </row>
    <row r="392" spans="5:19">
      <c r="E392" s="163"/>
      <c r="K392" s="163"/>
      <c r="Q392" s="163"/>
      <c r="R392" s="163"/>
      <c r="S392" s="163"/>
    </row>
    <row r="393" spans="5:19">
      <c r="E393" s="163"/>
      <c r="K393" s="163"/>
      <c r="Q393" s="163"/>
      <c r="R393" s="163"/>
      <c r="S393" s="163"/>
    </row>
    <row r="394" spans="5:19">
      <c r="E394" s="163"/>
      <c r="K394" s="163"/>
      <c r="Q394" s="163"/>
      <c r="R394" s="163"/>
      <c r="S394" s="163"/>
    </row>
    <row r="395" spans="5:19">
      <c r="E395" s="163"/>
      <c r="K395" s="163"/>
      <c r="Q395" s="163"/>
      <c r="R395" s="163"/>
      <c r="S395" s="163"/>
    </row>
    <row r="396" spans="5:19">
      <c r="E396" s="163"/>
      <c r="K396" s="163"/>
      <c r="Q396" s="163"/>
      <c r="R396" s="163"/>
      <c r="S396" s="163"/>
    </row>
    <row r="397" spans="5:19">
      <c r="E397" s="163"/>
      <c r="K397" s="163"/>
      <c r="Q397" s="163"/>
      <c r="R397" s="163"/>
      <c r="S397" s="163"/>
    </row>
    <row r="398" spans="5:19">
      <c r="E398" s="163"/>
      <c r="K398" s="163"/>
      <c r="Q398" s="163"/>
      <c r="R398" s="163"/>
      <c r="S398" s="163"/>
    </row>
    <row r="399" spans="5:19">
      <c r="E399" s="163"/>
      <c r="K399" s="163"/>
      <c r="Q399" s="163"/>
      <c r="R399" s="163"/>
      <c r="S399" s="163"/>
    </row>
    <row r="400" spans="5:19">
      <c r="E400" s="163"/>
      <c r="K400" s="163"/>
      <c r="Q400" s="163"/>
      <c r="R400" s="163"/>
      <c r="S400" s="163"/>
    </row>
    <row r="401" spans="5:19">
      <c r="E401" s="163"/>
      <c r="K401" s="163"/>
      <c r="Q401" s="163"/>
      <c r="R401" s="163"/>
      <c r="S401" s="163"/>
    </row>
    <row r="402" spans="5:19">
      <c r="E402" s="163"/>
      <c r="K402" s="163"/>
      <c r="Q402" s="163"/>
      <c r="R402" s="163"/>
      <c r="S402" s="163"/>
    </row>
    <row r="403" spans="5:19">
      <c r="E403" s="163"/>
      <c r="K403" s="163"/>
      <c r="Q403" s="163"/>
      <c r="R403" s="163"/>
      <c r="S403" s="163"/>
    </row>
    <row r="404" spans="5:19">
      <c r="E404" s="163"/>
      <c r="K404" s="163"/>
      <c r="Q404" s="163"/>
      <c r="R404" s="163"/>
      <c r="S404" s="163"/>
    </row>
    <row r="405" spans="5:19">
      <c r="E405" s="163"/>
      <c r="K405" s="163"/>
      <c r="Q405" s="163"/>
      <c r="R405" s="163"/>
      <c r="S405" s="163"/>
    </row>
    <row r="406" spans="5:19">
      <c r="E406" s="163"/>
      <c r="K406" s="163"/>
      <c r="Q406" s="163"/>
      <c r="R406" s="163"/>
      <c r="S406" s="163"/>
    </row>
    <row r="407" spans="5:19">
      <c r="E407" s="163"/>
      <c r="K407" s="163"/>
      <c r="Q407" s="163"/>
      <c r="R407" s="163"/>
      <c r="S407" s="163"/>
    </row>
    <row r="408" spans="5:19">
      <c r="E408" s="163"/>
      <c r="K408" s="163"/>
      <c r="Q408" s="163"/>
      <c r="R408" s="163"/>
      <c r="S408" s="163"/>
    </row>
    <row r="409" spans="5:19">
      <c r="E409" s="163"/>
      <c r="K409" s="163"/>
      <c r="Q409" s="163"/>
      <c r="R409" s="163"/>
      <c r="S409" s="163"/>
    </row>
    <row r="410" spans="5:19">
      <c r="E410" s="163"/>
      <c r="K410" s="163"/>
      <c r="Q410" s="163"/>
      <c r="R410" s="163"/>
      <c r="S410" s="163"/>
    </row>
    <row r="411" spans="5:19">
      <c r="E411" s="163"/>
      <c r="K411" s="163"/>
      <c r="Q411" s="163"/>
      <c r="R411" s="163"/>
      <c r="S411" s="163"/>
    </row>
    <row r="412" spans="5:19">
      <c r="E412" s="163"/>
      <c r="K412" s="163"/>
      <c r="Q412" s="163"/>
      <c r="R412" s="163"/>
      <c r="S412" s="163"/>
    </row>
    <row r="413" spans="5:19">
      <c r="E413" s="163"/>
      <c r="K413" s="163"/>
      <c r="Q413" s="163"/>
      <c r="R413" s="163"/>
      <c r="S413" s="163"/>
    </row>
    <row r="414" spans="5:19">
      <c r="E414" s="163"/>
      <c r="K414" s="163"/>
      <c r="Q414" s="163"/>
      <c r="R414" s="163"/>
      <c r="S414" s="163"/>
    </row>
    <row r="415" spans="5:19">
      <c r="E415" s="163"/>
      <c r="K415" s="163"/>
      <c r="Q415" s="163"/>
      <c r="R415" s="163"/>
      <c r="S415" s="163"/>
    </row>
    <row r="416" spans="5:19">
      <c r="E416" s="163"/>
      <c r="K416" s="163"/>
      <c r="Q416" s="163"/>
      <c r="R416" s="163"/>
      <c r="S416" s="163"/>
    </row>
    <row r="417" spans="5:19">
      <c r="E417" s="163"/>
      <c r="K417" s="163"/>
      <c r="Q417" s="163"/>
      <c r="R417" s="163"/>
      <c r="S417" s="163"/>
    </row>
    <row r="418" spans="5:19">
      <c r="E418" s="163"/>
      <c r="K418" s="163"/>
      <c r="Q418" s="163"/>
      <c r="R418" s="163"/>
      <c r="S418" s="163"/>
    </row>
    <row r="419" spans="5:19">
      <c r="E419" s="163"/>
      <c r="K419" s="163"/>
      <c r="Q419" s="163"/>
      <c r="R419" s="163"/>
      <c r="S419" s="163"/>
    </row>
    <row r="420" spans="5:19">
      <c r="E420" s="163"/>
      <c r="K420" s="163"/>
      <c r="Q420" s="163"/>
      <c r="R420" s="163"/>
      <c r="S420" s="163"/>
    </row>
    <row r="421" spans="5:19">
      <c r="E421" s="163"/>
      <c r="K421" s="163"/>
      <c r="Q421" s="163"/>
      <c r="R421" s="163"/>
      <c r="S421" s="163"/>
    </row>
    <row r="422" spans="5:19">
      <c r="E422" s="163"/>
      <c r="K422" s="163"/>
      <c r="Q422" s="163"/>
      <c r="R422" s="163"/>
      <c r="S422" s="163"/>
    </row>
    <row r="423" spans="5:19">
      <c r="E423" s="163"/>
      <c r="K423" s="163"/>
      <c r="Q423" s="163"/>
      <c r="R423" s="163"/>
      <c r="S423" s="163"/>
    </row>
    <row r="424" spans="5:19">
      <c r="E424" s="163"/>
      <c r="K424" s="163"/>
      <c r="Q424" s="163"/>
      <c r="R424" s="163"/>
      <c r="S424" s="163"/>
    </row>
    <row r="425" spans="5:19">
      <c r="E425" s="163"/>
      <c r="K425" s="163"/>
      <c r="Q425" s="163"/>
      <c r="R425" s="163"/>
      <c r="S425" s="163"/>
    </row>
    <row r="426" spans="5:19">
      <c r="E426" s="163"/>
      <c r="K426" s="163"/>
      <c r="Q426" s="163"/>
      <c r="R426" s="163"/>
      <c r="S426" s="163"/>
    </row>
    <row r="427" spans="5:19">
      <c r="E427" s="163"/>
      <c r="K427" s="163"/>
      <c r="Q427" s="163"/>
      <c r="R427" s="163"/>
      <c r="S427" s="163"/>
    </row>
    <row r="428" spans="5:19">
      <c r="E428" s="163"/>
      <c r="K428" s="163"/>
      <c r="Q428" s="163"/>
      <c r="R428" s="163"/>
      <c r="S428" s="163"/>
    </row>
    <row r="429" spans="5:19">
      <c r="E429" s="163"/>
      <c r="K429" s="163"/>
      <c r="Q429" s="163"/>
      <c r="R429" s="163"/>
      <c r="S429" s="163"/>
    </row>
    <row r="430" spans="5:19">
      <c r="E430" s="163"/>
      <c r="K430" s="163"/>
      <c r="Q430" s="163"/>
      <c r="R430" s="163"/>
      <c r="S430" s="163"/>
    </row>
    <row r="431" spans="5:19">
      <c r="E431" s="163"/>
      <c r="K431" s="163"/>
      <c r="Q431" s="163"/>
      <c r="R431" s="163"/>
      <c r="S431" s="163"/>
    </row>
    <row r="432" spans="5:19">
      <c r="E432" s="163"/>
      <c r="K432" s="163"/>
      <c r="Q432" s="163"/>
      <c r="R432" s="163"/>
      <c r="S432" s="163"/>
    </row>
    <row r="433" spans="5:19">
      <c r="E433" s="163"/>
      <c r="K433" s="163"/>
      <c r="Q433" s="163"/>
      <c r="R433" s="163"/>
      <c r="S433" s="163"/>
    </row>
    <row r="434" spans="5:19">
      <c r="E434" s="163"/>
      <c r="K434" s="163"/>
      <c r="Q434" s="163"/>
      <c r="R434" s="163"/>
      <c r="S434" s="163"/>
    </row>
    <row r="435" spans="5:19">
      <c r="E435" s="163"/>
      <c r="K435" s="163"/>
      <c r="Q435" s="163"/>
      <c r="R435" s="163"/>
      <c r="S435" s="163"/>
    </row>
    <row r="436" spans="5:19">
      <c r="E436" s="163"/>
      <c r="K436" s="163"/>
      <c r="Q436" s="163"/>
      <c r="R436" s="163"/>
      <c r="S436" s="163"/>
    </row>
    <row r="437" spans="5:19">
      <c r="E437" s="163"/>
      <c r="K437" s="163"/>
      <c r="Q437" s="163"/>
      <c r="R437" s="163"/>
      <c r="S437" s="163"/>
    </row>
    <row r="438" spans="5:19">
      <c r="E438" s="163"/>
      <c r="K438" s="163"/>
      <c r="Q438" s="163"/>
      <c r="R438" s="163"/>
      <c r="S438" s="163"/>
    </row>
    <row r="439" spans="5:19">
      <c r="E439" s="163"/>
      <c r="K439" s="163"/>
      <c r="Q439" s="163"/>
      <c r="R439" s="163"/>
      <c r="S439" s="163"/>
    </row>
    <row r="440" spans="5:19">
      <c r="E440" s="163"/>
      <c r="K440" s="163"/>
      <c r="Q440" s="163"/>
      <c r="R440" s="163"/>
      <c r="S440" s="163"/>
    </row>
    <row r="441" spans="5:19">
      <c r="E441" s="163"/>
      <c r="K441" s="163"/>
      <c r="Q441" s="163"/>
      <c r="R441" s="163"/>
      <c r="S441" s="163"/>
    </row>
    <row r="442" spans="5:19">
      <c r="E442" s="163"/>
      <c r="K442" s="163"/>
      <c r="Q442" s="163"/>
      <c r="R442" s="163"/>
      <c r="S442" s="163"/>
    </row>
    <row r="443" spans="5:19">
      <c r="E443" s="163"/>
      <c r="K443" s="163"/>
      <c r="Q443" s="163"/>
      <c r="R443" s="163"/>
      <c r="S443" s="163"/>
    </row>
    <row r="444" spans="5:19">
      <c r="E444" s="163"/>
      <c r="K444" s="163"/>
      <c r="Q444" s="163"/>
      <c r="R444" s="163"/>
      <c r="S444" s="163"/>
    </row>
    <row r="445" spans="5:19">
      <c r="E445" s="163"/>
      <c r="K445" s="163"/>
      <c r="Q445" s="163"/>
      <c r="R445" s="163"/>
      <c r="S445" s="163"/>
    </row>
    <row r="446" spans="5:19">
      <c r="E446" s="163"/>
      <c r="K446" s="163"/>
      <c r="Q446" s="163"/>
      <c r="R446" s="163"/>
      <c r="S446" s="163"/>
    </row>
    <row r="447" spans="5:19">
      <c r="E447" s="163"/>
      <c r="K447" s="163"/>
      <c r="Q447" s="163"/>
      <c r="R447" s="163"/>
      <c r="S447" s="163"/>
    </row>
    <row r="448" spans="5:19">
      <c r="E448" s="163"/>
      <c r="K448" s="163"/>
      <c r="Q448" s="163"/>
      <c r="R448" s="163"/>
      <c r="S448" s="163"/>
    </row>
    <row r="449" spans="5:19">
      <c r="E449" s="163"/>
      <c r="K449" s="163"/>
      <c r="Q449" s="163"/>
      <c r="R449" s="163"/>
      <c r="S449" s="163"/>
    </row>
    <row r="450" spans="5:19">
      <c r="E450" s="163"/>
      <c r="K450" s="163"/>
      <c r="Q450" s="163"/>
      <c r="R450" s="163"/>
      <c r="S450" s="163"/>
    </row>
    <row r="451" spans="5:19">
      <c r="E451" s="163"/>
      <c r="K451" s="163"/>
      <c r="Q451" s="163"/>
      <c r="R451" s="163"/>
      <c r="S451" s="163"/>
    </row>
    <row r="452" spans="5:19">
      <c r="E452" s="163"/>
      <c r="K452" s="163"/>
      <c r="Q452" s="163"/>
      <c r="R452" s="163"/>
      <c r="S452" s="163"/>
    </row>
    <row r="453" spans="5:19">
      <c r="E453" s="163"/>
      <c r="K453" s="163"/>
      <c r="Q453" s="163"/>
      <c r="R453" s="163"/>
      <c r="S453" s="163"/>
    </row>
    <row r="454" spans="5:19">
      <c r="E454" s="163"/>
      <c r="K454" s="163"/>
      <c r="Q454" s="163"/>
      <c r="R454" s="163"/>
      <c r="S454" s="163"/>
    </row>
    <row r="455" spans="5:19">
      <c r="E455" s="163"/>
      <c r="K455" s="163"/>
      <c r="Q455" s="163"/>
      <c r="R455" s="163"/>
      <c r="S455" s="163"/>
    </row>
    <row r="456" spans="5:19">
      <c r="E456" s="163"/>
      <c r="K456" s="163"/>
      <c r="Q456" s="163"/>
      <c r="R456" s="163"/>
      <c r="S456" s="163"/>
    </row>
    <row r="457" spans="5:19">
      <c r="E457" s="163"/>
      <c r="K457" s="163"/>
      <c r="Q457" s="163"/>
      <c r="R457" s="163"/>
      <c r="S457" s="163"/>
    </row>
    <row r="458" spans="5:19">
      <c r="E458" s="163"/>
      <c r="K458" s="163"/>
      <c r="Q458" s="163"/>
      <c r="R458" s="163"/>
      <c r="S458" s="163"/>
    </row>
    <row r="459" spans="5:19">
      <c r="E459" s="163"/>
      <c r="K459" s="163"/>
      <c r="Q459" s="163"/>
      <c r="R459" s="163"/>
      <c r="S459" s="163"/>
    </row>
    <row r="460" spans="5:19">
      <c r="E460" s="163"/>
      <c r="K460" s="163"/>
      <c r="Q460" s="163"/>
      <c r="R460" s="163"/>
      <c r="S460" s="163"/>
    </row>
    <row r="461" spans="5:19">
      <c r="E461" s="163"/>
      <c r="K461" s="163"/>
      <c r="Q461" s="163"/>
      <c r="R461" s="163"/>
      <c r="S461" s="163"/>
    </row>
    <row r="462" spans="5:19">
      <c r="E462" s="163"/>
      <c r="K462" s="163"/>
      <c r="Q462" s="163"/>
      <c r="R462" s="163"/>
      <c r="S462" s="163"/>
    </row>
    <row r="463" spans="5:19">
      <c r="E463" s="163"/>
      <c r="K463" s="163"/>
      <c r="Q463" s="163"/>
      <c r="R463" s="163"/>
      <c r="S463" s="163"/>
    </row>
    <row r="464" spans="5:19">
      <c r="E464" s="163"/>
      <c r="K464" s="163"/>
      <c r="Q464" s="163"/>
      <c r="R464" s="163"/>
      <c r="S464" s="163"/>
    </row>
    <row r="465" spans="5:19">
      <c r="E465" s="163"/>
      <c r="K465" s="163"/>
      <c r="Q465" s="163"/>
      <c r="R465" s="163"/>
      <c r="S465" s="163"/>
    </row>
    <row r="466" spans="5:19">
      <c r="E466" s="163"/>
      <c r="K466" s="163"/>
      <c r="Q466" s="163"/>
      <c r="R466" s="163"/>
      <c r="S466" s="163"/>
    </row>
    <row r="467" spans="5:19">
      <c r="E467" s="163"/>
      <c r="K467" s="163"/>
      <c r="Q467" s="163"/>
      <c r="R467" s="163"/>
      <c r="S467" s="163"/>
    </row>
    <row r="468" spans="5:19">
      <c r="E468" s="163"/>
      <c r="K468" s="163"/>
      <c r="Q468" s="163"/>
      <c r="R468" s="163"/>
      <c r="S468" s="163"/>
    </row>
    <row r="469" spans="5:19">
      <c r="E469" s="163"/>
      <c r="K469" s="163"/>
      <c r="Q469" s="163"/>
      <c r="R469" s="163"/>
      <c r="S469" s="163"/>
    </row>
    <row r="470" spans="5:19">
      <c r="E470" s="163"/>
      <c r="K470" s="163"/>
      <c r="Q470" s="163"/>
      <c r="R470" s="163"/>
      <c r="S470" s="163"/>
    </row>
    <row r="471" spans="5:19">
      <c r="E471" s="163"/>
      <c r="K471" s="163"/>
      <c r="Q471" s="163"/>
      <c r="R471" s="163"/>
      <c r="S471" s="163"/>
    </row>
    <row r="472" spans="5:19">
      <c r="E472" s="163"/>
      <c r="K472" s="163"/>
      <c r="Q472" s="163"/>
      <c r="R472" s="163"/>
      <c r="S472" s="163"/>
    </row>
    <row r="473" spans="5:19">
      <c r="E473" s="163"/>
      <c r="K473" s="163"/>
      <c r="Q473" s="163"/>
      <c r="R473" s="163"/>
      <c r="S473" s="163"/>
    </row>
    <row r="474" spans="5:19">
      <c r="E474" s="163"/>
      <c r="K474" s="163"/>
      <c r="Q474" s="163"/>
      <c r="R474" s="163"/>
      <c r="S474" s="163"/>
    </row>
    <row r="475" spans="5:19">
      <c r="E475" s="163"/>
      <c r="K475" s="163"/>
      <c r="Q475" s="163"/>
      <c r="R475" s="163"/>
      <c r="S475" s="163"/>
    </row>
    <row r="476" spans="5:19">
      <c r="E476" s="163"/>
      <c r="K476" s="163"/>
      <c r="Q476" s="163"/>
      <c r="R476" s="163"/>
      <c r="S476" s="163"/>
    </row>
    <row r="477" spans="5:19">
      <c r="E477" s="163"/>
      <c r="K477" s="163"/>
      <c r="Q477" s="163"/>
      <c r="R477" s="163"/>
      <c r="S477" s="163"/>
    </row>
    <row r="478" spans="5:19">
      <c r="E478" s="163"/>
      <c r="K478" s="163"/>
      <c r="Q478" s="163"/>
      <c r="R478" s="163"/>
      <c r="S478" s="163"/>
    </row>
    <row r="479" spans="5:19">
      <c r="E479" s="163"/>
      <c r="K479" s="163"/>
      <c r="Q479" s="163"/>
      <c r="R479" s="163"/>
      <c r="S479" s="163"/>
    </row>
    <row r="480" spans="5:19">
      <c r="E480" s="163"/>
      <c r="K480" s="163"/>
      <c r="Q480" s="163"/>
      <c r="R480" s="163"/>
      <c r="S480" s="163"/>
    </row>
    <row r="481" spans="5:19">
      <c r="E481" s="163"/>
      <c r="K481" s="163"/>
      <c r="Q481" s="163"/>
      <c r="R481" s="163"/>
      <c r="S481" s="163"/>
    </row>
    <row r="482" spans="5:19">
      <c r="E482" s="163"/>
      <c r="K482" s="163"/>
      <c r="Q482" s="163"/>
      <c r="R482" s="163"/>
      <c r="S482" s="163"/>
    </row>
    <row r="483" spans="5:19">
      <c r="E483" s="163"/>
      <c r="K483" s="163"/>
      <c r="Q483" s="163"/>
      <c r="R483" s="163"/>
      <c r="S483" s="163"/>
    </row>
    <row r="484" spans="5:19">
      <c r="E484" s="163"/>
      <c r="K484" s="163"/>
      <c r="Q484" s="163"/>
      <c r="R484" s="163"/>
      <c r="S484" s="163"/>
    </row>
    <row r="485" spans="5:19">
      <c r="E485" s="163"/>
      <c r="K485" s="163"/>
      <c r="Q485" s="163"/>
      <c r="R485" s="163"/>
      <c r="S485" s="163"/>
    </row>
    <row r="486" spans="5:19">
      <c r="E486" s="163"/>
      <c r="K486" s="163"/>
      <c r="Q486" s="163"/>
      <c r="R486" s="163"/>
      <c r="S486" s="163"/>
    </row>
    <row r="487" spans="5:19">
      <c r="E487" s="163"/>
      <c r="K487" s="163"/>
      <c r="Q487" s="163"/>
      <c r="R487" s="163"/>
      <c r="S487" s="163"/>
    </row>
    <row r="488" spans="5:19">
      <c r="E488" s="163"/>
      <c r="K488" s="163"/>
      <c r="Q488" s="163"/>
      <c r="R488" s="163"/>
      <c r="S488" s="163"/>
    </row>
    <row r="489" spans="5:19">
      <c r="E489" s="163"/>
      <c r="K489" s="163"/>
      <c r="Q489" s="163"/>
      <c r="R489" s="163"/>
      <c r="S489" s="163"/>
    </row>
    <row r="490" spans="5:19">
      <c r="E490" s="163"/>
      <c r="K490" s="163"/>
      <c r="Q490" s="163"/>
      <c r="R490" s="163"/>
      <c r="S490" s="163"/>
    </row>
    <row r="491" spans="5:19">
      <c r="E491" s="163"/>
      <c r="K491" s="163"/>
      <c r="Q491" s="163"/>
      <c r="R491" s="163"/>
      <c r="S491" s="163"/>
    </row>
    <row r="492" spans="5:19">
      <c r="E492" s="163"/>
      <c r="K492" s="163"/>
      <c r="Q492" s="163"/>
      <c r="R492" s="163"/>
      <c r="S492" s="163"/>
    </row>
    <row r="493" spans="5:19">
      <c r="E493" s="163"/>
      <c r="K493" s="163"/>
      <c r="Q493" s="163"/>
      <c r="R493" s="163"/>
      <c r="S493" s="163"/>
    </row>
    <row r="494" spans="5:19">
      <c r="E494" s="163"/>
      <c r="K494" s="163"/>
      <c r="Q494" s="163"/>
      <c r="R494" s="163"/>
      <c r="S494" s="163"/>
    </row>
    <row r="495" spans="5:19">
      <c r="E495" s="163"/>
      <c r="K495" s="163"/>
      <c r="Q495" s="163"/>
      <c r="R495" s="163"/>
      <c r="S495" s="163"/>
    </row>
    <row r="496" spans="5:19">
      <c r="E496" s="163"/>
      <c r="K496" s="163"/>
      <c r="Q496" s="163"/>
      <c r="R496" s="163"/>
      <c r="S496" s="163"/>
    </row>
    <row r="497" spans="5:19">
      <c r="E497" s="163"/>
      <c r="K497" s="163"/>
      <c r="Q497" s="163"/>
      <c r="R497" s="163"/>
      <c r="S497" s="163"/>
    </row>
    <row r="498" spans="5:19">
      <c r="E498" s="163"/>
      <c r="K498" s="163"/>
      <c r="Q498" s="163"/>
      <c r="R498" s="163"/>
      <c r="S498" s="163"/>
    </row>
    <row r="499" spans="5:19">
      <c r="E499" s="163"/>
      <c r="K499" s="163"/>
      <c r="Q499" s="163"/>
      <c r="R499" s="163"/>
      <c r="S499" s="163"/>
    </row>
    <row r="500" spans="5:19">
      <c r="E500" s="163"/>
      <c r="K500" s="163"/>
      <c r="Q500" s="163"/>
      <c r="R500" s="163"/>
      <c r="S500" s="163"/>
    </row>
    <row r="501" spans="5:19">
      <c r="E501" s="163"/>
      <c r="K501" s="163"/>
      <c r="Q501" s="163"/>
      <c r="R501" s="163"/>
      <c r="S501" s="163"/>
    </row>
    <row r="502" spans="5:19">
      <c r="E502" s="163"/>
      <c r="K502" s="163"/>
      <c r="Q502" s="163"/>
      <c r="R502" s="163"/>
      <c r="S502" s="163"/>
    </row>
    <row r="503" spans="5:19">
      <c r="E503" s="163"/>
      <c r="K503" s="163"/>
      <c r="Q503" s="163"/>
      <c r="R503" s="163"/>
      <c r="S503" s="163"/>
    </row>
    <row r="504" spans="5:19">
      <c r="E504" s="163"/>
      <c r="K504" s="163"/>
      <c r="Q504" s="163"/>
      <c r="R504" s="163"/>
      <c r="S504" s="163"/>
    </row>
    <row r="505" spans="5:19">
      <c r="E505" s="163"/>
      <c r="K505" s="163"/>
      <c r="Q505" s="163"/>
      <c r="R505" s="163"/>
      <c r="S505" s="163"/>
    </row>
    <row r="506" spans="5:19">
      <c r="E506" s="163"/>
      <c r="K506" s="163"/>
      <c r="Q506" s="163"/>
      <c r="R506" s="163"/>
      <c r="S506" s="163"/>
    </row>
    <row r="507" spans="5:19">
      <c r="E507" s="163"/>
      <c r="K507" s="163"/>
      <c r="Q507" s="163"/>
      <c r="R507" s="163"/>
      <c r="S507" s="163"/>
    </row>
    <row r="508" spans="5:19">
      <c r="E508" s="163"/>
      <c r="K508" s="163"/>
      <c r="Q508" s="163"/>
      <c r="R508" s="163"/>
      <c r="S508" s="163"/>
    </row>
    <row r="509" spans="5:19">
      <c r="E509" s="163"/>
      <c r="K509" s="163"/>
      <c r="Q509" s="163"/>
      <c r="R509" s="163"/>
      <c r="S509" s="163"/>
    </row>
    <row r="510" spans="5:19">
      <c r="E510" s="163"/>
      <c r="K510" s="163"/>
      <c r="Q510" s="163"/>
      <c r="R510" s="163"/>
      <c r="S510" s="163"/>
    </row>
    <row r="511" spans="5:19">
      <c r="E511" s="163"/>
      <c r="K511" s="163"/>
      <c r="Q511" s="163"/>
      <c r="R511" s="163"/>
      <c r="S511" s="163"/>
    </row>
    <row r="512" spans="5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5"/>
      <c r="D7171" s="165"/>
      <c r="E7171" s="166"/>
      <c r="I7171" s="165"/>
      <c r="J7171" s="165"/>
      <c r="K7171" s="166"/>
      <c r="Q7171" s="166"/>
      <c r="R7171" s="166"/>
      <c r="S7171" s="166"/>
    </row>
    <row r="7172" spans="3:19">
      <c r="C7172" s="165"/>
      <c r="D7172" s="165"/>
      <c r="E7172" s="166"/>
      <c r="I7172" s="165"/>
      <c r="J7172" s="165"/>
      <c r="K7172" s="166"/>
      <c r="Q7172" s="166"/>
      <c r="R7172" s="166"/>
      <c r="S7172" s="166"/>
    </row>
    <row r="7173" spans="3:19">
      <c r="C7173" s="165"/>
      <c r="D7173" s="165"/>
      <c r="E7173" s="166"/>
      <c r="I7173" s="165"/>
      <c r="J7173" s="165"/>
      <c r="K7173" s="166"/>
      <c r="Q7173" s="166"/>
      <c r="R7173" s="166"/>
      <c r="S7173" s="166"/>
    </row>
    <row r="7174" spans="3:19">
      <c r="C7174" s="165"/>
      <c r="D7174" s="165"/>
      <c r="E7174" s="166"/>
      <c r="I7174" s="165"/>
      <c r="J7174" s="165"/>
      <c r="K7174" s="166"/>
      <c r="Q7174" s="166"/>
      <c r="R7174" s="166"/>
      <c r="S7174" s="166"/>
    </row>
    <row r="7175" spans="3:19">
      <c r="C7175" s="165"/>
      <c r="D7175" s="165"/>
      <c r="E7175" s="166"/>
      <c r="I7175" s="165"/>
      <c r="J7175" s="165"/>
      <c r="K7175" s="166"/>
      <c r="Q7175" s="166"/>
      <c r="R7175" s="166"/>
      <c r="S7175" s="166"/>
    </row>
    <row r="7176" spans="3:19">
      <c r="C7176" s="165"/>
      <c r="D7176" s="165"/>
      <c r="E7176" s="166"/>
      <c r="I7176" s="165"/>
      <c r="J7176" s="165"/>
      <c r="K7176" s="166"/>
      <c r="Q7176" s="166"/>
      <c r="R7176" s="166"/>
      <c r="S7176" s="166"/>
    </row>
    <row r="7177" spans="3:19">
      <c r="C7177" s="165"/>
      <c r="D7177" s="165"/>
      <c r="E7177" s="166"/>
      <c r="I7177" s="165"/>
      <c r="J7177" s="165"/>
      <c r="K7177" s="166"/>
      <c r="Q7177" s="166"/>
      <c r="R7177" s="166"/>
      <c r="S7177" s="166"/>
    </row>
    <row r="7178" spans="3:19">
      <c r="C7178" s="165"/>
      <c r="D7178" s="165"/>
      <c r="E7178" s="166"/>
      <c r="I7178" s="165"/>
      <c r="J7178" s="165"/>
      <c r="K7178" s="166"/>
      <c r="Q7178" s="166"/>
      <c r="R7178" s="166"/>
      <c r="S7178" s="166"/>
    </row>
    <row r="7179" spans="3:19">
      <c r="C7179" s="165"/>
      <c r="D7179" s="165"/>
      <c r="E7179" s="166"/>
      <c r="I7179" s="165"/>
      <c r="J7179" s="165"/>
      <c r="K7179" s="166"/>
      <c r="Q7179" s="166"/>
      <c r="R7179" s="166"/>
      <c r="S7179" s="166"/>
    </row>
    <row r="7180" spans="3:19">
      <c r="C7180" s="165"/>
      <c r="D7180" s="165"/>
      <c r="E7180" s="166"/>
      <c r="I7180" s="165"/>
      <c r="J7180" s="165"/>
      <c r="K7180" s="166"/>
      <c r="Q7180" s="166"/>
      <c r="R7180" s="166"/>
      <c r="S7180" s="166"/>
    </row>
    <row r="7181" spans="3:19">
      <c r="C7181" s="165"/>
      <c r="D7181" s="165"/>
      <c r="E7181" s="166"/>
      <c r="I7181" s="165"/>
      <c r="J7181" s="165"/>
      <c r="K7181" s="166"/>
      <c r="Q7181" s="166"/>
      <c r="R7181" s="166"/>
      <c r="S7181" s="166"/>
    </row>
    <row r="7182" spans="3:19">
      <c r="C7182" s="165"/>
      <c r="D7182" s="165"/>
      <c r="E7182" s="166"/>
      <c r="I7182" s="165"/>
      <c r="J7182" s="165"/>
      <c r="K7182" s="166"/>
      <c r="Q7182" s="166"/>
      <c r="R7182" s="166"/>
      <c r="S7182" s="166"/>
    </row>
    <row r="7183" spans="3:19">
      <c r="C7183" s="165"/>
      <c r="D7183" s="165"/>
      <c r="E7183" s="166"/>
      <c r="I7183" s="165"/>
      <c r="J7183" s="165"/>
      <c r="K7183" s="166"/>
      <c r="Q7183" s="166"/>
      <c r="R7183" s="166"/>
      <c r="S7183" s="166"/>
    </row>
    <row r="7184" spans="3:19">
      <c r="C7184" s="165"/>
      <c r="D7184" s="165"/>
      <c r="E7184" s="166"/>
      <c r="I7184" s="165"/>
      <c r="J7184" s="165"/>
      <c r="K7184" s="166"/>
      <c r="Q7184" s="166"/>
      <c r="R7184" s="166"/>
      <c r="S7184" s="166"/>
    </row>
    <row r="7185" spans="3:19">
      <c r="C7185" s="165"/>
      <c r="D7185" s="165"/>
      <c r="E7185" s="166"/>
      <c r="I7185" s="165"/>
      <c r="J7185" s="165"/>
      <c r="K7185" s="166"/>
      <c r="Q7185" s="166"/>
      <c r="R7185" s="166"/>
      <c r="S7185" s="166"/>
    </row>
    <row r="7186" spans="3:19">
      <c r="C7186" s="165"/>
      <c r="D7186" s="165"/>
      <c r="E7186" s="166"/>
      <c r="I7186" s="165"/>
      <c r="J7186" s="165"/>
      <c r="K7186" s="166"/>
      <c r="Q7186" s="166"/>
      <c r="R7186" s="166"/>
      <c r="S7186" s="166"/>
    </row>
    <row r="7187" spans="3:19">
      <c r="C7187" s="165"/>
      <c r="D7187" s="165"/>
      <c r="E7187" s="166"/>
      <c r="I7187" s="165"/>
      <c r="J7187" s="165"/>
      <c r="K7187" s="166"/>
      <c r="Q7187" s="166"/>
      <c r="R7187" s="166"/>
      <c r="S7187" s="166"/>
    </row>
    <row r="7188" spans="3:19">
      <c r="C7188" s="165"/>
      <c r="D7188" s="165"/>
      <c r="E7188" s="166"/>
      <c r="I7188" s="165"/>
      <c r="J7188" s="165"/>
      <c r="K7188" s="166"/>
      <c r="Q7188" s="166"/>
      <c r="R7188" s="166"/>
      <c r="S7188" s="166"/>
    </row>
    <row r="7189" spans="3:19">
      <c r="C7189" s="165"/>
      <c r="D7189" s="165"/>
      <c r="E7189" s="166"/>
      <c r="I7189" s="165"/>
      <c r="J7189" s="165"/>
      <c r="K7189" s="166"/>
      <c r="Q7189" s="166"/>
      <c r="R7189" s="166"/>
      <c r="S7189" s="166"/>
    </row>
    <row r="7190" spans="3:19">
      <c r="C7190" s="165"/>
      <c r="D7190" s="165"/>
      <c r="E7190" s="166"/>
      <c r="I7190" s="165"/>
      <c r="J7190" s="165"/>
      <c r="K7190" s="166"/>
      <c r="Q7190" s="166"/>
      <c r="R7190" s="166"/>
      <c r="S7190" s="166"/>
    </row>
    <row r="7191" spans="3:19">
      <c r="C7191" s="165"/>
      <c r="D7191" s="165"/>
      <c r="E7191" s="166"/>
      <c r="I7191" s="165"/>
      <c r="J7191" s="165"/>
      <c r="K7191" s="166"/>
      <c r="Q7191" s="166"/>
      <c r="R7191" s="166"/>
      <c r="S7191" s="166"/>
    </row>
    <row r="7192" spans="3:19">
      <c r="C7192" s="165"/>
      <c r="D7192" s="165"/>
      <c r="E7192" s="166"/>
      <c r="I7192" s="165"/>
      <c r="J7192" s="165"/>
      <c r="K7192" s="166"/>
      <c r="Q7192" s="166"/>
      <c r="R7192" s="166"/>
      <c r="S7192" s="166"/>
    </row>
    <row r="7193" spans="3:19">
      <c r="C7193" s="165"/>
      <c r="D7193" s="165"/>
      <c r="E7193" s="166"/>
      <c r="I7193" s="165"/>
      <c r="J7193" s="165"/>
      <c r="K7193" s="166"/>
      <c r="Q7193" s="166"/>
      <c r="R7193" s="166"/>
      <c r="S7193" s="166"/>
    </row>
    <row r="7194" spans="3:19">
      <c r="C7194" s="165"/>
      <c r="D7194" s="165"/>
      <c r="E7194" s="166"/>
      <c r="I7194" s="165"/>
      <c r="J7194" s="165"/>
      <c r="K7194" s="166"/>
      <c r="Q7194" s="166"/>
      <c r="R7194" s="166"/>
      <c r="S7194" s="166"/>
    </row>
    <row r="7195" spans="3:19">
      <c r="C7195" s="165"/>
      <c r="D7195" s="165"/>
      <c r="E7195" s="166"/>
      <c r="I7195" s="165"/>
      <c r="J7195" s="165"/>
      <c r="K7195" s="166"/>
      <c r="Q7195" s="166"/>
      <c r="R7195" s="166"/>
      <c r="S7195" s="166"/>
    </row>
    <row r="7196" spans="3:19">
      <c r="C7196" s="165"/>
      <c r="D7196" s="165"/>
      <c r="E7196" s="166"/>
      <c r="I7196" s="165"/>
      <c r="J7196" s="165"/>
      <c r="K7196" s="166"/>
      <c r="Q7196" s="166"/>
      <c r="R7196" s="166"/>
      <c r="S7196" s="166"/>
    </row>
    <row r="7197" spans="3:19">
      <c r="C7197" s="165"/>
      <c r="D7197" s="165"/>
      <c r="E7197" s="166"/>
      <c r="I7197" s="165"/>
      <c r="J7197" s="165"/>
      <c r="K7197" s="166"/>
      <c r="Q7197" s="166"/>
      <c r="R7197" s="166"/>
      <c r="S7197" s="166"/>
    </row>
    <row r="7198" spans="3:19">
      <c r="C7198" s="165"/>
      <c r="D7198" s="165"/>
      <c r="E7198" s="166"/>
      <c r="I7198" s="165"/>
      <c r="J7198" s="165"/>
      <c r="K7198" s="166"/>
      <c r="Q7198" s="166"/>
      <c r="R7198" s="166"/>
      <c r="S7198" s="166"/>
    </row>
    <row r="7199" spans="3:19">
      <c r="C7199" s="165"/>
      <c r="D7199" s="165"/>
      <c r="E7199" s="166"/>
      <c r="I7199" s="165"/>
      <c r="J7199" s="165"/>
      <c r="K7199" s="166"/>
      <c r="Q7199" s="166"/>
      <c r="R7199" s="166"/>
      <c r="S7199" s="166"/>
    </row>
    <row r="7200" spans="3:19">
      <c r="C7200" s="165"/>
      <c r="D7200" s="165"/>
      <c r="E7200" s="166"/>
      <c r="I7200" s="165"/>
      <c r="J7200" s="165"/>
      <c r="K7200" s="166"/>
      <c r="Q7200" s="166"/>
      <c r="R7200" s="166"/>
      <c r="S7200" s="166"/>
    </row>
    <row r="7201" spans="3:19">
      <c r="C7201" s="165"/>
      <c r="D7201" s="165"/>
      <c r="E7201" s="166"/>
      <c r="I7201" s="165"/>
      <c r="J7201" s="165"/>
      <c r="K7201" s="166"/>
      <c r="Q7201" s="166"/>
      <c r="R7201" s="166"/>
      <c r="S7201" s="166"/>
    </row>
    <row r="7202" spans="3:19">
      <c r="C7202" s="165"/>
      <c r="D7202" s="165"/>
      <c r="E7202" s="166"/>
      <c r="I7202" s="165"/>
      <c r="J7202" s="165"/>
      <c r="K7202" s="166"/>
      <c r="Q7202" s="166"/>
      <c r="R7202" s="166"/>
      <c r="S7202" s="166"/>
    </row>
    <row r="7203" spans="3:19">
      <c r="C7203" s="165"/>
      <c r="D7203" s="165"/>
      <c r="E7203" s="166"/>
      <c r="I7203" s="165"/>
      <c r="J7203" s="165"/>
      <c r="K7203" s="166"/>
      <c r="Q7203" s="166"/>
      <c r="R7203" s="166"/>
      <c r="S7203" s="166"/>
    </row>
    <row r="7204" spans="3:19">
      <c r="C7204" s="165"/>
      <c r="D7204" s="165"/>
      <c r="E7204" s="166"/>
      <c r="I7204" s="165"/>
      <c r="J7204" s="165"/>
      <c r="K7204" s="166"/>
      <c r="Q7204" s="166"/>
      <c r="R7204" s="166"/>
      <c r="S7204" s="166"/>
    </row>
    <row r="7205" spans="3:19">
      <c r="C7205" s="165"/>
      <c r="D7205" s="165"/>
      <c r="E7205" s="166"/>
      <c r="I7205" s="165"/>
      <c r="J7205" s="165"/>
      <c r="K7205" s="166"/>
      <c r="Q7205" s="166"/>
      <c r="R7205" s="166"/>
      <c r="S7205" s="166"/>
    </row>
    <row r="7206" spans="3:19">
      <c r="C7206" s="165"/>
      <c r="D7206" s="165"/>
      <c r="E7206" s="166"/>
      <c r="I7206" s="165"/>
      <c r="J7206" s="165"/>
      <c r="K7206" s="166"/>
      <c r="Q7206" s="166"/>
      <c r="R7206" s="166"/>
      <c r="S7206" s="166"/>
    </row>
    <row r="7207" spans="3:19">
      <c r="C7207" s="165"/>
      <c r="D7207" s="165"/>
      <c r="E7207" s="166"/>
      <c r="I7207" s="165"/>
      <c r="J7207" s="165"/>
      <c r="K7207" s="166"/>
      <c r="Q7207" s="166"/>
      <c r="R7207" s="166"/>
      <c r="S7207" s="166"/>
    </row>
    <row r="7208" spans="3:19">
      <c r="C7208" s="165"/>
      <c r="D7208" s="165"/>
      <c r="E7208" s="166"/>
      <c r="I7208" s="165"/>
      <c r="J7208" s="165"/>
      <c r="K7208" s="166"/>
      <c r="Q7208" s="166"/>
      <c r="R7208" s="166"/>
      <c r="S7208" s="166"/>
    </row>
    <row r="7209" spans="3:19">
      <c r="C7209" s="165"/>
      <c r="D7209" s="165"/>
      <c r="E7209" s="166"/>
      <c r="I7209" s="165"/>
      <c r="J7209" s="165"/>
      <c r="K7209" s="166"/>
      <c r="Q7209" s="166"/>
      <c r="R7209" s="166"/>
      <c r="S7209" s="166"/>
    </row>
    <row r="7210" spans="3:19">
      <c r="C7210" s="165"/>
      <c r="D7210" s="165"/>
      <c r="E7210" s="166"/>
      <c r="I7210" s="165"/>
      <c r="J7210" s="165"/>
      <c r="K7210" s="166"/>
      <c r="Q7210" s="166"/>
      <c r="R7210" s="166"/>
      <c r="S7210" s="166"/>
    </row>
    <row r="7211" spans="3:19">
      <c r="C7211" s="165"/>
      <c r="D7211" s="165"/>
      <c r="E7211" s="166"/>
      <c r="I7211" s="165"/>
      <c r="J7211" s="165"/>
      <c r="K7211" s="166"/>
      <c r="Q7211" s="166"/>
      <c r="R7211" s="166"/>
      <c r="S7211" s="166"/>
    </row>
    <row r="7212" spans="3:19">
      <c r="C7212" s="165"/>
      <c r="D7212" s="165"/>
      <c r="E7212" s="166"/>
      <c r="I7212" s="165"/>
      <c r="J7212" s="165"/>
      <c r="K7212" s="166"/>
      <c r="Q7212" s="166"/>
      <c r="R7212" s="166"/>
      <c r="S7212" s="166"/>
    </row>
    <row r="7213" spans="3:19">
      <c r="C7213" s="165"/>
      <c r="D7213" s="165"/>
      <c r="E7213" s="166"/>
      <c r="I7213" s="165"/>
      <c r="J7213" s="165"/>
      <c r="K7213" s="166"/>
      <c r="Q7213" s="166"/>
      <c r="R7213" s="166"/>
      <c r="S7213" s="166"/>
    </row>
    <row r="7214" spans="3:19">
      <c r="C7214" s="165"/>
      <c r="D7214" s="165"/>
      <c r="E7214" s="166"/>
      <c r="I7214" s="165"/>
      <c r="J7214" s="165"/>
      <c r="K7214" s="166"/>
      <c r="Q7214" s="166"/>
      <c r="R7214" s="166"/>
      <c r="S7214" s="166"/>
    </row>
    <row r="7215" spans="3:19">
      <c r="C7215" s="165"/>
      <c r="D7215" s="165"/>
      <c r="E7215" s="166"/>
      <c r="I7215" s="165"/>
      <c r="J7215" s="165"/>
      <c r="K7215" s="166"/>
      <c r="Q7215" s="166"/>
      <c r="R7215" s="166"/>
      <c r="S7215" s="166"/>
    </row>
    <row r="7216" spans="3:19">
      <c r="C7216" s="165"/>
      <c r="D7216" s="165"/>
      <c r="E7216" s="166"/>
      <c r="I7216" s="165"/>
      <c r="J7216" s="165"/>
      <c r="K7216" s="166"/>
      <c r="Q7216" s="166"/>
      <c r="R7216" s="166"/>
      <c r="S7216" s="166"/>
    </row>
    <row r="7217" spans="3:19">
      <c r="C7217" s="165"/>
      <c r="D7217" s="165"/>
      <c r="E7217" s="166"/>
      <c r="I7217" s="165"/>
      <c r="J7217" s="165"/>
      <c r="K7217" s="166"/>
      <c r="Q7217" s="166"/>
      <c r="R7217" s="166"/>
      <c r="S7217" s="166"/>
    </row>
    <row r="7218" spans="3:19">
      <c r="C7218" s="165"/>
      <c r="D7218" s="165"/>
      <c r="E7218" s="166"/>
      <c r="I7218" s="165"/>
      <c r="J7218" s="165"/>
      <c r="K7218" s="166"/>
      <c r="Q7218" s="166"/>
      <c r="R7218" s="166"/>
      <c r="S7218" s="166"/>
    </row>
    <row r="7219" spans="3:19">
      <c r="C7219" s="165"/>
      <c r="D7219" s="165"/>
      <c r="E7219" s="166"/>
      <c r="I7219" s="165"/>
      <c r="J7219" s="165"/>
      <c r="K7219" s="166"/>
      <c r="Q7219" s="166"/>
      <c r="R7219" s="166"/>
      <c r="S7219" s="166"/>
    </row>
    <row r="7220" spans="3:19">
      <c r="C7220" s="165"/>
      <c r="D7220" s="165"/>
      <c r="E7220" s="166"/>
      <c r="I7220" s="165"/>
      <c r="J7220" s="165"/>
      <c r="K7220" s="166"/>
      <c r="Q7220" s="166"/>
      <c r="R7220" s="166"/>
      <c r="S7220" s="166"/>
    </row>
    <row r="7221" spans="3:19">
      <c r="C7221" s="165"/>
      <c r="D7221" s="165"/>
      <c r="E7221" s="166"/>
      <c r="I7221" s="165"/>
      <c r="J7221" s="165"/>
      <c r="K7221" s="166"/>
      <c r="Q7221" s="166"/>
      <c r="R7221" s="166"/>
      <c r="S7221" s="166"/>
    </row>
    <row r="7222" spans="3:19">
      <c r="C7222" s="165"/>
      <c r="D7222" s="165"/>
      <c r="E7222" s="166"/>
      <c r="I7222" s="165"/>
      <c r="J7222" s="165"/>
      <c r="K7222" s="166"/>
      <c r="Q7222" s="166"/>
      <c r="R7222" s="166"/>
      <c r="S7222" s="166"/>
    </row>
    <row r="7223" spans="3:19">
      <c r="C7223" s="165"/>
      <c r="D7223" s="165"/>
      <c r="E7223" s="166"/>
      <c r="I7223" s="165"/>
      <c r="J7223" s="165"/>
      <c r="K7223" s="166"/>
      <c r="Q7223" s="166"/>
      <c r="R7223" s="166"/>
      <c r="S7223" s="166"/>
    </row>
    <row r="7224" spans="3:19">
      <c r="C7224" s="165"/>
      <c r="D7224" s="165"/>
      <c r="E7224" s="166"/>
      <c r="I7224" s="165"/>
      <c r="J7224" s="165"/>
      <c r="K7224" s="166"/>
      <c r="Q7224" s="166"/>
      <c r="R7224" s="166"/>
      <c r="S7224" s="166"/>
    </row>
    <row r="7225" spans="3:19">
      <c r="C7225" s="165"/>
      <c r="D7225" s="165"/>
      <c r="E7225" s="166"/>
      <c r="J7225" s="165"/>
      <c r="K7225" s="166"/>
      <c r="Q7225" s="166"/>
      <c r="R7225" s="166"/>
      <c r="S7225" s="166"/>
    </row>
    <row r="7226" spans="3:19">
      <c r="C7226" s="165"/>
      <c r="D7226" s="165"/>
      <c r="E7226" s="166"/>
      <c r="I7226" s="165"/>
      <c r="J7226" s="165"/>
      <c r="K7226" s="166"/>
      <c r="Q7226" s="166"/>
      <c r="R7226" s="166"/>
      <c r="S7226" s="166"/>
    </row>
    <row r="7227" spans="3:19">
      <c r="C7227" s="165"/>
      <c r="D7227" s="165"/>
      <c r="E7227" s="166"/>
      <c r="I7227" s="165"/>
      <c r="J7227" s="165"/>
      <c r="K7227" s="166"/>
      <c r="Q7227" s="166"/>
      <c r="R7227" s="166"/>
      <c r="S7227" s="166"/>
    </row>
    <row r="7228" spans="3:19">
      <c r="C7228" s="165"/>
      <c r="D7228" s="165"/>
      <c r="E7228" s="166"/>
      <c r="I7228" s="165"/>
      <c r="J7228" s="165"/>
      <c r="K7228" s="166"/>
      <c r="Q7228" s="166"/>
      <c r="R7228" s="166"/>
      <c r="S7228" s="166"/>
    </row>
    <row r="7229" spans="3:19">
      <c r="C7229" s="165"/>
      <c r="D7229" s="165"/>
      <c r="E7229" s="166"/>
      <c r="I7229" s="165"/>
      <c r="K7229" s="166"/>
      <c r="Q7229" s="166"/>
      <c r="R7229" s="166"/>
      <c r="S7229" s="166"/>
    </row>
    <row r="7230" spans="3:19">
      <c r="C7230" s="165"/>
      <c r="D7230" s="165"/>
      <c r="E7230" s="166"/>
      <c r="I7230" s="165"/>
      <c r="J7230" s="165"/>
      <c r="K7230" s="166"/>
      <c r="Q7230" s="166"/>
      <c r="R7230" s="166"/>
      <c r="S7230" s="166"/>
    </row>
    <row r="7231" spans="3:19">
      <c r="C7231" s="165"/>
      <c r="D7231" s="165"/>
      <c r="E7231" s="166"/>
      <c r="I7231" s="165"/>
      <c r="J7231" s="165"/>
      <c r="K7231" s="166"/>
      <c r="Q7231" s="166"/>
      <c r="R7231" s="166"/>
      <c r="S7231" s="166"/>
    </row>
    <row r="7232" spans="3:19">
      <c r="C7232" s="165"/>
      <c r="D7232" s="165"/>
      <c r="E7232" s="166"/>
      <c r="I7232" s="165"/>
      <c r="J7232" s="165"/>
      <c r="K7232" s="166"/>
      <c r="Q7232" s="166"/>
      <c r="R7232" s="166"/>
      <c r="S7232" s="166"/>
    </row>
    <row r="7233" spans="3:19">
      <c r="C7233" s="165"/>
      <c r="D7233" s="165"/>
      <c r="E7233" s="166"/>
      <c r="I7233" s="165"/>
      <c r="J7233" s="165"/>
      <c r="K7233" s="166"/>
      <c r="Q7233" s="166"/>
      <c r="R7233" s="166"/>
      <c r="S7233" s="166"/>
    </row>
    <row r="7234" spans="3:19">
      <c r="C7234" s="165"/>
      <c r="D7234" s="165"/>
      <c r="E7234" s="166"/>
      <c r="I7234" s="165"/>
      <c r="J7234" s="165"/>
      <c r="K7234" s="166"/>
      <c r="Q7234" s="166"/>
      <c r="R7234" s="166"/>
      <c r="S7234" s="166"/>
    </row>
    <row r="7235" spans="3:19">
      <c r="C7235" s="165"/>
      <c r="D7235" s="165"/>
      <c r="E7235" s="166"/>
      <c r="I7235" s="165"/>
      <c r="J7235" s="165"/>
      <c r="K7235" s="166"/>
      <c r="Q7235" s="166"/>
      <c r="R7235" s="166"/>
      <c r="S7235" s="166"/>
    </row>
    <row r="7236" spans="3:19">
      <c r="C7236" s="165"/>
      <c r="D7236" s="165"/>
      <c r="E7236" s="166"/>
      <c r="I7236" s="165"/>
      <c r="J7236" s="165"/>
      <c r="K7236" s="166"/>
      <c r="Q7236" s="166"/>
      <c r="R7236" s="166"/>
      <c r="S7236" s="166"/>
    </row>
    <row r="7237" spans="3:19">
      <c r="C7237" s="165"/>
      <c r="D7237" s="165"/>
      <c r="E7237" s="166"/>
      <c r="I7237" s="165"/>
      <c r="J7237" s="165"/>
      <c r="K7237" s="166"/>
      <c r="Q7237" s="166"/>
      <c r="R7237" s="166"/>
      <c r="S7237" s="166"/>
    </row>
    <row r="7238" spans="3:19">
      <c r="C7238" s="165"/>
      <c r="D7238" s="165"/>
      <c r="E7238" s="166"/>
      <c r="I7238" s="165"/>
      <c r="J7238" s="165"/>
      <c r="K7238" s="166"/>
      <c r="Q7238" s="166"/>
      <c r="R7238" s="166"/>
      <c r="S7238" s="166"/>
    </row>
    <row r="7239" spans="3:19">
      <c r="C7239" s="165"/>
      <c r="D7239" s="165"/>
      <c r="E7239" s="166"/>
      <c r="I7239" s="165"/>
      <c r="J7239" s="165"/>
      <c r="K7239" s="166"/>
      <c r="Q7239" s="166"/>
      <c r="R7239" s="166"/>
      <c r="S7239" s="166"/>
    </row>
    <row r="7240" spans="3:19">
      <c r="C7240" s="165"/>
      <c r="D7240" s="165"/>
      <c r="E7240" s="166"/>
      <c r="I7240" s="165"/>
      <c r="J7240" s="165"/>
      <c r="K7240" s="166"/>
      <c r="Q7240" s="166"/>
      <c r="R7240" s="166"/>
      <c r="S7240" s="166"/>
    </row>
    <row r="7241" spans="3:19">
      <c r="C7241" s="165"/>
      <c r="D7241" s="165"/>
      <c r="E7241" s="166"/>
      <c r="I7241" s="165"/>
      <c r="J7241" s="165"/>
      <c r="K7241" s="166"/>
      <c r="Q7241" s="166"/>
      <c r="R7241" s="166"/>
      <c r="S7241" s="166"/>
    </row>
    <row r="7242" spans="3:19">
      <c r="C7242" s="165"/>
      <c r="D7242" s="165"/>
      <c r="E7242" s="166"/>
      <c r="I7242" s="165"/>
      <c r="J7242" s="165"/>
      <c r="K7242" s="166"/>
      <c r="Q7242" s="166"/>
      <c r="R7242" s="166"/>
      <c r="S7242" s="166"/>
    </row>
    <row r="7243" spans="3:19">
      <c r="C7243" s="165"/>
      <c r="D7243" s="165"/>
      <c r="E7243" s="166"/>
      <c r="I7243" s="165"/>
      <c r="J7243" s="165"/>
      <c r="K7243" s="166"/>
      <c r="Q7243" s="166"/>
      <c r="R7243" s="166"/>
      <c r="S7243" s="166"/>
    </row>
    <row r="7244" spans="3:19">
      <c r="C7244" s="165"/>
      <c r="D7244" s="165"/>
      <c r="E7244" s="166"/>
      <c r="I7244" s="165"/>
      <c r="J7244" s="165"/>
      <c r="K7244" s="166"/>
      <c r="Q7244" s="166"/>
      <c r="R7244" s="166"/>
      <c r="S7244" s="166"/>
    </row>
    <row r="7245" spans="3:19">
      <c r="C7245" s="165"/>
      <c r="D7245" s="165"/>
      <c r="E7245" s="166"/>
      <c r="I7245" s="165"/>
      <c r="J7245" s="165"/>
      <c r="K7245" s="166"/>
      <c r="Q7245" s="166"/>
      <c r="R7245" s="166"/>
      <c r="S7245" s="166"/>
    </row>
    <row r="7246" spans="3:19">
      <c r="C7246" s="165"/>
      <c r="D7246" s="165"/>
      <c r="E7246" s="166"/>
      <c r="I7246" s="165"/>
      <c r="J7246" s="165"/>
      <c r="K7246" s="166"/>
      <c r="Q7246" s="166"/>
      <c r="R7246" s="166"/>
      <c r="S7246" s="166"/>
    </row>
    <row r="7247" spans="3:19">
      <c r="C7247" s="165"/>
      <c r="D7247" s="165"/>
      <c r="E7247" s="166"/>
      <c r="I7247" s="165"/>
      <c r="J7247" s="165"/>
      <c r="K7247" s="166"/>
      <c r="Q7247" s="166"/>
      <c r="R7247" s="166"/>
      <c r="S7247" s="166"/>
    </row>
    <row r="7248" spans="3:19">
      <c r="C7248" s="165"/>
      <c r="D7248" s="165"/>
      <c r="E7248" s="166"/>
      <c r="I7248" s="165"/>
      <c r="J7248" s="165"/>
      <c r="K7248" s="166"/>
      <c r="Q7248" s="166"/>
      <c r="R7248" s="166"/>
      <c r="S7248" s="166"/>
    </row>
    <row r="7249" spans="3:19">
      <c r="C7249" s="165"/>
      <c r="D7249" s="165"/>
      <c r="E7249" s="166"/>
      <c r="I7249" s="165"/>
      <c r="J7249" s="165"/>
      <c r="K7249" s="166"/>
      <c r="Q7249" s="166"/>
      <c r="R7249" s="166"/>
      <c r="S7249" s="166"/>
    </row>
    <row r="7250" spans="3:19">
      <c r="C7250" s="165"/>
      <c r="D7250" s="165"/>
      <c r="E7250" s="166"/>
      <c r="I7250" s="165"/>
      <c r="J7250" s="165"/>
      <c r="K7250" s="166"/>
      <c r="Q7250" s="166"/>
      <c r="R7250" s="166"/>
      <c r="S7250" s="166"/>
    </row>
    <row r="7251" spans="3:19">
      <c r="C7251" s="165"/>
      <c r="D7251" s="165"/>
      <c r="E7251" s="166"/>
      <c r="I7251" s="165"/>
      <c r="J7251" s="165"/>
      <c r="K7251" s="166"/>
      <c r="Q7251" s="166"/>
      <c r="R7251" s="166"/>
      <c r="S7251" s="166"/>
    </row>
    <row r="7252" spans="3:19">
      <c r="C7252" s="165"/>
      <c r="D7252" s="165"/>
      <c r="E7252" s="166"/>
      <c r="I7252" s="165"/>
      <c r="J7252" s="165"/>
      <c r="K7252" s="166"/>
      <c r="Q7252" s="166"/>
      <c r="R7252" s="166"/>
      <c r="S7252" s="166"/>
    </row>
    <row r="7253" spans="3:19">
      <c r="C7253" s="165"/>
      <c r="D7253" s="165"/>
      <c r="E7253" s="166"/>
      <c r="I7253" s="165"/>
      <c r="J7253" s="165"/>
      <c r="K7253" s="166"/>
      <c r="Q7253" s="166"/>
      <c r="R7253" s="166"/>
      <c r="S7253" s="166"/>
    </row>
    <row r="7254" spans="3:19">
      <c r="C7254" s="165"/>
      <c r="D7254" s="165"/>
      <c r="E7254" s="166"/>
      <c r="I7254" s="165"/>
      <c r="J7254" s="165"/>
      <c r="K7254" s="166"/>
      <c r="Q7254" s="166"/>
      <c r="R7254" s="166"/>
      <c r="S7254" s="166"/>
    </row>
    <row r="7255" spans="3:19">
      <c r="C7255" s="165"/>
      <c r="D7255" s="165"/>
      <c r="E7255" s="166"/>
      <c r="I7255" s="165"/>
      <c r="J7255" s="165"/>
      <c r="K7255" s="166"/>
      <c r="Q7255" s="166"/>
      <c r="R7255" s="166"/>
      <c r="S7255" s="166"/>
    </row>
    <row r="7256" spans="3:19">
      <c r="C7256" s="165"/>
      <c r="D7256" s="165"/>
      <c r="E7256" s="166"/>
      <c r="I7256" s="165"/>
      <c r="J7256" s="165"/>
      <c r="K7256" s="166"/>
      <c r="Q7256" s="166"/>
      <c r="R7256" s="166"/>
      <c r="S7256" s="166"/>
    </row>
    <row r="7257" spans="3:19">
      <c r="C7257" s="165"/>
      <c r="D7257" s="165"/>
      <c r="E7257" s="166"/>
      <c r="I7257" s="165"/>
      <c r="J7257" s="165"/>
      <c r="K7257" s="166"/>
      <c r="Q7257" s="166"/>
      <c r="R7257" s="166"/>
      <c r="S7257" s="166"/>
    </row>
    <row r="7258" spans="3:19">
      <c r="C7258" s="165"/>
      <c r="D7258" s="165"/>
      <c r="E7258" s="166"/>
      <c r="K7258" s="166"/>
      <c r="Q7258" s="166"/>
      <c r="R7258" s="166"/>
      <c r="S7258" s="166"/>
    </row>
    <row r="7259" spans="3:19">
      <c r="C7259" s="165"/>
      <c r="D7259" s="165"/>
      <c r="E7259" s="166"/>
      <c r="I7259" s="165"/>
      <c r="J7259" s="165"/>
      <c r="K7259" s="166"/>
      <c r="Q7259" s="166"/>
      <c r="R7259" s="166"/>
      <c r="S7259" s="166"/>
    </row>
    <row r="7260" spans="3:19">
      <c r="C7260" s="165"/>
      <c r="D7260" s="165"/>
      <c r="E7260" s="166"/>
      <c r="I7260" s="165"/>
      <c r="J7260" s="165"/>
      <c r="K7260" s="166"/>
      <c r="Q7260" s="166"/>
      <c r="R7260" s="166"/>
      <c r="S7260" s="166"/>
    </row>
    <row r="7261" spans="3:19">
      <c r="C7261" s="165"/>
      <c r="D7261" s="165"/>
      <c r="E7261" s="166"/>
      <c r="I7261" s="165"/>
      <c r="J7261" s="165"/>
      <c r="K7261" s="166"/>
      <c r="Q7261" s="166"/>
      <c r="R7261" s="166"/>
      <c r="S7261" s="166"/>
    </row>
    <row r="7262" spans="3:19">
      <c r="C7262" s="165"/>
      <c r="D7262" s="165"/>
      <c r="E7262" s="166"/>
      <c r="I7262" s="165"/>
      <c r="J7262" s="165"/>
      <c r="K7262" s="166"/>
      <c r="Q7262" s="166"/>
      <c r="R7262" s="166"/>
      <c r="S7262" s="166"/>
    </row>
    <row r="7263" spans="3:19">
      <c r="C7263" s="165"/>
      <c r="D7263" s="165"/>
      <c r="E7263" s="166"/>
      <c r="I7263" s="165"/>
      <c r="J7263" s="165"/>
      <c r="K7263" s="166"/>
      <c r="Q7263" s="166"/>
      <c r="R7263" s="166"/>
      <c r="S7263" s="166"/>
    </row>
    <row r="7264" spans="3:19">
      <c r="C7264" s="165"/>
      <c r="D7264" s="165"/>
      <c r="E7264" s="166"/>
      <c r="I7264" s="165"/>
      <c r="J7264" s="165"/>
      <c r="K7264" s="166"/>
      <c r="Q7264" s="166"/>
      <c r="R7264" s="166"/>
      <c r="S7264" s="166"/>
    </row>
    <row r="7265" spans="3:19">
      <c r="C7265" s="165"/>
      <c r="D7265" s="165"/>
      <c r="E7265" s="166"/>
      <c r="I7265" s="165"/>
      <c r="J7265" s="165"/>
      <c r="K7265" s="166"/>
      <c r="Q7265" s="166"/>
      <c r="R7265" s="166"/>
      <c r="S7265" s="166"/>
    </row>
    <row r="7266" spans="3:19">
      <c r="C7266" s="165"/>
      <c r="D7266" s="165"/>
      <c r="E7266" s="166"/>
      <c r="I7266" s="165"/>
      <c r="J7266" s="165"/>
      <c r="K7266" s="166"/>
      <c r="Q7266" s="166"/>
      <c r="R7266" s="166"/>
      <c r="S7266" s="166"/>
    </row>
    <row r="7267" spans="3:19">
      <c r="C7267" s="165"/>
      <c r="D7267" s="165"/>
      <c r="E7267" s="166"/>
      <c r="I7267" s="165"/>
      <c r="J7267" s="165"/>
      <c r="K7267" s="166"/>
      <c r="Q7267" s="166"/>
      <c r="R7267" s="166"/>
      <c r="S7267" s="166"/>
    </row>
    <row r="7268" spans="3:19">
      <c r="C7268" s="165"/>
      <c r="D7268" s="165"/>
      <c r="E7268" s="166"/>
      <c r="I7268" s="165"/>
      <c r="J7268" s="165"/>
      <c r="K7268" s="166"/>
      <c r="Q7268" s="166"/>
      <c r="R7268" s="166"/>
      <c r="S7268" s="166"/>
    </row>
    <row r="7269" spans="3:19">
      <c r="C7269" s="165"/>
      <c r="D7269" s="165"/>
      <c r="E7269" s="166"/>
      <c r="I7269" s="165"/>
      <c r="J7269" s="165"/>
      <c r="K7269" s="166"/>
      <c r="Q7269" s="166"/>
      <c r="R7269" s="166"/>
      <c r="S7269" s="166"/>
    </row>
    <row r="7270" spans="3:19">
      <c r="C7270" s="165"/>
      <c r="D7270" s="165"/>
      <c r="E7270" s="166"/>
      <c r="I7270" s="165"/>
      <c r="J7270" s="165"/>
      <c r="K7270" s="166"/>
      <c r="Q7270" s="166"/>
      <c r="R7270" s="166"/>
      <c r="S7270" s="166"/>
    </row>
    <row r="7271" spans="3:19">
      <c r="C7271" s="165"/>
      <c r="D7271" s="165"/>
      <c r="E7271" s="166"/>
      <c r="I7271" s="165"/>
      <c r="J7271" s="165"/>
      <c r="K7271" s="166"/>
      <c r="Q7271" s="166"/>
      <c r="R7271" s="166"/>
      <c r="S7271" s="166"/>
    </row>
    <row r="7272" spans="3:19">
      <c r="C7272" s="165"/>
      <c r="D7272" s="165"/>
      <c r="E7272" s="166"/>
      <c r="I7272" s="165"/>
      <c r="J7272" s="165"/>
      <c r="K7272" s="166"/>
      <c r="Q7272" s="166"/>
      <c r="R7272" s="166"/>
      <c r="S7272" s="166"/>
    </row>
    <row r="7273" spans="3:19">
      <c r="C7273" s="165"/>
      <c r="D7273" s="165"/>
      <c r="E7273" s="166"/>
      <c r="I7273" s="165"/>
      <c r="J7273" s="165"/>
      <c r="K7273" s="166"/>
      <c r="Q7273" s="166"/>
      <c r="R7273" s="166"/>
      <c r="S7273" s="166"/>
    </row>
    <row r="7274" spans="3:19">
      <c r="C7274" s="165"/>
      <c r="D7274" s="165"/>
      <c r="E7274" s="166"/>
      <c r="I7274" s="165"/>
      <c r="J7274" s="165"/>
      <c r="K7274" s="166"/>
      <c r="Q7274" s="166"/>
      <c r="R7274" s="166"/>
      <c r="S7274" s="166"/>
    </row>
    <row r="7275" spans="3:19">
      <c r="C7275" s="165"/>
      <c r="D7275" s="165"/>
      <c r="E7275" s="166"/>
      <c r="I7275" s="165"/>
      <c r="J7275" s="165"/>
      <c r="K7275" s="166"/>
      <c r="Q7275" s="166"/>
      <c r="R7275" s="166"/>
      <c r="S7275" s="166"/>
    </row>
    <row r="7276" spans="3:19">
      <c r="C7276" s="165"/>
      <c r="D7276" s="165"/>
      <c r="E7276" s="166"/>
      <c r="I7276" s="165"/>
      <c r="J7276" s="165"/>
      <c r="K7276" s="166"/>
      <c r="Q7276" s="166"/>
      <c r="R7276" s="166"/>
      <c r="S7276" s="166"/>
    </row>
    <row r="7277" spans="3:19">
      <c r="C7277" s="165"/>
      <c r="D7277" s="165"/>
      <c r="E7277" s="166"/>
      <c r="I7277" s="165"/>
      <c r="J7277" s="165"/>
      <c r="K7277" s="166"/>
      <c r="Q7277" s="166"/>
      <c r="R7277" s="166"/>
      <c r="S7277" s="166"/>
    </row>
    <row r="7278" spans="3:19">
      <c r="C7278" s="165"/>
      <c r="D7278" s="165"/>
      <c r="E7278" s="166"/>
      <c r="I7278" s="165"/>
      <c r="J7278" s="165"/>
      <c r="K7278" s="166"/>
      <c r="Q7278" s="166"/>
      <c r="R7278" s="166"/>
      <c r="S7278" s="166"/>
    </row>
    <row r="7279" spans="3:19">
      <c r="C7279" s="165"/>
      <c r="D7279" s="165"/>
      <c r="E7279" s="166"/>
      <c r="I7279" s="165"/>
      <c r="J7279" s="165"/>
      <c r="K7279" s="166"/>
      <c r="Q7279" s="166"/>
      <c r="R7279" s="166"/>
      <c r="S7279" s="166"/>
    </row>
    <row r="7280" spans="3:19">
      <c r="C7280" s="165"/>
      <c r="D7280" s="165"/>
      <c r="E7280" s="166"/>
      <c r="I7280" s="165"/>
      <c r="J7280" s="165"/>
      <c r="K7280" s="166"/>
      <c r="Q7280" s="166"/>
      <c r="R7280" s="166"/>
      <c r="S7280" s="166"/>
    </row>
    <row r="7281" spans="3:19">
      <c r="C7281" s="165"/>
      <c r="D7281" s="165"/>
      <c r="E7281" s="166"/>
      <c r="I7281" s="165"/>
      <c r="J7281" s="165"/>
      <c r="K7281" s="166"/>
      <c r="Q7281" s="166"/>
      <c r="R7281" s="166"/>
      <c r="S7281" s="166"/>
    </row>
    <row r="7282" spans="3:19">
      <c r="C7282" s="165"/>
      <c r="D7282" s="165"/>
      <c r="E7282" s="166"/>
      <c r="I7282" s="165"/>
      <c r="J7282" s="165"/>
      <c r="K7282" s="166"/>
      <c r="Q7282" s="166"/>
      <c r="R7282" s="166"/>
      <c r="S7282" s="166"/>
    </row>
    <row r="7283" spans="3:19">
      <c r="C7283" s="165"/>
      <c r="D7283" s="165"/>
      <c r="E7283" s="166"/>
      <c r="I7283" s="165"/>
      <c r="J7283" s="165"/>
      <c r="K7283" s="166"/>
      <c r="Q7283" s="166"/>
      <c r="R7283" s="166"/>
      <c r="S7283" s="166"/>
    </row>
    <row r="7284" spans="3:19">
      <c r="C7284" s="165"/>
      <c r="D7284" s="165"/>
      <c r="E7284" s="166"/>
      <c r="I7284" s="165"/>
      <c r="J7284" s="165"/>
      <c r="K7284" s="166"/>
      <c r="Q7284" s="166"/>
      <c r="R7284" s="166"/>
      <c r="S7284" s="166"/>
    </row>
    <row r="7285" spans="3:19">
      <c r="C7285" s="165"/>
      <c r="D7285" s="165"/>
      <c r="E7285" s="166"/>
      <c r="I7285" s="165"/>
      <c r="J7285" s="165"/>
      <c r="K7285" s="166"/>
      <c r="Q7285" s="166"/>
      <c r="R7285" s="166"/>
      <c r="S7285" s="166"/>
    </row>
    <row r="7286" spans="3:19">
      <c r="C7286" s="165"/>
      <c r="D7286" s="165"/>
      <c r="E7286" s="166"/>
      <c r="I7286" s="165"/>
      <c r="J7286" s="165"/>
      <c r="K7286" s="166"/>
      <c r="Q7286" s="166"/>
      <c r="R7286" s="166"/>
      <c r="S7286" s="166"/>
    </row>
    <row r="7287" spans="3:19">
      <c r="C7287" s="165"/>
      <c r="D7287" s="165"/>
      <c r="E7287" s="166"/>
      <c r="I7287" s="165"/>
      <c r="J7287" s="165"/>
      <c r="K7287" s="166"/>
      <c r="Q7287" s="166"/>
      <c r="R7287" s="166"/>
      <c r="S7287" s="166"/>
    </row>
    <row r="7288" spans="3:19">
      <c r="C7288" s="165"/>
      <c r="D7288" s="165"/>
      <c r="E7288" s="166"/>
      <c r="I7288" s="165"/>
      <c r="J7288" s="165"/>
      <c r="K7288" s="166"/>
      <c r="Q7288" s="166"/>
      <c r="R7288" s="166"/>
      <c r="S7288" s="166"/>
    </row>
    <row r="7289" spans="3:19">
      <c r="C7289" s="165"/>
      <c r="D7289" s="165"/>
      <c r="E7289" s="166"/>
      <c r="I7289" s="165"/>
      <c r="J7289" s="165"/>
      <c r="K7289" s="166"/>
      <c r="Q7289" s="166"/>
      <c r="R7289" s="166"/>
      <c r="S7289" s="166"/>
    </row>
    <row r="7290" spans="3:19">
      <c r="C7290" s="165"/>
      <c r="D7290" s="165"/>
      <c r="E7290" s="166"/>
      <c r="I7290" s="165"/>
      <c r="J7290" s="165"/>
      <c r="K7290" s="166"/>
      <c r="Q7290" s="166"/>
      <c r="R7290" s="166"/>
      <c r="S7290" s="166"/>
    </row>
    <row r="7291" spans="3:19">
      <c r="C7291" s="165"/>
      <c r="D7291" s="165"/>
      <c r="E7291" s="166"/>
      <c r="I7291" s="165"/>
      <c r="J7291" s="165"/>
      <c r="K7291" s="166"/>
      <c r="Q7291" s="166"/>
      <c r="R7291" s="166"/>
      <c r="S7291" s="166"/>
    </row>
    <row r="7292" spans="3:19">
      <c r="C7292" s="165"/>
      <c r="D7292" s="165"/>
      <c r="E7292" s="166"/>
      <c r="I7292" s="165"/>
      <c r="J7292" s="165"/>
      <c r="K7292" s="166"/>
      <c r="Q7292" s="166"/>
      <c r="R7292" s="166"/>
      <c r="S7292" s="166"/>
    </row>
    <row r="7293" spans="3:19">
      <c r="C7293" s="165"/>
      <c r="D7293" s="165"/>
      <c r="E7293" s="166"/>
      <c r="I7293" s="165"/>
      <c r="J7293" s="165"/>
      <c r="K7293" s="166"/>
      <c r="Q7293" s="166"/>
      <c r="R7293" s="166"/>
      <c r="S7293" s="166"/>
    </row>
    <row r="7294" spans="3:19">
      <c r="C7294" s="165"/>
      <c r="D7294" s="165"/>
      <c r="E7294" s="166"/>
      <c r="I7294" s="165"/>
      <c r="J7294" s="165"/>
      <c r="K7294" s="166"/>
      <c r="Q7294" s="166"/>
      <c r="R7294" s="166"/>
      <c r="S7294" s="166"/>
    </row>
    <row r="7295" spans="3:19">
      <c r="C7295" s="165"/>
      <c r="D7295" s="165"/>
      <c r="E7295" s="166"/>
      <c r="I7295" s="165"/>
      <c r="J7295" s="165"/>
      <c r="K7295" s="166"/>
      <c r="Q7295" s="166"/>
      <c r="R7295" s="166"/>
      <c r="S7295" s="166"/>
    </row>
    <row r="7296" spans="3:19">
      <c r="C7296" s="165"/>
      <c r="D7296" s="165"/>
      <c r="E7296" s="166"/>
      <c r="I7296" s="165"/>
      <c r="J7296" s="165"/>
      <c r="K7296" s="166"/>
      <c r="Q7296" s="166"/>
      <c r="R7296" s="166"/>
      <c r="S7296" s="166"/>
    </row>
    <row r="7297" spans="3:19">
      <c r="C7297" s="165"/>
      <c r="D7297" s="165"/>
      <c r="E7297" s="166"/>
      <c r="I7297" s="165"/>
      <c r="J7297" s="165"/>
      <c r="K7297" s="166"/>
      <c r="Q7297" s="166"/>
      <c r="R7297" s="166"/>
      <c r="S7297" s="166"/>
    </row>
    <row r="7298" spans="3:19">
      <c r="C7298" s="165"/>
      <c r="D7298" s="165"/>
      <c r="E7298" s="166"/>
      <c r="I7298" s="165"/>
      <c r="J7298" s="165"/>
      <c r="K7298" s="166"/>
      <c r="Q7298" s="166"/>
      <c r="R7298" s="166"/>
      <c r="S7298" s="166"/>
    </row>
    <row r="7299" spans="3:19">
      <c r="C7299" s="165"/>
      <c r="D7299" s="165"/>
      <c r="E7299" s="166"/>
      <c r="I7299" s="165"/>
      <c r="J7299" s="165"/>
      <c r="K7299" s="166"/>
      <c r="Q7299" s="166"/>
      <c r="R7299" s="166"/>
      <c r="S7299" s="166"/>
    </row>
    <row r="7300" spans="3:19">
      <c r="C7300" s="165"/>
      <c r="D7300" s="165"/>
      <c r="E7300" s="166"/>
      <c r="I7300" s="165"/>
      <c r="J7300" s="165"/>
      <c r="K7300" s="166"/>
      <c r="Q7300" s="166"/>
      <c r="R7300" s="166"/>
      <c r="S7300" s="166"/>
    </row>
    <row r="7301" spans="3:19">
      <c r="C7301" s="165"/>
      <c r="D7301" s="165"/>
      <c r="E7301" s="166"/>
      <c r="I7301" s="165"/>
      <c r="J7301" s="165"/>
      <c r="K7301" s="166"/>
      <c r="Q7301" s="166"/>
      <c r="R7301" s="166"/>
      <c r="S7301" s="166"/>
    </row>
    <row r="7302" spans="3:19">
      <c r="C7302" s="165"/>
      <c r="D7302" s="165"/>
      <c r="E7302" s="166"/>
      <c r="I7302" s="165"/>
      <c r="J7302" s="165"/>
      <c r="K7302" s="166"/>
      <c r="Q7302" s="166"/>
      <c r="R7302" s="166"/>
      <c r="S7302" s="166"/>
    </row>
    <row r="7303" spans="3:19">
      <c r="C7303" s="165"/>
      <c r="D7303" s="165"/>
      <c r="E7303" s="166"/>
      <c r="I7303" s="165"/>
      <c r="J7303" s="165"/>
      <c r="K7303" s="166"/>
      <c r="Q7303" s="166"/>
      <c r="R7303" s="166"/>
      <c r="S7303" s="166"/>
    </row>
    <row r="7304" spans="3:19">
      <c r="C7304" s="165"/>
      <c r="D7304" s="165"/>
      <c r="E7304" s="166"/>
      <c r="I7304" s="165"/>
      <c r="J7304" s="165"/>
      <c r="K7304" s="166"/>
      <c r="Q7304" s="166"/>
      <c r="R7304" s="166"/>
      <c r="S7304" s="166"/>
    </row>
    <row r="7305" spans="3:19">
      <c r="C7305" s="165"/>
      <c r="D7305" s="165"/>
      <c r="E7305" s="166"/>
      <c r="I7305" s="165"/>
      <c r="J7305" s="165"/>
      <c r="K7305" s="166"/>
      <c r="Q7305" s="166"/>
      <c r="R7305" s="166"/>
      <c r="S7305" s="166"/>
    </row>
    <row r="7306" spans="3:19">
      <c r="C7306" s="165"/>
      <c r="D7306" s="165"/>
      <c r="E7306" s="166"/>
      <c r="I7306" s="165"/>
      <c r="J7306" s="165"/>
      <c r="K7306" s="166"/>
      <c r="Q7306" s="166"/>
      <c r="R7306" s="166"/>
      <c r="S7306" s="166"/>
    </row>
    <row r="7307" spans="3:19">
      <c r="C7307" s="165"/>
      <c r="D7307" s="165"/>
      <c r="E7307" s="166"/>
      <c r="I7307" s="165"/>
      <c r="J7307" s="165"/>
      <c r="K7307" s="166"/>
      <c r="Q7307" s="166"/>
      <c r="R7307" s="166"/>
      <c r="S7307" s="166"/>
    </row>
    <row r="7308" spans="3:19">
      <c r="C7308" s="165"/>
      <c r="D7308" s="165"/>
      <c r="E7308" s="166"/>
      <c r="I7308" s="165"/>
      <c r="J7308" s="165"/>
      <c r="K7308" s="166"/>
      <c r="Q7308" s="166"/>
      <c r="R7308" s="166"/>
      <c r="S7308" s="166"/>
    </row>
    <row r="7309" spans="3:19">
      <c r="C7309" s="165"/>
      <c r="D7309" s="165"/>
      <c r="E7309" s="166"/>
      <c r="I7309" s="165"/>
      <c r="J7309" s="165"/>
      <c r="K7309" s="166"/>
      <c r="Q7309" s="166"/>
      <c r="R7309" s="166"/>
      <c r="S7309" s="166"/>
    </row>
    <row r="7310" spans="3:19">
      <c r="C7310" s="165"/>
      <c r="D7310" s="165"/>
      <c r="E7310" s="166"/>
      <c r="I7310" s="165"/>
      <c r="J7310" s="165"/>
      <c r="K7310" s="166"/>
      <c r="Q7310" s="166"/>
      <c r="R7310" s="166"/>
      <c r="S7310" s="166"/>
    </row>
    <row r="7311" spans="3:19">
      <c r="C7311" s="165"/>
      <c r="D7311" s="165"/>
      <c r="E7311" s="166"/>
      <c r="I7311" s="165"/>
      <c r="J7311" s="165"/>
      <c r="K7311" s="166"/>
      <c r="Q7311" s="166"/>
      <c r="R7311" s="166"/>
      <c r="S7311" s="166"/>
    </row>
    <row r="7312" spans="3:19">
      <c r="C7312" s="165"/>
      <c r="D7312" s="165"/>
      <c r="E7312" s="166"/>
      <c r="I7312" s="165"/>
      <c r="J7312" s="165"/>
      <c r="K7312" s="166"/>
      <c r="Q7312" s="166"/>
      <c r="R7312" s="166"/>
      <c r="S7312" s="166"/>
    </row>
    <row r="7313" spans="3:19">
      <c r="C7313" s="165"/>
      <c r="D7313" s="165"/>
      <c r="E7313" s="166"/>
      <c r="I7313" s="165"/>
      <c r="J7313" s="165"/>
      <c r="K7313" s="166"/>
      <c r="Q7313" s="166"/>
      <c r="R7313" s="166"/>
      <c r="S7313" s="166"/>
    </row>
    <row r="7314" spans="3:19">
      <c r="C7314" s="165"/>
      <c r="D7314" s="165"/>
      <c r="E7314" s="166"/>
      <c r="I7314" s="165"/>
      <c r="J7314" s="165"/>
      <c r="K7314" s="166"/>
      <c r="Q7314" s="166"/>
      <c r="R7314" s="166"/>
      <c r="S7314" s="166"/>
    </row>
    <row r="7315" spans="3:19">
      <c r="C7315" s="165"/>
      <c r="D7315" s="165"/>
      <c r="E7315" s="166"/>
      <c r="I7315" s="165"/>
      <c r="J7315" s="165"/>
      <c r="K7315" s="166"/>
      <c r="Q7315" s="166"/>
      <c r="R7315" s="166"/>
      <c r="S7315" s="166"/>
    </row>
    <row r="7316" spans="3:19">
      <c r="C7316" s="165"/>
      <c r="D7316" s="165"/>
      <c r="E7316" s="166"/>
      <c r="I7316" s="165"/>
      <c r="J7316" s="165"/>
      <c r="K7316" s="166"/>
      <c r="Q7316" s="166"/>
      <c r="R7316" s="166"/>
      <c r="S7316" s="166"/>
    </row>
    <row r="7317" spans="3:19">
      <c r="C7317" s="165"/>
      <c r="D7317" s="165"/>
      <c r="E7317" s="166"/>
      <c r="I7317" s="165"/>
      <c r="J7317" s="165"/>
      <c r="K7317" s="166"/>
      <c r="Q7317" s="166"/>
      <c r="R7317" s="166"/>
      <c r="S7317" s="166"/>
    </row>
    <row r="7318" spans="3:19">
      <c r="C7318" s="165"/>
      <c r="D7318" s="165"/>
      <c r="E7318" s="166"/>
      <c r="I7318" s="165"/>
      <c r="J7318" s="165"/>
      <c r="K7318" s="166"/>
      <c r="Q7318" s="166"/>
      <c r="R7318" s="166"/>
      <c r="S7318" s="166"/>
    </row>
    <row r="7319" spans="3:19">
      <c r="C7319" s="165"/>
      <c r="D7319" s="165"/>
      <c r="E7319" s="166"/>
      <c r="I7319" s="165"/>
      <c r="J7319" s="165"/>
      <c r="K7319" s="166"/>
      <c r="Q7319" s="166"/>
      <c r="R7319" s="166"/>
      <c r="S7319" s="166"/>
    </row>
    <row r="7320" spans="3:19">
      <c r="C7320" s="165"/>
      <c r="D7320" s="165"/>
      <c r="E7320" s="166"/>
      <c r="I7320" s="165"/>
      <c r="J7320" s="165"/>
      <c r="K7320" s="166"/>
      <c r="Q7320" s="166"/>
      <c r="R7320" s="166"/>
      <c r="S7320" s="166"/>
    </row>
    <row r="7321" spans="3:19">
      <c r="C7321" s="165"/>
      <c r="D7321" s="165"/>
      <c r="E7321" s="166"/>
      <c r="I7321" s="165"/>
      <c r="J7321" s="165"/>
      <c r="K7321" s="166"/>
      <c r="Q7321" s="166"/>
      <c r="R7321" s="166"/>
      <c r="S7321" s="166"/>
    </row>
    <row r="7322" spans="3:19">
      <c r="C7322" s="165"/>
      <c r="D7322" s="165"/>
      <c r="E7322" s="166"/>
      <c r="I7322" s="165"/>
      <c r="J7322" s="165"/>
      <c r="K7322" s="166"/>
      <c r="Q7322" s="166"/>
      <c r="R7322" s="166"/>
      <c r="S7322" s="166"/>
    </row>
    <row r="7323" spans="3:19">
      <c r="C7323" s="165"/>
      <c r="D7323" s="165"/>
      <c r="E7323" s="166"/>
      <c r="I7323" s="165"/>
      <c r="J7323" s="165"/>
      <c r="K7323" s="166"/>
      <c r="Q7323" s="166"/>
      <c r="R7323" s="166"/>
      <c r="S7323" s="166"/>
    </row>
    <row r="7324" spans="3:19">
      <c r="C7324" s="165"/>
      <c r="D7324" s="165"/>
      <c r="E7324" s="166"/>
      <c r="I7324" s="165"/>
      <c r="J7324" s="165"/>
      <c r="K7324" s="166"/>
      <c r="Q7324" s="166"/>
      <c r="R7324" s="166"/>
      <c r="S7324" s="166"/>
    </row>
    <row r="7325" spans="3:19">
      <c r="C7325" s="165"/>
      <c r="D7325" s="165"/>
      <c r="E7325" s="166"/>
      <c r="I7325" s="165"/>
      <c r="J7325" s="165"/>
      <c r="K7325" s="166"/>
      <c r="Q7325" s="166"/>
      <c r="R7325" s="166"/>
      <c r="S7325" s="166"/>
    </row>
    <row r="7326" spans="3:19">
      <c r="C7326" s="165"/>
      <c r="D7326" s="165"/>
      <c r="E7326" s="166"/>
      <c r="I7326" s="165"/>
      <c r="J7326" s="165"/>
      <c r="K7326" s="166"/>
      <c r="Q7326" s="166"/>
      <c r="R7326" s="166"/>
      <c r="S7326" s="166"/>
    </row>
    <row r="7327" spans="3:19">
      <c r="C7327" s="165"/>
      <c r="D7327" s="165"/>
      <c r="E7327" s="166"/>
      <c r="I7327" s="165"/>
      <c r="J7327" s="165"/>
      <c r="K7327" s="166"/>
      <c r="Q7327" s="166"/>
      <c r="R7327" s="166"/>
      <c r="S7327" s="166"/>
    </row>
    <row r="7328" spans="3:19">
      <c r="C7328" s="165"/>
      <c r="D7328" s="165"/>
      <c r="E7328" s="166"/>
      <c r="I7328" s="165"/>
      <c r="J7328" s="165"/>
      <c r="K7328" s="166"/>
      <c r="Q7328" s="166"/>
      <c r="R7328" s="166"/>
      <c r="S7328" s="166"/>
    </row>
    <row r="7329" spans="3:19">
      <c r="C7329" s="165"/>
      <c r="D7329" s="165"/>
      <c r="E7329" s="166"/>
      <c r="I7329" s="165"/>
      <c r="J7329" s="165"/>
      <c r="K7329" s="166"/>
      <c r="Q7329" s="166"/>
      <c r="R7329" s="166"/>
      <c r="S7329" s="166"/>
    </row>
    <row r="7330" spans="3:19">
      <c r="C7330" s="165"/>
      <c r="D7330" s="165"/>
      <c r="E7330" s="166"/>
      <c r="I7330" s="165"/>
      <c r="J7330" s="165"/>
      <c r="K7330" s="166"/>
      <c r="Q7330" s="166"/>
      <c r="R7330" s="166"/>
      <c r="S7330" s="166"/>
    </row>
    <row r="7331" spans="3:19">
      <c r="C7331" s="165"/>
      <c r="D7331" s="165"/>
      <c r="E7331" s="166"/>
      <c r="I7331" s="165"/>
      <c r="J7331" s="165"/>
      <c r="K7331" s="166"/>
      <c r="Q7331" s="166"/>
      <c r="R7331" s="166"/>
      <c r="S7331" s="166"/>
    </row>
    <row r="7332" spans="3:19">
      <c r="C7332" s="165"/>
      <c r="D7332" s="165"/>
      <c r="E7332" s="166"/>
      <c r="I7332" s="165"/>
      <c r="J7332" s="165"/>
      <c r="K7332" s="166"/>
      <c r="Q7332" s="166"/>
      <c r="R7332" s="166"/>
      <c r="S7332" s="166"/>
    </row>
    <row r="7333" spans="3:19">
      <c r="C7333" s="165"/>
      <c r="D7333" s="165"/>
      <c r="E7333" s="166"/>
      <c r="I7333" s="165"/>
      <c r="J7333" s="165"/>
      <c r="K7333" s="166"/>
      <c r="Q7333" s="166"/>
      <c r="R7333" s="166"/>
      <c r="S7333" s="166"/>
    </row>
    <row r="7334" spans="3:19">
      <c r="C7334" s="165"/>
      <c r="D7334" s="165"/>
      <c r="E7334" s="166"/>
      <c r="I7334" s="165"/>
      <c r="J7334" s="165"/>
      <c r="K7334" s="166"/>
      <c r="Q7334" s="166"/>
      <c r="R7334" s="166"/>
      <c r="S7334" s="166"/>
    </row>
    <row r="7335" spans="3:19">
      <c r="C7335" s="165"/>
      <c r="D7335" s="165"/>
      <c r="E7335" s="166"/>
      <c r="I7335" s="165"/>
      <c r="J7335" s="165"/>
      <c r="K7335" s="166"/>
      <c r="Q7335" s="166"/>
      <c r="R7335" s="166"/>
      <c r="S7335" s="166"/>
    </row>
    <row r="7336" spans="3:19">
      <c r="C7336" s="165"/>
      <c r="D7336" s="165"/>
      <c r="E7336" s="166"/>
      <c r="I7336" s="165"/>
      <c r="J7336" s="165"/>
      <c r="K7336" s="166"/>
      <c r="Q7336" s="166"/>
      <c r="R7336" s="166"/>
      <c r="S7336" s="166"/>
    </row>
    <row r="7337" spans="3:19">
      <c r="C7337" s="165"/>
      <c r="D7337" s="165"/>
      <c r="E7337" s="166"/>
      <c r="I7337" s="165"/>
      <c r="J7337" s="165"/>
      <c r="K7337" s="166"/>
      <c r="Q7337" s="166"/>
      <c r="R7337" s="166"/>
      <c r="S7337" s="166"/>
    </row>
    <row r="7338" spans="3:19">
      <c r="C7338" s="165"/>
      <c r="D7338" s="165"/>
      <c r="E7338" s="166"/>
      <c r="I7338" s="165"/>
      <c r="J7338" s="165"/>
      <c r="K7338" s="166"/>
      <c r="Q7338" s="166"/>
      <c r="R7338" s="166"/>
      <c r="S7338" s="166"/>
    </row>
    <row r="7339" spans="3:19">
      <c r="C7339" s="165"/>
      <c r="D7339" s="165"/>
      <c r="E7339" s="166"/>
      <c r="I7339" s="165"/>
      <c r="J7339" s="165"/>
      <c r="K7339" s="166"/>
      <c r="Q7339" s="166"/>
      <c r="R7339" s="166"/>
      <c r="S7339" s="166"/>
    </row>
    <row r="7340" spans="3:19">
      <c r="C7340" s="165"/>
      <c r="D7340" s="165"/>
      <c r="E7340" s="166"/>
      <c r="I7340" s="165"/>
      <c r="J7340" s="165"/>
      <c r="K7340" s="166"/>
      <c r="Q7340" s="166"/>
      <c r="R7340" s="166"/>
      <c r="S7340" s="166"/>
    </row>
    <row r="7341" spans="3:19">
      <c r="C7341" s="165"/>
      <c r="D7341" s="165"/>
      <c r="E7341" s="166"/>
      <c r="I7341" s="165"/>
      <c r="J7341" s="165"/>
      <c r="K7341" s="166"/>
      <c r="Q7341" s="166"/>
      <c r="R7341" s="166"/>
      <c r="S7341" s="166"/>
    </row>
    <row r="7342" spans="3:19">
      <c r="C7342" s="165"/>
      <c r="D7342" s="165"/>
      <c r="E7342" s="166"/>
      <c r="I7342" s="165"/>
      <c r="J7342" s="165"/>
      <c r="K7342" s="166"/>
      <c r="Q7342" s="166"/>
      <c r="R7342" s="166"/>
      <c r="S7342" s="166"/>
    </row>
    <row r="7343" spans="3:19">
      <c r="C7343" s="165"/>
      <c r="D7343" s="165"/>
      <c r="E7343" s="166"/>
      <c r="I7343" s="165"/>
      <c r="J7343" s="165"/>
      <c r="K7343" s="166"/>
      <c r="Q7343" s="166"/>
      <c r="R7343" s="166"/>
      <c r="S7343" s="166"/>
    </row>
    <row r="7344" spans="3:19">
      <c r="C7344" s="165"/>
      <c r="D7344" s="165"/>
      <c r="E7344" s="166"/>
      <c r="I7344" s="165"/>
      <c r="J7344" s="165"/>
      <c r="K7344" s="166"/>
      <c r="Q7344" s="166"/>
      <c r="R7344" s="166"/>
      <c r="S7344" s="166"/>
    </row>
    <row r="7345" spans="3:19">
      <c r="C7345" s="165"/>
      <c r="D7345" s="165"/>
      <c r="E7345" s="166"/>
      <c r="I7345" s="165"/>
      <c r="J7345" s="165"/>
      <c r="K7345" s="166"/>
      <c r="Q7345" s="166"/>
      <c r="R7345" s="166"/>
      <c r="S7345" s="166"/>
    </row>
    <row r="7346" spans="3:19">
      <c r="C7346" s="165"/>
      <c r="D7346" s="165"/>
      <c r="E7346" s="166"/>
      <c r="I7346" s="165"/>
      <c r="J7346" s="165"/>
      <c r="K7346" s="166"/>
      <c r="Q7346" s="166"/>
      <c r="R7346" s="166"/>
      <c r="S7346" s="166"/>
    </row>
    <row r="7347" spans="3:19">
      <c r="C7347" s="165"/>
      <c r="D7347" s="165"/>
      <c r="E7347" s="166"/>
      <c r="I7347" s="165"/>
      <c r="J7347" s="165"/>
      <c r="K7347" s="166"/>
      <c r="Q7347" s="166"/>
      <c r="R7347" s="166"/>
      <c r="S7347" s="166"/>
    </row>
    <row r="7348" spans="3:19">
      <c r="C7348" s="165"/>
      <c r="D7348" s="165"/>
      <c r="E7348" s="166"/>
      <c r="I7348" s="165"/>
      <c r="J7348" s="165"/>
      <c r="K7348" s="166"/>
      <c r="Q7348" s="166"/>
      <c r="R7348" s="166"/>
      <c r="S7348" s="166"/>
    </row>
    <row r="7349" spans="3:19">
      <c r="C7349" s="165"/>
      <c r="D7349" s="165"/>
      <c r="E7349" s="166"/>
      <c r="I7349" s="165"/>
      <c r="J7349" s="165"/>
      <c r="K7349" s="166"/>
      <c r="Q7349" s="166"/>
      <c r="R7349" s="166"/>
      <c r="S7349" s="166"/>
    </row>
    <row r="7350" spans="3:19">
      <c r="C7350" s="165"/>
      <c r="D7350" s="165"/>
      <c r="E7350" s="166"/>
      <c r="I7350" s="165"/>
      <c r="J7350" s="165"/>
      <c r="K7350" s="166"/>
      <c r="Q7350" s="166"/>
      <c r="R7350" s="166"/>
      <c r="S7350" s="166"/>
    </row>
    <row r="7351" spans="3:19">
      <c r="C7351" s="165"/>
      <c r="D7351" s="165"/>
      <c r="E7351" s="166"/>
      <c r="I7351" s="165"/>
      <c r="J7351" s="165"/>
      <c r="K7351" s="166"/>
      <c r="Q7351" s="166"/>
      <c r="R7351" s="166"/>
      <c r="S7351" s="166"/>
    </row>
    <row r="7352" spans="3:19">
      <c r="C7352" s="165"/>
      <c r="D7352" s="165"/>
      <c r="E7352" s="166"/>
      <c r="I7352" s="165"/>
      <c r="J7352" s="165"/>
      <c r="K7352" s="166"/>
      <c r="Q7352" s="166"/>
      <c r="R7352" s="166"/>
      <c r="S7352" s="166"/>
    </row>
    <row r="7353" spans="3:19">
      <c r="C7353" s="165"/>
      <c r="D7353" s="165"/>
      <c r="E7353" s="166"/>
      <c r="I7353" s="165"/>
      <c r="J7353" s="165"/>
      <c r="K7353" s="166"/>
      <c r="Q7353" s="166"/>
      <c r="R7353" s="166"/>
      <c r="S7353" s="166"/>
    </row>
    <row r="7354" spans="3:19">
      <c r="C7354" s="165"/>
      <c r="D7354" s="165"/>
      <c r="E7354" s="166"/>
      <c r="I7354" s="165"/>
      <c r="J7354" s="165"/>
      <c r="K7354" s="166"/>
      <c r="Q7354" s="166"/>
      <c r="R7354" s="166"/>
      <c r="S7354" s="166"/>
    </row>
    <row r="7355" spans="3:19">
      <c r="C7355" s="165"/>
      <c r="D7355" s="165"/>
      <c r="E7355" s="166"/>
      <c r="I7355" s="165"/>
      <c r="J7355" s="165"/>
      <c r="K7355" s="166"/>
      <c r="Q7355" s="166"/>
      <c r="R7355" s="166"/>
      <c r="S7355" s="166"/>
    </row>
    <row r="7356" spans="3:19">
      <c r="C7356" s="165"/>
      <c r="D7356" s="165"/>
      <c r="E7356" s="166"/>
      <c r="I7356" s="165"/>
      <c r="J7356" s="165"/>
      <c r="K7356" s="166"/>
      <c r="Q7356" s="166"/>
      <c r="R7356" s="166"/>
      <c r="S7356" s="166"/>
    </row>
    <row r="7357" spans="3:19">
      <c r="C7357" s="165"/>
      <c r="D7357" s="165"/>
      <c r="E7357" s="166"/>
      <c r="I7357" s="165"/>
      <c r="J7357" s="165"/>
      <c r="K7357" s="166"/>
      <c r="Q7357" s="166"/>
      <c r="R7357" s="166"/>
      <c r="S7357" s="166"/>
    </row>
    <row r="7358" spans="3:19">
      <c r="C7358" s="165"/>
      <c r="D7358" s="165"/>
      <c r="E7358" s="166"/>
      <c r="I7358" s="165"/>
      <c r="K7358" s="166"/>
      <c r="Q7358" s="166"/>
      <c r="R7358" s="166"/>
      <c r="S7358" s="166"/>
    </row>
    <row r="7359" spans="3:19">
      <c r="C7359" s="165"/>
      <c r="D7359" s="165"/>
      <c r="E7359" s="166"/>
      <c r="I7359" s="165"/>
      <c r="J7359" s="165"/>
      <c r="K7359" s="166"/>
      <c r="Q7359" s="166"/>
      <c r="R7359" s="166"/>
      <c r="S7359" s="166"/>
    </row>
    <row r="7360" spans="3:19">
      <c r="C7360" s="165"/>
      <c r="D7360" s="165"/>
      <c r="E7360" s="166"/>
      <c r="I7360" s="165"/>
      <c r="J7360" s="165"/>
      <c r="K7360" s="166"/>
      <c r="Q7360" s="166"/>
      <c r="R7360" s="166"/>
      <c r="S7360" s="166"/>
    </row>
    <row r="7361" spans="3:19">
      <c r="C7361" s="165"/>
      <c r="D7361" s="165"/>
      <c r="E7361" s="166"/>
      <c r="I7361" s="165"/>
      <c r="J7361" s="165"/>
      <c r="K7361" s="166"/>
      <c r="Q7361" s="166"/>
      <c r="R7361" s="166"/>
      <c r="S7361" s="166"/>
    </row>
    <row r="7362" spans="3:19">
      <c r="C7362" s="165"/>
      <c r="D7362" s="165"/>
      <c r="E7362" s="166"/>
      <c r="I7362" s="165"/>
      <c r="K7362" s="166"/>
      <c r="Q7362" s="166"/>
      <c r="R7362" s="166"/>
      <c r="S7362" s="166"/>
    </row>
    <row r="7363" spans="3:19">
      <c r="C7363" s="165"/>
      <c r="D7363" s="165"/>
      <c r="E7363" s="166"/>
      <c r="I7363" s="165"/>
      <c r="J7363" s="165"/>
      <c r="K7363" s="166"/>
      <c r="Q7363" s="166"/>
      <c r="R7363" s="166"/>
      <c r="S7363" s="166"/>
    </row>
    <row r="7364" spans="3:19">
      <c r="C7364" s="165"/>
      <c r="D7364" s="165"/>
      <c r="E7364" s="166"/>
      <c r="I7364" s="165"/>
      <c r="J7364" s="165"/>
      <c r="K7364" s="166"/>
      <c r="Q7364" s="166"/>
      <c r="R7364" s="166"/>
      <c r="S7364" s="166"/>
    </row>
    <row r="7365" spans="3:19">
      <c r="C7365" s="165"/>
      <c r="D7365" s="165"/>
      <c r="E7365" s="166"/>
      <c r="I7365" s="165"/>
      <c r="K7365" s="166"/>
      <c r="Q7365" s="166"/>
      <c r="R7365" s="166"/>
      <c r="S7365" s="166"/>
    </row>
    <row r="7366" spans="3:19">
      <c r="C7366" s="165"/>
      <c r="D7366" s="165"/>
      <c r="E7366" s="166"/>
      <c r="I7366" s="165"/>
      <c r="K7366" s="166"/>
      <c r="Q7366" s="166"/>
      <c r="R7366" s="166"/>
      <c r="S7366" s="166"/>
    </row>
    <row r="7367" spans="3:19">
      <c r="C7367" s="165"/>
      <c r="D7367" s="165"/>
      <c r="E7367" s="166"/>
      <c r="I7367" s="165"/>
      <c r="J7367" s="165"/>
      <c r="K7367" s="166"/>
      <c r="Q7367" s="166"/>
      <c r="R7367" s="166"/>
      <c r="S7367" s="166"/>
    </row>
    <row r="7368" spans="3:19">
      <c r="C7368" s="165"/>
      <c r="D7368" s="165"/>
      <c r="E7368" s="166"/>
      <c r="J7368" s="165"/>
      <c r="K7368" s="166"/>
      <c r="Q7368" s="166"/>
      <c r="R7368" s="166"/>
      <c r="S7368" s="166"/>
    </row>
    <row r="7369" spans="3:19">
      <c r="C7369" s="165"/>
      <c r="D7369" s="165"/>
      <c r="E7369" s="166"/>
      <c r="I7369" s="165"/>
      <c r="K7369" s="166"/>
      <c r="Q7369" s="166"/>
      <c r="R7369" s="166"/>
      <c r="S7369" s="166"/>
    </row>
    <row r="7370" spans="3:19">
      <c r="C7370" s="165"/>
      <c r="D7370" s="165"/>
      <c r="E7370" s="166"/>
      <c r="I7370" s="165"/>
      <c r="J7370" s="165"/>
      <c r="K7370" s="166"/>
      <c r="Q7370" s="166"/>
      <c r="R7370" s="166"/>
      <c r="S7370" s="166"/>
    </row>
    <row r="7371" spans="3:19">
      <c r="C7371" s="165"/>
      <c r="D7371" s="165"/>
      <c r="E7371" s="166"/>
      <c r="I7371" s="165"/>
      <c r="J7371" s="165"/>
      <c r="K7371" s="166"/>
      <c r="Q7371" s="166"/>
      <c r="R7371" s="166"/>
      <c r="S7371" s="166"/>
    </row>
    <row r="7372" spans="3:19">
      <c r="C7372" s="165"/>
      <c r="D7372" s="165"/>
      <c r="E7372" s="166"/>
      <c r="I7372" s="165"/>
      <c r="J7372" s="165"/>
      <c r="K7372" s="166"/>
      <c r="Q7372" s="166"/>
      <c r="R7372" s="166"/>
      <c r="S7372" s="166"/>
    </row>
    <row r="7373" spans="3:19">
      <c r="C7373" s="165"/>
      <c r="D7373" s="165"/>
      <c r="E7373" s="166"/>
      <c r="I7373" s="165"/>
      <c r="J7373" s="165"/>
      <c r="K7373" s="166"/>
      <c r="Q7373" s="166"/>
      <c r="R7373" s="166"/>
      <c r="S7373" s="166"/>
    </row>
    <row r="7374" spans="3:19">
      <c r="C7374" s="165"/>
      <c r="D7374" s="165"/>
      <c r="E7374" s="166"/>
      <c r="J7374" s="165"/>
      <c r="K7374" s="166"/>
      <c r="Q7374" s="166"/>
      <c r="R7374" s="166"/>
      <c r="S7374" s="166"/>
    </row>
    <row r="7375" spans="3:19">
      <c r="C7375" s="165"/>
      <c r="D7375" s="165"/>
      <c r="E7375" s="166"/>
      <c r="I7375" s="165"/>
      <c r="K7375" s="166"/>
      <c r="Q7375" s="166"/>
      <c r="R7375" s="166"/>
      <c r="S7375" s="166"/>
    </row>
    <row r="7376" spans="3:19">
      <c r="C7376" s="165"/>
      <c r="D7376" s="165"/>
      <c r="E7376" s="166"/>
      <c r="I7376" s="165"/>
      <c r="J7376" s="165"/>
      <c r="K7376" s="166"/>
      <c r="Q7376" s="166"/>
      <c r="R7376" s="166"/>
      <c r="S7376" s="166"/>
    </row>
    <row r="7377" spans="3:19">
      <c r="C7377" s="165"/>
      <c r="D7377" s="165"/>
      <c r="E7377" s="166"/>
      <c r="I7377" s="165"/>
      <c r="J7377" s="165"/>
      <c r="K7377" s="166"/>
      <c r="Q7377" s="166"/>
      <c r="R7377" s="166"/>
      <c r="S7377" s="166"/>
    </row>
    <row r="7378" spans="3:19">
      <c r="C7378" s="165"/>
      <c r="D7378" s="165"/>
      <c r="E7378" s="166"/>
      <c r="I7378" s="165"/>
      <c r="J7378" s="165"/>
      <c r="K7378" s="166"/>
      <c r="Q7378" s="166"/>
      <c r="R7378" s="166"/>
      <c r="S7378" s="166"/>
    </row>
    <row r="7379" spans="3:19">
      <c r="C7379" s="165"/>
      <c r="D7379" s="165"/>
      <c r="E7379" s="166"/>
      <c r="I7379" s="165"/>
      <c r="J7379" s="165"/>
      <c r="K7379" s="166"/>
      <c r="Q7379" s="166"/>
      <c r="R7379" s="166"/>
      <c r="S7379" s="166"/>
    </row>
    <row r="7380" spans="3:19">
      <c r="C7380" s="165"/>
      <c r="D7380" s="165"/>
      <c r="E7380" s="166"/>
      <c r="I7380" s="165"/>
      <c r="J7380" s="165"/>
      <c r="K7380" s="166"/>
      <c r="Q7380" s="166"/>
      <c r="R7380" s="166"/>
      <c r="S7380" s="166"/>
    </row>
    <row r="7381" spans="3:19">
      <c r="C7381" s="165"/>
      <c r="D7381" s="165"/>
      <c r="E7381" s="166"/>
      <c r="I7381" s="165"/>
      <c r="J7381" s="165"/>
      <c r="K7381" s="166"/>
      <c r="Q7381" s="166"/>
      <c r="R7381" s="166"/>
      <c r="S7381" s="166"/>
    </row>
    <row r="7382" spans="3:19">
      <c r="C7382" s="165"/>
      <c r="D7382" s="165"/>
      <c r="E7382" s="166"/>
      <c r="I7382" s="165"/>
      <c r="K7382" s="166"/>
      <c r="Q7382" s="166"/>
      <c r="R7382" s="166"/>
      <c r="S7382" s="166"/>
    </row>
    <row r="7383" spans="3:19">
      <c r="C7383" s="165"/>
      <c r="D7383" s="165"/>
      <c r="E7383" s="166"/>
      <c r="I7383" s="165"/>
      <c r="J7383" s="165"/>
      <c r="K7383" s="166"/>
      <c r="Q7383" s="166"/>
      <c r="R7383" s="166"/>
      <c r="S7383" s="166"/>
    </row>
    <row r="7384" spans="3:19">
      <c r="C7384" s="165"/>
      <c r="D7384" s="165"/>
      <c r="E7384" s="166"/>
      <c r="I7384" s="165"/>
      <c r="J7384" s="165"/>
      <c r="K7384" s="166"/>
      <c r="Q7384" s="166"/>
      <c r="R7384" s="166"/>
      <c r="S7384" s="166"/>
    </row>
    <row r="7385" spans="3:19">
      <c r="C7385" s="165"/>
      <c r="D7385" s="165"/>
      <c r="E7385" s="166"/>
      <c r="I7385" s="165"/>
      <c r="J7385" s="165"/>
      <c r="K7385" s="166"/>
      <c r="Q7385" s="166"/>
      <c r="R7385" s="166"/>
      <c r="S7385" s="166"/>
    </row>
    <row r="7386" spans="3:19">
      <c r="C7386" s="165"/>
      <c r="D7386" s="165"/>
      <c r="E7386" s="166"/>
      <c r="I7386" s="165"/>
      <c r="J7386" s="165"/>
      <c r="K7386" s="166"/>
      <c r="Q7386" s="166"/>
      <c r="R7386" s="166"/>
      <c r="S7386" s="166"/>
    </row>
    <row r="7387" spans="3:19">
      <c r="C7387" s="165"/>
      <c r="D7387" s="165"/>
      <c r="E7387" s="166"/>
      <c r="I7387" s="165"/>
      <c r="J7387" s="165"/>
      <c r="K7387" s="166"/>
      <c r="Q7387" s="166"/>
      <c r="R7387" s="166"/>
      <c r="S7387" s="166"/>
    </row>
    <row r="7388" spans="3:19">
      <c r="C7388" s="165"/>
      <c r="D7388" s="165"/>
      <c r="E7388" s="166"/>
      <c r="I7388" s="165"/>
      <c r="J7388" s="165"/>
      <c r="K7388" s="166"/>
      <c r="Q7388" s="166"/>
      <c r="R7388" s="166"/>
      <c r="S7388" s="166"/>
    </row>
    <row r="7389" spans="3:19">
      <c r="C7389" s="165"/>
      <c r="D7389" s="165"/>
      <c r="E7389" s="166"/>
      <c r="I7389" s="165"/>
      <c r="J7389" s="165"/>
      <c r="K7389" s="166"/>
      <c r="Q7389" s="166"/>
      <c r="R7389" s="166"/>
      <c r="S7389" s="166"/>
    </row>
    <row r="7390" spans="3:19">
      <c r="C7390" s="165"/>
      <c r="D7390" s="165"/>
      <c r="E7390" s="166"/>
      <c r="I7390" s="165"/>
      <c r="J7390" s="165"/>
      <c r="K7390" s="166"/>
      <c r="Q7390" s="166"/>
      <c r="R7390" s="166"/>
      <c r="S7390" s="166"/>
    </row>
    <row r="7391" spans="3:19">
      <c r="C7391" s="165"/>
      <c r="D7391" s="165"/>
      <c r="E7391" s="166"/>
      <c r="I7391" s="165"/>
      <c r="J7391" s="165"/>
      <c r="K7391" s="166"/>
      <c r="Q7391" s="166"/>
      <c r="R7391" s="166"/>
      <c r="S7391" s="166"/>
    </row>
    <row r="7392" spans="3:19">
      <c r="C7392" s="165"/>
      <c r="D7392" s="165"/>
      <c r="E7392" s="166"/>
      <c r="I7392" s="165"/>
      <c r="K7392" s="166"/>
      <c r="Q7392" s="166"/>
      <c r="R7392" s="166"/>
      <c r="S7392" s="166"/>
    </row>
    <row r="7393" spans="3:19">
      <c r="C7393" s="165"/>
      <c r="D7393" s="165"/>
      <c r="E7393" s="166"/>
      <c r="I7393" s="165"/>
      <c r="J7393" s="165"/>
      <c r="K7393" s="166"/>
      <c r="Q7393" s="166"/>
      <c r="R7393" s="166"/>
      <c r="S7393" s="166"/>
    </row>
    <row r="7394" spans="3:19">
      <c r="C7394" s="165"/>
      <c r="D7394" s="165"/>
      <c r="E7394" s="166"/>
      <c r="I7394" s="165"/>
      <c r="J7394" s="165"/>
      <c r="K7394" s="166"/>
      <c r="Q7394" s="166"/>
      <c r="R7394" s="166"/>
      <c r="S7394" s="166"/>
    </row>
    <row r="7395" spans="3:19">
      <c r="C7395" s="165"/>
      <c r="D7395" s="165"/>
      <c r="E7395" s="166"/>
      <c r="I7395" s="165"/>
      <c r="J7395" s="165"/>
      <c r="K7395" s="166"/>
      <c r="Q7395" s="166"/>
      <c r="R7395" s="166"/>
      <c r="S7395" s="166"/>
    </row>
    <row r="7396" spans="3:19">
      <c r="C7396" s="165"/>
      <c r="D7396" s="165"/>
      <c r="E7396" s="166"/>
      <c r="I7396" s="165"/>
      <c r="J7396" s="165"/>
      <c r="K7396" s="166"/>
      <c r="Q7396" s="166"/>
      <c r="R7396" s="166"/>
      <c r="S7396" s="166"/>
    </row>
    <row r="7397" spans="3:19">
      <c r="C7397" s="165"/>
      <c r="D7397" s="165"/>
      <c r="E7397" s="166"/>
      <c r="I7397" s="165"/>
      <c r="J7397" s="165"/>
      <c r="K7397" s="166"/>
      <c r="Q7397" s="166"/>
      <c r="R7397" s="166"/>
      <c r="S7397" s="166"/>
    </row>
    <row r="7398" spans="3:19">
      <c r="C7398" s="165"/>
      <c r="D7398" s="165"/>
      <c r="E7398" s="166"/>
      <c r="I7398" s="165"/>
      <c r="J7398" s="165"/>
      <c r="K7398" s="166"/>
      <c r="Q7398" s="166"/>
      <c r="R7398" s="166"/>
      <c r="S7398" s="166"/>
    </row>
    <row r="7399" spans="3:19">
      <c r="C7399" s="165"/>
      <c r="D7399" s="165"/>
      <c r="E7399" s="166"/>
      <c r="I7399" s="165"/>
      <c r="J7399" s="165"/>
      <c r="K7399" s="166"/>
      <c r="Q7399" s="166"/>
      <c r="R7399" s="166"/>
      <c r="S7399" s="166"/>
    </row>
    <row r="7400" spans="3:19">
      <c r="C7400" s="165"/>
      <c r="D7400" s="165"/>
      <c r="E7400" s="166"/>
      <c r="I7400" s="165"/>
      <c r="J7400" s="165"/>
      <c r="K7400" s="166"/>
      <c r="Q7400" s="166"/>
      <c r="R7400" s="166"/>
      <c r="S7400" s="166"/>
    </row>
    <row r="7401" spans="3:19">
      <c r="C7401" s="165"/>
      <c r="D7401" s="165"/>
      <c r="E7401" s="166"/>
      <c r="I7401" s="165"/>
      <c r="J7401" s="165"/>
      <c r="K7401" s="166"/>
      <c r="Q7401" s="166"/>
      <c r="R7401" s="166"/>
      <c r="S7401" s="166"/>
    </row>
    <row r="7402" spans="3:19">
      <c r="C7402" s="165"/>
      <c r="D7402" s="165"/>
      <c r="E7402" s="166"/>
      <c r="I7402" s="165"/>
      <c r="J7402" s="165"/>
      <c r="K7402" s="166"/>
      <c r="Q7402" s="166"/>
      <c r="R7402" s="166"/>
      <c r="S7402" s="166"/>
    </row>
    <row r="7403" spans="3:19">
      <c r="C7403" s="165"/>
      <c r="D7403" s="165"/>
      <c r="E7403" s="166"/>
      <c r="I7403" s="165"/>
      <c r="J7403" s="165"/>
      <c r="K7403" s="166"/>
      <c r="Q7403" s="166"/>
      <c r="R7403" s="166"/>
      <c r="S7403" s="166"/>
    </row>
    <row r="7404" spans="3:19">
      <c r="C7404" s="165"/>
      <c r="D7404" s="165"/>
      <c r="E7404" s="166"/>
      <c r="I7404" s="165"/>
      <c r="J7404" s="165"/>
      <c r="K7404" s="166"/>
      <c r="Q7404" s="166"/>
      <c r="R7404" s="166"/>
      <c r="S7404" s="166"/>
    </row>
    <row r="7405" spans="3:19">
      <c r="C7405" s="165"/>
      <c r="D7405" s="165"/>
      <c r="E7405" s="166"/>
      <c r="I7405" s="165"/>
      <c r="J7405" s="165"/>
      <c r="K7405" s="166"/>
      <c r="Q7405" s="166"/>
      <c r="R7405" s="166"/>
      <c r="S7405" s="166"/>
    </row>
    <row r="7406" spans="3:19">
      <c r="C7406" s="165"/>
      <c r="D7406" s="165"/>
      <c r="E7406" s="166"/>
      <c r="I7406" s="165"/>
      <c r="J7406" s="165"/>
      <c r="K7406" s="166"/>
      <c r="Q7406" s="166"/>
      <c r="R7406" s="166"/>
      <c r="S7406" s="166"/>
    </row>
    <row r="7407" spans="3:19">
      <c r="C7407" s="165"/>
      <c r="D7407" s="165"/>
      <c r="E7407" s="166"/>
      <c r="I7407" s="165"/>
      <c r="J7407" s="165"/>
      <c r="K7407" s="166"/>
      <c r="Q7407" s="166"/>
      <c r="R7407" s="166"/>
      <c r="S7407" s="166"/>
    </row>
    <row r="7408" spans="3:19">
      <c r="C7408" s="165"/>
      <c r="D7408" s="165"/>
      <c r="E7408" s="166"/>
      <c r="I7408" s="165"/>
      <c r="J7408" s="165"/>
      <c r="K7408" s="166"/>
      <c r="Q7408" s="166"/>
      <c r="R7408" s="166"/>
      <c r="S7408" s="166"/>
    </row>
    <row r="7409" spans="3:19">
      <c r="C7409" s="165"/>
      <c r="D7409" s="165"/>
      <c r="E7409" s="166"/>
      <c r="I7409" s="165"/>
      <c r="J7409" s="165"/>
      <c r="K7409" s="166"/>
      <c r="Q7409" s="166"/>
      <c r="R7409" s="166"/>
      <c r="S7409" s="166"/>
    </row>
    <row r="7410" spans="3:19">
      <c r="C7410" s="165"/>
      <c r="D7410" s="165"/>
      <c r="E7410" s="166"/>
      <c r="I7410" s="165"/>
      <c r="J7410" s="165"/>
      <c r="K7410" s="166"/>
      <c r="Q7410" s="166"/>
      <c r="R7410" s="166"/>
      <c r="S7410" s="166"/>
    </row>
    <row r="7411" spans="3:19">
      <c r="C7411" s="165"/>
      <c r="D7411" s="165"/>
      <c r="E7411" s="166"/>
      <c r="I7411" s="165"/>
      <c r="J7411" s="165"/>
      <c r="K7411" s="166"/>
      <c r="Q7411" s="166"/>
      <c r="R7411" s="166"/>
      <c r="S7411" s="166"/>
    </row>
    <row r="7412" spans="3:19">
      <c r="C7412" s="165"/>
      <c r="D7412" s="165"/>
      <c r="E7412" s="166"/>
      <c r="I7412" s="165"/>
      <c r="J7412" s="165"/>
      <c r="K7412" s="166"/>
      <c r="Q7412" s="166"/>
      <c r="R7412" s="166"/>
      <c r="S7412" s="166"/>
    </row>
    <row r="7413" spans="3:19">
      <c r="C7413" s="165"/>
      <c r="D7413" s="165"/>
      <c r="E7413" s="166"/>
      <c r="I7413" s="165"/>
      <c r="J7413" s="165"/>
      <c r="K7413" s="166"/>
      <c r="Q7413" s="166"/>
      <c r="R7413" s="166"/>
      <c r="S7413" s="166"/>
    </row>
    <row r="7414" spans="3:19">
      <c r="C7414" s="165"/>
      <c r="D7414" s="165"/>
      <c r="E7414" s="166"/>
      <c r="I7414" s="165"/>
      <c r="J7414" s="165"/>
      <c r="K7414" s="166"/>
      <c r="Q7414" s="166"/>
      <c r="R7414" s="166"/>
      <c r="S7414" s="166"/>
    </row>
    <row r="7415" spans="3:19">
      <c r="C7415" s="165"/>
      <c r="D7415" s="165"/>
      <c r="E7415" s="166"/>
      <c r="I7415" s="165"/>
      <c r="J7415" s="165"/>
      <c r="K7415" s="166"/>
      <c r="Q7415" s="166"/>
      <c r="R7415" s="166"/>
      <c r="S7415" s="166"/>
    </row>
    <row r="7416" spans="3:19">
      <c r="C7416" s="165"/>
      <c r="D7416" s="165"/>
      <c r="E7416" s="166"/>
      <c r="I7416" s="165"/>
      <c r="J7416" s="165"/>
      <c r="K7416" s="166"/>
      <c r="Q7416" s="166"/>
      <c r="R7416" s="166"/>
      <c r="S7416" s="166"/>
    </row>
    <row r="7417" spans="3:19">
      <c r="C7417" s="165"/>
      <c r="D7417" s="165"/>
      <c r="E7417" s="166"/>
      <c r="I7417" s="165"/>
      <c r="J7417" s="165"/>
      <c r="K7417" s="166"/>
      <c r="Q7417" s="166"/>
      <c r="R7417" s="166"/>
      <c r="S7417" s="166"/>
    </row>
    <row r="7418" spans="3:19">
      <c r="C7418" s="165"/>
      <c r="D7418" s="165"/>
      <c r="E7418" s="166"/>
      <c r="I7418" s="165"/>
      <c r="J7418" s="165"/>
      <c r="K7418" s="166"/>
      <c r="Q7418" s="166"/>
      <c r="R7418" s="166"/>
      <c r="S7418" s="166"/>
    </row>
    <row r="7419" spans="3:19">
      <c r="C7419" s="165"/>
      <c r="D7419" s="165"/>
      <c r="E7419" s="166"/>
      <c r="I7419" s="165"/>
      <c r="J7419" s="165"/>
      <c r="K7419" s="166"/>
      <c r="Q7419" s="166"/>
      <c r="R7419" s="166"/>
      <c r="S7419" s="166"/>
    </row>
    <row r="7420" spans="3:19">
      <c r="C7420" s="165"/>
      <c r="D7420" s="165"/>
      <c r="E7420" s="166"/>
      <c r="I7420" s="165"/>
      <c r="J7420" s="165"/>
      <c r="K7420" s="166"/>
      <c r="Q7420" s="166"/>
      <c r="R7420" s="166"/>
      <c r="S7420" s="166"/>
    </row>
    <row r="7421" spans="3:19">
      <c r="C7421" s="165"/>
      <c r="D7421" s="165"/>
      <c r="E7421" s="166"/>
      <c r="I7421" s="165"/>
      <c r="J7421" s="165"/>
      <c r="K7421" s="166"/>
      <c r="Q7421" s="166"/>
      <c r="R7421" s="166"/>
      <c r="S7421" s="166"/>
    </row>
    <row r="7422" spans="3:19">
      <c r="C7422" s="165"/>
      <c r="D7422" s="165"/>
      <c r="E7422" s="166"/>
      <c r="I7422" s="165"/>
      <c r="J7422" s="165"/>
      <c r="K7422" s="166"/>
      <c r="Q7422" s="166"/>
      <c r="R7422" s="166"/>
      <c r="S7422" s="166"/>
    </row>
    <row r="7423" spans="3:19">
      <c r="C7423" s="165"/>
      <c r="D7423" s="165"/>
      <c r="E7423" s="166"/>
      <c r="I7423" s="165"/>
      <c r="J7423" s="165"/>
      <c r="K7423" s="166"/>
      <c r="Q7423" s="166"/>
      <c r="R7423" s="166"/>
      <c r="S7423" s="166"/>
    </row>
    <row r="7424" spans="3:19">
      <c r="C7424" s="165"/>
      <c r="D7424" s="165"/>
      <c r="E7424" s="166"/>
      <c r="I7424" s="165"/>
      <c r="J7424" s="165"/>
      <c r="K7424" s="166"/>
      <c r="Q7424" s="166"/>
      <c r="R7424" s="166"/>
      <c r="S7424" s="166"/>
    </row>
    <row r="7425" spans="3:19">
      <c r="C7425" s="165"/>
      <c r="D7425" s="165"/>
      <c r="E7425" s="166"/>
      <c r="I7425" s="165"/>
      <c r="J7425" s="165"/>
      <c r="K7425" s="166"/>
      <c r="Q7425" s="166"/>
      <c r="R7425" s="166"/>
      <c r="S7425" s="166"/>
    </row>
    <row r="7426" spans="3:19">
      <c r="C7426" s="165"/>
      <c r="D7426" s="165"/>
      <c r="E7426" s="166"/>
      <c r="I7426" s="165"/>
      <c r="J7426" s="165"/>
      <c r="K7426" s="166"/>
      <c r="Q7426" s="166"/>
      <c r="R7426" s="166"/>
      <c r="S7426" s="166"/>
    </row>
    <row r="7427" spans="3:19">
      <c r="C7427" s="165"/>
      <c r="D7427" s="165"/>
      <c r="E7427" s="166"/>
      <c r="I7427" s="165"/>
      <c r="J7427" s="165"/>
      <c r="K7427" s="166"/>
      <c r="Q7427" s="166"/>
      <c r="R7427" s="166"/>
      <c r="S7427" s="166"/>
    </row>
    <row r="7428" spans="3:19">
      <c r="C7428" s="165"/>
      <c r="D7428" s="165"/>
      <c r="E7428" s="166"/>
      <c r="I7428" s="165"/>
      <c r="J7428" s="165"/>
      <c r="K7428" s="166"/>
      <c r="Q7428" s="166"/>
      <c r="R7428" s="166"/>
      <c r="S7428" s="166"/>
    </row>
    <row r="7429" spans="3:19">
      <c r="C7429" s="165"/>
      <c r="D7429" s="165"/>
      <c r="E7429" s="166"/>
      <c r="I7429" s="165"/>
      <c r="J7429" s="165"/>
      <c r="K7429" s="166"/>
      <c r="Q7429" s="166"/>
      <c r="R7429" s="166"/>
      <c r="S7429" s="166"/>
    </row>
    <row r="7430" spans="3:19">
      <c r="C7430" s="165"/>
      <c r="D7430" s="165"/>
      <c r="E7430" s="166"/>
      <c r="I7430" s="165"/>
      <c r="J7430" s="165"/>
      <c r="K7430" s="166"/>
      <c r="Q7430" s="166"/>
      <c r="R7430" s="166"/>
      <c r="S7430" s="166"/>
    </row>
    <row r="7431" spans="3:19">
      <c r="C7431" s="165"/>
      <c r="D7431" s="165"/>
      <c r="E7431" s="166"/>
      <c r="I7431" s="165"/>
      <c r="J7431" s="165"/>
      <c r="K7431" s="166"/>
      <c r="Q7431" s="166"/>
      <c r="R7431" s="166"/>
      <c r="S7431" s="166"/>
    </row>
    <row r="7432" spans="3:19">
      <c r="C7432" s="165"/>
      <c r="D7432" s="165"/>
      <c r="E7432" s="166"/>
      <c r="I7432" s="165"/>
      <c r="J7432" s="165"/>
      <c r="K7432" s="166"/>
      <c r="Q7432" s="166"/>
      <c r="R7432" s="166"/>
      <c r="S7432" s="166"/>
    </row>
    <row r="7433" spans="3:19">
      <c r="C7433" s="165"/>
      <c r="D7433" s="165"/>
      <c r="E7433" s="166"/>
      <c r="I7433" s="165"/>
      <c r="J7433" s="165"/>
      <c r="K7433" s="166"/>
      <c r="Q7433" s="166"/>
      <c r="R7433" s="166"/>
      <c r="S7433" s="166"/>
    </row>
    <row r="7434" spans="3:19">
      <c r="C7434" s="165"/>
      <c r="D7434" s="165"/>
      <c r="E7434" s="166"/>
      <c r="I7434" s="165"/>
      <c r="J7434" s="165"/>
      <c r="K7434" s="166"/>
      <c r="Q7434" s="166"/>
      <c r="R7434" s="166"/>
      <c r="S7434" s="166"/>
    </row>
    <row r="7435" spans="3:19">
      <c r="C7435" s="165"/>
      <c r="D7435" s="165"/>
      <c r="E7435" s="166"/>
      <c r="I7435" s="165"/>
      <c r="J7435" s="165"/>
      <c r="K7435" s="166"/>
      <c r="Q7435" s="166"/>
      <c r="R7435" s="166"/>
      <c r="S7435" s="166"/>
    </row>
    <row r="7436" spans="3:19">
      <c r="C7436" s="165"/>
      <c r="D7436" s="165"/>
      <c r="E7436" s="166"/>
      <c r="I7436" s="165"/>
      <c r="J7436" s="165"/>
      <c r="K7436" s="166"/>
      <c r="Q7436" s="166"/>
      <c r="R7436" s="166"/>
      <c r="S7436" s="166"/>
    </row>
    <row r="7437" spans="3:19">
      <c r="C7437" s="165"/>
      <c r="D7437" s="165"/>
      <c r="E7437" s="166"/>
      <c r="I7437" s="165"/>
      <c r="J7437" s="165"/>
      <c r="K7437" s="166"/>
      <c r="Q7437" s="166"/>
      <c r="R7437" s="166"/>
      <c r="S7437" s="166"/>
    </row>
    <row r="7438" spans="3:19">
      <c r="C7438" s="165"/>
      <c r="D7438" s="165"/>
      <c r="E7438" s="166"/>
      <c r="I7438" s="165"/>
      <c r="J7438" s="165"/>
      <c r="K7438" s="166"/>
      <c r="Q7438" s="166"/>
      <c r="R7438" s="166"/>
      <c r="S7438" s="166"/>
    </row>
    <row r="7439" spans="3:19">
      <c r="C7439" s="165"/>
      <c r="D7439" s="165"/>
      <c r="E7439" s="166"/>
      <c r="I7439" s="165"/>
      <c r="J7439" s="165"/>
      <c r="K7439" s="166"/>
      <c r="Q7439" s="166"/>
      <c r="R7439" s="166"/>
      <c r="S7439" s="166"/>
    </row>
    <row r="7440" spans="3:19">
      <c r="C7440" s="165"/>
      <c r="D7440" s="165"/>
      <c r="E7440" s="166"/>
      <c r="I7440" s="165"/>
      <c r="J7440" s="165"/>
      <c r="K7440" s="166"/>
      <c r="Q7440" s="166"/>
      <c r="R7440" s="166"/>
      <c r="S7440" s="166"/>
    </row>
    <row r="7441" spans="3:19">
      <c r="C7441" s="165"/>
      <c r="D7441" s="165"/>
      <c r="E7441" s="166"/>
      <c r="I7441" s="165"/>
      <c r="J7441" s="165"/>
      <c r="K7441" s="166"/>
      <c r="Q7441" s="166"/>
      <c r="R7441" s="166"/>
      <c r="S7441" s="166"/>
    </row>
    <row r="7442" spans="3:19">
      <c r="C7442" s="165"/>
      <c r="D7442" s="165"/>
      <c r="E7442" s="166"/>
      <c r="I7442" s="165"/>
      <c r="J7442" s="165"/>
      <c r="K7442" s="166"/>
      <c r="Q7442" s="166"/>
      <c r="R7442" s="166"/>
      <c r="S7442" s="166"/>
    </row>
    <row r="7443" spans="3:19">
      <c r="C7443" s="165"/>
      <c r="D7443" s="165"/>
      <c r="E7443" s="166"/>
      <c r="I7443" s="165"/>
      <c r="J7443" s="165"/>
      <c r="K7443" s="166"/>
      <c r="Q7443" s="166"/>
      <c r="R7443" s="166"/>
      <c r="S7443" s="166"/>
    </row>
    <row r="7444" spans="3:19">
      <c r="C7444" s="165"/>
      <c r="E7444" s="166"/>
      <c r="I7444" s="165"/>
      <c r="J7444" s="165"/>
      <c r="K7444" s="166"/>
      <c r="Q7444" s="166"/>
      <c r="R7444" s="166"/>
      <c r="S7444" s="166"/>
    </row>
    <row r="7445" spans="3:19">
      <c r="C7445" s="165"/>
      <c r="D7445" s="165"/>
      <c r="E7445" s="166"/>
      <c r="I7445" s="165"/>
      <c r="K7445" s="166"/>
      <c r="Q7445" s="166"/>
      <c r="R7445" s="166"/>
      <c r="S7445" s="166"/>
    </row>
    <row r="7446" spans="3:19">
      <c r="C7446" s="165"/>
      <c r="D7446" s="165"/>
      <c r="E7446" s="166"/>
      <c r="I7446" s="165"/>
      <c r="J7446" s="165"/>
      <c r="K7446" s="166"/>
      <c r="Q7446" s="166"/>
      <c r="R7446" s="166"/>
      <c r="S7446" s="166"/>
    </row>
    <row r="7447" spans="3:19">
      <c r="C7447" s="165"/>
      <c r="D7447" s="165"/>
      <c r="E7447" s="166"/>
      <c r="I7447" s="165"/>
      <c r="J7447" s="165"/>
      <c r="K7447" s="166"/>
      <c r="Q7447" s="166"/>
      <c r="R7447" s="166"/>
      <c r="S7447" s="166"/>
    </row>
    <row r="7448" spans="3:19">
      <c r="C7448" s="165"/>
      <c r="D7448" s="165"/>
      <c r="E7448" s="166"/>
      <c r="I7448" s="165"/>
      <c r="J7448" s="165"/>
      <c r="K7448" s="166"/>
      <c r="Q7448" s="166"/>
      <c r="R7448" s="166"/>
      <c r="S7448" s="166"/>
    </row>
    <row r="7449" spans="3:19">
      <c r="C7449" s="165"/>
      <c r="D7449" s="165"/>
      <c r="E7449" s="166"/>
      <c r="I7449" s="165"/>
      <c r="J7449" s="165"/>
      <c r="K7449" s="166"/>
      <c r="Q7449" s="166"/>
      <c r="R7449" s="166"/>
      <c r="S7449" s="166"/>
    </row>
    <row r="7450" spans="3:19">
      <c r="C7450" s="165"/>
      <c r="D7450" s="165"/>
      <c r="E7450" s="166"/>
      <c r="I7450" s="165"/>
      <c r="J7450" s="165"/>
      <c r="K7450" s="166"/>
      <c r="Q7450" s="166"/>
      <c r="R7450" s="166"/>
      <c r="S7450" s="166"/>
    </row>
    <row r="7451" spans="3:19">
      <c r="C7451" s="165"/>
      <c r="D7451" s="165"/>
      <c r="E7451" s="166"/>
      <c r="I7451" s="165"/>
      <c r="J7451" s="165"/>
      <c r="K7451" s="166"/>
      <c r="Q7451" s="166"/>
      <c r="R7451" s="166"/>
      <c r="S7451" s="166"/>
    </row>
    <row r="7452" spans="3:19">
      <c r="C7452" s="165"/>
      <c r="D7452" s="165"/>
      <c r="E7452" s="166"/>
      <c r="I7452" s="165"/>
      <c r="J7452" s="165"/>
      <c r="K7452" s="166"/>
      <c r="Q7452" s="166"/>
      <c r="R7452" s="166"/>
      <c r="S7452" s="166"/>
    </row>
    <row r="7453" spans="3:19">
      <c r="C7453" s="165"/>
      <c r="D7453" s="165"/>
      <c r="E7453" s="166"/>
      <c r="I7453" s="165"/>
      <c r="J7453" s="165"/>
      <c r="K7453" s="166"/>
      <c r="Q7453" s="166"/>
      <c r="R7453" s="166"/>
      <c r="S7453" s="166"/>
    </row>
    <row r="7454" spans="3:19">
      <c r="C7454" s="165"/>
      <c r="D7454" s="165"/>
      <c r="E7454" s="166"/>
      <c r="I7454" s="165"/>
      <c r="J7454" s="165"/>
      <c r="K7454" s="166"/>
      <c r="Q7454" s="166"/>
      <c r="R7454" s="166"/>
      <c r="S7454" s="166"/>
    </row>
    <row r="7455" spans="3:19">
      <c r="C7455" s="165"/>
      <c r="D7455" s="165"/>
      <c r="E7455" s="166"/>
      <c r="I7455" s="165"/>
      <c r="J7455" s="165"/>
      <c r="K7455" s="166"/>
      <c r="Q7455" s="166"/>
      <c r="R7455" s="166"/>
      <c r="S7455" s="166"/>
    </row>
    <row r="7456" spans="3:19">
      <c r="C7456" s="165"/>
      <c r="D7456" s="165"/>
      <c r="E7456" s="166"/>
      <c r="I7456" s="165"/>
      <c r="J7456" s="165"/>
      <c r="K7456" s="166"/>
      <c r="Q7456" s="166"/>
      <c r="R7456" s="166"/>
      <c r="S7456" s="166"/>
    </row>
    <row r="7457" spans="3:19">
      <c r="C7457" s="165"/>
      <c r="D7457" s="165"/>
      <c r="E7457" s="166"/>
      <c r="I7457" s="165"/>
      <c r="J7457" s="165"/>
      <c r="K7457" s="166"/>
      <c r="Q7457" s="166"/>
      <c r="R7457" s="166"/>
      <c r="S7457" s="166"/>
    </row>
    <row r="7458" spans="3:19">
      <c r="C7458" s="165"/>
      <c r="D7458" s="165"/>
      <c r="E7458" s="166"/>
      <c r="I7458" s="165"/>
      <c r="J7458" s="165"/>
      <c r="K7458" s="166"/>
      <c r="Q7458" s="166"/>
      <c r="R7458" s="166"/>
      <c r="S7458" s="166"/>
    </row>
    <row r="7459" spans="3:19">
      <c r="C7459" s="165"/>
      <c r="D7459" s="165"/>
      <c r="E7459" s="166"/>
      <c r="J7459" s="165"/>
      <c r="K7459" s="166"/>
      <c r="Q7459" s="166"/>
      <c r="R7459" s="166"/>
      <c r="S7459" s="166"/>
    </row>
    <row r="7460" spans="3:19">
      <c r="C7460" s="165"/>
      <c r="D7460" s="165"/>
      <c r="E7460" s="166"/>
      <c r="I7460" s="165"/>
      <c r="J7460" s="165"/>
      <c r="K7460" s="166"/>
      <c r="Q7460" s="166"/>
      <c r="R7460" s="166"/>
      <c r="S7460" s="166"/>
    </row>
    <row r="7461" spans="3:19">
      <c r="C7461" s="165"/>
      <c r="D7461" s="165"/>
      <c r="E7461" s="166"/>
      <c r="I7461" s="165"/>
      <c r="J7461" s="165"/>
      <c r="K7461" s="166"/>
      <c r="Q7461" s="166"/>
      <c r="R7461" s="166"/>
      <c r="S7461" s="166"/>
    </row>
    <row r="7462" spans="3:19">
      <c r="C7462" s="165"/>
      <c r="D7462" s="165"/>
      <c r="E7462" s="166"/>
      <c r="I7462" s="165"/>
      <c r="J7462" s="165"/>
      <c r="K7462" s="166"/>
      <c r="Q7462" s="166"/>
      <c r="R7462" s="166"/>
      <c r="S7462" s="166"/>
    </row>
    <row r="7463" spans="3:19">
      <c r="C7463" s="165"/>
      <c r="D7463" s="165"/>
      <c r="E7463" s="166"/>
      <c r="I7463" s="165"/>
      <c r="J7463" s="165"/>
      <c r="K7463" s="166"/>
      <c r="Q7463" s="166"/>
      <c r="R7463" s="166"/>
      <c r="S7463" s="166"/>
    </row>
    <row r="7464" spans="3:19">
      <c r="C7464" s="165"/>
      <c r="D7464" s="165"/>
      <c r="E7464" s="166"/>
      <c r="I7464" s="165"/>
      <c r="J7464" s="165"/>
      <c r="K7464" s="166"/>
      <c r="Q7464" s="166"/>
      <c r="R7464" s="166"/>
      <c r="S7464" s="166"/>
    </row>
    <row r="7465" spans="3:19">
      <c r="C7465" s="165"/>
      <c r="D7465" s="165"/>
      <c r="E7465" s="166"/>
      <c r="I7465" s="165"/>
      <c r="J7465" s="165"/>
      <c r="K7465" s="166"/>
      <c r="Q7465" s="166"/>
      <c r="R7465" s="166"/>
      <c r="S7465" s="166"/>
    </row>
    <row r="7466" spans="3:19">
      <c r="C7466" s="165"/>
      <c r="D7466" s="165"/>
      <c r="E7466" s="166"/>
      <c r="I7466" s="165"/>
      <c r="J7466" s="165"/>
      <c r="K7466" s="166"/>
      <c r="Q7466" s="166"/>
      <c r="R7466" s="166"/>
      <c r="S7466" s="166"/>
    </row>
    <row r="7467" spans="3:19">
      <c r="C7467" s="165"/>
      <c r="D7467" s="165"/>
      <c r="E7467" s="166"/>
      <c r="I7467" s="165"/>
      <c r="J7467" s="165"/>
      <c r="K7467" s="166"/>
      <c r="Q7467" s="166"/>
      <c r="R7467" s="166"/>
      <c r="S7467" s="166"/>
    </row>
    <row r="7468" spans="3:19">
      <c r="C7468" s="165"/>
      <c r="D7468" s="165"/>
      <c r="E7468" s="166"/>
      <c r="I7468" s="165"/>
      <c r="J7468" s="165"/>
      <c r="K7468" s="166"/>
      <c r="Q7468" s="166"/>
      <c r="R7468" s="166"/>
      <c r="S7468" s="166"/>
    </row>
    <row r="7469" spans="3:19">
      <c r="C7469" s="165"/>
      <c r="D7469" s="165"/>
      <c r="E7469" s="166"/>
      <c r="I7469" s="165"/>
      <c r="J7469" s="165"/>
      <c r="K7469" s="166"/>
      <c r="Q7469" s="166"/>
      <c r="R7469" s="166"/>
      <c r="S7469" s="166"/>
    </row>
    <row r="7470" spans="3:19">
      <c r="C7470" s="165"/>
      <c r="D7470" s="165"/>
      <c r="E7470" s="166"/>
      <c r="I7470" s="165"/>
      <c r="J7470" s="165"/>
      <c r="K7470" s="166"/>
      <c r="Q7470" s="166"/>
      <c r="R7470" s="166"/>
      <c r="S7470" s="166"/>
    </row>
    <row r="7471" spans="3:19">
      <c r="C7471" s="165"/>
      <c r="D7471" s="165"/>
      <c r="E7471" s="166"/>
      <c r="I7471" s="165"/>
      <c r="J7471" s="165"/>
      <c r="K7471" s="166"/>
      <c r="Q7471" s="166"/>
      <c r="R7471" s="166"/>
      <c r="S7471" s="166"/>
    </row>
    <row r="7472" spans="3:19">
      <c r="C7472" s="165"/>
      <c r="D7472" s="165"/>
      <c r="E7472" s="166"/>
      <c r="J7472" s="165"/>
      <c r="K7472" s="166"/>
      <c r="Q7472" s="166"/>
      <c r="R7472" s="166"/>
      <c r="S7472" s="166"/>
    </row>
    <row r="7473" spans="3:19">
      <c r="C7473" s="165"/>
      <c r="D7473" s="165"/>
      <c r="E7473" s="166"/>
      <c r="I7473" s="165"/>
      <c r="J7473" s="165"/>
      <c r="K7473" s="166"/>
      <c r="Q7473" s="166"/>
      <c r="R7473" s="166"/>
      <c r="S7473" s="166"/>
    </row>
    <row r="7474" spans="3:19">
      <c r="C7474" s="165"/>
      <c r="D7474" s="165"/>
      <c r="E7474" s="166"/>
      <c r="I7474" s="165"/>
      <c r="J7474" s="165"/>
      <c r="K7474" s="166"/>
      <c r="Q7474" s="166"/>
      <c r="R7474" s="166"/>
      <c r="S7474" s="166"/>
    </row>
    <row r="7475" spans="3:19">
      <c r="C7475" s="165"/>
      <c r="D7475" s="165"/>
      <c r="E7475" s="166"/>
      <c r="J7475" s="165"/>
      <c r="K7475" s="166"/>
      <c r="Q7475" s="166"/>
      <c r="R7475" s="166"/>
      <c r="S7475" s="166"/>
    </row>
    <row r="7476" spans="3:19">
      <c r="C7476" s="165"/>
      <c r="D7476" s="165"/>
      <c r="E7476" s="166"/>
      <c r="I7476" s="165"/>
      <c r="J7476" s="165"/>
      <c r="K7476" s="166"/>
      <c r="Q7476" s="166"/>
      <c r="R7476" s="166"/>
      <c r="S7476" s="166"/>
    </row>
    <row r="7477" spans="3:19">
      <c r="C7477" s="165"/>
      <c r="D7477" s="165"/>
      <c r="E7477" s="166"/>
      <c r="I7477" s="165"/>
      <c r="J7477" s="165"/>
      <c r="K7477" s="166"/>
      <c r="Q7477" s="166"/>
      <c r="R7477" s="166"/>
      <c r="S7477" s="166"/>
    </row>
    <row r="7478" spans="3:19">
      <c r="C7478" s="165"/>
      <c r="D7478" s="165"/>
      <c r="E7478" s="166"/>
      <c r="I7478" s="165"/>
      <c r="J7478" s="165"/>
      <c r="K7478" s="166"/>
      <c r="Q7478" s="166"/>
      <c r="R7478" s="166"/>
      <c r="S7478" s="166"/>
    </row>
    <row r="7479" spans="3:19">
      <c r="C7479" s="165"/>
      <c r="D7479" s="165"/>
      <c r="E7479" s="166"/>
      <c r="I7479" s="165"/>
      <c r="J7479" s="165"/>
      <c r="K7479" s="166"/>
      <c r="Q7479" s="166"/>
      <c r="R7479" s="166"/>
      <c r="S7479" s="166"/>
    </row>
    <row r="7480" spans="3:19">
      <c r="C7480" s="165"/>
      <c r="D7480" s="165"/>
      <c r="E7480" s="166"/>
      <c r="I7480" s="165"/>
      <c r="J7480" s="165"/>
      <c r="K7480" s="166"/>
      <c r="Q7480" s="166"/>
      <c r="R7480" s="166"/>
      <c r="S7480" s="166"/>
    </row>
    <row r="7481" spans="3:19">
      <c r="C7481" s="165"/>
      <c r="D7481" s="165"/>
      <c r="E7481" s="166"/>
      <c r="I7481" s="165"/>
      <c r="J7481" s="165"/>
      <c r="K7481" s="166"/>
      <c r="Q7481" s="166"/>
      <c r="R7481" s="166"/>
      <c r="S7481" s="166"/>
    </row>
    <row r="7482" spans="3:19">
      <c r="C7482" s="165"/>
      <c r="D7482" s="165"/>
      <c r="E7482" s="166"/>
      <c r="I7482" s="165"/>
      <c r="J7482" s="165"/>
      <c r="K7482" s="166"/>
      <c r="Q7482" s="166"/>
      <c r="R7482" s="166"/>
      <c r="S7482" s="166"/>
    </row>
    <row r="7483" spans="3:19">
      <c r="C7483" s="165"/>
      <c r="D7483" s="165"/>
      <c r="E7483" s="166"/>
      <c r="I7483" s="165"/>
      <c r="J7483" s="165"/>
      <c r="K7483" s="166"/>
      <c r="Q7483" s="166"/>
      <c r="R7483" s="166"/>
      <c r="S7483" s="166"/>
    </row>
    <row r="7484" spans="3:19">
      <c r="C7484" s="165"/>
      <c r="D7484" s="165"/>
      <c r="E7484" s="166"/>
      <c r="J7484" s="165"/>
      <c r="K7484" s="166"/>
      <c r="Q7484" s="166"/>
      <c r="R7484" s="166"/>
      <c r="S7484" s="166"/>
    </row>
    <row r="7485" spans="3:19">
      <c r="C7485" s="165"/>
      <c r="D7485" s="165"/>
      <c r="E7485" s="166"/>
      <c r="I7485" s="165"/>
      <c r="J7485" s="165"/>
      <c r="K7485" s="166"/>
      <c r="Q7485" s="166"/>
      <c r="R7485" s="166"/>
      <c r="S7485" s="166"/>
    </row>
    <row r="7486" spans="3:19">
      <c r="C7486" s="165"/>
      <c r="D7486" s="165"/>
      <c r="E7486" s="166"/>
      <c r="I7486" s="165"/>
      <c r="J7486" s="165"/>
      <c r="K7486" s="166"/>
      <c r="Q7486" s="166"/>
      <c r="R7486" s="166"/>
      <c r="S7486" s="166"/>
    </row>
    <row r="7487" spans="3:19">
      <c r="C7487" s="165"/>
      <c r="D7487" s="165"/>
      <c r="E7487" s="166"/>
      <c r="I7487" s="165"/>
      <c r="J7487" s="165"/>
      <c r="K7487" s="166"/>
      <c r="Q7487" s="166"/>
      <c r="R7487" s="166"/>
      <c r="S7487" s="166"/>
    </row>
    <row r="7488" spans="3:19">
      <c r="C7488" s="165"/>
      <c r="D7488" s="165"/>
      <c r="E7488" s="166"/>
      <c r="I7488" s="165"/>
      <c r="J7488" s="165"/>
      <c r="K7488" s="166"/>
      <c r="Q7488" s="166"/>
      <c r="R7488" s="166"/>
      <c r="S7488" s="166"/>
    </row>
    <row r="7489" spans="3:19">
      <c r="C7489" s="165"/>
      <c r="D7489" s="165"/>
      <c r="E7489" s="166"/>
      <c r="I7489" s="165"/>
      <c r="J7489" s="165"/>
      <c r="K7489" s="166"/>
      <c r="Q7489" s="166"/>
      <c r="R7489" s="166"/>
      <c r="S7489" s="166"/>
    </row>
    <row r="7490" spans="3:19">
      <c r="C7490" s="165"/>
      <c r="D7490" s="165"/>
      <c r="E7490" s="166"/>
      <c r="I7490" s="165"/>
      <c r="J7490" s="165"/>
      <c r="K7490" s="166"/>
      <c r="Q7490" s="166"/>
      <c r="R7490" s="166"/>
      <c r="S7490" s="166"/>
    </row>
    <row r="7491" spans="3:19">
      <c r="C7491" s="165"/>
      <c r="D7491" s="165"/>
      <c r="E7491" s="166"/>
      <c r="I7491" s="165"/>
      <c r="J7491" s="165"/>
      <c r="K7491" s="166"/>
      <c r="Q7491" s="166"/>
      <c r="R7491" s="166"/>
      <c r="S7491" s="166"/>
    </row>
    <row r="7492" spans="3:19">
      <c r="C7492" s="165"/>
      <c r="D7492" s="165"/>
      <c r="E7492" s="166"/>
      <c r="I7492" s="165"/>
      <c r="J7492" s="165"/>
      <c r="K7492" s="166"/>
      <c r="Q7492" s="166"/>
      <c r="R7492" s="166"/>
      <c r="S7492" s="166"/>
    </row>
    <row r="7493" spans="3:19">
      <c r="C7493" s="165"/>
      <c r="D7493" s="165"/>
      <c r="E7493" s="166"/>
      <c r="I7493" s="165"/>
      <c r="J7493" s="165"/>
      <c r="K7493" s="166"/>
      <c r="Q7493" s="166"/>
      <c r="R7493" s="166"/>
      <c r="S7493" s="166"/>
    </row>
    <row r="7494" spans="3:19">
      <c r="C7494" s="165"/>
      <c r="D7494" s="165"/>
      <c r="E7494" s="166"/>
      <c r="I7494" s="165"/>
      <c r="J7494" s="165"/>
      <c r="K7494" s="166"/>
      <c r="Q7494" s="166"/>
      <c r="R7494" s="166"/>
      <c r="S7494" s="166"/>
    </row>
    <row r="7495" spans="3:19">
      <c r="C7495" s="165"/>
      <c r="D7495" s="165"/>
      <c r="E7495" s="166"/>
      <c r="I7495" s="165"/>
      <c r="J7495" s="165"/>
      <c r="K7495" s="166"/>
      <c r="Q7495" s="166"/>
      <c r="R7495" s="166"/>
      <c r="S7495" s="166"/>
    </row>
    <row r="7496" spans="3:19">
      <c r="C7496" s="165"/>
      <c r="D7496" s="165"/>
      <c r="E7496" s="166"/>
      <c r="I7496" s="165"/>
      <c r="J7496" s="165"/>
      <c r="K7496" s="166"/>
      <c r="Q7496" s="166"/>
      <c r="R7496" s="166"/>
      <c r="S7496" s="166"/>
    </row>
    <row r="7497" spans="3:19">
      <c r="C7497" s="165"/>
      <c r="D7497" s="165"/>
      <c r="E7497" s="166"/>
      <c r="I7497" s="165"/>
      <c r="J7497" s="165"/>
      <c r="K7497" s="166"/>
      <c r="Q7497" s="166"/>
      <c r="R7497" s="166"/>
      <c r="S7497" s="166"/>
    </row>
    <row r="7498" spans="3:19">
      <c r="C7498" s="165"/>
      <c r="D7498" s="165"/>
      <c r="E7498" s="166"/>
      <c r="I7498" s="165"/>
      <c r="J7498" s="165"/>
      <c r="K7498" s="166"/>
      <c r="Q7498" s="166"/>
      <c r="R7498" s="166"/>
      <c r="S7498" s="166"/>
    </row>
    <row r="7499" spans="3:19">
      <c r="C7499" s="165"/>
      <c r="D7499" s="165"/>
      <c r="E7499" s="166"/>
      <c r="I7499" s="165"/>
      <c r="J7499" s="165"/>
      <c r="K7499" s="166"/>
      <c r="Q7499" s="166"/>
      <c r="R7499" s="166"/>
      <c r="S7499" s="166"/>
    </row>
    <row r="7500" spans="3:19">
      <c r="C7500" s="165"/>
      <c r="D7500" s="165"/>
      <c r="E7500" s="166"/>
      <c r="J7500" s="165"/>
      <c r="K7500" s="166"/>
      <c r="Q7500" s="166"/>
      <c r="R7500" s="166"/>
      <c r="S7500" s="166"/>
    </row>
    <row r="7501" spans="3:19">
      <c r="C7501" s="165"/>
      <c r="D7501" s="165"/>
      <c r="E7501" s="166"/>
      <c r="I7501" s="165"/>
      <c r="J7501" s="165"/>
      <c r="K7501" s="166"/>
      <c r="Q7501" s="166"/>
      <c r="R7501" s="166"/>
      <c r="S7501" s="166"/>
    </row>
    <row r="7502" spans="3:19">
      <c r="C7502" s="165"/>
      <c r="D7502" s="165"/>
      <c r="E7502" s="166"/>
      <c r="I7502" s="165"/>
      <c r="J7502" s="165"/>
      <c r="K7502" s="166"/>
      <c r="Q7502" s="166"/>
      <c r="R7502" s="166"/>
      <c r="S7502" s="166"/>
    </row>
    <row r="7503" spans="3:19">
      <c r="C7503" s="165"/>
      <c r="D7503" s="165"/>
      <c r="E7503" s="166"/>
      <c r="I7503" s="165"/>
      <c r="J7503" s="165"/>
      <c r="K7503" s="166"/>
      <c r="Q7503" s="166"/>
      <c r="R7503" s="166"/>
      <c r="S7503" s="166"/>
    </row>
    <row r="7504" spans="3:19">
      <c r="C7504" s="165"/>
      <c r="D7504" s="165"/>
      <c r="E7504" s="166"/>
      <c r="I7504" s="165"/>
      <c r="J7504" s="165"/>
      <c r="K7504" s="166"/>
      <c r="Q7504" s="166"/>
      <c r="R7504" s="166"/>
      <c r="S7504" s="166"/>
    </row>
    <row r="7505" spans="3:19">
      <c r="C7505" s="165"/>
      <c r="D7505" s="165"/>
      <c r="E7505" s="166"/>
      <c r="I7505" s="165"/>
      <c r="J7505" s="165"/>
      <c r="K7505" s="166"/>
      <c r="Q7505" s="166"/>
      <c r="R7505" s="166"/>
      <c r="S7505" s="166"/>
    </row>
    <row r="7506" spans="3:19">
      <c r="C7506" s="165"/>
      <c r="D7506" s="165"/>
      <c r="E7506" s="166"/>
      <c r="I7506" s="165"/>
      <c r="J7506" s="165"/>
      <c r="K7506" s="166"/>
      <c r="Q7506" s="166"/>
      <c r="R7506" s="166"/>
      <c r="S7506" s="166"/>
    </row>
    <row r="7507" spans="3:19">
      <c r="C7507" s="165"/>
      <c r="D7507" s="165"/>
      <c r="E7507" s="166"/>
      <c r="I7507" s="165"/>
      <c r="J7507" s="165"/>
      <c r="K7507" s="166"/>
      <c r="Q7507" s="166"/>
      <c r="R7507" s="166"/>
      <c r="S7507" s="166"/>
    </row>
    <row r="7508" spans="3:19">
      <c r="C7508" s="165"/>
      <c r="D7508" s="165"/>
      <c r="E7508" s="166"/>
      <c r="I7508" s="165"/>
      <c r="J7508" s="165"/>
      <c r="K7508" s="166"/>
      <c r="Q7508" s="166"/>
      <c r="R7508" s="166"/>
      <c r="S7508" s="166"/>
    </row>
    <row r="7509" spans="3:19">
      <c r="C7509" s="165"/>
      <c r="D7509" s="165"/>
      <c r="E7509" s="166"/>
      <c r="I7509" s="165"/>
      <c r="J7509" s="165"/>
      <c r="K7509" s="166"/>
      <c r="Q7509" s="166"/>
      <c r="R7509" s="166"/>
      <c r="S7509" s="166"/>
    </row>
    <row r="7510" spans="3:19">
      <c r="C7510" s="165"/>
      <c r="D7510" s="165"/>
      <c r="E7510" s="166"/>
      <c r="I7510" s="165"/>
      <c r="J7510" s="165"/>
      <c r="K7510" s="166"/>
      <c r="Q7510" s="166"/>
      <c r="R7510" s="166"/>
      <c r="S7510" s="166"/>
    </row>
    <row r="7511" spans="3:19">
      <c r="C7511" s="165"/>
      <c r="D7511" s="165"/>
      <c r="E7511" s="166"/>
      <c r="I7511" s="165"/>
      <c r="J7511" s="165"/>
      <c r="K7511" s="166"/>
      <c r="Q7511" s="166"/>
      <c r="R7511" s="166"/>
      <c r="S7511" s="166"/>
    </row>
    <row r="7512" spans="3:19">
      <c r="C7512" s="165"/>
      <c r="D7512" s="165"/>
      <c r="E7512" s="166"/>
      <c r="I7512" s="165"/>
      <c r="J7512" s="165"/>
      <c r="K7512" s="166"/>
      <c r="Q7512" s="166"/>
      <c r="R7512" s="166"/>
      <c r="S7512" s="166"/>
    </row>
    <row r="7513" spans="3:19">
      <c r="C7513" s="165"/>
      <c r="D7513" s="165"/>
      <c r="E7513" s="166"/>
      <c r="I7513" s="165"/>
      <c r="J7513" s="165"/>
      <c r="K7513" s="166"/>
      <c r="Q7513" s="166"/>
      <c r="R7513" s="166"/>
      <c r="S7513" s="166"/>
    </row>
    <row r="7514" spans="3:19">
      <c r="C7514" s="165"/>
      <c r="D7514" s="165"/>
      <c r="E7514" s="166"/>
      <c r="I7514" s="165"/>
      <c r="J7514" s="165"/>
      <c r="K7514" s="166"/>
      <c r="Q7514" s="166"/>
      <c r="R7514" s="166"/>
      <c r="S7514" s="166"/>
    </row>
    <row r="7515" spans="3:19">
      <c r="C7515" s="165"/>
      <c r="D7515" s="165"/>
      <c r="E7515" s="166"/>
      <c r="I7515" s="165"/>
      <c r="J7515" s="165"/>
      <c r="K7515" s="166"/>
      <c r="Q7515" s="166"/>
      <c r="R7515" s="166"/>
      <c r="S7515" s="166"/>
    </row>
    <row r="7516" spans="3:19">
      <c r="C7516" s="165"/>
      <c r="D7516" s="165"/>
      <c r="E7516" s="166"/>
      <c r="I7516" s="165"/>
      <c r="J7516" s="165"/>
      <c r="K7516" s="166"/>
      <c r="Q7516" s="166"/>
      <c r="R7516" s="166"/>
      <c r="S7516" s="166"/>
    </row>
    <row r="7517" spans="3:19">
      <c r="C7517" s="165"/>
      <c r="D7517" s="165"/>
      <c r="E7517" s="166"/>
      <c r="I7517" s="165"/>
      <c r="J7517" s="165"/>
      <c r="K7517" s="166"/>
      <c r="Q7517" s="166"/>
      <c r="R7517" s="166"/>
      <c r="S7517" s="166"/>
    </row>
    <row r="7518" spans="3:19">
      <c r="C7518" s="165"/>
      <c r="D7518" s="165"/>
      <c r="E7518" s="166"/>
      <c r="I7518" s="165"/>
      <c r="J7518" s="165"/>
      <c r="K7518" s="166"/>
      <c r="Q7518" s="166"/>
      <c r="R7518" s="166"/>
      <c r="S7518" s="166"/>
    </row>
    <row r="7519" spans="3:19">
      <c r="C7519" s="165"/>
      <c r="D7519" s="165"/>
      <c r="E7519" s="166"/>
      <c r="I7519" s="165"/>
      <c r="J7519" s="165"/>
      <c r="K7519" s="166"/>
      <c r="Q7519" s="166"/>
      <c r="R7519" s="166"/>
      <c r="S7519" s="166"/>
    </row>
    <row r="7520" spans="3:19">
      <c r="C7520" s="165"/>
      <c r="D7520" s="165"/>
      <c r="E7520" s="166"/>
      <c r="J7520" s="165"/>
      <c r="K7520" s="166"/>
      <c r="Q7520" s="166"/>
      <c r="R7520" s="166"/>
      <c r="S7520" s="166"/>
    </row>
    <row r="7521" spans="3:19">
      <c r="C7521" s="165"/>
      <c r="D7521" s="165"/>
      <c r="E7521" s="166"/>
      <c r="I7521" s="165"/>
      <c r="J7521" s="165"/>
      <c r="K7521" s="166"/>
      <c r="Q7521" s="166"/>
      <c r="R7521" s="166"/>
      <c r="S7521" s="166"/>
    </row>
    <row r="7522" spans="3:19">
      <c r="C7522" s="165"/>
      <c r="D7522" s="165"/>
      <c r="E7522" s="166"/>
      <c r="I7522" s="165"/>
      <c r="J7522" s="165"/>
      <c r="K7522" s="166"/>
      <c r="Q7522" s="166"/>
      <c r="R7522" s="166"/>
      <c r="S7522" s="166"/>
    </row>
    <row r="7523" spans="3:19">
      <c r="C7523" s="165"/>
      <c r="D7523" s="165"/>
      <c r="E7523" s="166"/>
      <c r="I7523" s="165"/>
      <c r="J7523" s="165"/>
      <c r="K7523" s="166"/>
      <c r="Q7523" s="166"/>
      <c r="R7523" s="166"/>
      <c r="S7523" s="166"/>
    </row>
    <row r="7524" spans="3:19">
      <c r="C7524" s="165"/>
      <c r="D7524" s="165"/>
      <c r="E7524" s="166"/>
      <c r="I7524" s="165"/>
      <c r="J7524" s="165"/>
      <c r="K7524" s="166"/>
      <c r="Q7524" s="166"/>
      <c r="R7524" s="166"/>
      <c r="S7524" s="166"/>
    </row>
    <row r="7525" spans="3:19">
      <c r="C7525" s="165"/>
      <c r="D7525" s="165"/>
      <c r="E7525" s="166"/>
      <c r="I7525" s="165"/>
      <c r="J7525" s="165"/>
      <c r="K7525" s="166"/>
      <c r="Q7525" s="166"/>
      <c r="R7525" s="166"/>
      <c r="S7525" s="166"/>
    </row>
    <row r="7526" spans="3:19">
      <c r="C7526" s="165"/>
      <c r="D7526" s="165"/>
      <c r="E7526" s="166"/>
      <c r="I7526" s="165"/>
      <c r="K7526" s="166"/>
      <c r="Q7526" s="166"/>
      <c r="R7526" s="166"/>
      <c r="S7526" s="166"/>
    </row>
    <row r="7527" spans="3:19">
      <c r="C7527" s="165"/>
      <c r="D7527" s="165"/>
      <c r="E7527" s="166"/>
      <c r="I7527" s="165"/>
      <c r="J7527" s="165"/>
      <c r="K7527" s="166"/>
      <c r="Q7527" s="166"/>
      <c r="R7527" s="166"/>
      <c r="S7527" s="166"/>
    </row>
    <row r="7528" spans="3:19">
      <c r="C7528" s="165"/>
      <c r="D7528" s="165"/>
      <c r="E7528" s="166"/>
      <c r="I7528" s="165"/>
      <c r="J7528" s="165"/>
      <c r="K7528" s="166"/>
      <c r="Q7528" s="166"/>
      <c r="R7528" s="166"/>
      <c r="S7528" s="166"/>
    </row>
    <row r="7529" spans="3:19">
      <c r="C7529" s="165"/>
      <c r="D7529" s="165"/>
      <c r="E7529" s="166"/>
      <c r="I7529" s="165"/>
      <c r="J7529" s="165"/>
      <c r="K7529" s="166"/>
      <c r="Q7529" s="166"/>
      <c r="R7529" s="166"/>
      <c r="S7529" s="166"/>
    </row>
    <row r="7530" spans="3:19">
      <c r="C7530" s="165"/>
      <c r="D7530" s="165"/>
      <c r="E7530" s="166"/>
      <c r="I7530" s="165"/>
      <c r="J7530" s="165"/>
      <c r="K7530" s="166"/>
      <c r="Q7530" s="166"/>
      <c r="R7530" s="166"/>
      <c r="S7530" s="166"/>
    </row>
    <row r="7531" spans="3:19">
      <c r="C7531" s="165"/>
      <c r="D7531" s="165"/>
      <c r="E7531" s="166"/>
      <c r="I7531" s="165"/>
      <c r="J7531" s="165"/>
      <c r="K7531" s="166"/>
      <c r="Q7531" s="166"/>
      <c r="R7531" s="166"/>
      <c r="S7531" s="166"/>
    </row>
    <row r="7532" spans="3:19">
      <c r="C7532" s="165"/>
      <c r="D7532" s="165"/>
      <c r="E7532" s="166"/>
      <c r="I7532" s="165"/>
      <c r="J7532" s="165"/>
      <c r="K7532" s="166"/>
      <c r="Q7532" s="166"/>
      <c r="R7532" s="166"/>
      <c r="S7532" s="166"/>
    </row>
    <row r="7533" spans="3:19">
      <c r="C7533" s="165"/>
      <c r="D7533" s="165"/>
      <c r="E7533" s="166"/>
      <c r="I7533" s="165"/>
      <c r="J7533" s="165"/>
      <c r="K7533" s="166"/>
      <c r="Q7533" s="166"/>
      <c r="R7533" s="166"/>
      <c r="S7533" s="166"/>
    </row>
    <row r="7534" spans="3:19">
      <c r="C7534" s="165"/>
      <c r="D7534" s="165"/>
      <c r="E7534" s="166"/>
      <c r="I7534" s="165"/>
      <c r="J7534" s="165"/>
      <c r="K7534" s="166"/>
      <c r="Q7534" s="166"/>
      <c r="R7534" s="166"/>
      <c r="S7534" s="166"/>
    </row>
    <row r="7535" spans="3:19">
      <c r="C7535" s="165"/>
      <c r="D7535" s="165"/>
      <c r="E7535" s="166"/>
      <c r="I7535" s="165"/>
      <c r="J7535" s="165"/>
      <c r="K7535" s="166"/>
      <c r="Q7535" s="166"/>
      <c r="R7535" s="166"/>
      <c r="S7535" s="166"/>
    </row>
    <row r="7536" spans="3:19">
      <c r="C7536" s="165"/>
      <c r="D7536" s="165"/>
      <c r="E7536" s="166"/>
      <c r="I7536" s="165"/>
      <c r="J7536" s="165"/>
      <c r="K7536" s="166"/>
      <c r="Q7536" s="166"/>
      <c r="R7536" s="166"/>
      <c r="S7536" s="166"/>
    </row>
    <row r="7537" spans="3:19">
      <c r="C7537" s="165"/>
      <c r="D7537" s="165"/>
      <c r="E7537" s="166"/>
      <c r="I7537" s="165"/>
      <c r="J7537" s="165"/>
      <c r="K7537" s="166"/>
      <c r="Q7537" s="166"/>
      <c r="R7537" s="166"/>
      <c r="S7537" s="166"/>
    </row>
    <row r="7538" spans="3:19">
      <c r="C7538" s="165"/>
      <c r="D7538" s="165"/>
      <c r="E7538" s="166"/>
      <c r="I7538" s="165"/>
      <c r="J7538" s="165"/>
      <c r="K7538" s="166"/>
      <c r="Q7538" s="166"/>
      <c r="R7538" s="166"/>
      <c r="S7538" s="166"/>
    </row>
    <row r="7539" spans="3:19">
      <c r="C7539" s="165"/>
      <c r="D7539" s="165"/>
      <c r="E7539" s="166"/>
      <c r="I7539" s="165"/>
      <c r="J7539" s="165"/>
      <c r="K7539" s="166"/>
      <c r="Q7539" s="166"/>
      <c r="R7539" s="166"/>
      <c r="S7539" s="166"/>
    </row>
    <row r="7540" spans="3:19">
      <c r="C7540" s="165"/>
      <c r="D7540" s="165"/>
      <c r="E7540" s="166"/>
      <c r="I7540" s="165"/>
      <c r="J7540" s="165"/>
      <c r="K7540" s="166"/>
      <c r="Q7540" s="166"/>
      <c r="R7540" s="166"/>
      <c r="S7540" s="166"/>
    </row>
    <row r="7541" spans="3:19">
      <c r="C7541" s="165"/>
      <c r="D7541" s="165"/>
      <c r="E7541" s="166"/>
      <c r="I7541" s="165"/>
      <c r="J7541" s="165"/>
      <c r="K7541" s="166"/>
      <c r="Q7541" s="166"/>
      <c r="R7541" s="166"/>
      <c r="S7541" s="166"/>
    </row>
    <row r="7542" spans="3:19">
      <c r="C7542" s="165"/>
      <c r="D7542" s="165"/>
      <c r="E7542" s="166"/>
      <c r="I7542" s="165"/>
      <c r="J7542" s="165"/>
      <c r="K7542" s="166"/>
      <c r="Q7542" s="166"/>
      <c r="R7542" s="166"/>
      <c r="S7542" s="166"/>
    </row>
    <row r="7543" spans="3:19">
      <c r="C7543" s="165"/>
      <c r="D7543" s="165"/>
      <c r="E7543" s="166"/>
      <c r="I7543" s="165"/>
      <c r="J7543" s="165"/>
      <c r="K7543" s="166"/>
      <c r="Q7543" s="166"/>
      <c r="R7543" s="166"/>
      <c r="S7543" s="166"/>
    </row>
    <row r="7544" spans="3:19">
      <c r="C7544" s="165"/>
      <c r="D7544" s="165"/>
      <c r="E7544" s="166"/>
      <c r="I7544" s="165"/>
      <c r="J7544" s="165"/>
      <c r="K7544" s="166"/>
      <c r="Q7544" s="166"/>
      <c r="R7544" s="166"/>
      <c r="S7544" s="166"/>
    </row>
    <row r="7545" spans="3:19">
      <c r="C7545" s="165"/>
      <c r="D7545" s="165"/>
      <c r="E7545" s="166"/>
      <c r="I7545" s="165"/>
      <c r="J7545" s="165"/>
      <c r="K7545" s="166"/>
      <c r="Q7545" s="166"/>
      <c r="R7545" s="166"/>
      <c r="S7545" s="166"/>
    </row>
    <row r="7546" spans="3:19">
      <c r="C7546" s="165"/>
      <c r="D7546" s="165"/>
      <c r="E7546" s="166"/>
      <c r="I7546" s="165"/>
      <c r="J7546" s="165"/>
      <c r="K7546" s="166"/>
      <c r="Q7546" s="166"/>
      <c r="R7546" s="166"/>
      <c r="S7546" s="166"/>
    </row>
    <row r="7547" spans="3:19">
      <c r="C7547" s="165"/>
      <c r="D7547" s="165"/>
      <c r="E7547" s="166"/>
      <c r="I7547" s="165"/>
      <c r="J7547" s="165"/>
      <c r="K7547" s="166"/>
      <c r="Q7547" s="166"/>
      <c r="R7547" s="166"/>
      <c r="S7547" s="166"/>
    </row>
    <row r="7548" spans="3:19">
      <c r="C7548" s="165"/>
      <c r="D7548" s="165"/>
      <c r="E7548" s="166"/>
      <c r="I7548" s="165"/>
      <c r="J7548" s="165"/>
      <c r="K7548" s="166"/>
      <c r="Q7548" s="166"/>
      <c r="R7548" s="166"/>
      <c r="S7548" s="166"/>
    </row>
    <row r="7549" spans="3:19">
      <c r="C7549" s="165"/>
      <c r="D7549" s="165"/>
      <c r="E7549" s="166"/>
      <c r="I7549" s="165"/>
      <c r="J7549" s="165"/>
      <c r="K7549" s="166"/>
      <c r="Q7549" s="166"/>
      <c r="R7549" s="166"/>
      <c r="S7549" s="166"/>
    </row>
    <row r="7550" spans="3:19">
      <c r="C7550" s="165"/>
      <c r="D7550" s="165"/>
      <c r="E7550" s="166"/>
      <c r="I7550" s="165"/>
      <c r="J7550" s="165"/>
      <c r="K7550" s="166"/>
      <c r="Q7550" s="166"/>
      <c r="R7550" s="166"/>
      <c r="S7550" s="166"/>
    </row>
    <row r="7551" spans="3:19">
      <c r="C7551" s="165"/>
      <c r="D7551" s="165"/>
      <c r="E7551" s="166"/>
      <c r="I7551" s="165"/>
      <c r="J7551" s="165"/>
      <c r="K7551" s="166"/>
      <c r="Q7551" s="166"/>
      <c r="R7551" s="166"/>
      <c r="S7551" s="166"/>
    </row>
    <row r="7552" spans="3:19">
      <c r="C7552" s="165"/>
      <c r="D7552" s="165"/>
      <c r="E7552" s="166"/>
      <c r="I7552" s="165"/>
      <c r="J7552" s="165"/>
      <c r="K7552" s="166"/>
      <c r="Q7552" s="166"/>
      <c r="R7552" s="166"/>
      <c r="S7552" s="166"/>
    </row>
    <row r="7553" spans="3:19">
      <c r="C7553" s="165"/>
      <c r="D7553" s="165"/>
      <c r="E7553" s="166"/>
      <c r="I7553" s="165"/>
      <c r="J7553" s="165"/>
      <c r="K7553" s="166"/>
      <c r="Q7553" s="166"/>
      <c r="R7553" s="166"/>
      <c r="S7553" s="166"/>
    </row>
    <row r="7554" spans="3:19">
      <c r="C7554" s="165"/>
      <c r="D7554" s="165"/>
      <c r="E7554" s="166"/>
      <c r="I7554" s="165"/>
      <c r="J7554" s="165"/>
      <c r="K7554" s="166"/>
      <c r="Q7554" s="166"/>
      <c r="R7554" s="166"/>
      <c r="S7554" s="166"/>
    </row>
    <row r="7555" spans="3:19">
      <c r="C7555" s="165"/>
      <c r="D7555" s="165"/>
      <c r="E7555" s="166"/>
      <c r="I7555" s="165"/>
      <c r="J7555" s="165"/>
      <c r="K7555" s="166"/>
      <c r="Q7555" s="166"/>
      <c r="R7555" s="166"/>
      <c r="S7555" s="166"/>
    </row>
    <row r="7556" spans="3:19">
      <c r="C7556" s="165"/>
      <c r="D7556" s="165"/>
      <c r="E7556" s="166"/>
      <c r="I7556" s="165"/>
      <c r="J7556" s="165"/>
      <c r="K7556" s="166"/>
      <c r="Q7556" s="166"/>
      <c r="R7556" s="166"/>
      <c r="S7556" s="166"/>
    </row>
    <row r="7557" spans="3:19">
      <c r="C7557" s="165"/>
      <c r="D7557" s="165"/>
      <c r="E7557" s="166"/>
      <c r="I7557" s="165"/>
      <c r="J7557" s="165"/>
      <c r="K7557" s="166"/>
      <c r="Q7557" s="166"/>
      <c r="R7557" s="166"/>
      <c r="S7557" s="166"/>
    </row>
    <row r="7558" spans="3:19">
      <c r="C7558" s="165"/>
      <c r="D7558" s="165"/>
      <c r="E7558" s="166"/>
      <c r="I7558" s="165"/>
      <c r="J7558" s="165"/>
      <c r="K7558" s="166"/>
      <c r="Q7558" s="166"/>
      <c r="R7558" s="166"/>
      <c r="S7558" s="166"/>
    </row>
    <row r="7559" spans="3:19">
      <c r="C7559" s="165"/>
      <c r="D7559" s="165"/>
      <c r="E7559" s="166"/>
      <c r="I7559" s="165"/>
      <c r="J7559" s="165"/>
      <c r="K7559" s="166"/>
      <c r="Q7559" s="166"/>
      <c r="R7559" s="166"/>
      <c r="S7559" s="166"/>
    </row>
    <row r="7560" spans="3:19">
      <c r="C7560" s="165"/>
      <c r="D7560" s="165"/>
      <c r="E7560" s="166"/>
      <c r="I7560" s="165"/>
      <c r="J7560" s="165"/>
      <c r="K7560" s="166"/>
      <c r="Q7560" s="166"/>
      <c r="R7560" s="166"/>
      <c r="S7560" s="166"/>
    </row>
    <row r="7561" spans="3:19">
      <c r="C7561" s="165"/>
      <c r="D7561" s="165"/>
      <c r="E7561" s="166"/>
      <c r="I7561" s="165"/>
      <c r="J7561" s="165"/>
      <c r="K7561" s="166"/>
      <c r="Q7561" s="166"/>
      <c r="R7561" s="166"/>
      <c r="S7561" s="166"/>
    </row>
    <row r="7562" spans="3:19">
      <c r="C7562" s="165"/>
      <c r="D7562" s="165"/>
      <c r="E7562" s="166"/>
      <c r="I7562" s="165"/>
      <c r="J7562" s="165"/>
      <c r="K7562" s="166"/>
      <c r="Q7562" s="166"/>
      <c r="R7562" s="166"/>
      <c r="S7562" s="166"/>
    </row>
    <row r="7563" spans="3:19">
      <c r="C7563" s="165"/>
      <c r="D7563" s="165"/>
      <c r="E7563" s="166"/>
      <c r="I7563" s="165"/>
      <c r="J7563" s="165"/>
      <c r="K7563" s="166"/>
      <c r="Q7563" s="166"/>
      <c r="R7563" s="166"/>
      <c r="S7563" s="166"/>
    </row>
    <row r="7564" spans="3:19">
      <c r="C7564" s="165"/>
      <c r="D7564" s="165"/>
      <c r="E7564" s="166"/>
      <c r="J7564" s="165"/>
      <c r="K7564" s="166"/>
      <c r="Q7564" s="166"/>
      <c r="R7564" s="166"/>
      <c r="S7564" s="166"/>
    </row>
    <row r="7565" spans="3:19">
      <c r="C7565" s="165"/>
      <c r="D7565" s="165"/>
      <c r="E7565" s="166"/>
      <c r="I7565" s="165"/>
      <c r="J7565" s="165"/>
      <c r="K7565" s="166"/>
      <c r="Q7565" s="166"/>
      <c r="R7565" s="166"/>
      <c r="S7565" s="166"/>
    </row>
    <row r="7566" spans="3:19">
      <c r="C7566" s="165"/>
      <c r="D7566" s="165"/>
      <c r="E7566" s="166"/>
      <c r="I7566" s="165"/>
      <c r="J7566" s="165"/>
      <c r="K7566" s="166"/>
      <c r="Q7566" s="166"/>
      <c r="R7566" s="166"/>
      <c r="S7566" s="166"/>
    </row>
    <row r="7567" spans="3:19">
      <c r="C7567" s="165"/>
      <c r="D7567" s="165"/>
      <c r="E7567" s="166"/>
      <c r="I7567" s="165"/>
      <c r="J7567" s="165"/>
      <c r="K7567" s="166"/>
      <c r="Q7567" s="166"/>
      <c r="R7567" s="166"/>
      <c r="S7567" s="166"/>
    </row>
    <row r="7568" spans="3:19">
      <c r="C7568" s="165"/>
      <c r="D7568" s="165"/>
      <c r="E7568" s="166"/>
      <c r="I7568" s="165"/>
      <c r="J7568" s="165"/>
      <c r="K7568" s="166"/>
      <c r="Q7568" s="166"/>
      <c r="R7568" s="166"/>
      <c r="S7568" s="166"/>
    </row>
    <row r="7569" spans="3:19">
      <c r="C7569" s="165"/>
      <c r="D7569" s="165"/>
      <c r="E7569" s="166"/>
      <c r="I7569" s="165"/>
      <c r="J7569" s="165"/>
      <c r="K7569" s="166"/>
      <c r="Q7569" s="166"/>
      <c r="R7569" s="166"/>
      <c r="S7569" s="166"/>
    </row>
    <row r="7570" spans="3:19">
      <c r="C7570" s="165"/>
      <c r="D7570" s="165"/>
      <c r="E7570" s="166"/>
      <c r="I7570" s="165"/>
      <c r="J7570" s="165"/>
      <c r="K7570" s="166"/>
      <c r="Q7570" s="166"/>
      <c r="R7570" s="166"/>
      <c r="S7570" s="166"/>
    </row>
    <row r="7571" spans="3:19">
      <c r="C7571" s="165"/>
      <c r="D7571" s="165"/>
      <c r="E7571" s="166"/>
      <c r="I7571" s="165"/>
      <c r="J7571" s="165"/>
      <c r="K7571" s="166"/>
      <c r="Q7571" s="166"/>
      <c r="R7571" s="166"/>
      <c r="S7571" s="166"/>
    </row>
    <row r="7572" spans="3:19">
      <c r="C7572" s="165"/>
      <c r="D7572" s="165"/>
      <c r="E7572" s="166"/>
      <c r="I7572" s="165"/>
      <c r="J7572" s="165"/>
      <c r="K7572" s="166"/>
      <c r="Q7572" s="166"/>
      <c r="R7572" s="166"/>
      <c r="S7572" s="166"/>
    </row>
    <row r="7573" spans="3:19">
      <c r="C7573" s="165"/>
      <c r="D7573" s="165"/>
      <c r="E7573" s="166"/>
      <c r="I7573" s="165"/>
      <c r="J7573" s="165"/>
      <c r="K7573" s="166"/>
      <c r="Q7573" s="166"/>
      <c r="R7573" s="166"/>
      <c r="S7573" s="166"/>
    </row>
    <row r="7574" spans="3:19">
      <c r="C7574" s="165"/>
      <c r="D7574" s="165"/>
      <c r="E7574" s="166"/>
      <c r="I7574" s="165"/>
      <c r="J7574" s="165"/>
      <c r="K7574" s="166"/>
      <c r="Q7574" s="166"/>
      <c r="R7574" s="166"/>
      <c r="S7574" s="166"/>
    </row>
    <row r="7575" spans="3:19">
      <c r="C7575" s="165"/>
      <c r="D7575" s="165"/>
      <c r="E7575" s="166"/>
      <c r="I7575" s="165"/>
      <c r="J7575" s="165"/>
      <c r="K7575" s="166"/>
      <c r="Q7575" s="166"/>
      <c r="R7575" s="166"/>
      <c r="S7575" s="166"/>
    </row>
    <row r="7576" spans="3:19">
      <c r="C7576" s="165"/>
      <c r="D7576" s="165"/>
      <c r="E7576" s="166"/>
      <c r="I7576" s="165"/>
      <c r="J7576" s="165"/>
      <c r="K7576" s="166"/>
      <c r="Q7576" s="166"/>
      <c r="R7576" s="166"/>
      <c r="S7576" s="166"/>
    </row>
    <row r="7577" spans="3:19">
      <c r="C7577" s="165"/>
      <c r="D7577" s="165"/>
      <c r="E7577" s="166"/>
      <c r="I7577" s="165"/>
      <c r="J7577" s="165"/>
      <c r="K7577" s="166"/>
      <c r="Q7577" s="166"/>
      <c r="R7577" s="166"/>
      <c r="S7577" s="166"/>
    </row>
    <row r="7578" spans="3:19">
      <c r="C7578" s="165"/>
      <c r="D7578" s="165"/>
      <c r="E7578" s="166"/>
      <c r="I7578" s="165"/>
      <c r="J7578" s="165"/>
      <c r="K7578" s="166"/>
      <c r="Q7578" s="166"/>
      <c r="R7578" s="166"/>
      <c r="S7578" s="166"/>
    </row>
    <row r="7579" spans="3:19">
      <c r="C7579" s="165"/>
      <c r="D7579" s="165"/>
      <c r="E7579" s="166"/>
      <c r="I7579" s="165"/>
      <c r="J7579" s="165"/>
      <c r="K7579" s="166"/>
      <c r="Q7579" s="166"/>
      <c r="R7579" s="166"/>
      <c r="S7579" s="166"/>
    </row>
    <row r="7580" spans="3:19">
      <c r="C7580" s="165"/>
      <c r="D7580" s="165"/>
      <c r="E7580" s="166"/>
      <c r="I7580" s="165"/>
      <c r="J7580" s="165"/>
      <c r="K7580" s="166"/>
      <c r="Q7580" s="166"/>
      <c r="R7580" s="166"/>
      <c r="S7580" s="166"/>
    </row>
    <row r="7581" spans="3:19">
      <c r="C7581" s="165"/>
      <c r="D7581" s="165"/>
      <c r="E7581" s="166"/>
      <c r="I7581" s="165"/>
      <c r="J7581" s="165"/>
      <c r="K7581" s="166"/>
      <c r="Q7581" s="166"/>
      <c r="R7581" s="166"/>
      <c r="S7581" s="166"/>
    </row>
    <row r="7582" spans="3:19">
      <c r="C7582" s="165"/>
      <c r="D7582" s="165"/>
      <c r="E7582" s="166"/>
      <c r="I7582" s="165"/>
      <c r="J7582" s="165"/>
      <c r="K7582" s="166"/>
      <c r="Q7582" s="166"/>
      <c r="R7582" s="166"/>
      <c r="S7582" s="166"/>
    </row>
    <row r="7583" spans="3:19">
      <c r="C7583" s="165"/>
      <c r="D7583" s="165"/>
      <c r="E7583" s="166"/>
      <c r="I7583" s="165"/>
      <c r="J7583" s="165"/>
      <c r="K7583" s="166"/>
      <c r="Q7583" s="166"/>
      <c r="R7583" s="166"/>
      <c r="S7583" s="166"/>
    </row>
    <row r="7584" spans="3:19">
      <c r="C7584" s="165"/>
      <c r="D7584" s="165"/>
      <c r="E7584" s="166"/>
      <c r="I7584" s="165"/>
      <c r="J7584" s="165"/>
      <c r="K7584" s="166"/>
      <c r="Q7584" s="166"/>
      <c r="R7584" s="166"/>
      <c r="S7584" s="166"/>
    </row>
    <row r="7585" spans="3:19">
      <c r="C7585" s="165"/>
      <c r="D7585" s="165"/>
      <c r="E7585" s="166"/>
      <c r="I7585" s="165"/>
      <c r="J7585" s="165"/>
      <c r="K7585" s="166"/>
      <c r="Q7585" s="166"/>
      <c r="R7585" s="166"/>
      <c r="S7585" s="166"/>
    </row>
    <row r="7586" spans="3:19">
      <c r="C7586" s="165"/>
      <c r="D7586" s="165"/>
      <c r="E7586" s="166"/>
      <c r="I7586" s="165"/>
      <c r="J7586" s="165"/>
      <c r="K7586" s="166"/>
      <c r="Q7586" s="166"/>
      <c r="R7586" s="166"/>
      <c r="S7586" s="166"/>
    </row>
    <row r="7587" spans="3:19">
      <c r="C7587" s="165"/>
      <c r="D7587" s="165"/>
      <c r="E7587" s="166"/>
      <c r="I7587" s="165"/>
      <c r="J7587" s="165"/>
      <c r="K7587" s="166"/>
      <c r="Q7587" s="166"/>
      <c r="R7587" s="166"/>
      <c r="S7587" s="166"/>
    </row>
    <row r="7588" spans="3:19">
      <c r="C7588" s="165"/>
      <c r="D7588" s="165"/>
      <c r="E7588" s="166"/>
      <c r="I7588" s="165"/>
      <c r="J7588" s="165"/>
      <c r="K7588" s="166"/>
      <c r="Q7588" s="166"/>
      <c r="R7588" s="166"/>
      <c r="S7588" s="166"/>
    </row>
    <row r="7589" spans="3:19">
      <c r="C7589" s="165"/>
      <c r="D7589" s="165"/>
      <c r="E7589" s="166"/>
      <c r="I7589" s="165"/>
      <c r="J7589" s="165"/>
      <c r="K7589" s="166"/>
      <c r="Q7589" s="166"/>
      <c r="R7589" s="166"/>
      <c r="S7589" s="166"/>
    </row>
    <row r="7590" spans="3:19">
      <c r="C7590" s="165"/>
      <c r="D7590" s="165"/>
      <c r="E7590" s="166"/>
      <c r="I7590" s="165"/>
      <c r="J7590" s="165"/>
      <c r="K7590" s="166"/>
      <c r="Q7590" s="166"/>
      <c r="R7590" s="166"/>
      <c r="S7590" s="166"/>
    </row>
    <row r="7591" spans="3:19">
      <c r="C7591" s="165"/>
      <c r="D7591" s="165"/>
      <c r="E7591" s="166"/>
      <c r="I7591" s="165"/>
      <c r="J7591" s="165"/>
      <c r="K7591" s="166"/>
      <c r="Q7591" s="166"/>
      <c r="R7591" s="166"/>
      <c r="S7591" s="166"/>
    </row>
    <row r="7592" spans="3:19">
      <c r="C7592" s="165"/>
      <c r="D7592" s="165"/>
      <c r="E7592" s="166"/>
      <c r="I7592" s="165"/>
      <c r="J7592" s="165"/>
      <c r="K7592" s="166"/>
      <c r="Q7592" s="166"/>
      <c r="R7592" s="166"/>
      <c r="S7592" s="166"/>
    </row>
    <row r="7593" spans="3:19">
      <c r="C7593" s="165"/>
      <c r="D7593" s="165"/>
      <c r="E7593" s="166"/>
      <c r="I7593" s="165"/>
      <c r="J7593" s="165"/>
      <c r="K7593" s="166"/>
      <c r="Q7593" s="166"/>
      <c r="R7593" s="166"/>
      <c r="S7593" s="166"/>
    </row>
    <row r="7594" spans="3:19">
      <c r="C7594" s="165"/>
      <c r="D7594" s="165"/>
      <c r="E7594" s="166"/>
      <c r="I7594" s="165"/>
      <c r="J7594" s="165"/>
      <c r="K7594" s="166"/>
      <c r="Q7594" s="166"/>
      <c r="R7594" s="166"/>
      <c r="S7594" s="166"/>
    </row>
    <row r="7595" spans="3:19">
      <c r="C7595" s="165"/>
      <c r="D7595" s="165"/>
      <c r="E7595" s="166"/>
      <c r="I7595" s="165"/>
      <c r="J7595" s="165"/>
      <c r="K7595" s="166"/>
      <c r="Q7595" s="166"/>
      <c r="R7595" s="166"/>
      <c r="S7595" s="166"/>
    </row>
    <row r="7596" spans="3:19">
      <c r="C7596" s="165"/>
      <c r="D7596" s="165"/>
      <c r="E7596" s="166"/>
      <c r="I7596" s="165"/>
      <c r="J7596" s="165"/>
      <c r="K7596" s="166"/>
      <c r="Q7596" s="166"/>
      <c r="R7596" s="166"/>
      <c r="S7596" s="166"/>
    </row>
    <row r="7597" spans="3:19">
      <c r="C7597" s="165"/>
      <c r="D7597" s="165"/>
      <c r="E7597" s="166"/>
      <c r="I7597" s="165"/>
      <c r="J7597" s="165"/>
      <c r="K7597" s="166"/>
      <c r="Q7597" s="166"/>
      <c r="R7597" s="166"/>
      <c r="S7597" s="166"/>
    </row>
    <row r="7598" spans="3:19">
      <c r="C7598" s="165"/>
      <c r="D7598" s="165"/>
      <c r="E7598" s="166"/>
      <c r="I7598" s="165"/>
      <c r="J7598" s="165"/>
      <c r="K7598" s="166"/>
      <c r="Q7598" s="166"/>
      <c r="R7598" s="166"/>
      <c r="S7598" s="166"/>
    </row>
    <row r="7599" spans="3:19">
      <c r="C7599" s="165"/>
      <c r="D7599" s="165"/>
      <c r="E7599" s="166"/>
      <c r="I7599" s="165"/>
      <c r="J7599" s="165"/>
      <c r="K7599" s="166"/>
      <c r="Q7599" s="166"/>
      <c r="R7599" s="166"/>
      <c r="S7599" s="166"/>
    </row>
    <row r="7600" spans="3:19">
      <c r="C7600" s="165"/>
      <c r="D7600" s="165"/>
      <c r="E7600" s="166"/>
      <c r="I7600" s="165"/>
      <c r="J7600" s="165"/>
      <c r="K7600" s="166"/>
      <c r="Q7600" s="166"/>
      <c r="R7600" s="166"/>
      <c r="S7600" s="166"/>
    </row>
    <row r="7601" spans="3:19">
      <c r="C7601" s="165"/>
      <c r="D7601" s="165"/>
      <c r="E7601" s="166"/>
      <c r="I7601" s="165"/>
      <c r="J7601" s="165"/>
      <c r="K7601" s="166"/>
      <c r="Q7601" s="166"/>
      <c r="R7601" s="166"/>
      <c r="S7601" s="166"/>
    </row>
    <row r="7602" spans="3:19">
      <c r="C7602" s="165"/>
      <c r="D7602" s="165"/>
      <c r="E7602" s="166"/>
      <c r="I7602" s="165"/>
      <c r="J7602" s="165"/>
      <c r="K7602" s="166"/>
      <c r="Q7602" s="166"/>
      <c r="R7602" s="166"/>
      <c r="S7602" s="166"/>
    </row>
    <row r="7603" spans="3:19">
      <c r="C7603" s="165"/>
      <c r="D7603" s="165"/>
      <c r="E7603" s="166"/>
      <c r="I7603" s="165"/>
      <c r="J7603" s="165"/>
      <c r="K7603" s="166"/>
      <c r="Q7603" s="166"/>
      <c r="R7603" s="166"/>
      <c r="S7603" s="166"/>
    </row>
    <row r="7604" spans="3:19">
      <c r="C7604" s="165"/>
      <c r="D7604" s="165"/>
      <c r="E7604" s="166"/>
      <c r="I7604" s="165"/>
      <c r="J7604" s="165"/>
      <c r="K7604" s="166"/>
      <c r="Q7604" s="166"/>
      <c r="R7604" s="166"/>
      <c r="S7604" s="166"/>
    </row>
    <row r="7605" spans="3:19">
      <c r="C7605" s="165"/>
      <c r="D7605" s="165"/>
      <c r="E7605" s="166"/>
      <c r="I7605" s="165"/>
      <c r="J7605" s="165"/>
      <c r="K7605" s="166"/>
      <c r="Q7605" s="166"/>
      <c r="R7605" s="166"/>
      <c r="S7605" s="166"/>
    </row>
    <row r="7606" spans="3:19">
      <c r="C7606" s="165"/>
      <c r="D7606" s="165"/>
      <c r="E7606" s="166"/>
      <c r="I7606" s="165"/>
      <c r="J7606" s="165"/>
      <c r="K7606" s="166"/>
      <c r="Q7606" s="166"/>
      <c r="R7606" s="166"/>
      <c r="S7606" s="166"/>
    </row>
    <row r="7607" spans="3:19">
      <c r="C7607" s="165"/>
      <c r="D7607" s="165"/>
      <c r="E7607" s="166"/>
      <c r="I7607" s="165"/>
      <c r="J7607" s="165"/>
      <c r="K7607" s="166"/>
      <c r="Q7607" s="166"/>
      <c r="R7607" s="166"/>
      <c r="S7607" s="166"/>
    </row>
    <row r="7608" spans="3:19">
      <c r="C7608" s="165"/>
      <c r="D7608" s="165"/>
      <c r="E7608" s="166"/>
      <c r="I7608" s="165"/>
      <c r="J7608" s="165"/>
      <c r="K7608" s="166"/>
      <c r="Q7608" s="166"/>
      <c r="R7608" s="166"/>
      <c r="S7608" s="166"/>
    </row>
    <row r="7609" spans="3:19">
      <c r="C7609" s="165"/>
      <c r="D7609" s="165"/>
      <c r="E7609" s="166"/>
      <c r="I7609" s="165"/>
      <c r="J7609" s="165"/>
      <c r="K7609" s="166"/>
      <c r="Q7609" s="166"/>
      <c r="R7609" s="166"/>
      <c r="S7609" s="166"/>
    </row>
    <row r="7610" spans="3:19">
      <c r="C7610" s="165"/>
      <c r="D7610" s="165"/>
      <c r="E7610" s="166"/>
      <c r="I7610" s="165"/>
      <c r="J7610" s="165"/>
      <c r="K7610" s="166"/>
      <c r="Q7610" s="166"/>
      <c r="R7610" s="166"/>
      <c r="S7610" s="166"/>
    </row>
    <row r="7611" spans="3:19">
      <c r="C7611" s="165"/>
      <c r="D7611" s="165"/>
      <c r="E7611" s="166"/>
      <c r="I7611" s="165"/>
      <c r="J7611" s="165"/>
      <c r="K7611" s="166"/>
      <c r="Q7611" s="166"/>
      <c r="R7611" s="166"/>
      <c r="S7611" s="166"/>
    </row>
    <row r="7612" spans="3:19">
      <c r="C7612" s="165"/>
      <c r="D7612" s="165"/>
      <c r="E7612" s="166"/>
      <c r="I7612" s="165"/>
      <c r="J7612" s="165"/>
      <c r="K7612" s="166"/>
      <c r="Q7612" s="166"/>
      <c r="R7612" s="166"/>
      <c r="S7612" s="166"/>
    </row>
    <row r="7613" spans="3:19">
      <c r="C7613" s="165"/>
      <c r="D7613" s="165"/>
      <c r="E7613" s="166"/>
      <c r="I7613" s="165"/>
      <c r="J7613" s="165"/>
      <c r="K7613" s="166"/>
      <c r="Q7613" s="166"/>
      <c r="R7613" s="166"/>
      <c r="S7613" s="166"/>
    </row>
    <row r="7614" spans="3:19">
      <c r="C7614" s="165"/>
      <c r="D7614" s="165"/>
      <c r="E7614" s="166"/>
      <c r="I7614" s="165"/>
      <c r="J7614" s="165"/>
      <c r="K7614" s="166"/>
      <c r="Q7614" s="166"/>
      <c r="R7614" s="166"/>
      <c r="S7614" s="166"/>
    </row>
    <row r="7615" spans="3:19">
      <c r="C7615" s="165"/>
      <c r="D7615" s="165"/>
      <c r="E7615" s="166"/>
      <c r="I7615" s="165"/>
      <c r="J7615" s="165"/>
      <c r="K7615" s="166"/>
      <c r="Q7615" s="166"/>
      <c r="R7615" s="166"/>
      <c r="S7615" s="166"/>
    </row>
    <row r="7616" spans="3:19">
      <c r="C7616" s="165"/>
      <c r="D7616" s="165"/>
      <c r="E7616" s="166"/>
      <c r="I7616" s="165"/>
      <c r="J7616" s="165"/>
      <c r="K7616" s="166"/>
      <c r="Q7616" s="166"/>
      <c r="R7616" s="166"/>
      <c r="S7616" s="166"/>
    </row>
    <row r="7617" spans="3:19">
      <c r="C7617" s="165"/>
      <c r="D7617" s="165"/>
      <c r="E7617" s="166"/>
      <c r="I7617" s="165"/>
      <c r="J7617" s="165"/>
      <c r="K7617" s="166"/>
      <c r="Q7617" s="166"/>
      <c r="R7617" s="166"/>
      <c r="S7617" s="166"/>
    </row>
    <row r="7618" spans="3:19">
      <c r="C7618" s="165"/>
      <c r="D7618" s="165"/>
      <c r="E7618" s="166"/>
      <c r="I7618" s="165"/>
      <c r="J7618" s="165"/>
      <c r="K7618" s="166"/>
      <c r="Q7618" s="166"/>
      <c r="R7618" s="166"/>
      <c r="S7618" s="166"/>
    </row>
    <row r="7619" spans="3:19">
      <c r="C7619" s="165"/>
      <c r="D7619" s="165"/>
      <c r="E7619" s="166"/>
      <c r="I7619" s="165"/>
      <c r="J7619" s="165"/>
      <c r="K7619" s="166"/>
      <c r="Q7619" s="166"/>
      <c r="R7619" s="166"/>
      <c r="S7619" s="166"/>
    </row>
    <row r="7620" spans="3:19">
      <c r="C7620" s="165"/>
      <c r="D7620" s="165"/>
      <c r="E7620" s="166"/>
      <c r="I7620" s="165"/>
      <c r="J7620" s="165"/>
      <c r="K7620" s="166"/>
      <c r="Q7620" s="166"/>
      <c r="R7620" s="166"/>
      <c r="S7620" s="166"/>
    </row>
    <row r="7621" spans="3:19">
      <c r="C7621" s="165"/>
      <c r="D7621" s="165"/>
      <c r="E7621" s="166"/>
      <c r="I7621" s="165"/>
      <c r="J7621" s="165"/>
      <c r="K7621" s="166"/>
      <c r="Q7621" s="166"/>
      <c r="R7621" s="166"/>
      <c r="S7621" s="166"/>
    </row>
    <row r="7622" spans="3:19">
      <c r="C7622" s="165"/>
      <c r="D7622" s="165"/>
      <c r="E7622" s="166"/>
      <c r="I7622" s="165"/>
      <c r="J7622" s="165"/>
      <c r="K7622" s="166"/>
      <c r="Q7622" s="166"/>
      <c r="R7622" s="166"/>
      <c r="S7622" s="166"/>
    </row>
    <row r="7623" spans="3:19">
      <c r="C7623" s="165"/>
      <c r="D7623" s="165"/>
      <c r="E7623" s="166"/>
      <c r="I7623" s="165"/>
      <c r="J7623" s="165"/>
      <c r="K7623" s="166"/>
      <c r="Q7623" s="166"/>
      <c r="R7623" s="166"/>
      <c r="S7623" s="166"/>
    </row>
    <row r="7624" spans="3:19">
      <c r="C7624" s="165"/>
      <c r="D7624" s="165"/>
      <c r="E7624" s="166"/>
      <c r="I7624" s="165"/>
      <c r="J7624" s="165"/>
      <c r="K7624" s="166"/>
      <c r="Q7624" s="166"/>
      <c r="R7624" s="166"/>
      <c r="S7624" s="166"/>
    </row>
    <row r="7625" spans="3:19">
      <c r="C7625" s="165"/>
      <c r="D7625" s="165"/>
      <c r="E7625" s="166"/>
      <c r="I7625" s="165"/>
      <c r="J7625" s="165"/>
      <c r="K7625" s="166"/>
      <c r="Q7625" s="166"/>
      <c r="R7625" s="166"/>
      <c r="S7625" s="166"/>
    </row>
    <row r="7626" spans="3:19">
      <c r="C7626" s="165"/>
      <c r="D7626" s="165"/>
      <c r="E7626" s="166"/>
      <c r="I7626" s="165"/>
      <c r="J7626" s="165"/>
      <c r="K7626" s="166"/>
      <c r="Q7626" s="166"/>
      <c r="R7626" s="166"/>
      <c r="S7626" s="166"/>
    </row>
    <row r="7627" spans="3:19">
      <c r="C7627" s="165"/>
      <c r="D7627" s="165"/>
      <c r="E7627" s="166"/>
      <c r="I7627" s="165"/>
      <c r="J7627" s="165"/>
      <c r="K7627" s="166"/>
      <c r="Q7627" s="166"/>
      <c r="R7627" s="166"/>
      <c r="S7627" s="166"/>
    </row>
    <row r="7628" spans="3:19">
      <c r="C7628" s="165"/>
      <c r="D7628" s="165"/>
      <c r="E7628" s="166"/>
      <c r="I7628" s="165"/>
      <c r="J7628" s="165"/>
      <c r="K7628" s="166"/>
      <c r="Q7628" s="166"/>
      <c r="R7628" s="166"/>
      <c r="S7628" s="166"/>
    </row>
    <row r="7629" spans="3:19">
      <c r="C7629" s="165"/>
      <c r="D7629" s="165"/>
      <c r="E7629" s="166"/>
      <c r="I7629" s="165"/>
      <c r="J7629" s="165"/>
      <c r="K7629" s="166"/>
      <c r="Q7629" s="166"/>
      <c r="R7629" s="166"/>
      <c r="S7629" s="166"/>
    </row>
    <row r="7630" spans="3:19">
      <c r="C7630" s="165"/>
      <c r="D7630" s="165"/>
      <c r="E7630" s="166"/>
      <c r="I7630" s="165"/>
      <c r="J7630" s="165"/>
      <c r="K7630" s="166"/>
      <c r="Q7630" s="166"/>
      <c r="R7630" s="166"/>
      <c r="S7630" s="166"/>
    </row>
    <row r="7631" spans="3:19">
      <c r="C7631" s="165"/>
      <c r="D7631" s="165"/>
      <c r="E7631" s="166"/>
      <c r="I7631" s="165"/>
      <c r="J7631" s="165"/>
      <c r="K7631" s="166"/>
      <c r="Q7631" s="166"/>
      <c r="R7631" s="166"/>
      <c r="S7631" s="166"/>
    </row>
    <row r="7632" spans="3:19">
      <c r="C7632" s="165"/>
      <c r="D7632" s="165"/>
      <c r="E7632" s="166"/>
      <c r="I7632" s="165"/>
      <c r="J7632" s="165"/>
      <c r="K7632" s="166"/>
      <c r="Q7632" s="166"/>
      <c r="R7632" s="166"/>
      <c r="S7632" s="166"/>
    </row>
    <row r="7633" spans="3:19">
      <c r="C7633" s="165"/>
      <c r="D7633" s="165"/>
      <c r="E7633" s="166"/>
      <c r="I7633" s="165"/>
      <c r="J7633" s="165"/>
      <c r="K7633" s="166"/>
      <c r="Q7633" s="166"/>
      <c r="R7633" s="166"/>
      <c r="S7633" s="166"/>
    </row>
    <row r="7634" spans="3:19">
      <c r="C7634" s="165"/>
      <c r="D7634" s="165"/>
      <c r="E7634" s="166"/>
      <c r="I7634" s="165"/>
      <c r="J7634" s="165"/>
      <c r="K7634" s="166"/>
      <c r="Q7634" s="166"/>
      <c r="R7634" s="166"/>
      <c r="S7634" s="166"/>
    </row>
    <row r="7635" spans="3:19">
      <c r="C7635" s="165"/>
      <c r="D7635" s="165"/>
      <c r="E7635" s="166"/>
      <c r="I7635" s="165"/>
      <c r="J7635" s="165"/>
      <c r="K7635" s="166"/>
      <c r="Q7635" s="166"/>
      <c r="R7635" s="166"/>
      <c r="S7635" s="166"/>
    </row>
    <row r="7636" spans="3:19">
      <c r="C7636" s="165"/>
      <c r="D7636" s="165"/>
      <c r="E7636" s="166"/>
      <c r="I7636" s="165"/>
      <c r="J7636" s="165"/>
      <c r="K7636" s="166"/>
      <c r="Q7636" s="166"/>
      <c r="R7636" s="166"/>
      <c r="S7636" s="166"/>
    </row>
    <row r="7637" spans="3:19">
      <c r="C7637" s="165"/>
      <c r="D7637" s="165"/>
      <c r="E7637" s="166"/>
      <c r="I7637" s="165"/>
      <c r="J7637" s="165"/>
      <c r="K7637" s="166"/>
      <c r="Q7637" s="166"/>
      <c r="R7637" s="166"/>
      <c r="S7637" s="166"/>
    </row>
    <row r="7638" spans="3:19">
      <c r="C7638" s="165"/>
      <c r="D7638" s="165"/>
      <c r="E7638" s="166"/>
      <c r="I7638" s="165"/>
      <c r="J7638" s="165"/>
      <c r="K7638" s="166"/>
      <c r="Q7638" s="166"/>
      <c r="R7638" s="166"/>
      <c r="S7638" s="166"/>
    </row>
    <row r="7639" spans="3:19">
      <c r="C7639" s="165"/>
      <c r="D7639" s="165"/>
      <c r="E7639" s="166"/>
      <c r="I7639" s="165"/>
      <c r="J7639" s="165"/>
      <c r="K7639" s="166"/>
      <c r="Q7639" s="166"/>
      <c r="R7639" s="166"/>
      <c r="S7639" s="166"/>
    </row>
    <row r="7640" spans="3:19">
      <c r="C7640" s="165"/>
      <c r="D7640" s="165"/>
      <c r="E7640" s="166"/>
      <c r="I7640" s="165"/>
      <c r="J7640" s="165"/>
      <c r="K7640" s="166"/>
      <c r="Q7640" s="166"/>
      <c r="R7640" s="166"/>
      <c r="S7640" s="166"/>
    </row>
    <row r="7641" spans="3:19">
      <c r="C7641" s="165"/>
      <c r="D7641" s="165"/>
      <c r="E7641" s="166"/>
      <c r="I7641" s="165"/>
      <c r="J7641" s="165"/>
      <c r="K7641" s="166"/>
      <c r="Q7641" s="166"/>
      <c r="R7641" s="166"/>
      <c r="S7641" s="166"/>
    </row>
    <row r="7642" spans="3:19">
      <c r="C7642" s="165"/>
      <c r="D7642" s="165"/>
      <c r="E7642" s="166"/>
      <c r="I7642" s="165"/>
      <c r="J7642" s="165"/>
      <c r="K7642" s="166"/>
      <c r="Q7642" s="166"/>
      <c r="R7642" s="166"/>
      <c r="S7642" s="166"/>
    </row>
    <row r="7643" spans="3:19">
      <c r="C7643" s="165"/>
      <c r="D7643" s="165"/>
      <c r="E7643" s="166"/>
      <c r="I7643" s="165"/>
      <c r="J7643" s="165"/>
      <c r="K7643" s="166"/>
      <c r="Q7643" s="166"/>
      <c r="R7643" s="166"/>
      <c r="S7643" s="166"/>
    </row>
    <row r="7644" spans="3:19">
      <c r="C7644" s="165"/>
      <c r="D7644" s="165"/>
      <c r="E7644" s="166"/>
      <c r="I7644" s="165"/>
      <c r="J7644" s="165"/>
      <c r="K7644" s="166"/>
      <c r="Q7644" s="166"/>
      <c r="R7644" s="166"/>
      <c r="S7644" s="166"/>
    </row>
    <row r="7645" spans="3:19">
      <c r="C7645" s="165"/>
      <c r="D7645" s="165"/>
      <c r="E7645" s="166"/>
      <c r="I7645" s="165"/>
      <c r="K7645" s="166"/>
      <c r="Q7645" s="166"/>
      <c r="R7645" s="166"/>
      <c r="S7645" s="166"/>
    </row>
    <row r="7646" spans="3:19">
      <c r="C7646" s="165"/>
      <c r="D7646" s="165"/>
      <c r="E7646" s="166"/>
      <c r="I7646" s="165"/>
      <c r="J7646" s="165"/>
      <c r="K7646" s="166"/>
      <c r="Q7646" s="166"/>
      <c r="R7646" s="166"/>
      <c r="S7646" s="166"/>
    </row>
    <row r="7647" spans="3:19">
      <c r="C7647" s="165"/>
      <c r="D7647" s="165"/>
      <c r="E7647" s="166"/>
      <c r="I7647" s="165"/>
      <c r="J7647" s="165"/>
      <c r="K7647" s="166"/>
      <c r="Q7647" s="166"/>
      <c r="R7647" s="166"/>
      <c r="S7647" s="166"/>
    </row>
    <row r="7648" spans="3:19">
      <c r="C7648" s="165"/>
      <c r="D7648" s="165"/>
      <c r="E7648" s="166"/>
      <c r="I7648" s="165"/>
      <c r="J7648" s="165"/>
      <c r="K7648" s="166"/>
      <c r="Q7648" s="166"/>
      <c r="R7648" s="166"/>
      <c r="S7648" s="166"/>
    </row>
    <row r="7649" spans="3:19">
      <c r="C7649" s="165"/>
      <c r="D7649" s="165"/>
      <c r="E7649" s="166"/>
      <c r="J7649" s="165"/>
      <c r="K7649" s="166"/>
      <c r="Q7649" s="166"/>
      <c r="R7649" s="166"/>
      <c r="S7649" s="166"/>
    </row>
    <row r="7650" spans="3:19">
      <c r="C7650" s="165"/>
      <c r="D7650" s="165"/>
      <c r="E7650" s="166"/>
      <c r="I7650" s="165"/>
      <c r="J7650" s="165"/>
      <c r="K7650" s="166"/>
      <c r="Q7650" s="166"/>
      <c r="R7650" s="166"/>
      <c r="S7650" s="166"/>
    </row>
    <row r="7651" spans="3:19">
      <c r="C7651" s="165"/>
      <c r="D7651" s="165"/>
      <c r="E7651" s="166"/>
      <c r="I7651" s="165"/>
      <c r="J7651" s="165"/>
      <c r="K7651" s="166"/>
      <c r="Q7651" s="166"/>
      <c r="R7651" s="166"/>
      <c r="S7651" s="166"/>
    </row>
    <row r="7652" spans="3:19">
      <c r="C7652" s="165"/>
      <c r="D7652" s="165"/>
      <c r="E7652" s="166"/>
      <c r="I7652" s="165"/>
      <c r="J7652" s="165"/>
      <c r="K7652" s="166"/>
      <c r="Q7652" s="166"/>
      <c r="R7652" s="166"/>
      <c r="S7652" s="166"/>
    </row>
    <row r="7653" spans="3:19">
      <c r="C7653" s="165"/>
      <c r="D7653" s="165"/>
      <c r="E7653" s="166"/>
      <c r="I7653" s="165"/>
      <c r="J7653" s="165"/>
      <c r="K7653" s="166"/>
      <c r="Q7653" s="166"/>
      <c r="R7653" s="166"/>
      <c r="S7653" s="166"/>
    </row>
    <row r="7654" spans="3:19">
      <c r="C7654" s="165"/>
      <c r="D7654" s="165"/>
      <c r="E7654" s="166"/>
      <c r="I7654" s="165"/>
      <c r="J7654" s="165"/>
      <c r="K7654" s="166"/>
      <c r="Q7654" s="166"/>
      <c r="R7654" s="166"/>
      <c r="S7654" s="166"/>
    </row>
    <row r="7655" spans="3:19">
      <c r="C7655" s="165"/>
      <c r="D7655" s="165"/>
      <c r="E7655" s="166"/>
      <c r="I7655" s="165"/>
      <c r="J7655" s="165"/>
      <c r="K7655" s="166"/>
      <c r="Q7655" s="166"/>
      <c r="R7655" s="166"/>
      <c r="S7655" s="166"/>
    </row>
    <row r="7656" spans="3:19">
      <c r="C7656" s="165"/>
      <c r="D7656" s="165"/>
      <c r="E7656" s="166"/>
      <c r="I7656" s="165"/>
      <c r="J7656" s="165"/>
      <c r="K7656" s="166"/>
      <c r="Q7656" s="166"/>
      <c r="R7656" s="166"/>
      <c r="S7656" s="166"/>
    </row>
    <row r="7657" spans="3:19">
      <c r="C7657" s="165"/>
      <c r="D7657" s="165"/>
      <c r="E7657" s="166"/>
      <c r="I7657" s="165"/>
      <c r="J7657" s="165"/>
      <c r="K7657" s="166"/>
      <c r="Q7657" s="166"/>
      <c r="R7657" s="166"/>
      <c r="S7657" s="166"/>
    </row>
    <row r="7658" spans="3:19">
      <c r="C7658" s="165"/>
      <c r="D7658" s="165"/>
      <c r="E7658" s="166"/>
      <c r="I7658" s="165"/>
      <c r="J7658" s="165"/>
      <c r="K7658" s="166"/>
      <c r="Q7658" s="166"/>
      <c r="R7658" s="166"/>
      <c r="S7658" s="166"/>
    </row>
    <row r="7659" spans="3:19">
      <c r="C7659" s="165"/>
      <c r="D7659" s="165"/>
      <c r="E7659" s="166"/>
      <c r="I7659" s="165"/>
      <c r="J7659" s="165"/>
      <c r="K7659" s="166"/>
      <c r="Q7659" s="166"/>
      <c r="R7659" s="166"/>
      <c r="S7659" s="166"/>
    </row>
    <row r="7660" spans="3:19">
      <c r="C7660" s="165"/>
      <c r="D7660" s="165"/>
      <c r="E7660" s="166"/>
      <c r="I7660" s="165"/>
      <c r="J7660" s="165"/>
      <c r="K7660" s="166"/>
      <c r="Q7660" s="166"/>
      <c r="R7660" s="166"/>
      <c r="S7660" s="166"/>
    </row>
    <row r="7661" spans="3:19">
      <c r="C7661" s="165"/>
      <c r="D7661" s="165"/>
      <c r="E7661" s="166"/>
      <c r="I7661" s="165"/>
      <c r="J7661" s="165"/>
      <c r="K7661" s="166"/>
      <c r="Q7661" s="166"/>
      <c r="R7661" s="166"/>
      <c r="S7661" s="166"/>
    </row>
    <row r="7662" spans="3:19">
      <c r="C7662" s="165"/>
      <c r="D7662" s="165"/>
      <c r="E7662" s="166"/>
      <c r="I7662" s="165"/>
      <c r="J7662" s="165"/>
      <c r="K7662" s="166"/>
      <c r="Q7662" s="166"/>
      <c r="R7662" s="166"/>
      <c r="S7662" s="166"/>
    </row>
    <row r="7663" spans="3:19">
      <c r="C7663" s="165"/>
      <c r="D7663" s="165"/>
      <c r="E7663" s="166"/>
      <c r="J7663" s="165"/>
      <c r="K7663" s="166"/>
      <c r="Q7663" s="166"/>
      <c r="R7663" s="166"/>
      <c r="S7663" s="166"/>
    </row>
    <row r="7664" spans="3:19">
      <c r="C7664" s="165"/>
      <c r="D7664" s="165"/>
      <c r="E7664" s="166"/>
      <c r="I7664" s="165"/>
      <c r="J7664" s="165"/>
      <c r="K7664" s="166"/>
      <c r="Q7664" s="166"/>
      <c r="R7664" s="166"/>
      <c r="S7664" s="166"/>
    </row>
    <row r="7665" spans="3:19">
      <c r="C7665" s="165"/>
      <c r="D7665" s="165"/>
      <c r="E7665" s="166"/>
      <c r="I7665" s="165"/>
      <c r="J7665" s="165"/>
      <c r="K7665" s="166"/>
      <c r="Q7665" s="166"/>
      <c r="R7665" s="166"/>
      <c r="S7665" s="166"/>
    </row>
    <row r="7666" spans="3:19">
      <c r="C7666" s="165"/>
      <c r="D7666" s="165"/>
      <c r="E7666" s="166"/>
      <c r="I7666" s="165"/>
      <c r="J7666" s="165"/>
      <c r="K7666" s="166"/>
      <c r="Q7666" s="166"/>
      <c r="R7666" s="166"/>
      <c r="S7666" s="166"/>
    </row>
    <row r="7667" spans="3:19">
      <c r="C7667" s="165"/>
      <c r="D7667" s="165"/>
      <c r="E7667" s="166"/>
      <c r="I7667" s="165"/>
      <c r="J7667" s="165"/>
      <c r="K7667" s="166"/>
      <c r="Q7667" s="166"/>
      <c r="R7667" s="166"/>
      <c r="S7667" s="166"/>
    </row>
    <row r="7668" spans="3:19">
      <c r="C7668" s="165"/>
      <c r="D7668" s="165"/>
      <c r="E7668" s="166"/>
      <c r="I7668" s="165"/>
      <c r="J7668" s="165"/>
      <c r="K7668" s="166"/>
      <c r="Q7668" s="166"/>
      <c r="R7668" s="166"/>
      <c r="S7668" s="166"/>
    </row>
    <row r="7669" spans="3:19">
      <c r="C7669" s="165"/>
      <c r="D7669" s="165"/>
      <c r="E7669" s="166"/>
      <c r="I7669" s="165"/>
      <c r="J7669" s="165"/>
      <c r="K7669" s="166"/>
      <c r="Q7669" s="166"/>
      <c r="R7669" s="166"/>
      <c r="S7669" s="166"/>
    </row>
    <row r="7670" spans="3:19">
      <c r="C7670" s="165"/>
      <c r="D7670" s="165"/>
      <c r="E7670" s="166"/>
      <c r="I7670" s="165"/>
      <c r="J7670" s="165"/>
      <c r="K7670" s="166"/>
      <c r="Q7670" s="166"/>
      <c r="R7670" s="166"/>
      <c r="S7670" s="166"/>
    </row>
    <row r="7671" spans="3:19">
      <c r="C7671" s="165"/>
      <c r="D7671" s="165"/>
      <c r="E7671" s="166"/>
      <c r="I7671" s="165"/>
      <c r="J7671" s="165"/>
      <c r="K7671" s="166"/>
      <c r="Q7671" s="166"/>
      <c r="R7671" s="166"/>
      <c r="S7671" s="166"/>
    </row>
    <row r="7672" spans="3:19">
      <c r="C7672" s="165"/>
      <c r="D7672" s="165"/>
      <c r="E7672" s="166"/>
      <c r="I7672" s="165"/>
      <c r="J7672" s="165"/>
      <c r="K7672" s="166"/>
      <c r="Q7672" s="166"/>
      <c r="R7672" s="166"/>
      <c r="S7672" s="166"/>
    </row>
    <row r="7673" spans="3:19">
      <c r="C7673" s="165"/>
      <c r="D7673" s="165"/>
      <c r="E7673" s="166"/>
      <c r="I7673" s="165"/>
      <c r="J7673" s="165"/>
      <c r="K7673" s="166"/>
      <c r="Q7673" s="166"/>
      <c r="R7673" s="166"/>
      <c r="S7673" s="166"/>
    </row>
    <row r="7674" spans="3:19">
      <c r="C7674" s="165"/>
      <c r="D7674" s="165"/>
      <c r="E7674" s="166"/>
      <c r="I7674" s="165"/>
      <c r="J7674" s="165"/>
      <c r="K7674" s="166"/>
      <c r="Q7674" s="166"/>
      <c r="R7674" s="166"/>
      <c r="S7674" s="166"/>
    </row>
    <row r="7675" spans="3:19">
      <c r="C7675" s="165"/>
      <c r="D7675" s="165"/>
      <c r="E7675" s="166"/>
      <c r="I7675" s="165"/>
      <c r="J7675" s="165"/>
      <c r="K7675" s="166"/>
      <c r="Q7675" s="166"/>
      <c r="R7675" s="166"/>
      <c r="S7675" s="166"/>
    </row>
    <row r="7676" spans="3:19">
      <c r="C7676" s="165"/>
      <c r="D7676" s="165"/>
      <c r="E7676" s="166"/>
      <c r="I7676" s="165"/>
      <c r="J7676" s="165"/>
      <c r="K7676" s="166"/>
      <c r="Q7676" s="166"/>
      <c r="R7676" s="166"/>
      <c r="S7676" s="166"/>
    </row>
    <row r="7677" spans="3:19">
      <c r="C7677" s="165"/>
      <c r="D7677" s="165"/>
      <c r="E7677" s="166"/>
      <c r="I7677" s="165"/>
      <c r="J7677" s="165"/>
      <c r="K7677" s="166"/>
      <c r="Q7677" s="166"/>
      <c r="R7677" s="166"/>
      <c r="S7677" s="166"/>
    </row>
    <row r="7678" spans="3:19">
      <c r="C7678" s="165"/>
      <c r="D7678" s="165"/>
      <c r="E7678" s="166"/>
      <c r="I7678" s="165"/>
      <c r="J7678" s="165"/>
      <c r="K7678" s="166"/>
      <c r="Q7678" s="166"/>
      <c r="R7678" s="166"/>
      <c r="S7678" s="166"/>
    </row>
    <row r="7679" spans="3:19">
      <c r="C7679" s="165"/>
      <c r="D7679" s="165"/>
      <c r="E7679" s="166"/>
      <c r="I7679" s="165"/>
      <c r="J7679" s="165"/>
      <c r="K7679" s="166"/>
      <c r="Q7679" s="166"/>
      <c r="R7679" s="166"/>
      <c r="S7679" s="166"/>
    </row>
    <row r="7680" spans="3:19">
      <c r="C7680" s="165"/>
      <c r="D7680" s="165"/>
      <c r="E7680" s="166"/>
      <c r="I7680" s="165"/>
      <c r="J7680" s="165"/>
      <c r="K7680" s="166"/>
      <c r="Q7680" s="166"/>
      <c r="R7680" s="166"/>
      <c r="S7680" s="166"/>
    </row>
    <row r="7681" spans="3:19">
      <c r="C7681" s="165"/>
      <c r="D7681" s="165"/>
      <c r="E7681" s="166"/>
      <c r="I7681" s="165"/>
      <c r="J7681" s="165"/>
      <c r="K7681" s="166"/>
      <c r="Q7681" s="166"/>
      <c r="R7681" s="166"/>
      <c r="S7681" s="166"/>
    </row>
    <row r="7682" spans="3:19">
      <c r="C7682" s="165"/>
      <c r="D7682" s="165"/>
      <c r="E7682" s="166"/>
      <c r="I7682" s="165"/>
      <c r="J7682" s="165"/>
      <c r="K7682" s="166"/>
      <c r="Q7682" s="166"/>
      <c r="R7682" s="166"/>
      <c r="S7682" s="166"/>
    </row>
    <row r="7683" spans="3:19">
      <c r="C7683" s="165"/>
      <c r="D7683" s="165"/>
      <c r="E7683" s="166"/>
      <c r="I7683" s="165"/>
      <c r="K7683" s="166"/>
      <c r="Q7683" s="166"/>
      <c r="R7683" s="166"/>
      <c r="S7683" s="166"/>
    </row>
    <row r="7684" spans="3:19">
      <c r="C7684" s="165"/>
      <c r="D7684" s="165"/>
      <c r="E7684" s="166"/>
      <c r="I7684" s="165"/>
      <c r="J7684" s="165"/>
      <c r="K7684" s="166"/>
      <c r="Q7684" s="166"/>
      <c r="R7684" s="166"/>
      <c r="S7684" s="166"/>
    </row>
    <row r="7685" spans="3:19">
      <c r="C7685" s="165"/>
      <c r="D7685" s="165"/>
      <c r="E7685" s="166"/>
      <c r="I7685" s="165"/>
      <c r="J7685" s="165"/>
      <c r="K7685" s="166"/>
      <c r="Q7685" s="166"/>
      <c r="R7685" s="166"/>
      <c r="S7685" s="166"/>
    </row>
    <row r="7686" spans="3:19">
      <c r="C7686" s="165"/>
      <c r="D7686" s="165"/>
      <c r="E7686" s="166"/>
      <c r="I7686" s="165"/>
      <c r="J7686" s="165"/>
      <c r="K7686" s="166"/>
      <c r="Q7686" s="166"/>
      <c r="R7686" s="166"/>
      <c r="S7686" s="166"/>
    </row>
    <row r="7687" spans="3:19">
      <c r="C7687" s="165"/>
      <c r="D7687" s="165"/>
      <c r="E7687" s="166"/>
      <c r="I7687" s="165"/>
      <c r="J7687" s="165"/>
      <c r="K7687" s="166"/>
      <c r="Q7687" s="166"/>
      <c r="R7687" s="166"/>
      <c r="S7687" s="166"/>
    </row>
    <row r="7688" spans="3:19">
      <c r="C7688" s="165"/>
      <c r="D7688" s="165"/>
      <c r="E7688" s="166"/>
      <c r="I7688" s="165"/>
      <c r="J7688" s="165"/>
      <c r="K7688" s="166"/>
      <c r="Q7688" s="166"/>
      <c r="R7688" s="166"/>
      <c r="S7688" s="166"/>
    </row>
    <row r="7689" spans="3:19">
      <c r="C7689" s="165"/>
      <c r="D7689" s="165"/>
      <c r="E7689" s="166"/>
      <c r="I7689" s="165"/>
      <c r="J7689" s="165"/>
      <c r="K7689" s="166"/>
      <c r="Q7689" s="166"/>
      <c r="R7689" s="166"/>
      <c r="S7689" s="166"/>
    </row>
    <row r="7690" spans="3:19">
      <c r="C7690" s="165"/>
      <c r="D7690" s="165"/>
      <c r="E7690" s="166"/>
      <c r="I7690" s="165"/>
      <c r="J7690" s="165"/>
      <c r="K7690" s="166"/>
      <c r="Q7690" s="166"/>
      <c r="R7690" s="166"/>
      <c r="S7690" s="166"/>
    </row>
    <row r="7691" spans="3:19">
      <c r="C7691" s="165"/>
      <c r="D7691" s="165"/>
      <c r="E7691" s="166"/>
      <c r="I7691" s="165"/>
      <c r="J7691" s="165"/>
      <c r="K7691" s="166"/>
      <c r="Q7691" s="166"/>
      <c r="R7691" s="166"/>
      <c r="S7691" s="166"/>
    </row>
    <row r="7692" spans="3:19">
      <c r="C7692" s="165"/>
      <c r="D7692" s="165"/>
      <c r="E7692" s="166"/>
      <c r="I7692" s="165"/>
      <c r="J7692" s="165"/>
      <c r="K7692" s="166"/>
      <c r="Q7692" s="166"/>
      <c r="R7692" s="166"/>
      <c r="S7692" s="166"/>
    </row>
    <row r="7693" spans="3:19">
      <c r="C7693" s="165"/>
      <c r="D7693" s="165"/>
      <c r="E7693" s="166"/>
      <c r="I7693" s="165"/>
      <c r="J7693" s="165"/>
      <c r="K7693" s="166"/>
      <c r="Q7693" s="166"/>
      <c r="R7693" s="166"/>
      <c r="S7693" s="166"/>
    </row>
    <row r="7694" spans="3:19">
      <c r="C7694" s="165"/>
      <c r="D7694" s="165"/>
      <c r="E7694" s="166"/>
      <c r="I7694" s="165"/>
      <c r="J7694" s="165"/>
      <c r="K7694" s="166"/>
      <c r="Q7694" s="166"/>
      <c r="R7694" s="166"/>
      <c r="S7694" s="166"/>
    </row>
    <row r="7695" spans="3:19">
      <c r="C7695" s="165"/>
      <c r="D7695" s="165"/>
      <c r="E7695" s="166"/>
      <c r="I7695" s="165"/>
      <c r="J7695" s="165"/>
      <c r="K7695" s="166"/>
      <c r="Q7695" s="166"/>
      <c r="R7695" s="166"/>
      <c r="S7695" s="166"/>
    </row>
    <row r="7696" spans="3:19">
      <c r="C7696" s="165"/>
      <c r="D7696" s="165"/>
      <c r="E7696" s="166"/>
      <c r="I7696" s="165"/>
      <c r="J7696" s="165"/>
      <c r="K7696" s="166"/>
      <c r="Q7696" s="166"/>
      <c r="R7696" s="166"/>
      <c r="S7696" s="166"/>
    </row>
    <row r="7697" spans="3:19">
      <c r="C7697" s="165"/>
      <c r="D7697" s="165"/>
      <c r="E7697" s="166"/>
      <c r="I7697" s="165"/>
      <c r="J7697" s="165"/>
      <c r="K7697" s="166"/>
      <c r="Q7697" s="166"/>
      <c r="R7697" s="166"/>
      <c r="S7697" s="166"/>
    </row>
    <row r="7698" spans="3:19">
      <c r="C7698" s="165"/>
      <c r="D7698" s="165"/>
      <c r="E7698" s="166"/>
      <c r="I7698" s="165"/>
      <c r="J7698" s="165"/>
      <c r="K7698" s="166"/>
      <c r="Q7698" s="166"/>
      <c r="R7698" s="166"/>
      <c r="S7698" s="166"/>
    </row>
    <row r="7699" spans="3:19">
      <c r="C7699" s="165"/>
      <c r="D7699" s="165"/>
      <c r="E7699" s="166"/>
      <c r="I7699" s="165"/>
      <c r="J7699" s="165"/>
      <c r="K7699" s="166"/>
      <c r="Q7699" s="166"/>
      <c r="R7699" s="166"/>
      <c r="S7699" s="166"/>
    </row>
    <row r="7700" spans="3:19">
      <c r="C7700" s="165"/>
      <c r="D7700" s="165"/>
      <c r="E7700" s="166"/>
      <c r="I7700" s="165"/>
      <c r="J7700" s="165"/>
      <c r="K7700" s="166"/>
      <c r="Q7700" s="166"/>
      <c r="R7700" s="166"/>
      <c r="S7700" s="166"/>
    </row>
    <row r="7701" spans="3:19">
      <c r="C7701" s="165"/>
      <c r="D7701" s="165"/>
      <c r="E7701" s="166"/>
      <c r="I7701" s="165"/>
      <c r="J7701" s="165"/>
      <c r="K7701" s="166"/>
      <c r="Q7701" s="166"/>
      <c r="R7701" s="166"/>
      <c r="S7701" s="166"/>
    </row>
    <row r="7702" spans="3:19">
      <c r="C7702" s="165"/>
      <c r="D7702" s="165"/>
      <c r="E7702" s="166"/>
      <c r="I7702" s="165"/>
      <c r="J7702" s="165"/>
      <c r="K7702" s="166"/>
      <c r="Q7702" s="166"/>
      <c r="R7702" s="166"/>
      <c r="S7702" s="166"/>
    </row>
    <row r="7703" spans="3:19">
      <c r="C7703" s="165"/>
      <c r="D7703" s="165"/>
      <c r="E7703" s="166"/>
      <c r="I7703" s="165"/>
      <c r="J7703" s="165"/>
      <c r="K7703" s="166"/>
      <c r="Q7703" s="166"/>
      <c r="R7703" s="166"/>
      <c r="S7703" s="166"/>
    </row>
    <row r="7704" spans="3:19">
      <c r="C7704" s="165"/>
      <c r="D7704" s="165"/>
      <c r="E7704" s="166"/>
      <c r="I7704" s="165"/>
      <c r="J7704" s="165"/>
      <c r="K7704" s="166"/>
      <c r="Q7704" s="166"/>
      <c r="R7704" s="166"/>
      <c r="S7704" s="166"/>
    </row>
    <row r="7705" spans="3:19">
      <c r="C7705" s="165"/>
      <c r="D7705" s="165"/>
      <c r="E7705" s="166"/>
      <c r="I7705" s="165"/>
      <c r="J7705" s="165"/>
      <c r="K7705" s="166"/>
      <c r="Q7705" s="166"/>
      <c r="R7705" s="166"/>
      <c r="S7705" s="166"/>
    </row>
    <row r="7706" spans="3:19">
      <c r="C7706" s="165"/>
      <c r="D7706" s="165"/>
      <c r="E7706" s="166"/>
      <c r="I7706" s="165"/>
      <c r="J7706" s="165"/>
      <c r="K7706" s="166"/>
      <c r="Q7706" s="166"/>
      <c r="R7706" s="166"/>
      <c r="S7706" s="166"/>
    </row>
    <row r="7707" spans="3:19">
      <c r="C7707" s="165"/>
      <c r="D7707" s="165"/>
      <c r="E7707" s="166"/>
      <c r="I7707" s="165"/>
      <c r="J7707" s="165"/>
      <c r="K7707" s="166"/>
      <c r="Q7707" s="166"/>
      <c r="R7707" s="166"/>
      <c r="S7707" s="166"/>
    </row>
    <row r="7708" spans="3:19">
      <c r="C7708" s="165"/>
      <c r="D7708" s="165"/>
      <c r="E7708" s="166"/>
      <c r="I7708" s="165"/>
      <c r="J7708" s="165"/>
      <c r="K7708" s="166"/>
      <c r="Q7708" s="166"/>
      <c r="R7708" s="166"/>
      <c r="S7708" s="166"/>
    </row>
    <row r="7709" spans="3:19">
      <c r="C7709" s="165"/>
      <c r="D7709" s="165"/>
      <c r="E7709" s="166"/>
      <c r="I7709" s="165"/>
      <c r="J7709" s="165"/>
      <c r="K7709" s="166"/>
      <c r="Q7709" s="166"/>
      <c r="R7709" s="166"/>
      <c r="S7709" s="166"/>
    </row>
    <row r="7710" spans="3:19">
      <c r="C7710" s="165"/>
      <c r="D7710" s="165"/>
      <c r="E7710" s="166"/>
      <c r="I7710" s="165"/>
      <c r="J7710" s="165"/>
      <c r="K7710" s="166"/>
      <c r="Q7710" s="166"/>
      <c r="R7710" s="166"/>
      <c r="S7710" s="166"/>
    </row>
    <row r="7711" spans="3:19">
      <c r="C7711" s="165"/>
      <c r="D7711" s="165"/>
      <c r="E7711" s="166"/>
      <c r="I7711" s="165"/>
      <c r="K7711" s="166"/>
      <c r="Q7711" s="166"/>
      <c r="R7711" s="166"/>
      <c r="S7711" s="166"/>
    </row>
    <row r="7712" spans="3:19">
      <c r="C7712" s="165"/>
      <c r="D7712" s="165"/>
      <c r="E7712" s="166"/>
      <c r="I7712" s="165"/>
      <c r="J7712" s="165"/>
      <c r="K7712" s="166"/>
      <c r="Q7712" s="166"/>
      <c r="R7712" s="166"/>
      <c r="S7712" s="166"/>
    </row>
    <row r="7713" spans="3:19">
      <c r="C7713" s="165"/>
      <c r="D7713" s="165"/>
      <c r="E7713" s="166"/>
      <c r="I7713" s="165"/>
      <c r="J7713" s="165"/>
      <c r="K7713" s="166"/>
      <c r="Q7713" s="166"/>
      <c r="R7713" s="166"/>
      <c r="S7713" s="166"/>
    </row>
    <row r="7714" spans="3:19">
      <c r="C7714" s="165"/>
      <c r="D7714" s="165"/>
      <c r="E7714" s="166"/>
      <c r="I7714" s="165"/>
      <c r="J7714" s="165"/>
      <c r="K7714" s="166"/>
      <c r="Q7714" s="166"/>
      <c r="R7714" s="166"/>
      <c r="S7714" s="166"/>
    </row>
    <row r="7715" spans="3:19">
      <c r="C7715" s="165"/>
      <c r="D7715" s="165"/>
      <c r="E7715" s="166"/>
      <c r="I7715" s="165"/>
      <c r="J7715" s="165"/>
      <c r="K7715" s="166"/>
      <c r="Q7715" s="166"/>
      <c r="R7715" s="166"/>
      <c r="S7715" s="166"/>
    </row>
    <row r="7716" spans="3:19">
      <c r="C7716" s="165"/>
      <c r="D7716" s="165"/>
      <c r="E7716" s="166"/>
      <c r="I7716" s="165"/>
      <c r="J7716" s="165"/>
      <c r="K7716" s="166"/>
      <c r="Q7716" s="166"/>
      <c r="R7716" s="166"/>
      <c r="S7716" s="166"/>
    </row>
    <row r="7717" spans="3:19">
      <c r="C7717" s="165"/>
      <c r="D7717" s="165"/>
      <c r="E7717" s="166"/>
      <c r="I7717" s="165"/>
      <c r="J7717" s="165"/>
      <c r="K7717" s="166"/>
      <c r="Q7717" s="166"/>
      <c r="R7717" s="166"/>
      <c r="S7717" s="166"/>
    </row>
    <row r="7718" spans="3:19">
      <c r="C7718" s="165"/>
      <c r="D7718" s="165"/>
      <c r="E7718" s="166"/>
      <c r="I7718" s="165"/>
      <c r="J7718" s="165"/>
      <c r="K7718" s="166"/>
      <c r="Q7718" s="166"/>
      <c r="R7718" s="166"/>
      <c r="S7718" s="166"/>
    </row>
    <row r="7719" spans="3:19">
      <c r="C7719" s="165"/>
      <c r="D7719" s="165"/>
      <c r="E7719" s="166"/>
      <c r="I7719" s="165"/>
      <c r="J7719" s="165"/>
      <c r="K7719" s="166"/>
      <c r="Q7719" s="166"/>
      <c r="R7719" s="166"/>
      <c r="S7719" s="166"/>
    </row>
    <row r="7720" spans="3:19">
      <c r="C7720" s="165"/>
      <c r="D7720" s="165"/>
      <c r="E7720" s="166"/>
      <c r="I7720" s="165"/>
      <c r="J7720" s="165"/>
      <c r="K7720" s="166"/>
      <c r="Q7720" s="166"/>
      <c r="R7720" s="166"/>
      <c r="S7720" s="166"/>
    </row>
    <row r="7721" spans="3:19">
      <c r="C7721" s="165"/>
      <c r="D7721" s="165"/>
      <c r="E7721" s="166"/>
      <c r="I7721" s="165"/>
      <c r="J7721" s="165"/>
      <c r="K7721" s="166"/>
      <c r="Q7721" s="166"/>
      <c r="R7721" s="166"/>
      <c r="S7721" s="166"/>
    </row>
    <row r="7722" spans="3:19">
      <c r="C7722" s="165"/>
      <c r="D7722" s="165"/>
      <c r="E7722" s="166"/>
      <c r="I7722" s="165"/>
      <c r="J7722" s="165"/>
      <c r="K7722" s="166"/>
      <c r="Q7722" s="166"/>
      <c r="R7722" s="166"/>
      <c r="S7722" s="166"/>
    </row>
    <row r="7723" spans="3:19">
      <c r="C7723" s="165"/>
      <c r="D7723" s="165"/>
      <c r="E7723" s="166"/>
      <c r="I7723" s="165"/>
      <c r="J7723" s="165"/>
      <c r="K7723" s="166"/>
      <c r="Q7723" s="166"/>
      <c r="R7723" s="166"/>
      <c r="S7723" s="166"/>
    </row>
    <row r="7724" spans="3:19">
      <c r="C7724" s="165"/>
      <c r="D7724" s="165"/>
      <c r="E7724" s="166"/>
      <c r="I7724" s="165"/>
      <c r="J7724" s="165"/>
      <c r="K7724" s="166"/>
      <c r="Q7724" s="166"/>
      <c r="R7724" s="166"/>
      <c r="S7724" s="166"/>
    </row>
    <row r="7725" spans="3:19">
      <c r="C7725" s="165"/>
      <c r="D7725" s="165"/>
      <c r="E7725" s="166"/>
      <c r="I7725" s="165"/>
      <c r="J7725" s="165"/>
      <c r="K7725" s="166"/>
      <c r="Q7725" s="166"/>
      <c r="R7725" s="166"/>
      <c r="S7725" s="166"/>
    </row>
    <row r="7726" spans="3:19">
      <c r="C7726" s="165"/>
      <c r="D7726" s="165"/>
      <c r="E7726" s="166"/>
      <c r="I7726" s="165"/>
      <c r="J7726" s="165"/>
      <c r="K7726" s="166"/>
      <c r="Q7726" s="166"/>
      <c r="R7726" s="166"/>
      <c r="S7726" s="166"/>
    </row>
    <row r="7727" spans="3:19">
      <c r="C7727" s="165"/>
      <c r="D7727" s="165"/>
      <c r="E7727" s="166"/>
      <c r="I7727" s="165"/>
      <c r="J7727" s="165"/>
      <c r="K7727" s="166"/>
      <c r="Q7727" s="166"/>
      <c r="R7727" s="166"/>
      <c r="S7727" s="166"/>
    </row>
    <row r="7728" spans="3:19">
      <c r="C7728" s="165"/>
      <c r="D7728" s="165"/>
      <c r="E7728" s="166"/>
      <c r="I7728" s="165"/>
      <c r="J7728" s="165"/>
      <c r="K7728" s="166"/>
      <c r="Q7728" s="166"/>
      <c r="R7728" s="166"/>
      <c r="S7728" s="166"/>
    </row>
    <row r="7729" spans="3:19">
      <c r="C7729" s="165"/>
      <c r="D7729" s="165"/>
      <c r="E7729" s="166"/>
      <c r="I7729" s="165"/>
      <c r="J7729" s="165"/>
      <c r="K7729" s="166"/>
      <c r="Q7729" s="166"/>
      <c r="R7729" s="166"/>
      <c r="S7729" s="166"/>
    </row>
    <row r="7730" spans="3:19">
      <c r="C7730" s="165"/>
      <c r="D7730" s="165"/>
      <c r="E7730" s="166"/>
      <c r="I7730" s="165"/>
      <c r="J7730" s="165"/>
      <c r="K7730" s="166"/>
      <c r="Q7730" s="166"/>
      <c r="R7730" s="166"/>
      <c r="S7730" s="166"/>
    </row>
    <row r="7731" spans="3:19">
      <c r="C7731" s="165"/>
      <c r="D7731" s="165"/>
      <c r="E7731" s="166"/>
      <c r="I7731" s="165"/>
      <c r="J7731" s="165"/>
      <c r="K7731" s="166"/>
      <c r="Q7731" s="166"/>
      <c r="R7731" s="166"/>
      <c r="S7731" s="166"/>
    </row>
    <row r="7732" spans="3:19">
      <c r="C7732" s="165"/>
      <c r="D7732" s="165"/>
      <c r="E7732" s="166"/>
      <c r="J7732" s="165"/>
      <c r="K7732" s="166"/>
      <c r="Q7732" s="166"/>
      <c r="R7732" s="166"/>
      <c r="S7732" s="166"/>
    </row>
    <row r="7733" spans="3:19">
      <c r="C7733" s="165"/>
      <c r="D7733" s="165"/>
      <c r="E7733" s="166"/>
      <c r="I7733" s="165"/>
      <c r="J7733" s="165"/>
      <c r="K7733" s="166"/>
      <c r="Q7733" s="166"/>
      <c r="R7733" s="166"/>
      <c r="S7733" s="166"/>
    </row>
    <row r="7734" spans="3:19">
      <c r="C7734" s="165"/>
      <c r="D7734" s="165"/>
      <c r="E7734" s="166"/>
      <c r="I7734" s="165"/>
      <c r="J7734" s="165"/>
      <c r="K7734" s="166"/>
      <c r="Q7734" s="166"/>
      <c r="R7734" s="166"/>
      <c r="S7734" s="166"/>
    </row>
    <row r="7735" spans="3:19">
      <c r="C7735" s="165"/>
      <c r="D7735" s="165"/>
      <c r="E7735" s="166"/>
      <c r="I7735" s="165"/>
      <c r="J7735" s="165"/>
      <c r="K7735" s="166"/>
      <c r="Q7735" s="166"/>
      <c r="R7735" s="166"/>
      <c r="S7735" s="166"/>
    </row>
    <row r="7736" spans="3:19">
      <c r="C7736" s="165"/>
      <c r="D7736" s="165"/>
      <c r="E7736" s="166"/>
      <c r="I7736" s="165"/>
      <c r="J7736" s="165"/>
      <c r="K7736" s="166"/>
      <c r="Q7736" s="166"/>
      <c r="R7736" s="166"/>
      <c r="S7736" s="166"/>
    </row>
    <row r="7737" spans="3:19">
      <c r="C7737" s="165"/>
      <c r="D7737" s="165"/>
      <c r="E7737" s="166"/>
      <c r="I7737" s="165"/>
      <c r="J7737" s="165"/>
      <c r="K7737" s="166"/>
      <c r="Q7737" s="166"/>
      <c r="R7737" s="166"/>
      <c r="S7737" s="166"/>
    </row>
    <row r="7738" spans="3:19">
      <c r="C7738" s="165"/>
      <c r="D7738" s="165"/>
      <c r="E7738" s="166"/>
      <c r="I7738" s="165"/>
      <c r="J7738" s="165"/>
      <c r="K7738" s="166"/>
      <c r="Q7738" s="166"/>
      <c r="R7738" s="166"/>
      <c r="S7738" s="166"/>
    </row>
    <row r="7739" spans="3:19">
      <c r="C7739" s="165"/>
      <c r="D7739" s="165"/>
      <c r="E7739" s="166"/>
      <c r="I7739" s="165"/>
      <c r="J7739" s="165"/>
      <c r="K7739" s="166"/>
      <c r="Q7739" s="166"/>
      <c r="R7739" s="166"/>
      <c r="S7739" s="166"/>
    </row>
    <row r="7740" spans="3:19">
      <c r="C7740" s="165"/>
      <c r="D7740" s="165"/>
      <c r="E7740" s="166"/>
      <c r="I7740" s="165"/>
      <c r="J7740" s="165"/>
      <c r="K7740" s="166"/>
      <c r="Q7740" s="166"/>
      <c r="R7740" s="166"/>
      <c r="S7740" s="166"/>
    </row>
    <row r="7741" spans="3:19">
      <c r="C7741" s="165"/>
      <c r="D7741" s="165"/>
      <c r="E7741" s="166"/>
      <c r="I7741" s="165"/>
      <c r="J7741" s="165"/>
      <c r="K7741" s="166"/>
      <c r="Q7741" s="166"/>
      <c r="R7741" s="166"/>
      <c r="S7741" s="166"/>
    </row>
    <row r="7742" spans="3:19">
      <c r="C7742" s="165"/>
      <c r="D7742" s="165"/>
      <c r="E7742" s="166"/>
      <c r="I7742" s="165"/>
      <c r="J7742" s="165"/>
      <c r="K7742" s="166"/>
      <c r="Q7742" s="166"/>
      <c r="R7742" s="166"/>
      <c r="S7742" s="166"/>
    </row>
    <row r="7743" spans="3:19">
      <c r="C7743" s="165"/>
      <c r="D7743" s="165"/>
      <c r="E7743" s="166"/>
      <c r="I7743" s="165"/>
      <c r="J7743" s="165"/>
      <c r="K7743" s="166"/>
      <c r="Q7743" s="166"/>
      <c r="R7743" s="166"/>
      <c r="S7743" s="166"/>
    </row>
    <row r="7744" spans="3:19">
      <c r="C7744" s="165"/>
      <c r="D7744" s="165"/>
      <c r="E7744" s="166"/>
      <c r="I7744" s="165"/>
      <c r="J7744" s="165"/>
      <c r="K7744" s="166"/>
      <c r="Q7744" s="166"/>
      <c r="R7744" s="166"/>
      <c r="S7744" s="166"/>
    </row>
    <row r="7745" spans="3:19">
      <c r="C7745" s="165"/>
      <c r="D7745" s="165"/>
      <c r="E7745" s="166"/>
      <c r="I7745" s="165"/>
      <c r="J7745" s="165"/>
      <c r="K7745" s="166"/>
      <c r="Q7745" s="166"/>
      <c r="R7745" s="166"/>
      <c r="S7745" s="166"/>
    </row>
    <row r="7746" spans="3:19">
      <c r="C7746" s="165"/>
      <c r="D7746" s="165"/>
      <c r="E7746" s="166"/>
      <c r="I7746" s="165"/>
      <c r="J7746" s="165"/>
      <c r="K7746" s="166"/>
      <c r="Q7746" s="166"/>
      <c r="R7746" s="166"/>
      <c r="S7746" s="166"/>
    </row>
    <row r="7747" spans="3:19">
      <c r="C7747" s="165"/>
      <c r="D7747" s="165"/>
      <c r="E7747" s="166"/>
      <c r="I7747" s="165"/>
      <c r="J7747" s="165"/>
      <c r="K7747" s="166"/>
      <c r="Q7747" s="166"/>
      <c r="R7747" s="166"/>
      <c r="S7747" s="166"/>
    </row>
    <row r="7748" spans="3:19">
      <c r="C7748" s="165"/>
      <c r="D7748" s="165"/>
      <c r="E7748" s="166"/>
      <c r="I7748" s="165"/>
      <c r="J7748" s="165"/>
      <c r="K7748" s="166"/>
      <c r="Q7748" s="166"/>
      <c r="R7748" s="166"/>
      <c r="S7748" s="166"/>
    </row>
    <row r="7749" spans="3:19">
      <c r="C7749" s="165"/>
      <c r="D7749" s="165"/>
      <c r="E7749" s="166"/>
      <c r="I7749" s="165"/>
      <c r="J7749" s="165"/>
      <c r="K7749" s="166"/>
      <c r="Q7749" s="166"/>
      <c r="R7749" s="166"/>
      <c r="S7749" s="166"/>
    </row>
    <row r="7750" spans="3:19">
      <c r="C7750" s="165"/>
      <c r="D7750" s="165"/>
      <c r="E7750" s="166"/>
      <c r="I7750" s="165"/>
      <c r="J7750" s="165"/>
      <c r="K7750" s="166"/>
      <c r="Q7750" s="166"/>
      <c r="R7750" s="166"/>
      <c r="S7750" s="166"/>
    </row>
    <row r="7751" spans="3:19">
      <c r="C7751" s="165"/>
      <c r="D7751" s="165"/>
      <c r="E7751" s="166"/>
      <c r="I7751" s="165"/>
      <c r="J7751" s="165"/>
      <c r="K7751" s="166"/>
      <c r="Q7751" s="166"/>
      <c r="R7751" s="166"/>
      <c r="S7751" s="166"/>
    </row>
    <row r="7752" spans="3:19">
      <c r="C7752" s="165"/>
      <c r="D7752" s="165"/>
      <c r="E7752" s="166"/>
      <c r="I7752" s="165"/>
      <c r="J7752" s="165"/>
      <c r="K7752" s="166"/>
      <c r="Q7752" s="166"/>
      <c r="R7752" s="166"/>
      <c r="S7752" s="166"/>
    </row>
    <row r="7753" spans="3:19">
      <c r="C7753" s="165"/>
      <c r="D7753" s="165"/>
      <c r="E7753" s="166"/>
      <c r="I7753" s="165"/>
      <c r="J7753" s="165"/>
      <c r="K7753" s="166"/>
      <c r="Q7753" s="166"/>
      <c r="R7753" s="166"/>
      <c r="S7753" s="166"/>
    </row>
    <row r="7754" spans="3:19">
      <c r="C7754" s="165"/>
      <c r="D7754" s="165"/>
      <c r="E7754" s="166"/>
      <c r="I7754" s="165"/>
      <c r="J7754" s="165"/>
      <c r="K7754" s="166"/>
      <c r="Q7754" s="166"/>
      <c r="R7754" s="166"/>
      <c r="S7754" s="166"/>
    </row>
    <row r="7755" spans="3:19">
      <c r="C7755" s="165"/>
      <c r="D7755" s="165"/>
      <c r="E7755" s="166"/>
      <c r="I7755" s="165"/>
      <c r="J7755" s="165"/>
      <c r="K7755" s="166"/>
      <c r="Q7755" s="166"/>
      <c r="R7755" s="166"/>
      <c r="S7755" s="166"/>
    </row>
    <row r="7756" spans="3:19">
      <c r="C7756" s="165"/>
      <c r="D7756" s="165"/>
      <c r="E7756" s="166"/>
      <c r="I7756" s="165"/>
      <c r="J7756" s="165"/>
      <c r="K7756" s="166"/>
      <c r="Q7756" s="166"/>
      <c r="R7756" s="166"/>
      <c r="S7756" s="166"/>
    </row>
    <row r="7757" spans="3:19">
      <c r="C7757" s="165"/>
      <c r="D7757" s="165"/>
      <c r="E7757" s="166"/>
      <c r="I7757" s="165"/>
      <c r="J7757" s="165"/>
      <c r="K7757" s="166"/>
      <c r="Q7757" s="166"/>
      <c r="R7757" s="166"/>
      <c r="S7757" s="166"/>
    </row>
    <row r="7758" spans="3:19">
      <c r="C7758" s="165"/>
      <c r="D7758" s="165"/>
      <c r="E7758" s="166"/>
      <c r="I7758" s="165"/>
      <c r="J7758" s="165"/>
      <c r="K7758" s="166"/>
      <c r="Q7758" s="166"/>
      <c r="R7758" s="166"/>
      <c r="S7758" s="166"/>
    </row>
    <row r="7759" spans="3:19">
      <c r="C7759" s="165"/>
      <c r="D7759" s="165"/>
      <c r="E7759" s="166"/>
      <c r="I7759" s="165"/>
      <c r="J7759" s="165"/>
      <c r="K7759" s="166"/>
      <c r="Q7759" s="166"/>
      <c r="R7759" s="166"/>
      <c r="S7759" s="166"/>
    </row>
    <row r="7760" spans="3:19">
      <c r="C7760" s="165"/>
      <c r="D7760" s="165"/>
      <c r="E7760" s="166"/>
      <c r="I7760" s="165"/>
      <c r="J7760" s="165"/>
      <c r="K7760" s="166"/>
      <c r="Q7760" s="166"/>
      <c r="R7760" s="166"/>
      <c r="S7760" s="166"/>
    </row>
    <row r="7761" spans="3:19">
      <c r="C7761" s="165"/>
      <c r="D7761" s="165"/>
      <c r="E7761" s="166"/>
      <c r="I7761" s="165"/>
      <c r="J7761" s="165"/>
      <c r="K7761" s="166"/>
      <c r="Q7761" s="166"/>
      <c r="R7761" s="166"/>
      <c r="S7761" s="166"/>
    </row>
    <row r="7762" spans="3:19">
      <c r="C7762" s="165"/>
      <c r="D7762" s="165"/>
      <c r="E7762" s="166"/>
      <c r="I7762" s="165"/>
      <c r="J7762" s="165"/>
      <c r="K7762" s="166"/>
      <c r="Q7762" s="166"/>
      <c r="R7762" s="166"/>
      <c r="S7762" s="166"/>
    </row>
    <row r="7763" spans="3:19">
      <c r="C7763" s="165"/>
      <c r="D7763" s="165"/>
      <c r="E7763" s="166"/>
      <c r="I7763" s="165"/>
      <c r="J7763" s="165"/>
      <c r="K7763" s="166"/>
      <c r="Q7763" s="166"/>
      <c r="R7763" s="166"/>
      <c r="S7763" s="166"/>
    </row>
    <row r="7764" spans="3:19">
      <c r="C7764" s="165"/>
      <c r="D7764" s="165"/>
      <c r="E7764" s="166"/>
      <c r="I7764" s="165"/>
      <c r="J7764" s="165"/>
      <c r="K7764" s="166"/>
      <c r="Q7764" s="166"/>
      <c r="R7764" s="166"/>
      <c r="S7764" s="166"/>
    </row>
    <row r="7765" spans="3:19">
      <c r="C7765" s="165"/>
      <c r="D7765" s="165"/>
      <c r="E7765" s="166"/>
      <c r="I7765" s="165"/>
      <c r="J7765" s="165"/>
      <c r="K7765" s="166"/>
      <c r="Q7765" s="166"/>
      <c r="R7765" s="166"/>
      <c r="S7765" s="166"/>
    </row>
    <row r="7766" spans="3:19">
      <c r="C7766" s="165"/>
      <c r="D7766" s="165"/>
      <c r="E7766" s="166"/>
      <c r="I7766" s="165"/>
      <c r="J7766" s="165"/>
      <c r="K7766" s="166"/>
      <c r="Q7766" s="166"/>
      <c r="R7766" s="166"/>
      <c r="S7766" s="166"/>
    </row>
    <row r="7767" spans="3:19">
      <c r="C7767" s="165"/>
      <c r="D7767" s="165"/>
      <c r="E7767" s="166"/>
      <c r="I7767" s="165"/>
      <c r="J7767" s="165"/>
      <c r="K7767" s="166"/>
      <c r="Q7767" s="166"/>
      <c r="R7767" s="166"/>
      <c r="S7767" s="166"/>
    </row>
    <row r="7768" spans="3:19">
      <c r="C7768" s="165"/>
      <c r="D7768" s="165"/>
      <c r="E7768" s="166"/>
      <c r="I7768" s="165"/>
      <c r="J7768" s="165"/>
      <c r="K7768" s="166"/>
      <c r="Q7768" s="166"/>
      <c r="R7768" s="166"/>
      <c r="S7768" s="166"/>
    </row>
    <row r="7769" spans="3:19">
      <c r="C7769" s="165"/>
      <c r="D7769" s="165"/>
      <c r="E7769" s="166"/>
      <c r="I7769" s="165"/>
      <c r="J7769" s="165"/>
      <c r="K7769" s="166"/>
      <c r="Q7769" s="166"/>
      <c r="R7769" s="166"/>
      <c r="S7769" s="166"/>
    </row>
    <row r="7770" spans="3:19">
      <c r="C7770" s="165"/>
      <c r="D7770" s="165"/>
      <c r="E7770" s="166"/>
      <c r="I7770" s="165"/>
      <c r="J7770" s="165"/>
      <c r="K7770" s="166"/>
      <c r="Q7770" s="166"/>
      <c r="R7770" s="166"/>
      <c r="S7770" s="166"/>
    </row>
    <row r="7771" spans="3:19">
      <c r="C7771" s="165"/>
      <c r="D7771" s="165"/>
      <c r="E7771" s="166"/>
      <c r="I7771" s="165"/>
      <c r="J7771" s="165"/>
      <c r="K7771" s="166"/>
      <c r="Q7771" s="166"/>
      <c r="R7771" s="166"/>
      <c r="S7771" s="166"/>
    </row>
    <row r="7772" spans="3:19">
      <c r="C7772" s="165"/>
      <c r="D7772" s="165"/>
      <c r="E7772" s="166"/>
      <c r="I7772" s="165"/>
      <c r="J7772" s="165"/>
      <c r="K7772" s="166"/>
      <c r="Q7772" s="166"/>
      <c r="R7772" s="166"/>
      <c r="S7772" s="166"/>
    </row>
    <row r="7773" spans="3:19">
      <c r="C7773" s="165"/>
      <c r="D7773" s="165"/>
      <c r="E7773" s="166"/>
      <c r="I7773" s="165"/>
      <c r="J7773" s="165"/>
      <c r="K7773" s="166"/>
      <c r="Q7773" s="166"/>
      <c r="R7773" s="166"/>
      <c r="S7773" s="166"/>
    </row>
    <row r="7774" spans="3:19">
      <c r="C7774" s="165"/>
      <c r="D7774" s="165"/>
      <c r="E7774" s="166"/>
      <c r="I7774" s="165"/>
      <c r="J7774" s="165"/>
      <c r="K7774" s="166"/>
      <c r="Q7774" s="166"/>
      <c r="R7774" s="166"/>
      <c r="S7774" s="166"/>
    </row>
    <row r="7775" spans="3:19">
      <c r="C7775" s="165"/>
      <c r="D7775" s="165"/>
      <c r="E7775" s="166"/>
      <c r="I7775" s="165"/>
      <c r="J7775" s="165"/>
      <c r="K7775" s="166"/>
      <c r="Q7775" s="166"/>
      <c r="R7775" s="166"/>
      <c r="S7775" s="166"/>
    </row>
    <row r="7776" spans="3:19">
      <c r="C7776" s="165"/>
      <c r="D7776" s="165"/>
      <c r="E7776" s="166"/>
      <c r="I7776" s="165"/>
      <c r="J7776" s="165"/>
      <c r="K7776" s="166"/>
      <c r="Q7776" s="166"/>
      <c r="R7776" s="166"/>
      <c r="S7776" s="166"/>
    </row>
    <row r="7777" spans="3:19">
      <c r="C7777" s="165"/>
      <c r="D7777" s="165"/>
      <c r="E7777" s="166"/>
      <c r="I7777" s="165"/>
      <c r="J7777" s="165"/>
      <c r="K7777" s="166"/>
      <c r="Q7777" s="166"/>
      <c r="R7777" s="166"/>
      <c r="S7777" s="166"/>
    </row>
    <row r="7778" spans="3:19">
      <c r="C7778" s="165"/>
      <c r="D7778" s="165"/>
      <c r="E7778" s="166"/>
      <c r="I7778" s="165"/>
      <c r="J7778" s="165"/>
      <c r="K7778" s="166"/>
      <c r="Q7778" s="166"/>
      <c r="R7778" s="166"/>
      <c r="S7778" s="166"/>
    </row>
    <row r="7779" spans="3:19">
      <c r="C7779" s="165"/>
      <c r="D7779" s="165"/>
      <c r="E7779" s="166"/>
      <c r="I7779" s="165"/>
      <c r="K7779" s="166"/>
      <c r="Q7779" s="166"/>
      <c r="R7779" s="166"/>
      <c r="S7779" s="166"/>
    </row>
    <row r="7780" spans="3:19">
      <c r="C7780" s="165"/>
      <c r="D7780" s="165"/>
      <c r="E7780" s="166"/>
      <c r="I7780" s="165"/>
      <c r="J7780" s="165"/>
      <c r="K7780" s="166"/>
      <c r="Q7780" s="166"/>
      <c r="R7780" s="166"/>
      <c r="S7780" s="166"/>
    </row>
    <row r="7781" spans="3:19">
      <c r="C7781" s="165"/>
      <c r="D7781" s="165"/>
      <c r="E7781" s="166"/>
      <c r="I7781" s="165"/>
      <c r="J7781" s="165"/>
      <c r="K7781" s="166"/>
      <c r="Q7781" s="166"/>
      <c r="R7781" s="166"/>
      <c r="S7781" s="166"/>
    </row>
    <row r="7782" spans="3:19">
      <c r="C7782" s="165"/>
      <c r="D7782" s="165"/>
      <c r="E7782" s="166"/>
      <c r="I7782" s="165"/>
      <c r="J7782" s="165"/>
      <c r="K7782" s="166"/>
      <c r="Q7782" s="166"/>
      <c r="R7782" s="166"/>
      <c r="S7782" s="166"/>
    </row>
    <row r="7783" spans="3:19">
      <c r="C7783" s="165"/>
      <c r="D7783" s="165"/>
      <c r="E7783" s="166"/>
      <c r="I7783" s="165"/>
      <c r="J7783" s="165"/>
      <c r="K7783" s="166"/>
      <c r="Q7783" s="166"/>
      <c r="R7783" s="166"/>
      <c r="S7783" s="166"/>
    </row>
    <row r="7784" spans="3:19">
      <c r="C7784" s="165"/>
      <c r="D7784" s="165"/>
      <c r="E7784" s="166"/>
      <c r="I7784" s="165"/>
      <c r="J7784" s="165"/>
      <c r="K7784" s="166"/>
      <c r="Q7784" s="166"/>
      <c r="R7784" s="166"/>
      <c r="S7784" s="166"/>
    </row>
    <row r="7785" spans="3:19">
      <c r="C7785" s="165"/>
      <c r="D7785" s="165"/>
      <c r="E7785" s="166"/>
      <c r="I7785" s="165"/>
      <c r="J7785" s="165"/>
      <c r="K7785" s="166"/>
      <c r="Q7785" s="166"/>
      <c r="R7785" s="166"/>
      <c r="S7785" s="166"/>
    </row>
    <row r="7786" spans="3:19">
      <c r="C7786" s="165"/>
      <c r="D7786" s="165"/>
      <c r="E7786" s="166"/>
      <c r="I7786" s="165"/>
      <c r="J7786" s="165"/>
      <c r="K7786" s="166"/>
      <c r="Q7786" s="166"/>
      <c r="R7786" s="166"/>
      <c r="S7786" s="166"/>
    </row>
    <row r="7787" spans="3:19">
      <c r="C7787" s="165"/>
      <c r="D7787" s="165"/>
      <c r="E7787" s="166"/>
      <c r="I7787" s="165"/>
      <c r="J7787" s="165"/>
      <c r="K7787" s="166"/>
      <c r="Q7787" s="166"/>
      <c r="R7787" s="166"/>
      <c r="S7787" s="166"/>
    </row>
    <row r="7788" spans="3:19">
      <c r="C7788" s="165"/>
      <c r="D7788" s="165"/>
      <c r="E7788" s="166"/>
      <c r="I7788" s="165"/>
      <c r="J7788" s="165"/>
      <c r="K7788" s="166"/>
      <c r="Q7788" s="166"/>
      <c r="R7788" s="166"/>
      <c r="S7788" s="166"/>
    </row>
    <row r="7789" spans="3:19">
      <c r="C7789" s="165"/>
      <c r="D7789" s="165"/>
      <c r="E7789" s="166"/>
      <c r="I7789" s="165"/>
      <c r="J7789" s="165"/>
      <c r="K7789" s="166"/>
      <c r="Q7789" s="166"/>
      <c r="R7789" s="166"/>
      <c r="S7789" s="166"/>
    </row>
    <row r="7790" spans="3:19">
      <c r="C7790" s="165"/>
      <c r="D7790" s="165"/>
      <c r="E7790" s="166"/>
      <c r="I7790" s="165"/>
      <c r="J7790" s="165"/>
      <c r="K7790" s="166"/>
      <c r="Q7790" s="166"/>
      <c r="R7790" s="166"/>
      <c r="S7790" s="166"/>
    </row>
    <row r="7791" spans="3:19">
      <c r="C7791" s="165"/>
      <c r="D7791" s="165"/>
      <c r="E7791" s="166"/>
      <c r="I7791" s="165"/>
      <c r="J7791" s="165"/>
      <c r="K7791" s="166"/>
      <c r="Q7791" s="166"/>
      <c r="R7791" s="166"/>
      <c r="S7791" s="166"/>
    </row>
    <row r="7792" spans="3:19">
      <c r="C7792" s="165"/>
      <c r="D7792" s="165"/>
      <c r="E7792" s="166"/>
      <c r="I7792" s="165"/>
      <c r="J7792" s="165"/>
      <c r="K7792" s="166"/>
      <c r="Q7792" s="166"/>
      <c r="R7792" s="166"/>
      <c r="S7792" s="166"/>
    </row>
    <row r="7793" spans="3:19">
      <c r="C7793" s="165"/>
      <c r="D7793" s="165"/>
      <c r="E7793" s="166"/>
      <c r="I7793" s="165"/>
      <c r="J7793" s="165"/>
      <c r="K7793" s="166"/>
      <c r="Q7793" s="166"/>
      <c r="R7793" s="166"/>
      <c r="S7793" s="166"/>
    </row>
    <row r="7794" spans="3:19">
      <c r="C7794" s="165"/>
      <c r="D7794" s="165"/>
      <c r="E7794" s="166"/>
      <c r="I7794" s="165"/>
      <c r="J7794" s="165"/>
      <c r="K7794" s="166"/>
      <c r="Q7794" s="166"/>
      <c r="R7794" s="166"/>
      <c r="S7794" s="166"/>
    </row>
    <row r="7795" spans="3:19">
      <c r="C7795" s="165"/>
      <c r="D7795" s="165"/>
      <c r="E7795" s="166"/>
      <c r="I7795" s="165"/>
      <c r="J7795" s="165"/>
      <c r="K7795" s="166"/>
      <c r="Q7795" s="166"/>
      <c r="R7795" s="166"/>
      <c r="S7795" s="166"/>
    </row>
    <row r="7796" spans="3:19">
      <c r="C7796" s="165"/>
      <c r="D7796" s="165"/>
      <c r="E7796" s="166"/>
      <c r="I7796" s="165"/>
      <c r="J7796" s="165"/>
      <c r="K7796" s="166"/>
      <c r="Q7796" s="166"/>
      <c r="R7796" s="166"/>
      <c r="S7796" s="166"/>
    </row>
    <row r="7797" spans="3:19">
      <c r="C7797" s="165"/>
      <c r="D7797" s="165"/>
      <c r="E7797" s="166"/>
      <c r="I7797" s="165"/>
      <c r="J7797" s="165"/>
      <c r="K7797" s="166"/>
      <c r="Q7797" s="166"/>
      <c r="R7797" s="166"/>
      <c r="S7797" s="166"/>
    </row>
    <row r="7798" spans="3:19">
      <c r="C7798" s="165"/>
      <c r="D7798" s="165"/>
      <c r="E7798" s="166"/>
      <c r="I7798" s="165"/>
      <c r="J7798" s="165"/>
      <c r="K7798" s="166"/>
      <c r="Q7798" s="166"/>
      <c r="R7798" s="166"/>
      <c r="S7798" s="166"/>
    </row>
    <row r="7799" spans="3:19">
      <c r="C7799" s="165"/>
      <c r="D7799" s="165"/>
      <c r="E7799" s="166"/>
      <c r="J7799" s="165"/>
      <c r="K7799" s="166"/>
      <c r="Q7799" s="166"/>
      <c r="R7799" s="166"/>
      <c r="S7799" s="166"/>
    </row>
    <row r="7800" spans="3:19">
      <c r="C7800" s="165"/>
      <c r="D7800" s="165"/>
      <c r="E7800" s="166"/>
      <c r="I7800" s="165"/>
      <c r="J7800" s="165"/>
      <c r="K7800" s="166"/>
      <c r="Q7800" s="166"/>
      <c r="R7800" s="166"/>
      <c r="S7800" s="166"/>
    </row>
    <row r="7801" spans="3:19">
      <c r="C7801" s="165"/>
      <c r="D7801" s="165"/>
      <c r="E7801" s="166"/>
      <c r="I7801" s="165"/>
      <c r="J7801" s="165"/>
      <c r="K7801" s="166"/>
      <c r="Q7801" s="166"/>
      <c r="R7801" s="166"/>
      <c r="S7801" s="166"/>
    </row>
    <row r="7802" spans="3:19">
      <c r="C7802" s="165"/>
      <c r="D7802" s="165"/>
      <c r="E7802" s="166"/>
      <c r="I7802" s="165"/>
      <c r="J7802" s="165"/>
      <c r="K7802" s="166"/>
      <c r="Q7802" s="166"/>
      <c r="R7802" s="166"/>
      <c r="S7802" s="166"/>
    </row>
    <row r="7803" spans="3:19">
      <c r="C7803" s="165"/>
      <c r="D7803" s="165"/>
      <c r="E7803" s="166"/>
      <c r="I7803" s="165"/>
      <c r="J7803" s="165"/>
      <c r="K7803" s="166"/>
      <c r="Q7803" s="166"/>
      <c r="R7803" s="166"/>
      <c r="S7803" s="166"/>
    </row>
    <row r="7804" spans="3:19">
      <c r="C7804" s="165"/>
      <c r="D7804" s="165"/>
      <c r="E7804" s="166"/>
      <c r="I7804" s="165"/>
      <c r="J7804" s="165"/>
      <c r="K7804" s="166"/>
      <c r="Q7804" s="166"/>
      <c r="R7804" s="166"/>
      <c r="S7804" s="166"/>
    </row>
    <row r="7805" spans="3:19">
      <c r="C7805" s="165"/>
      <c r="D7805" s="165"/>
      <c r="E7805" s="166"/>
      <c r="I7805" s="165"/>
      <c r="J7805" s="165"/>
      <c r="K7805" s="166"/>
      <c r="Q7805" s="166"/>
      <c r="R7805" s="166"/>
      <c r="S7805" s="166"/>
    </row>
    <row r="7806" spans="3:19">
      <c r="C7806" s="165"/>
      <c r="D7806" s="165"/>
      <c r="E7806" s="166"/>
      <c r="I7806" s="165"/>
      <c r="J7806" s="165"/>
      <c r="K7806" s="166"/>
      <c r="Q7806" s="166"/>
      <c r="R7806" s="166"/>
      <c r="S7806" s="166"/>
    </row>
    <row r="7807" spans="3:19">
      <c r="C7807" s="165"/>
      <c r="D7807" s="165"/>
      <c r="E7807" s="166"/>
      <c r="I7807" s="165"/>
      <c r="J7807" s="165"/>
      <c r="K7807" s="166"/>
      <c r="Q7807" s="166"/>
      <c r="R7807" s="166"/>
      <c r="S7807" s="166"/>
    </row>
    <row r="7808" spans="3:19">
      <c r="C7808" s="165"/>
      <c r="D7808" s="165"/>
      <c r="E7808" s="166"/>
      <c r="I7808" s="165"/>
      <c r="J7808" s="165"/>
      <c r="K7808" s="166"/>
      <c r="Q7808" s="166"/>
      <c r="R7808" s="166"/>
      <c r="S7808" s="166"/>
    </row>
    <row r="7809" spans="3:19">
      <c r="C7809" s="165"/>
      <c r="D7809" s="165"/>
      <c r="E7809" s="166"/>
      <c r="I7809" s="165"/>
      <c r="J7809" s="165"/>
      <c r="K7809" s="166"/>
      <c r="Q7809" s="166"/>
      <c r="R7809" s="166"/>
      <c r="S7809" s="166"/>
    </row>
    <row r="7810" spans="3:19">
      <c r="C7810" s="165"/>
      <c r="D7810" s="165"/>
      <c r="E7810" s="166"/>
      <c r="I7810" s="165"/>
      <c r="J7810" s="165"/>
      <c r="K7810" s="166"/>
      <c r="Q7810" s="166"/>
      <c r="R7810" s="166"/>
      <c r="S7810" s="166"/>
    </row>
    <row r="7811" spans="3:19">
      <c r="C7811" s="165"/>
      <c r="D7811" s="165"/>
      <c r="E7811" s="166"/>
      <c r="I7811" s="165"/>
      <c r="J7811" s="165"/>
      <c r="K7811" s="166"/>
      <c r="Q7811" s="166"/>
      <c r="R7811" s="166"/>
      <c r="S7811" s="166"/>
    </row>
    <row r="7812" spans="3:19">
      <c r="C7812" s="165"/>
      <c r="D7812" s="165"/>
      <c r="E7812" s="166"/>
      <c r="I7812" s="165"/>
      <c r="J7812" s="165"/>
      <c r="K7812" s="166"/>
      <c r="Q7812" s="166"/>
      <c r="R7812" s="166"/>
      <c r="S7812" s="166"/>
    </row>
    <row r="7813" spans="3:19">
      <c r="C7813" s="165"/>
      <c r="D7813" s="165"/>
      <c r="E7813" s="166"/>
      <c r="I7813" s="165"/>
      <c r="J7813" s="165"/>
      <c r="K7813" s="166"/>
      <c r="Q7813" s="166"/>
      <c r="R7813" s="166"/>
      <c r="S7813" s="166"/>
    </row>
    <row r="7814" spans="3:19">
      <c r="C7814" s="165"/>
      <c r="D7814" s="165"/>
      <c r="E7814" s="166"/>
      <c r="I7814" s="165"/>
      <c r="J7814" s="165"/>
      <c r="K7814" s="166"/>
      <c r="Q7814" s="166"/>
      <c r="R7814" s="166"/>
      <c r="S7814" s="166"/>
    </row>
    <row r="7815" spans="3:19">
      <c r="C7815" s="165"/>
      <c r="D7815" s="165"/>
      <c r="E7815" s="166"/>
      <c r="I7815" s="165"/>
      <c r="J7815" s="165"/>
      <c r="K7815" s="166"/>
      <c r="Q7815" s="166"/>
      <c r="R7815" s="166"/>
      <c r="S7815" s="166"/>
    </row>
    <row r="7816" spans="3:19">
      <c r="C7816" s="165"/>
      <c r="D7816" s="165"/>
      <c r="E7816" s="166"/>
      <c r="I7816" s="165"/>
      <c r="K7816" s="166"/>
      <c r="Q7816" s="166"/>
      <c r="R7816" s="166"/>
      <c r="S7816" s="166"/>
    </row>
    <row r="7817" spans="3:19">
      <c r="C7817" s="165"/>
      <c r="D7817" s="165"/>
      <c r="E7817" s="166"/>
      <c r="I7817" s="165"/>
      <c r="J7817" s="165"/>
      <c r="K7817" s="166"/>
      <c r="Q7817" s="166"/>
      <c r="R7817" s="166"/>
      <c r="S7817" s="166"/>
    </row>
    <row r="7818" spans="3:19">
      <c r="C7818" s="165"/>
      <c r="D7818" s="165"/>
      <c r="E7818" s="166"/>
      <c r="I7818" s="165"/>
      <c r="J7818" s="165"/>
      <c r="K7818" s="166"/>
      <c r="Q7818" s="166"/>
      <c r="R7818" s="166"/>
      <c r="S7818" s="166"/>
    </row>
    <row r="7819" spans="3:19">
      <c r="C7819" s="165"/>
      <c r="D7819" s="165"/>
      <c r="E7819" s="166"/>
      <c r="I7819" s="165"/>
      <c r="J7819" s="165"/>
      <c r="K7819" s="166"/>
      <c r="Q7819" s="166"/>
      <c r="R7819" s="166"/>
      <c r="S7819" s="166"/>
    </row>
    <row r="7820" spans="3:19">
      <c r="C7820" s="165"/>
      <c r="D7820" s="165"/>
      <c r="E7820" s="166"/>
      <c r="I7820" s="165"/>
      <c r="J7820" s="165"/>
      <c r="K7820" s="166"/>
      <c r="Q7820" s="166"/>
      <c r="R7820" s="166"/>
      <c r="S7820" s="166"/>
    </row>
    <row r="7821" spans="3:19">
      <c r="C7821" s="165"/>
      <c r="D7821" s="165"/>
      <c r="E7821" s="166"/>
      <c r="I7821" s="165"/>
      <c r="J7821" s="165"/>
      <c r="K7821" s="166"/>
      <c r="Q7821" s="166"/>
      <c r="R7821" s="166"/>
      <c r="S7821" s="166"/>
    </row>
    <row r="7822" spans="3:19">
      <c r="C7822" s="165"/>
      <c r="D7822" s="165"/>
      <c r="E7822" s="166"/>
      <c r="I7822" s="165"/>
      <c r="J7822" s="165"/>
      <c r="K7822" s="166"/>
      <c r="Q7822" s="166"/>
      <c r="R7822" s="166"/>
      <c r="S7822" s="166"/>
    </row>
    <row r="7823" spans="3:19">
      <c r="C7823" s="165"/>
      <c r="D7823" s="165"/>
      <c r="E7823" s="166"/>
      <c r="I7823" s="165"/>
      <c r="J7823" s="165"/>
      <c r="K7823" s="166"/>
      <c r="Q7823" s="166"/>
      <c r="R7823" s="166"/>
      <c r="S7823" s="166"/>
    </row>
    <row r="7824" spans="3:19">
      <c r="C7824" s="165"/>
      <c r="D7824" s="165"/>
      <c r="E7824" s="166"/>
      <c r="I7824" s="165"/>
      <c r="J7824" s="165"/>
      <c r="K7824" s="166"/>
      <c r="Q7824" s="166"/>
      <c r="R7824" s="166"/>
      <c r="S7824" s="166"/>
    </row>
    <row r="7825" spans="3:19">
      <c r="C7825" s="165"/>
      <c r="D7825" s="165"/>
      <c r="E7825" s="166"/>
      <c r="I7825" s="165"/>
      <c r="J7825" s="165"/>
      <c r="K7825" s="166"/>
      <c r="Q7825" s="166"/>
      <c r="R7825" s="166"/>
      <c r="S7825" s="166"/>
    </row>
    <row r="7826" spans="3:19">
      <c r="C7826" s="165"/>
      <c r="D7826" s="165"/>
      <c r="E7826" s="166"/>
      <c r="I7826" s="165"/>
      <c r="J7826" s="165"/>
      <c r="K7826" s="166"/>
      <c r="Q7826" s="166"/>
      <c r="R7826" s="166"/>
      <c r="S7826" s="166"/>
    </row>
    <row r="7827" spans="3:19">
      <c r="C7827" s="165"/>
      <c r="D7827" s="165"/>
      <c r="E7827" s="166"/>
      <c r="I7827" s="165"/>
      <c r="J7827" s="165"/>
      <c r="K7827" s="166"/>
      <c r="Q7827" s="166"/>
      <c r="R7827" s="166"/>
      <c r="S7827" s="166"/>
    </row>
    <row r="7828" spans="3:19">
      <c r="C7828" s="165"/>
      <c r="D7828" s="165"/>
      <c r="E7828" s="166"/>
      <c r="I7828" s="165"/>
      <c r="J7828" s="165"/>
      <c r="K7828" s="166"/>
      <c r="Q7828" s="166"/>
      <c r="R7828" s="166"/>
      <c r="S7828" s="166"/>
    </row>
    <row r="7829" spans="3:19">
      <c r="C7829" s="165"/>
      <c r="D7829" s="165"/>
      <c r="E7829" s="166"/>
      <c r="I7829" s="165"/>
      <c r="J7829" s="165"/>
      <c r="K7829" s="166"/>
      <c r="Q7829" s="166"/>
      <c r="R7829" s="166"/>
      <c r="S7829" s="166"/>
    </row>
    <row r="7830" spans="3:19">
      <c r="C7830" s="165"/>
      <c r="D7830" s="165"/>
      <c r="E7830" s="166"/>
      <c r="I7830" s="165"/>
      <c r="J7830" s="165"/>
      <c r="K7830" s="166"/>
      <c r="Q7830" s="166"/>
      <c r="R7830" s="166"/>
      <c r="S7830" s="166"/>
    </row>
    <row r="7831" spans="3:19">
      <c r="C7831" s="165"/>
      <c r="D7831" s="165"/>
      <c r="E7831" s="166"/>
      <c r="I7831" s="165"/>
      <c r="J7831" s="165"/>
      <c r="K7831" s="166"/>
      <c r="Q7831" s="166"/>
      <c r="R7831" s="166"/>
      <c r="S7831" s="166"/>
    </row>
    <row r="7832" spans="3:19">
      <c r="C7832" s="165"/>
      <c r="D7832" s="165"/>
      <c r="E7832" s="166"/>
      <c r="I7832" s="165"/>
      <c r="J7832" s="165"/>
      <c r="K7832" s="166"/>
      <c r="Q7832" s="166"/>
      <c r="R7832" s="166"/>
      <c r="S7832" s="166"/>
    </row>
    <row r="7833" spans="3:19">
      <c r="C7833" s="165"/>
      <c r="D7833" s="165"/>
      <c r="E7833" s="166"/>
      <c r="I7833" s="165"/>
      <c r="J7833" s="165"/>
      <c r="K7833" s="166"/>
      <c r="Q7833" s="166"/>
      <c r="R7833" s="166"/>
      <c r="S7833" s="166"/>
    </row>
    <row r="7834" spans="3:19">
      <c r="C7834" s="165"/>
      <c r="D7834" s="165"/>
      <c r="E7834" s="166"/>
      <c r="I7834" s="165"/>
      <c r="J7834" s="165"/>
      <c r="K7834" s="166"/>
      <c r="Q7834" s="166"/>
      <c r="R7834" s="166"/>
      <c r="S7834" s="166"/>
    </row>
    <row r="7835" spans="3:19">
      <c r="C7835" s="165"/>
      <c r="D7835" s="165"/>
      <c r="E7835" s="166"/>
      <c r="I7835" s="165"/>
      <c r="J7835" s="165"/>
      <c r="K7835" s="166"/>
      <c r="Q7835" s="166"/>
      <c r="R7835" s="166"/>
      <c r="S7835" s="166"/>
    </row>
    <row r="7836" spans="3:19">
      <c r="C7836" s="165"/>
      <c r="D7836" s="165"/>
      <c r="E7836" s="166"/>
      <c r="I7836" s="165"/>
      <c r="J7836" s="165"/>
      <c r="K7836" s="166"/>
      <c r="Q7836" s="166"/>
      <c r="R7836" s="166"/>
      <c r="S7836" s="166"/>
    </row>
    <row r="7837" spans="3:19">
      <c r="C7837" s="165"/>
      <c r="D7837" s="165"/>
      <c r="E7837" s="166"/>
      <c r="I7837" s="165"/>
      <c r="J7837" s="165"/>
      <c r="K7837" s="166"/>
      <c r="Q7837" s="166"/>
      <c r="R7837" s="166"/>
      <c r="S7837" s="166"/>
    </row>
    <row r="7838" spans="3:19">
      <c r="C7838" s="165"/>
      <c r="D7838" s="165"/>
      <c r="E7838" s="166"/>
      <c r="I7838" s="165"/>
      <c r="J7838" s="165"/>
      <c r="K7838" s="166"/>
      <c r="Q7838" s="166"/>
      <c r="R7838" s="166"/>
      <c r="S7838" s="166"/>
    </row>
    <row r="7839" spans="3:19">
      <c r="C7839" s="165"/>
      <c r="D7839" s="165"/>
      <c r="E7839" s="166"/>
      <c r="I7839" s="165"/>
      <c r="J7839" s="165"/>
      <c r="K7839" s="166"/>
      <c r="Q7839" s="166"/>
      <c r="R7839" s="166"/>
      <c r="S7839" s="166"/>
    </row>
    <row r="7840" spans="3:19">
      <c r="C7840" s="165"/>
      <c r="D7840" s="165"/>
      <c r="E7840" s="166"/>
      <c r="I7840" s="165"/>
      <c r="J7840" s="165"/>
      <c r="K7840" s="166"/>
      <c r="Q7840" s="166"/>
      <c r="R7840" s="166"/>
      <c r="S7840" s="166"/>
    </row>
    <row r="7841" spans="3:19">
      <c r="C7841" s="165"/>
      <c r="D7841" s="165"/>
      <c r="E7841" s="166"/>
      <c r="I7841" s="165"/>
      <c r="J7841" s="165"/>
      <c r="K7841" s="166"/>
      <c r="Q7841" s="166"/>
      <c r="R7841" s="166"/>
      <c r="S7841" s="166"/>
    </row>
    <row r="7842" spans="3:19">
      <c r="C7842" s="165"/>
      <c r="D7842" s="165"/>
      <c r="E7842" s="166"/>
      <c r="I7842" s="165"/>
      <c r="J7842" s="165"/>
      <c r="K7842" s="166"/>
      <c r="Q7842" s="166"/>
      <c r="R7842" s="166"/>
      <c r="S7842" s="166"/>
    </row>
    <row r="7843" spans="3:19">
      <c r="C7843" s="165"/>
      <c r="D7843" s="165"/>
      <c r="E7843" s="166"/>
      <c r="I7843" s="165"/>
      <c r="J7843" s="165"/>
      <c r="K7843" s="166"/>
      <c r="Q7843" s="166"/>
      <c r="R7843" s="166"/>
      <c r="S7843" s="166"/>
    </row>
    <row r="7844" spans="3:19">
      <c r="C7844" s="165"/>
      <c r="D7844" s="165"/>
      <c r="E7844" s="166"/>
      <c r="I7844" s="165"/>
      <c r="J7844" s="165"/>
      <c r="K7844" s="166"/>
      <c r="Q7844" s="166"/>
      <c r="R7844" s="166"/>
      <c r="S7844" s="166"/>
    </row>
    <row r="7845" spans="3:19">
      <c r="C7845" s="165"/>
      <c r="D7845" s="165"/>
      <c r="E7845" s="166"/>
      <c r="I7845" s="165"/>
      <c r="J7845" s="165"/>
      <c r="K7845" s="166"/>
      <c r="Q7845" s="166"/>
      <c r="R7845" s="166"/>
      <c r="S7845" s="166"/>
    </row>
    <row r="7846" spans="3:19">
      <c r="C7846" s="165"/>
      <c r="D7846" s="165"/>
      <c r="E7846" s="166"/>
      <c r="I7846" s="165"/>
      <c r="J7846" s="165"/>
      <c r="K7846" s="166"/>
      <c r="Q7846" s="166"/>
      <c r="R7846" s="166"/>
      <c r="S7846" s="166"/>
    </row>
    <row r="7847" spans="3:19">
      <c r="C7847" s="165"/>
      <c r="D7847" s="165"/>
      <c r="E7847" s="166"/>
      <c r="I7847" s="165"/>
      <c r="J7847" s="165"/>
      <c r="K7847" s="166"/>
      <c r="Q7847" s="166"/>
      <c r="R7847" s="166"/>
      <c r="S7847" s="166"/>
    </row>
    <row r="7848" spans="3:19">
      <c r="C7848" s="165"/>
      <c r="D7848" s="165"/>
      <c r="E7848" s="166"/>
      <c r="I7848" s="165"/>
      <c r="J7848" s="165"/>
      <c r="K7848" s="166"/>
      <c r="Q7848" s="166"/>
      <c r="R7848" s="166"/>
      <c r="S7848" s="166"/>
    </row>
    <row r="7849" spans="3:19">
      <c r="C7849" s="165"/>
      <c r="D7849" s="165"/>
      <c r="E7849" s="166"/>
      <c r="I7849" s="165"/>
      <c r="J7849" s="165"/>
      <c r="K7849" s="166"/>
      <c r="Q7849" s="166"/>
      <c r="R7849" s="166"/>
      <c r="S7849" s="166"/>
    </row>
    <row r="7850" spans="3:19">
      <c r="C7850" s="165"/>
      <c r="D7850" s="165"/>
      <c r="E7850" s="166"/>
      <c r="I7850" s="165"/>
      <c r="J7850" s="165"/>
      <c r="K7850" s="166"/>
      <c r="Q7850" s="166"/>
      <c r="R7850" s="166"/>
      <c r="S7850" s="166"/>
    </row>
    <row r="7851" spans="3:19">
      <c r="C7851" s="165"/>
      <c r="D7851" s="165"/>
      <c r="E7851" s="166"/>
      <c r="I7851" s="165"/>
      <c r="J7851" s="165"/>
      <c r="K7851" s="166"/>
      <c r="Q7851" s="166"/>
      <c r="R7851" s="166"/>
      <c r="S7851" s="166"/>
    </row>
    <row r="7852" spans="3:19">
      <c r="C7852" s="165"/>
      <c r="D7852" s="165"/>
      <c r="E7852" s="166"/>
      <c r="I7852" s="165"/>
      <c r="J7852" s="165"/>
      <c r="K7852" s="166"/>
      <c r="Q7852" s="166"/>
      <c r="R7852" s="166"/>
      <c r="S7852" s="166"/>
    </row>
    <row r="7853" spans="3:19">
      <c r="C7853" s="165"/>
      <c r="D7853" s="165"/>
      <c r="E7853" s="166"/>
      <c r="I7853" s="165"/>
      <c r="J7853" s="165"/>
      <c r="K7853" s="166"/>
      <c r="Q7853" s="166"/>
      <c r="R7853" s="166"/>
      <c r="S7853" s="166"/>
    </row>
    <row r="7854" spans="3:19">
      <c r="C7854" s="165"/>
      <c r="D7854" s="165"/>
      <c r="E7854" s="166"/>
      <c r="I7854" s="165"/>
      <c r="J7854" s="165"/>
      <c r="K7854" s="166"/>
      <c r="Q7854" s="166"/>
      <c r="R7854" s="166"/>
      <c r="S7854" s="166"/>
    </row>
    <row r="7855" spans="3:19">
      <c r="C7855" s="165"/>
      <c r="D7855" s="165"/>
      <c r="E7855" s="166"/>
      <c r="I7855" s="165"/>
      <c r="J7855" s="165"/>
      <c r="K7855" s="166"/>
      <c r="Q7855" s="166"/>
      <c r="R7855" s="166"/>
      <c r="S7855" s="166"/>
    </row>
    <row r="7856" spans="3:19">
      <c r="C7856" s="165"/>
      <c r="D7856" s="165"/>
      <c r="E7856" s="166"/>
      <c r="J7856" s="165"/>
      <c r="K7856" s="166"/>
      <c r="Q7856" s="166"/>
      <c r="R7856" s="166"/>
      <c r="S7856" s="166"/>
    </row>
    <row r="7857" spans="3:19">
      <c r="C7857" s="165"/>
      <c r="D7857" s="165"/>
      <c r="E7857" s="166"/>
      <c r="I7857" s="165"/>
      <c r="J7857" s="165"/>
      <c r="K7857" s="166"/>
      <c r="Q7857" s="166"/>
      <c r="R7857" s="166"/>
      <c r="S7857" s="166"/>
    </row>
    <row r="7858" spans="3:19">
      <c r="C7858" s="165"/>
      <c r="D7858" s="165"/>
      <c r="E7858" s="166"/>
      <c r="I7858" s="165"/>
      <c r="J7858" s="165"/>
      <c r="K7858" s="166"/>
      <c r="Q7858" s="166"/>
      <c r="R7858" s="166"/>
      <c r="S7858" s="166"/>
    </row>
    <row r="7859" spans="3:19">
      <c r="C7859" s="165"/>
      <c r="D7859" s="165"/>
      <c r="E7859" s="166"/>
      <c r="I7859" s="165"/>
      <c r="J7859" s="165"/>
      <c r="K7859" s="166"/>
      <c r="Q7859" s="166"/>
      <c r="R7859" s="166"/>
      <c r="S7859" s="166"/>
    </row>
    <row r="7860" spans="3:19">
      <c r="C7860" s="165"/>
      <c r="D7860" s="165"/>
      <c r="E7860" s="166"/>
      <c r="I7860" s="165"/>
      <c r="J7860" s="165"/>
      <c r="K7860" s="166"/>
      <c r="Q7860" s="166"/>
      <c r="R7860" s="166"/>
      <c r="S7860" s="166"/>
    </row>
    <row r="7861" spans="3:19">
      <c r="C7861" s="165"/>
      <c r="D7861" s="165"/>
      <c r="E7861" s="166"/>
      <c r="I7861" s="165"/>
      <c r="J7861" s="165"/>
      <c r="K7861" s="166"/>
      <c r="Q7861" s="166"/>
      <c r="R7861" s="166"/>
      <c r="S7861" s="166"/>
    </row>
    <row r="7862" spans="3:19">
      <c r="C7862" s="165"/>
      <c r="D7862" s="165"/>
      <c r="E7862" s="166"/>
      <c r="I7862" s="165"/>
      <c r="J7862" s="165"/>
      <c r="K7862" s="166"/>
      <c r="Q7862" s="166"/>
      <c r="R7862" s="166"/>
      <c r="S7862" s="166"/>
    </row>
    <row r="7863" spans="3:19">
      <c r="C7863" s="165"/>
      <c r="D7863" s="165"/>
      <c r="E7863" s="166"/>
      <c r="I7863" s="165"/>
      <c r="J7863" s="165"/>
      <c r="K7863" s="166"/>
      <c r="Q7863" s="166"/>
      <c r="R7863" s="166"/>
      <c r="S7863" s="166"/>
    </row>
    <row r="7864" spans="3:19">
      <c r="C7864" s="165"/>
      <c r="D7864" s="165"/>
      <c r="E7864" s="166"/>
      <c r="I7864" s="165"/>
      <c r="J7864" s="165"/>
      <c r="K7864" s="166"/>
      <c r="Q7864" s="166"/>
      <c r="R7864" s="166"/>
      <c r="S7864" s="166"/>
    </row>
    <row r="7865" spans="3:19">
      <c r="C7865" s="165"/>
      <c r="D7865" s="165"/>
      <c r="E7865" s="166"/>
      <c r="I7865" s="165"/>
      <c r="J7865" s="165"/>
      <c r="K7865" s="166"/>
      <c r="Q7865" s="166"/>
      <c r="R7865" s="166"/>
      <c r="S7865" s="166"/>
    </row>
    <row r="7866" spans="3:19">
      <c r="C7866" s="165"/>
      <c r="D7866" s="165"/>
      <c r="E7866" s="166"/>
      <c r="I7866" s="165"/>
      <c r="J7866" s="165"/>
      <c r="K7866" s="166"/>
      <c r="Q7866" s="166"/>
      <c r="R7866" s="166"/>
      <c r="S7866" s="166"/>
    </row>
    <row r="7867" spans="3:19">
      <c r="C7867" s="165"/>
      <c r="D7867" s="165"/>
      <c r="E7867" s="166"/>
      <c r="I7867" s="165"/>
      <c r="J7867" s="165"/>
      <c r="K7867" s="166"/>
      <c r="Q7867" s="166"/>
      <c r="R7867" s="166"/>
      <c r="S7867" s="166"/>
    </row>
    <row r="7868" spans="3:19">
      <c r="C7868" s="165"/>
      <c r="D7868" s="165"/>
      <c r="E7868" s="166"/>
      <c r="I7868" s="165"/>
      <c r="J7868" s="165"/>
      <c r="K7868" s="166"/>
      <c r="Q7868" s="166"/>
      <c r="R7868" s="166"/>
      <c r="S7868" s="166"/>
    </row>
    <row r="7869" spans="3:19">
      <c r="C7869" s="165"/>
      <c r="D7869" s="165"/>
      <c r="E7869" s="166"/>
      <c r="I7869" s="165"/>
      <c r="J7869" s="165"/>
      <c r="K7869" s="166"/>
      <c r="Q7869" s="166"/>
      <c r="R7869" s="166"/>
      <c r="S7869" s="166"/>
    </row>
    <row r="7870" spans="3:19">
      <c r="C7870" s="165"/>
      <c r="D7870" s="165"/>
      <c r="E7870" s="166"/>
      <c r="I7870" s="165"/>
      <c r="J7870" s="165"/>
      <c r="K7870" s="166"/>
      <c r="Q7870" s="166"/>
      <c r="R7870" s="166"/>
      <c r="S7870" s="166"/>
    </row>
    <row r="7871" spans="3:19">
      <c r="C7871" s="165"/>
      <c r="D7871" s="165"/>
      <c r="E7871" s="166"/>
      <c r="J7871" s="165"/>
      <c r="K7871" s="166"/>
      <c r="Q7871" s="166"/>
      <c r="R7871" s="166"/>
      <c r="S7871" s="166"/>
    </row>
    <row r="7872" spans="3:19">
      <c r="C7872" s="165"/>
      <c r="D7872" s="165"/>
      <c r="E7872" s="166"/>
      <c r="I7872" s="165"/>
      <c r="K7872" s="166"/>
      <c r="Q7872" s="166"/>
      <c r="R7872" s="166"/>
      <c r="S7872" s="166"/>
    </row>
    <row r="7873" spans="3:19">
      <c r="C7873" s="165"/>
      <c r="D7873" s="165"/>
      <c r="E7873" s="166"/>
      <c r="I7873" s="165"/>
      <c r="J7873" s="165"/>
      <c r="K7873" s="166"/>
      <c r="Q7873" s="166"/>
      <c r="R7873" s="166"/>
      <c r="S7873" s="166"/>
    </row>
    <row r="7874" spans="3:19">
      <c r="C7874" s="165"/>
      <c r="D7874" s="165"/>
      <c r="E7874" s="166"/>
      <c r="I7874" s="165"/>
      <c r="J7874" s="165"/>
      <c r="K7874" s="166"/>
      <c r="Q7874" s="166"/>
      <c r="R7874" s="166"/>
      <c r="S7874" s="166"/>
    </row>
    <row r="7875" spans="3:19">
      <c r="C7875" s="165"/>
      <c r="D7875" s="165"/>
      <c r="E7875" s="166"/>
      <c r="I7875" s="165"/>
      <c r="J7875" s="165"/>
      <c r="K7875" s="166"/>
      <c r="Q7875" s="166"/>
      <c r="R7875" s="166"/>
      <c r="S7875" s="166"/>
    </row>
    <row r="7876" spans="3:19">
      <c r="C7876" s="165"/>
      <c r="D7876" s="165"/>
      <c r="E7876" s="166"/>
      <c r="I7876" s="165"/>
      <c r="J7876" s="165"/>
      <c r="K7876" s="166"/>
      <c r="Q7876" s="166"/>
      <c r="R7876" s="166"/>
      <c r="S7876" s="166"/>
    </row>
    <row r="7877" spans="3:19">
      <c r="C7877" s="165"/>
      <c r="D7877" s="165"/>
      <c r="E7877" s="166"/>
      <c r="I7877" s="165"/>
      <c r="J7877" s="165"/>
      <c r="K7877" s="166"/>
      <c r="Q7877" s="166"/>
      <c r="R7877" s="166"/>
      <c r="S7877" s="166"/>
    </row>
    <row r="7878" spans="3:19">
      <c r="C7878" s="165"/>
      <c r="D7878" s="165"/>
      <c r="E7878" s="166"/>
      <c r="I7878" s="165"/>
      <c r="J7878" s="165"/>
      <c r="K7878" s="166"/>
      <c r="Q7878" s="166"/>
      <c r="R7878" s="166"/>
      <c r="S7878" s="166"/>
    </row>
    <row r="7879" spans="3:19">
      <c r="C7879" s="165"/>
      <c r="D7879" s="165"/>
      <c r="E7879" s="166"/>
      <c r="I7879" s="165"/>
      <c r="J7879" s="165"/>
      <c r="K7879" s="166"/>
      <c r="Q7879" s="166"/>
      <c r="R7879" s="166"/>
      <c r="S7879" s="166"/>
    </row>
    <row r="7880" spans="3:19">
      <c r="C7880" s="165"/>
      <c r="D7880" s="165"/>
      <c r="E7880" s="166"/>
      <c r="I7880" s="165"/>
      <c r="J7880" s="165"/>
      <c r="K7880" s="166"/>
      <c r="Q7880" s="166"/>
      <c r="R7880" s="166"/>
      <c r="S7880" s="166"/>
    </row>
    <row r="7881" spans="3:19">
      <c r="C7881" s="165"/>
      <c r="D7881" s="165"/>
      <c r="E7881" s="166"/>
      <c r="I7881" s="165"/>
      <c r="J7881" s="165"/>
      <c r="K7881" s="166"/>
      <c r="Q7881" s="166"/>
      <c r="R7881" s="166"/>
      <c r="S7881" s="166"/>
    </row>
    <row r="7882" spans="3:19">
      <c r="C7882" s="165"/>
      <c r="D7882" s="165"/>
      <c r="E7882" s="166"/>
      <c r="I7882" s="165"/>
      <c r="J7882" s="165"/>
      <c r="K7882" s="166"/>
      <c r="Q7882" s="166"/>
      <c r="R7882" s="166"/>
      <c r="S7882" s="166"/>
    </row>
    <row r="7883" spans="3:19">
      <c r="C7883" s="165"/>
      <c r="D7883" s="165"/>
      <c r="E7883" s="166"/>
      <c r="I7883" s="165"/>
      <c r="J7883" s="165"/>
      <c r="K7883" s="166"/>
      <c r="Q7883" s="166"/>
      <c r="R7883" s="166"/>
      <c r="S7883" s="166"/>
    </row>
    <row r="7884" spans="3:19">
      <c r="C7884" s="165"/>
      <c r="D7884" s="165"/>
      <c r="E7884" s="166"/>
      <c r="I7884" s="165"/>
      <c r="J7884" s="165"/>
      <c r="K7884" s="166"/>
      <c r="Q7884" s="166"/>
      <c r="R7884" s="166"/>
      <c r="S7884" s="166"/>
    </row>
    <row r="7885" spans="3:19">
      <c r="C7885" s="165"/>
      <c r="D7885" s="165"/>
      <c r="E7885" s="166"/>
      <c r="I7885" s="165"/>
      <c r="J7885" s="165"/>
      <c r="K7885" s="166"/>
      <c r="Q7885" s="166"/>
      <c r="R7885" s="166"/>
      <c r="S7885" s="166"/>
    </row>
    <row r="7886" spans="3:19">
      <c r="C7886" s="165"/>
      <c r="D7886" s="165"/>
      <c r="E7886" s="166"/>
      <c r="I7886" s="165"/>
      <c r="J7886" s="165"/>
      <c r="K7886" s="166"/>
      <c r="Q7886" s="166"/>
      <c r="R7886" s="166"/>
      <c r="S7886" s="166"/>
    </row>
    <row r="7887" spans="3:19">
      <c r="C7887" s="165"/>
      <c r="D7887" s="165"/>
      <c r="E7887" s="166"/>
      <c r="I7887" s="165"/>
      <c r="J7887" s="165"/>
      <c r="K7887" s="166"/>
      <c r="Q7887" s="166"/>
      <c r="R7887" s="166"/>
      <c r="S7887" s="166"/>
    </row>
    <row r="7888" spans="3:19">
      <c r="C7888" s="165"/>
      <c r="D7888" s="165"/>
      <c r="E7888" s="166"/>
      <c r="I7888" s="165"/>
      <c r="J7888" s="165"/>
      <c r="K7888" s="166"/>
      <c r="Q7888" s="166"/>
      <c r="R7888" s="166"/>
      <c r="S7888" s="166"/>
    </row>
    <row r="7889" spans="3:19">
      <c r="C7889" s="165"/>
      <c r="D7889" s="165"/>
      <c r="E7889" s="166"/>
      <c r="I7889" s="165"/>
      <c r="J7889" s="165"/>
      <c r="K7889" s="166"/>
      <c r="Q7889" s="166"/>
      <c r="R7889" s="166"/>
      <c r="S7889" s="166"/>
    </row>
    <row r="7890" spans="3:19">
      <c r="C7890" s="165"/>
      <c r="D7890" s="165"/>
      <c r="E7890" s="166"/>
      <c r="I7890" s="165"/>
      <c r="J7890" s="165"/>
      <c r="K7890" s="166"/>
      <c r="Q7890" s="166"/>
      <c r="R7890" s="166"/>
      <c r="S7890" s="166"/>
    </row>
    <row r="7891" spans="3:19">
      <c r="C7891" s="165"/>
      <c r="D7891" s="165"/>
      <c r="E7891" s="166"/>
      <c r="I7891" s="165"/>
      <c r="J7891" s="165"/>
      <c r="K7891" s="166"/>
      <c r="Q7891" s="166"/>
      <c r="R7891" s="166"/>
      <c r="S7891" s="166"/>
    </row>
    <row r="7892" spans="3:19">
      <c r="C7892" s="165"/>
      <c r="D7892" s="165"/>
      <c r="E7892" s="166"/>
      <c r="I7892" s="165"/>
      <c r="J7892" s="165"/>
      <c r="K7892" s="166"/>
      <c r="Q7892" s="166"/>
      <c r="R7892" s="166"/>
      <c r="S7892" s="166"/>
    </row>
    <row r="7893" spans="3:19">
      <c r="C7893" s="165"/>
      <c r="D7893" s="165"/>
      <c r="E7893" s="166"/>
      <c r="I7893" s="165"/>
      <c r="J7893" s="165"/>
      <c r="K7893" s="166"/>
      <c r="Q7893" s="166"/>
      <c r="R7893" s="166"/>
      <c r="S7893" s="166"/>
    </row>
    <row r="7894" spans="3:19">
      <c r="C7894" s="165"/>
      <c r="D7894" s="165"/>
      <c r="E7894" s="166"/>
      <c r="I7894" s="165"/>
      <c r="J7894" s="165"/>
      <c r="K7894" s="166"/>
      <c r="Q7894" s="166"/>
      <c r="R7894" s="166"/>
      <c r="S7894" s="166"/>
    </row>
    <row r="7895" spans="3:19">
      <c r="C7895" s="165"/>
      <c r="D7895" s="165"/>
      <c r="E7895" s="166"/>
      <c r="I7895" s="165"/>
      <c r="J7895" s="165"/>
      <c r="K7895" s="166"/>
      <c r="Q7895" s="166"/>
      <c r="R7895" s="166"/>
      <c r="S7895" s="166"/>
    </row>
    <row r="7896" spans="3:19">
      <c r="C7896" s="165"/>
      <c r="D7896" s="165"/>
      <c r="E7896" s="166"/>
      <c r="I7896" s="165"/>
      <c r="J7896" s="165"/>
      <c r="K7896" s="166"/>
      <c r="Q7896" s="166"/>
      <c r="R7896" s="166"/>
      <c r="S7896" s="166"/>
    </row>
    <row r="7897" spans="3:19">
      <c r="C7897" s="165"/>
      <c r="D7897" s="165"/>
      <c r="E7897" s="166"/>
      <c r="I7897" s="165"/>
      <c r="J7897" s="165"/>
      <c r="K7897" s="166"/>
      <c r="Q7897" s="166"/>
      <c r="R7897" s="166"/>
      <c r="S7897" s="166"/>
    </row>
    <row r="7898" spans="3:19">
      <c r="C7898" s="165"/>
      <c r="D7898" s="165"/>
      <c r="E7898" s="166"/>
      <c r="I7898" s="165"/>
      <c r="J7898" s="165"/>
      <c r="K7898" s="166"/>
      <c r="Q7898" s="166"/>
      <c r="R7898" s="166"/>
      <c r="S7898" s="166"/>
    </row>
    <row r="7899" spans="3:19">
      <c r="C7899" s="165"/>
      <c r="D7899" s="165"/>
      <c r="E7899" s="166"/>
      <c r="I7899" s="165"/>
      <c r="K7899" s="166"/>
      <c r="Q7899" s="166"/>
      <c r="R7899" s="166"/>
      <c r="S7899" s="166"/>
    </row>
    <row r="7900" spans="3:19">
      <c r="C7900" s="165"/>
      <c r="D7900" s="165"/>
      <c r="E7900" s="166"/>
      <c r="I7900" s="165"/>
      <c r="J7900" s="165"/>
      <c r="K7900" s="166"/>
      <c r="Q7900" s="166"/>
      <c r="R7900" s="166"/>
      <c r="S7900" s="166"/>
    </row>
    <row r="7901" spans="3:19">
      <c r="C7901" s="165"/>
      <c r="D7901" s="165"/>
      <c r="E7901" s="166"/>
      <c r="I7901" s="165"/>
      <c r="J7901" s="165"/>
      <c r="K7901" s="166"/>
      <c r="Q7901" s="166"/>
      <c r="R7901" s="166"/>
      <c r="S7901" s="166"/>
    </row>
    <row r="7902" spans="3:19">
      <c r="C7902" s="165"/>
      <c r="D7902" s="165"/>
      <c r="E7902" s="166"/>
      <c r="I7902" s="165"/>
      <c r="J7902" s="165"/>
      <c r="K7902" s="166"/>
      <c r="Q7902" s="166"/>
      <c r="R7902" s="166"/>
      <c r="S7902" s="166"/>
    </row>
    <row r="7903" spans="3:19">
      <c r="C7903" s="165"/>
      <c r="D7903" s="165"/>
      <c r="E7903" s="166"/>
      <c r="I7903" s="165"/>
      <c r="J7903" s="165"/>
      <c r="K7903" s="166"/>
      <c r="Q7903" s="166"/>
      <c r="R7903" s="166"/>
      <c r="S7903" s="166"/>
    </row>
    <row r="7904" spans="3:19">
      <c r="C7904" s="165"/>
      <c r="D7904" s="165"/>
      <c r="E7904" s="166"/>
      <c r="I7904" s="165"/>
      <c r="J7904" s="165"/>
      <c r="K7904" s="166"/>
      <c r="Q7904" s="166"/>
      <c r="R7904" s="166"/>
      <c r="S7904" s="166"/>
    </row>
    <row r="7905" spans="3:19">
      <c r="C7905" s="165"/>
      <c r="D7905" s="165"/>
      <c r="E7905" s="166"/>
      <c r="I7905" s="165"/>
      <c r="J7905" s="165"/>
      <c r="K7905" s="166"/>
      <c r="Q7905" s="166"/>
      <c r="R7905" s="166"/>
      <c r="S7905" s="166"/>
    </row>
    <row r="7906" spans="3:19">
      <c r="C7906" s="165"/>
      <c r="D7906" s="165"/>
      <c r="E7906" s="166"/>
      <c r="I7906" s="165"/>
      <c r="J7906" s="165"/>
      <c r="K7906" s="166"/>
      <c r="Q7906" s="166"/>
      <c r="R7906" s="166"/>
      <c r="S7906" s="166"/>
    </row>
    <row r="7907" spans="3:19">
      <c r="C7907" s="165"/>
      <c r="D7907" s="165"/>
      <c r="E7907" s="166"/>
      <c r="I7907" s="165"/>
      <c r="J7907" s="165"/>
      <c r="K7907" s="166"/>
      <c r="Q7907" s="166"/>
      <c r="R7907" s="166"/>
      <c r="S7907" s="166"/>
    </row>
    <row r="7908" spans="3:19">
      <c r="C7908" s="165"/>
      <c r="D7908" s="165"/>
      <c r="E7908" s="166"/>
      <c r="I7908" s="165"/>
      <c r="J7908" s="165"/>
      <c r="K7908" s="166"/>
      <c r="Q7908" s="166"/>
      <c r="R7908" s="166"/>
      <c r="S7908" s="166"/>
    </row>
    <row r="7909" spans="3:19">
      <c r="C7909" s="165"/>
      <c r="D7909" s="165"/>
      <c r="E7909" s="166"/>
      <c r="I7909" s="165"/>
      <c r="J7909" s="165"/>
      <c r="K7909" s="166"/>
      <c r="Q7909" s="166"/>
      <c r="R7909" s="166"/>
      <c r="S7909" s="166"/>
    </row>
    <row r="7910" spans="3:19">
      <c r="C7910" s="165"/>
      <c r="D7910" s="165"/>
      <c r="E7910" s="166"/>
      <c r="I7910" s="165"/>
      <c r="J7910" s="165"/>
      <c r="K7910" s="166"/>
      <c r="Q7910" s="166"/>
      <c r="R7910" s="166"/>
      <c r="S7910" s="166"/>
    </row>
    <row r="7911" spans="3:19">
      <c r="C7911" s="165"/>
      <c r="D7911" s="165"/>
      <c r="E7911" s="166"/>
      <c r="I7911" s="165"/>
      <c r="J7911" s="165"/>
      <c r="K7911" s="166"/>
      <c r="Q7911" s="166"/>
      <c r="R7911" s="166"/>
      <c r="S7911" s="166"/>
    </row>
    <row r="7912" spans="3:19">
      <c r="C7912" s="165"/>
      <c r="D7912" s="165"/>
      <c r="E7912" s="166"/>
      <c r="I7912" s="165"/>
      <c r="J7912" s="165"/>
      <c r="K7912" s="166"/>
      <c r="Q7912" s="166"/>
      <c r="R7912" s="166"/>
      <c r="S7912" s="166"/>
    </row>
    <row r="7913" spans="3:19">
      <c r="C7913" s="165"/>
      <c r="D7913" s="165"/>
      <c r="E7913" s="166"/>
      <c r="I7913" s="165"/>
      <c r="J7913" s="165"/>
      <c r="K7913" s="166"/>
      <c r="Q7913" s="166"/>
      <c r="R7913" s="166"/>
      <c r="S7913" s="166"/>
    </row>
    <row r="7914" spans="3:19">
      <c r="C7914" s="165"/>
      <c r="D7914" s="165"/>
      <c r="E7914" s="166"/>
      <c r="I7914" s="165"/>
      <c r="J7914" s="165"/>
      <c r="K7914" s="166"/>
      <c r="Q7914" s="166"/>
      <c r="R7914" s="166"/>
      <c r="S7914" s="166"/>
    </row>
    <row r="7915" spans="3:19">
      <c r="C7915" s="165"/>
      <c r="D7915" s="165"/>
      <c r="E7915" s="166"/>
      <c r="I7915" s="165"/>
      <c r="J7915" s="165"/>
      <c r="K7915" s="166"/>
      <c r="Q7915" s="166"/>
      <c r="R7915" s="166"/>
      <c r="S7915" s="166"/>
    </row>
    <row r="7916" spans="3:19">
      <c r="C7916" s="165"/>
      <c r="D7916" s="165"/>
      <c r="E7916" s="166"/>
      <c r="I7916" s="165"/>
      <c r="J7916" s="165"/>
      <c r="K7916" s="166"/>
      <c r="Q7916" s="166"/>
      <c r="R7916" s="166"/>
      <c r="S7916" s="166"/>
    </row>
    <row r="7917" spans="3:19">
      <c r="C7917" s="165"/>
      <c r="D7917" s="165"/>
      <c r="E7917" s="166"/>
      <c r="I7917" s="165"/>
      <c r="J7917" s="165"/>
      <c r="K7917" s="166"/>
      <c r="Q7917" s="166"/>
      <c r="R7917" s="166"/>
      <c r="S7917" s="166"/>
    </row>
    <row r="7918" spans="3:19">
      <c r="C7918" s="165"/>
      <c r="D7918" s="165"/>
      <c r="E7918" s="166"/>
      <c r="I7918" s="165"/>
      <c r="J7918" s="165"/>
      <c r="K7918" s="166"/>
      <c r="Q7918" s="166"/>
      <c r="R7918" s="166"/>
      <c r="S7918" s="166"/>
    </row>
    <row r="7919" spans="3:19">
      <c r="C7919" s="165"/>
      <c r="D7919" s="165"/>
      <c r="E7919" s="166"/>
      <c r="I7919" s="165"/>
      <c r="J7919" s="165"/>
      <c r="K7919" s="166"/>
      <c r="Q7919" s="166"/>
      <c r="R7919" s="166"/>
      <c r="S7919" s="166"/>
    </row>
    <row r="7920" spans="3:19">
      <c r="C7920" s="165"/>
      <c r="D7920" s="165"/>
      <c r="E7920" s="166"/>
      <c r="I7920" s="165"/>
      <c r="J7920" s="165"/>
      <c r="K7920" s="166"/>
      <c r="Q7920" s="166"/>
      <c r="R7920" s="166"/>
      <c r="S7920" s="166"/>
    </row>
    <row r="7921" spans="3:19">
      <c r="C7921" s="165"/>
      <c r="D7921" s="165"/>
      <c r="E7921" s="166"/>
      <c r="I7921" s="165"/>
      <c r="J7921" s="165"/>
      <c r="K7921" s="166"/>
      <c r="Q7921" s="166"/>
      <c r="R7921" s="166"/>
      <c r="S7921" s="166"/>
    </row>
    <row r="7922" spans="3:19">
      <c r="C7922" s="165"/>
      <c r="D7922" s="165"/>
      <c r="E7922" s="166"/>
      <c r="I7922" s="165"/>
      <c r="J7922" s="165"/>
      <c r="K7922" s="166"/>
      <c r="Q7922" s="166"/>
      <c r="R7922" s="166"/>
      <c r="S7922" s="166"/>
    </row>
    <row r="7923" spans="3:19">
      <c r="C7923" s="165"/>
      <c r="D7923" s="165"/>
      <c r="E7923" s="166"/>
      <c r="I7923" s="165"/>
      <c r="J7923" s="165"/>
      <c r="K7923" s="166"/>
      <c r="Q7923" s="166"/>
      <c r="R7923" s="166"/>
      <c r="S7923" s="166"/>
    </row>
    <row r="7924" spans="3:19">
      <c r="C7924" s="165"/>
      <c r="D7924" s="165"/>
      <c r="E7924" s="166"/>
      <c r="I7924" s="165"/>
      <c r="J7924" s="165"/>
      <c r="K7924" s="166"/>
      <c r="Q7924" s="166"/>
      <c r="R7924" s="166"/>
      <c r="S7924" s="166"/>
    </row>
    <row r="7925" spans="3:19">
      <c r="C7925" s="165"/>
      <c r="D7925" s="165"/>
      <c r="E7925" s="166"/>
      <c r="I7925" s="165"/>
      <c r="J7925" s="165"/>
      <c r="K7925" s="166"/>
      <c r="Q7925" s="166"/>
      <c r="R7925" s="166"/>
      <c r="S7925" s="166"/>
    </row>
    <row r="7926" spans="3:19">
      <c r="C7926" s="165"/>
      <c r="D7926" s="165"/>
      <c r="E7926" s="166"/>
      <c r="I7926" s="165"/>
      <c r="J7926" s="165"/>
      <c r="K7926" s="166"/>
      <c r="Q7926" s="166"/>
      <c r="R7926" s="166"/>
      <c r="S7926" s="166"/>
    </row>
    <row r="7927" spans="3:19">
      <c r="C7927" s="165"/>
      <c r="D7927" s="165"/>
      <c r="E7927" s="166"/>
      <c r="I7927" s="165"/>
      <c r="J7927" s="165"/>
      <c r="K7927" s="166"/>
      <c r="Q7927" s="166"/>
      <c r="R7927" s="166"/>
      <c r="S7927" s="166"/>
    </row>
    <row r="7928" spans="3:19">
      <c r="C7928" s="165"/>
      <c r="D7928" s="165"/>
      <c r="E7928" s="166"/>
      <c r="I7928" s="165"/>
      <c r="J7928" s="165"/>
      <c r="K7928" s="166"/>
      <c r="Q7928" s="166"/>
      <c r="R7928" s="166"/>
      <c r="S7928" s="166"/>
    </row>
    <row r="7929" spans="3:19">
      <c r="C7929" s="165"/>
      <c r="D7929" s="165"/>
      <c r="E7929" s="166"/>
      <c r="I7929" s="165"/>
      <c r="J7929" s="165"/>
      <c r="K7929" s="166"/>
      <c r="Q7929" s="166"/>
      <c r="R7929" s="166"/>
      <c r="S7929" s="166"/>
    </row>
    <row r="7930" spans="3:19">
      <c r="C7930" s="165"/>
      <c r="D7930" s="165"/>
      <c r="E7930" s="166"/>
      <c r="I7930" s="165"/>
      <c r="J7930" s="165"/>
      <c r="K7930" s="166"/>
      <c r="Q7930" s="166"/>
      <c r="R7930" s="166"/>
      <c r="S7930" s="166"/>
    </row>
    <row r="7931" spans="3:19">
      <c r="C7931" s="165"/>
      <c r="D7931" s="165"/>
      <c r="E7931" s="166"/>
      <c r="I7931" s="165"/>
      <c r="J7931" s="165"/>
      <c r="K7931" s="166"/>
      <c r="Q7931" s="166"/>
      <c r="R7931" s="166"/>
      <c r="S7931" s="166"/>
    </row>
    <row r="7932" spans="3:19">
      <c r="C7932" s="165"/>
      <c r="D7932" s="165"/>
      <c r="E7932" s="166"/>
      <c r="I7932" s="165"/>
      <c r="J7932" s="165"/>
      <c r="K7932" s="166"/>
      <c r="Q7932" s="166"/>
      <c r="R7932" s="166"/>
      <c r="S7932" s="166"/>
    </row>
    <row r="7933" spans="3:19">
      <c r="C7933" s="165"/>
      <c r="D7933" s="165"/>
      <c r="E7933" s="166"/>
      <c r="J7933" s="165"/>
      <c r="K7933" s="166"/>
      <c r="Q7933" s="166"/>
      <c r="R7933" s="166"/>
      <c r="S7933" s="166"/>
    </row>
    <row r="7934" spans="3:19">
      <c r="C7934" s="165"/>
      <c r="D7934" s="165"/>
      <c r="E7934" s="166"/>
      <c r="I7934" s="165"/>
      <c r="J7934" s="165"/>
      <c r="K7934" s="166"/>
      <c r="Q7934" s="166"/>
      <c r="R7934" s="166"/>
      <c r="S7934" s="166"/>
    </row>
    <row r="7935" spans="3:19">
      <c r="C7935" s="165"/>
      <c r="D7935" s="165"/>
      <c r="E7935" s="166"/>
      <c r="I7935" s="165"/>
      <c r="J7935" s="165"/>
      <c r="K7935" s="166"/>
      <c r="Q7935" s="166"/>
      <c r="R7935" s="166"/>
      <c r="S7935" s="166"/>
    </row>
    <row r="7936" spans="3:19">
      <c r="C7936" s="165"/>
      <c r="D7936" s="165"/>
      <c r="E7936" s="166"/>
      <c r="I7936" s="165"/>
      <c r="J7936" s="165"/>
      <c r="K7936" s="166"/>
      <c r="Q7936" s="166"/>
      <c r="R7936" s="166"/>
      <c r="S7936" s="166"/>
    </row>
    <row r="7937" spans="3:19">
      <c r="C7937" s="165"/>
      <c r="D7937" s="165"/>
      <c r="E7937" s="166"/>
      <c r="I7937" s="165"/>
      <c r="J7937" s="165"/>
      <c r="K7937" s="166"/>
      <c r="Q7937" s="166"/>
      <c r="R7937" s="166"/>
      <c r="S7937" s="166"/>
    </row>
    <row r="7938" spans="3:19">
      <c r="C7938" s="165"/>
      <c r="D7938" s="165"/>
      <c r="E7938" s="166"/>
      <c r="I7938" s="165"/>
      <c r="J7938" s="165"/>
      <c r="K7938" s="166"/>
      <c r="Q7938" s="166"/>
      <c r="R7938" s="166"/>
      <c r="S7938" s="166"/>
    </row>
    <row r="7939" spans="3:19">
      <c r="C7939" s="165"/>
      <c r="D7939" s="165"/>
      <c r="E7939" s="166"/>
      <c r="I7939" s="165"/>
      <c r="J7939" s="165"/>
      <c r="K7939" s="166"/>
      <c r="Q7939" s="166"/>
      <c r="R7939" s="166"/>
      <c r="S7939" s="166"/>
    </row>
    <row r="7940" spans="3:19">
      <c r="C7940" s="165"/>
      <c r="D7940" s="165"/>
      <c r="E7940" s="166"/>
      <c r="I7940" s="165"/>
      <c r="J7940" s="165"/>
      <c r="K7940" s="166"/>
      <c r="Q7940" s="166"/>
      <c r="R7940" s="166"/>
      <c r="S7940" s="166"/>
    </row>
    <row r="7941" spans="3:19">
      <c r="C7941" s="165"/>
      <c r="D7941" s="165"/>
      <c r="E7941" s="166"/>
      <c r="I7941" s="165"/>
      <c r="J7941" s="165"/>
      <c r="K7941" s="166"/>
      <c r="Q7941" s="166"/>
      <c r="R7941" s="166"/>
      <c r="S7941" s="166"/>
    </row>
    <row r="7942" spans="3:19">
      <c r="C7942" s="165"/>
      <c r="D7942" s="165"/>
      <c r="E7942" s="166"/>
      <c r="I7942" s="165"/>
      <c r="J7942" s="165"/>
      <c r="K7942" s="166"/>
      <c r="Q7942" s="166"/>
      <c r="R7942" s="166"/>
      <c r="S7942" s="166"/>
    </row>
    <row r="7943" spans="3:19">
      <c r="C7943" s="165"/>
      <c r="D7943" s="165"/>
      <c r="E7943" s="166"/>
      <c r="I7943" s="165"/>
      <c r="J7943" s="165"/>
      <c r="K7943" s="166"/>
      <c r="Q7943" s="166"/>
      <c r="R7943" s="166"/>
      <c r="S7943" s="166"/>
    </row>
    <row r="7944" spans="3:19">
      <c r="C7944" s="165"/>
      <c r="D7944" s="165"/>
      <c r="E7944" s="166"/>
      <c r="I7944" s="165"/>
      <c r="J7944" s="165"/>
      <c r="K7944" s="166"/>
      <c r="Q7944" s="166"/>
      <c r="R7944" s="166"/>
      <c r="S7944" s="166"/>
    </row>
    <row r="7945" spans="3:19">
      <c r="C7945" s="165"/>
      <c r="D7945" s="165"/>
      <c r="E7945" s="166"/>
      <c r="I7945" s="165"/>
      <c r="J7945" s="165"/>
      <c r="K7945" s="166"/>
      <c r="Q7945" s="166"/>
      <c r="R7945" s="166"/>
      <c r="S7945" s="166"/>
    </row>
    <row r="7946" spans="3:19">
      <c r="C7946" s="165"/>
      <c r="D7946" s="165"/>
      <c r="E7946" s="166"/>
      <c r="I7946" s="165"/>
      <c r="J7946" s="165"/>
      <c r="K7946" s="166"/>
      <c r="Q7946" s="166"/>
      <c r="R7946" s="166"/>
      <c r="S7946" s="166"/>
    </row>
    <row r="7947" spans="3:19">
      <c r="C7947" s="165"/>
      <c r="D7947" s="165"/>
      <c r="E7947" s="166"/>
      <c r="I7947" s="165"/>
      <c r="J7947" s="165"/>
      <c r="K7947" s="166"/>
      <c r="Q7947" s="166"/>
      <c r="R7947" s="166"/>
      <c r="S7947" s="166"/>
    </row>
    <row r="7948" spans="3:19">
      <c r="C7948" s="165"/>
      <c r="D7948" s="165"/>
      <c r="E7948" s="166"/>
      <c r="I7948" s="165"/>
      <c r="J7948" s="165"/>
      <c r="K7948" s="166"/>
      <c r="Q7948" s="166"/>
      <c r="R7948" s="166"/>
      <c r="S7948" s="166"/>
    </row>
    <row r="7949" spans="3:19">
      <c r="C7949" s="165"/>
      <c r="D7949" s="165"/>
      <c r="E7949" s="166"/>
      <c r="I7949" s="165"/>
      <c r="J7949" s="165"/>
      <c r="K7949" s="166"/>
      <c r="Q7949" s="166"/>
      <c r="R7949" s="166"/>
      <c r="S7949" s="166"/>
    </row>
    <row r="7950" spans="3:19">
      <c r="C7950" s="165"/>
      <c r="D7950" s="165"/>
      <c r="E7950" s="166"/>
      <c r="I7950" s="165"/>
      <c r="J7950" s="165"/>
      <c r="K7950" s="166"/>
      <c r="Q7950" s="166"/>
      <c r="R7950" s="166"/>
      <c r="S7950" s="166"/>
    </row>
    <row r="7951" spans="3:19">
      <c r="C7951" s="165"/>
      <c r="D7951" s="165"/>
      <c r="E7951" s="166"/>
      <c r="I7951" s="165"/>
      <c r="J7951" s="165"/>
      <c r="K7951" s="166"/>
      <c r="Q7951" s="166"/>
      <c r="R7951" s="166"/>
      <c r="S7951" s="166"/>
    </row>
    <row r="7952" spans="3:19">
      <c r="C7952" s="165"/>
      <c r="D7952" s="165"/>
      <c r="E7952" s="166"/>
      <c r="I7952" s="165"/>
      <c r="J7952" s="165"/>
      <c r="K7952" s="166"/>
      <c r="Q7952" s="166"/>
      <c r="R7952" s="166"/>
      <c r="S7952" s="166"/>
    </row>
    <row r="7953" spans="3:19">
      <c r="C7953" s="165"/>
      <c r="D7953" s="165"/>
      <c r="E7953" s="166"/>
      <c r="I7953" s="165"/>
      <c r="J7953" s="165"/>
      <c r="K7953" s="166"/>
      <c r="Q7953" s="166"/>
      <c r="R7953" s="166"/>
      <c r="S7953" s="166"/>
    </row>
    <row r="7954" spans="3:19">
      <c r="C7954" s="165"/>
      <c r="D7954" s="165"/>
      <c r="E7954" s="166"/>
      <c r="I7954" s="165"/>
      <c r="J7954" s="165"/>
      <c r="K7954" s="166"/>
      <c r="Q7954" s="166"/>
      <c r="R7954" s="166"/>
      <c r="S7954" s="166"/>
    </row>
    <row r="7955" spans="3:19">
      <c r="C7955" s="165"/>
      <c r="D7955" s="165"/>
      <c r="E7955" s="166"/>
      <c r="I7955" s="165"/>
      <c r="J7955" s="165"/>
      <c r="K7955" s="166"/>
      <c r="Q7955" s="166"/>
      <c r="R7955" s="166"/>
      <c r="S7955" s="166"/>
    </row>
    <row r="7956" spans="3:19">
      <c r="C7956" s="165"/>
      <c r="D7956" s="165"/>
      <c r="E7956" s="166"/>
      <c r="I7956" s="165"/>
      <c r="J7956" s="165"/>
      <c r="K7956" s="166"/>
      <c r="Q7956" s="166"/>
      <c r="R7956" s="166"/>
      <c r="S7956" s="166"/>
    </row>
    <row r="7957" spans="3:19">
      <c r="C7957" s="165"/>
      <c r="D7957" s="165"/>
      <c r="E7957" s="166"/>
      <c r="I7957" s="165"/>
      <c r="J7957" s="165"/>
      <c r="K7957" s="166"/>
      <c r="Q7957" s="166"/>
      <c r="R7957" s="166"/>
      <c r="S7957" s="166"/>
    </row>
    <row r="7958" spans="3:19">
      <c r="C7958" s="165"/>
      <c r="D7958" s="165"/>
      <c r="E7958" s="166"/>
      <c r="I7958" s="165"/>
      <c r="J7958" s="165"/>
      <c r="K7958" s="166"/>
      <c r="Q7958" s="166"/>
      <c r="R7958" s="166"/>
      <c r="S7958" s="166"/>
    </row>
    <row r="7959" spans="3:19">
      <c r="C7959" s="165"/>
      <c r="D7959" s="165"/>
      <c r="E7959" s="166"/>
      <c r="I7959" s="165"/>
      <c r="J7959" s="165"/>
      <c r="K7959" s="166"/>
      <c r="Q7959" s="166"/>
      <c r="R7959" s="166"/>
      <c r="S7959" s="166"/>
    </row>
    <row r="7960" spans="3:19">
      <c r="C7960" s="165"/>
      <c r="D7960" s="165"/>
      <c r="E7960" s="166"/>
      <c r="I7960" s="165"/>
      <c r="J7960" s="165"/>
      <c r="K7960" s="166"/>
      <c r="Q7960" s="166"/>
      <c r="R7960" s="166"/>
      <c r="S7960" s="166"/>
    </row>
    <row r="7961" spans="3:19">
      <c r="C7961" s="165"/>
      <c r="D7961" s="165"/>
      <c r="E7961" s="166"/>
      <c r="I7961" s="165"/>
      <c r="J7961" s="165"/>
      <c r="K7961" s="166"/>
      <c r="Q7961" s="166"/>
      <c r="R7961" s="166"/>
      <c r="S7961" s="166"/>
    </row>
    <row r="7962" spans="3:19">
      <c r="C7962" s="165"/>
      <c r="D7962" s="165"/>
      <c r="E7962" s="166"/>
      <c r="I7962" s="165"/>
      <c r="J7962" s="165"/>
      <c r="K7962" s="166"/>
      <c r="Q7962" s="166"/>
      <c r="R7962" s="166"/>
      <c r="S7962" s="166"/>
    </row>
    <row r="7963" spans="3:19">
      <c r="C7963" s="165"/>
      <c r="D7963" s="165"/>
      <c r="E7963" s="166"/>
      <c r="I7963" s="165"/>
      <c r="J7963" s="165"/>
      <c r="K7963" s="166"/>
      <c r="Q7963" s="166"/>
      <c r="R7963" s="166"/>
      <c r="S7963" s="166"/>
    </row>
    <row r="7964" spans="3:19">
      <c r="C7964" s="165"/>
      <c r="D7964" s="165"/>
      <c r="E7964" s="166"/>
      <c r="I7964" s="165"/>
      <c r="J7964" s="165"/>
      <c r="K7964" s="166"/>
      <c r="Q7964" s="166"/>
      <c r="R7964" s="166"/>
      <c r="S7964" s="166"/>
    </row>
    <row r="7965" spans="3:19">
      <c r="C7965" s="165"/>
      <c r="D7965" s="165"/>
      <c r="E7965" s="166"/>
      <c r="I7965" s="165"/>
      <c r="J7965" s="165"/>
      <c r="K7965" s="166"/>
      <c r="Q7965" s="166"/>
      <c r="R7965" s="166"/>
      <c r="S7965" s="166"/>
    </row>
    <row r="7966" spans="3:19">
      <c r="C7966" s="165"/>
      <c r="D7966" s="165"/>
      <c r="E7966" s="166"/>
      <c r="I7966" s="165"/>
      <c r="J7966" s="165"/>
      <c r="K7966" s="166"/>
      <c r="Q7966" s="166"/>
      <c r="R7966" s="166"/>
      <c r="S7966" s="166"/>
    </row>
    <row r="7967" spans="3:19">
      <c r="C7967" s="165"/>
      <c r="D7967" s="165"/>
      <c r="E7967" s="166"/>
      <c r="I7967" s="165"/>
      <c r="J7967" s="165"/>
      <c r="K7967" s="166"/>
      <c r="Q7967" s="166"/>
      <c r="R7967" s="166"/>
      <c r="S7967" s="166"/>
    </row>
    <row r="7968" spans="3:19">
      <c r="C7968" s="165"/>
      <c r="D7968" s="165"/>
      <c r="E7968" s="166"/>
      <c r="I7968" s="165"/>
      <c r="J7968" s="165"/>
      <c r="K7968" s="166"/>
      <c r="Q7968" s="166"/>
      <c r="R7968" s="166"/>
      <c r="S7968" s="166"/>
    </row>
    <row r="7969" spans="3:19">
      <c r="C7969" s="165"/>
      <c r="D7969" s="165"/>
      <c r="E7969" s="166"/>
      <c r="I7969" s="165"/>
      <c r="J7969" s="165"/>
      <c r="K7969" s="166"/>
      <c r="Q7969" s="166"/>
      <c r="R7969" s="166"/>
      <c r="S7969" s="166"/>
    </row>
    <row r="7970" spans="3:19">
      <c r="C7970" s="165"/>
      <c r="D7970" s="165"/>
      <c r="E7970" s="166"/>
      <c r="I7970" s="165"/>
      <c r="J7970" s="165"/>
      <c r="K7970" s="166"/>
      <c r="Q7970" s="166"/>
      <c r="R7970" s="166"/>
      <c r="S7970" s="166"/>
    </row>
    <row r="7971" spans="3:19">
      <c r="C7971" s="165"/>
      <c r="D7971" s="165"/>
      <c r="E7971" s="166"/>
      <c r="I7971" s="165"/>
      <c r="J7971" s="165"/>
      <c r="K7971" s="166"/>
      <c r="Q7971" s="166"/>
      <c r="R7971" s="166"/>
      <c r="S7971" s="166"/>
    </row>
    <row r="7972" spans="3:19">
      <c r="C7972" s="165"/>
      <c r="D7972" s="165"/>
      <c r="E7972" s="166"/>
      <c r="I7972" s="165"/>
      <c r="J7972" s="165"/>
      <c r="K7972" s="166"/>
      <c r="Q7972" s="166"/>
      <c r="R7972" s="166"/>
      <c r="S7972" s="166"/>
    </row>
    <row r="7973" spans="3:19">
      <c r="C7973" s="165"/>
      <c r="D7973" s="165"/>
      <c r="E7973" s="166"/>
      <c r="I7973" s="165"/>
      <c r="J7973" s="165"/>
      <c r="K7973" s="166"/>
      <c r="Q7973" s="166"/>
      <c r="R7973" s="166"/>
      <c r="S7973" s="166"/>
    </row>
    <row r="7974" spans="3:19">
      <c r="C7974" s="165"/>
      <c r="D7974" s="165"/>
      <c r="E7974" s="166"/>
      <c r="I7974" s="165"/>
      <c r="J7974" s="165"/>
      <c r="K7974" s="166"/>
      <c r="Q7974" s="166"/>
      <c r="R7974" s="166"/>
      <c r="S7974" s="166"/>
    </row>
    <row r="7975" spans="3:19">
      <c r="C7975" s="165"/>
      <c r="D7975" s="165"/>
      <c r="E7975" s="166"/>
      <c r="I7975" s="165"/>
      <c r="J7975" s="165"/>
      <c r="K7975" s="166"/>
      <c r="Q7975" s="166"/>
      <c r="R7975" s="166"/>
      <c r="S7975" s="166"/>
    </row>
    <row r="7976" spans="3:19">
      <c r="C7976" s="165"/>
      <c r="D7976" s="165"/>
      <c r="E7976" s="166"/>
      <c r="I7976" s="165"/>
      <c r="J7976" s="165"/>
      <c r="K7976" s="166"/>
      <c r="Q7976" s="166"/>
      <c r="R7976" s="166"/>
      <c r="S7976" s="166"/>
    </row>
    <row r="7977" spans="3:19">
      <c r="C7977" s="165"/>
      <c r="D7977" s="165"/>
      <c r="E7977" s="166"/>
      <c r="I7977" s="165"/>
      <c r="J7977" s="165"/>
      <c r="K7977" s="166"/>
      <c r="Q7977" s="166"/>
      <c r="R7977" s="166"/>
      <c r="S7977" s="166"/>
    </row>
    <row r="7978" spans="3:19">
      <c r="C7978" s="165"/>
      <c r="D7978" s="165"/>
      <c r="E7978" s="166"/>
      <c r="I7978" s="165"/>
      <c r="J7978" s="165"/>
      <c r="K7978" s="166"/>
      <c r="Q7978" s="166"/>
      <c r="R7978" s="166"/>
      <c r="S7978" s="166"/>
    </row>
    <row r="7979" spans="3:19">
      <c r="C7979" s="165"/>
      <c r="D7979" s="165"/>
      <c r="E7979" s="166"/>
      <c r="I7979" s="165"/>
      <c r="J7979" s="165"/>
      <c r="K7979" s="166"/>
      <c r="Q7979" s="166"/>
      <c r="R7979" s="166"/>
      <c r="S7979" s="166"/>
    </row>
    <row r="7980" spans="3:19">
      <c r="C7980" s="165"/>
      <c r="D7980" s="165"/>
      <c r="E7980" s="166"/>
      <c r="I7980" s="165"/>
      <c r="J7980" s="165"/>
      <c r="K7980" s="166"/>
      <c r="Q7980" s="166"/>
      <c r="R7980" s="166"/>
      <c r="S7980" s="166"/>
    </row>
    <row r="7981" spans="3:19">
      <c r="C7981" s="165"/>
      <c r="D7981" s="165"/>
      <c r="E7981" s="166"/>
      <c r="I7981" s="165"/>
      <c r="J7981" s="165"/>
      <c r="K7981" s="166"/>
      <c r="Q7981" s="166"/>
      <c r="R7981" s="166"/>
      <c r="S7981" s="166"/>
    </row>
    <row r="7982" spans="3:19">
      <c r="C7982" s="165"/>
      <c r="D7982" s="165"/>
      <c r="E7982" s="166"/>
      <c r="I7982" s="165"/>
      <c r="J7982" s="165"/>
      <c r="K7982" s="166"/>
      <c r="Q7982" s="166"/>
      <c r="R7982" s="166"/>
      <c r="S7982" s="166"/>
    </row>
    <row r="7983" spans="3:19">
      <c r="C7983" s="165"/>
      <c r="D7983" s="165"/>
      <c r="E7983" s="166"/>
      <c r="I7983" s="165"/>
      <c r="J7983" s="165"/>
      <c r="K7983" s="166"/>
      <c r="Q7983" s="166"/>
      <c r="R7983" s="166"/>
      <c r="S7983" s="166"/>
    </row>
    <row r="7984" spans="3:19">
      <c r="C7984" s="165"/>
      <c r="D7984" s="165"/>
      <c r="E7984" s="166"/>
      <c r="I7984" s="165"/>
      <c r="J7984" s="165"/>
      <c r="K7984" s="166"/>
      <c r="Q7984" s="166"/>
      <c r="R7984" s="166"/>
      <c r="S7984" s="166"/>
    </row>
    <row r="7985" spans="3:19">
      <c r="C7985" s="165"/>
      <c r="D7985" s="165"/>
      <c r="E7985" s="166"/>
      <c r="I7985" s="165"/>
      <c r="J7985" s="165"/>
      <c r="K7985" s="166"/>
      <c r="Q7985" s="166"/>
      <c r="R7985" s="166"/>
      <c r="S7985" s="166"/>
    </row>
    <row r="7986" spans="3:19">
      <c r="C7986" s="165"/>
      <c r="D7986" s="165"/>
      <c r="E7986" s="166"/>
      <c r="I7986" s="165"/>
      <c r="J7986" s="165"/>
      <c r="K7986" s="166"/>
      <c r="Q7986" s="166"/>
      <c r="R7986" s="166"/>
      <c r="S7986" s="166"/>
    </row>
    <row r="7987" spans="3:19">
      <c r="C7987" s="165"/>
      <c r="D7987" s="165"/>
      <c r="E7987" s="166"/>
      <c r="I7987" s="165"/>
      <c r="J7987" s="165"/>
      <c r="K7987" s="166"/>
      <c r="Q7987" s="166"/>
      <c r="R7987" s="166"/>
      <c r="S7987" s="166"/>
    </row>
    <row r="7988" spans="3:19">
      <c r="C7988" s="165"/>
      <c r="D7988" s="165"/>
      <c r="E7988" s="166"/>
      <c r="I7988" s="165"/>
      <c r="J7988" s="165"/>
      <c r="K7988" s="166"/>
      <c r="Q7988" s="166"/>
      <c r="R7988" s="166"/>
      <c r="S7988" s="166"/>
    </row>
    <row r="7989" spans="3:19">
      <c r="C7989" s="165"/>
      <c r="D7989" s="165"/>
      <c r="E7989" s="166"/>
      <c r="I7989" s="165"/>
      <c r="J7989" s="165"/>
      <c r="K7989" s="166"/>
      <c r="Q7989" s="166"/>
      <c r="R7989" s="166"/>
      <c r="S7989" s="166"/>
    </row>
    <row r="7990" spans="3:19">
      <c r="C7990" s="165"/>
      <c r="D7990" s="165"/>
      <c r="E7990" s="166"/>
      <c r="I7990" s="165"/>
      <c r="J7990" s="165"/>
      <c r="K7990" s="166"/>
      <c r="Q7990" s="166"/>
      <c r="R7990" s="166"/>
      <c r="S7990" s="166"/>
    </row>
    <row r="7991" spans="3:19">
      <c r="C7991" s="165"/>
      <c r="D7991" s="165"/>
      <c r="E7991" s="166"/>
      <c r="I7991" s="165"/>
      <c r="J7991" s="165"/>
      <c r="K7991" s="166"/>
      <c r="Q7991" s="166"/>
      <c r="R7991" s="166"/>
      <c r="S7991" s="166"/>
    </row>
    <row r="7992" spans="3:19">
      <c r="C7992" s="165"/>
      <c r="D7992" s="165"/>
      <c r="E7992" s="166"/>
      <c r="I7992" s="165"/>
      <c r="J7992" s="165"/>
      <c r="K7992" s="166"/>
      <c r="Q7992" s="166"/>
      <c r="R7992" s="166"/>
      <c r="S7992" s="166"/>
    </row>
    <row r="7993" spans="3:19">
      <c r="C7993" s="165"/>
      <c r="D7993" s="165"/>
      <c r="E7993" s="166"/>
      <c r="I7993" s="165"/>
      <c r="J7993" s="165"/>
      <c r="K7993" s="166"/>
      <c r="Q7993" s="166"/>
      <c r="R7993" s="166"/>
      <c r="S7993" s="166"/>
    </row>
    <row r="7994" spans="3:19">
      <c r="C7994" s="165"/>
      <c r="D7994" s="165"/>
      <c r="E7994" s="166"/>
      <c r="I7994" s="165"/>
      <c r="J7994" s="165"/>
      <c r="K7994" s="166"/>
      <c r="Q7994" s="166"/>
      <c r="R7994" s="166"/>
      <c r="S7994" s="166"/>
    </row>
    <row r="7995" spans="3:19">
      <c r="C7995" s="165"/>
      <c r="D7995" s="165"/>
      <c r="E7995" s="166"/>
      <c r="I7995" s="165"/>
      <c r="J7995" s="165"/>
      <c r="K7995" s="166"/>
      <c r="Q7995" s="166"/>
      <c r="R7995" s="166"/>
      <c r="S7995" s="166"/>
    </row>
    <row r="7996" spans="3:19">
      <c r="C7996" s="165"/>
      <c r="D7996" s="165"/>
      <c r="E7996" s="166"/>
      <c r="I7996" s="165"/>
      <c r="J7996" s="165"/>
      <c r="K7996" s="166"/>
      <c r="Q7996" s="166"/>
      <c r="R7996" s="166"/>
      <c r="S7996" s="166"/>
    </row>
    <row r="7997" spans="3:19">
      <c r="C7997" s="165"/>
      <c r="D7997" s="165"/>
      <c r="E7997" s="166"/>
      <c r="I7997" s="165"/>
      <c r="J7997" s="165"/>
      <c r="K7997" s="166"/>
      <c r="Q7997" s="166"/>
      <c r="R7997" s="166"/>
      <c r="S7997" s="166"/>
    </row>
    <row r="7998" spans="3:19">
      <c r="C7998" s="165"/>
      <c r="D7998" s="165"/>
      <c r="E7998" s="166"/>
      <c r="I7998" s="165"/>
      <c r="J7998" s="165"/>
      <c r="K7998" s="166"/>
      <c r="Q7998" s="166"/>
      <c r="R7998" s="166"/>
      <c r="S7998" s="166"/>
    </row>
    <row r="7999" spans="3:19">
      <c r="C7999" s="165"/>
      <c r="D7999" s="165"/>
      <c r="E7999" s="166"/>
      <c r="I7999" s="165"/>
      <c r="J7999" s="165"/>
      <c r="K7999" s="166"/>
      <c r="Q7999" s="166"/>
      <c r="R7999" s="166"/>
      <c r="S7999" s="166"/>
    </row>
    <row r="8000" spans="3:19">
      <c r="C8000" s="165"/>
      <c r="D8000" s="165"/>
      <c r="E8000" s="166"/>
      <c r="I8000" s="165"/>
      <c r="J8000" s="165"/>
      <c r="K8000" s="166"/>
      <c r="Q8000" s="166"/>
      <c r="R8000" s="166"/>
      <c r="S8000" s="166"/>
    </row>
    <row r="8001" spans="3:19">
      <c r="C8001" s="165"/>
      <c r="D8001" s="165"/>
      <c r="E8001" s="166"/>
      <c r="I8001" s="165"/>
      <c r="J8001" s="165"/>
      <c r="K8001" s="166"/>
      <c r="Q8001" s="166"/>
      <c r="R8001" s="166"/>
      <c r="S8001" s="166"/>
    </row>
    <row r="8002" spans="3:19">
      <c r="C8002" s="165"/>
      <c r="D8002" s="165"/>
      <c r="E8002" s="166"/>
      <c r="I8002" s="165"/>
      <c r="J8002" s="165"/>
      <c r="K8002" s="166"/>
      <c r="Q8002" s="166"/>
      <c r="R8002" s="166"/>
      <c r="S8002" s="166"/>
    </row>
    <row r="8003" spans="3:19">
      <c r="C8003" s="165"/>
      <c r="D8003" s="165"/>
      <c r="E8003" s="166"/>
      <c r="I8003" s="165"/>
      <c r="J8003" s="165"/>
      <c r="K8003" s="166"/>
      <c r="Q8003" s="166"/>
      <c r="R8003" s="166"/>
      <c r="S8003" s="166"/>
    </row>
    <row r="8004" spans="3:19">
      <c r="C8004" s="165"/>
      <c r="D8004" s="165"/>
      <c r="E8004" s="166"/>
      <c r="I8004" s="165"/>
      <c r="J8004" s="165"/>
      <c r="K8004" s="166"/>
      <c r="Q8004" s="166"/>
      <c r="R8004" s="166"/>
      <c r="S8004" s="166"/>
    </row>
    <row r="8005" spans="3:19">
      <c r="C8005" s="165"/>
      <c r="D8005" s="165"/>
      <c r="E8005" s="166"/>
      <c r="I8005" s="165"/>
      <c r="J8005" s="165"/>
      <c r="K8005" s="166"/>
      <c r="Q8005" s="166"/>
      <c r="R8005" s="166"/>
      <c r="S8005" s="166"/>
    </row>
    <row r="8006" spans="3:19">
      <c r="C8006" s="165"/>
      <c r="D8006" s="165"/>
      <c r="E8006" s="166"/>
      <c r="I8006" s="165"/>
      <c r="J8006" s="165"/>
      <c r="K8006" s="166"/>
      <c r="Q8006" s="166"/>
      <c r="R8006" s="166"/>
      <c r="S8006" s="166"/>
    </row>
    <row r="8007" spans="3:19">
      <c r="C8007" s="165"/>
      <c r="D8007" s="165"/>
      <c r="E8007" s="166"/>
      <c r="I8007" s="165"/>
      <c r="K8007" s="166"/>
      <c r="Q8007" s="166"/>
      <c r="R8007" s="166"/>
      <c r="S8007" s="166"/>
    </row>
    <row r="8008" spans="3:19">
      <c r="C8008" s="165"/>
      <c r="D8008" s="165"/>
      <c r="E8008" s="166"/>
      <c r="I8008" s="165"/>
      <c r="J8008" s="165"/>
      <c r="K8008" s="166"/>
      <c r="Q8008" s="166"/>
      <c r="R8008" s="166"/>
      <c r="S8008" s="166"/>
    </row>
    <row r="8009" spans="3:19">
      <c r="C8009" s="165"/>
      <c r="D8009" s="165"/>
      <c r="E8009" s="166"/>
      <c r="I8009" s="165"/>
      <c r="J8009" s="165"/>
      <c r="K8009" s="166"/>
      <c r="Q8009" s="166"/>
      <c r="R8009" s="166"/>
      <c r="S8009" s="166"/>
    </row>
    <row r="8010" spans="3:19">
      <c r="C8010" s="165"/>
      <c r="D8010" s="165"/>
      <c r="E8010" s="166"/>
      <c r="I8010" s="165"/>
      <c r="J8010" s="165"/>
      <c r="K8010" s="166"/>
      <c r="Q8010" s="166"/>
      <c r="R8010" s="166"/>
      <c r="S8010" s="166"/>
    </row>
    <row r="8011" spans="3:19">
      <c r="C8011" s="165"/>
      <c r="D8011" s="165"/>
      <c r="E8011" s="166"/>
      <c r="I8011" s="165"/>
      <c r="J8011" s="165"/>
      <c r="K8011" s="166"/>
      <c r="Q8011" s="166"/>
      <c r="R8011" s="166"/>
      <c r="S8011" s="166"/>
    </row>
    <row r="8012" spans="3:19">
      <c r="C8012" s="165"/>
      <c r="D8012" s="165"/>
      <c r="E8012" s="166"/>
      <c r="I8012" s="165"/>
      <c r="J8012" s="165"/>
      <c r="K8012" s="166"/>
      <c r="Q8012" s="166"/>
      <c r="R8012" s="166"/>
      <c r="S8012" s="166"/>
    </row>
    <row r="8013" spans="3:19">
      <c r="C8013" s="165"/>
      <c r="D8013" s="165"/>
      <c r="E8013" s="166"/>
      <c r="I8013" s="165"/>
      <c r="J8013" s="165"/>
      <c r="K8013" s="166"/>
      <c r="Q8013" s="166"/>
      <c r="R8013" s="166"/>
      <c r="S8013" s="166"/>
    </row>
    <row r="8014" spans="3:19">
      <c r="C8014" s="165"/>
      <c r="D8014" s="165"/>
      <c r="E8014" s="166"/>
      <c r="I8014" s="165"/>
      <c r="J8014" s="165"/>
      <c r="K8014" s="166"/>
      <c r="Q8014" s="166"/>
      <c r="R8014" s="166"/>
      <c r="S8014" s="166"/>
    </row>
    <row r="8015" spans="3:19">
      <c r="C8015" s="165"/>
      <c r="D8015" s="165"/>
      <c r="E8015" s="166"/>
      <c r="I8015" s="165"/>
      <c r="J8015" s="165"/>
      <c r="K8015" s="166"/>
      <c r="Q8015" s="166"/>
      <c r="R8015" s="166"/>
      <c r="S8015" s="166"/>
    </row>
    <row r="8016" spans="3:19">
      <c r="C8016" s="165"/>
      <c r="D8016" s="165"/>
      <c r="E8016" s="166"/>
      <c r="I8016" s="165"/>
      <c r="J8016" s="165"/>
      <c r="K8016" s="166"/>
      <c r="Q8016" s="166"/>
      <c r="R8016" s="166"/>
      <c r="S8016" s="166"/>
    </row>
    <row r="8017" spans="3:19">
      <c r="C8017" s="165"/>
      <c r="D8017" s="165"/>
      <c r="E8017" s="166"/>
      <c r="I8017" s="165"/>
      <c r="J8017" s="165"/>
      <c r="K8017" s="166"/>
      <c r="Q8017" s="166"/>
      <c r="R8017" s="166"/>
      <c r="S8017" s="166"/>
    </row>
    <row r="8018" spans="3:19">
      <c r="C8018" s="165"/>
      <c r="D8018" s="165"/>
      <c r="E8018" s="166"/>
      <c r="I8018" s="165"/>
      <c r="J8018" s="165"/>
      <c r="K8018" s="166"/>
      <c r="Q8018" s="166"/>
      <c r="R8018" s="166"/>
      <c r="S8018" s="166"/>
    </row>
    <row r="8019" spans="3:19">
      <c r="C8019" s="165"/>
      <c r="D8019" s="165"/>
      <c r="E8019" s="166"/>
      <c r="I8019" s="165"/>
      <c r="J8019" s="165"/>
      <c r="K8019" s="166"/>
      <c r="Q8019" s="166"/>
      <c r="R8019" s="166"/>
      <c r="S8019" s="166"/>
    </row>
    <row r="8020" spans="3:19">
      <c r="C8020" s="165"/>
      <c r="D8020" s="165"/>
      <c r="E8020" s="166"/>
      <c r="I8020" s="165"/>
      <c r="J8020" s="165"/>
      <c r="K8020" s="166"/>
      <c r="Q8020" s="166"/>
      <c r="R8020" s="166"/>
      <c r="S8020" s="166"/>
    </row>
    <row r="8021" spans="3:19">
      <c r="C8021" s="165"/>
      <c r="D8021" s="165"/>
      <c r="E8021" s="166"/>
      <c r="I8021" s="165"/>
      <c r="J8021" s="165"/>
      <c r="K8021" s="166"/>
      <c r="Q8021" s="166"/>
      <c r="R8021" s="166"/>
      <c r="S8021" s="166"/>
    </row>
    <row r="8022" spans="3:19">
      <c r="C8022" s="165"/>
      <c r="D8022" s="165"/>
      <c r="E8022" s="166"/>
      <c r="I8022" s="165"/>
      <c r="J8022" s="165"/>
      <c r="K8022" s="166"/>
      <c r="Q8022" s="166"/>
      <c r="R8022" s="166"/>
      <c r="S8022" s="166"/>
    </row>
    <row r="8023" spans="3:19">
      <c r="C8023" s="165"/>
      <c r="D8023" s="165"/>
      <c r="E8023" s="166"/>
      <c r="I8023" s="165"/>
      <c r="J8023" s="165"/>
      <c r="K8023" s="166"/>
      <c r="Q8023" s="166"/>
      <c r="R8023" s="166"/>
      <c r="S8023" s="166"/>
    </row>
    <row r="8024" spans="3:19">
      <c r="C8024" s="165"/>
      <c r="D8024" s="165"/>
      <c r="E8024" s="166"/>
      <c r="I8024" s="165"/>
      <c r="J8024" s="165"/>
      <c r="K8024" s="166"/>
      <c r="Q8024" s="166"/>
      <c r="R8024" s="166"/>
      <c r="S8024" s="166"/>
    </row>
    <row r="8025" spans="3:19">
      <c r="C8025" s="165"/>
      <c r="D8025" s="165"/>
      <c r="E8025" s="166"/>
      <c r="I8025" s="165"/>
      <c r="J8025" s="165"/>
      <c r="K8025" s="166"/>
      <c r="Q8025" s="166"/>
      <c r="R8025" s="166"/>
      <c r="S8025" s="166"/>
    </row>
    <row r="8026" spans="3:19">
      <c r="C8026" s="165"/>
      <c r="D8026" s="165"/>
      <c r="E8026" s="166"/>
      <c r="I8026" s="165"/>
      <c r="K8026" s="166"/>
      <c r="Q8026" s="166"/>
      <c r="R8026" s="166"/>
      <c r="S8026" s="166"/>
    </row>
    <row r="8027" spans="3:19">
      <c r="C8027" s="165"/>
      <c r="D8027" s="165"/>
      <c r="E8027" s="166"/>
      <c r="I8027" s="165"/>
      <c r="J8027" s="165"/>
      <c r="K8027" s="166"/>
      <c r="Q8027" s="166"/>
      <c r="R8027" s="166"/>
      <c r="S8027" s="166"/>
    </row>
    <row r="8028" spans="3:19">
      <c r="C8028" s="165"/>
      <c r="D8028" s="165"/>
      <c r="E8028" s="166"/>
      <c r="I8028" s="165"/>
      <c r="J8028" s="165"/>
      <c r="K8028" s="166"/>
      <c r="Q8028" s="166"/>
      <c r="R8028" s="166"/>
      <c r="S8028" s="166"/>
    </row>
    <row r="8029" spans="3:19">
      <c r="C8029" s="165"/>
      <c r="D8029" s="165"/>
      <c r="E8029" s="166"/>
      <c r="I8029" s="165"/>
      <c r="J8029" s="165"/>
      <c r="K8029" s="166"/>
      <c r="Q8029" s="166"/>
      <c r="R8029" s="166"/>
      <c r="S8029" s="166"/>
    </row>
    <row r="8030" spans="3:19">
      <c r="C8030" s="165"/>
      <c r="D8030" s="165"/>
      <c r="E8030" s="166"/>
      <c r="I8030" s="165"/>
      <c r="J8030" s="165"/>
      <c r="K8030" s="166"/>
      <c r="Q8030" s="166"/>
      <c r="R8030" s="166"/>
      <c r="S8030" s="166"/>
    </row>
    <row r="8031" spans="3:19">
      <c r="C8031" s="165"/>
      <c r="D8031" s="165"/>
      <c r="E8031" s="166"/>
      <c r="I8031" s="165"/>
      <c r="J8031" s="165"/>
      <c r="K8031" s="166"/>
      <c r="Q8031" s="166"/>
      <c r="R8031" s="166"/>
      <c r="S8031" s="166"/>
    </row>
    <row r="8032" spans="3:19">
      <c r="C8032" s="165"/>
      <c r="D8032" s="165"/>
      <c r="E8032" s="166"/>
      <c r="I8032" s="165"/>
      <c r="J8032" s="165"/>
      <c r="K8032" s="166"/>
      <c r="Q8032" s="166"/>
      <c r="R8032" s="166"/>
      <c r="S8032" s="166"/>
    </row>
    <row r="8033" spans="3:19">
      <c r="C8033" s="165"/>
      <c r="D8033" s="165"/>
      <c r="E8033" s="166"/>
      <c r="I8033" s="165"/>
      <c r="J8033" s="165"/>
      <c r="K8033" s="166"/>
      <c r="Q8033" s="166"/>
      <c r="R8033" s="166"/>
      <c r="S8033" s="166"/>
    </row>
    <row r="8034" spans="3:19">
      <c r="C8034" s="165"/>
      <c r="D8034" s="165"/>
      <c r="E8034" s="166"/>
      <c r="I8034" s="165"/>
      <c r="J8034" s="165"/>
      <c r="K8034" s="166"/>
      <c r="Q8034" s="166"/>
      <c r="R8034" s="166"/>
      <c r="S8034" s="166"/>
    </row>
    <row r="8035" spans="3:19">
      <c r="C8035" s="165"/>
      <c r="D8035" s="165"/>
      <c r="E8035" s="166"/>
      <c r="I8035" s="165"/>
      <c r="J8035" s="165"/>
      <c r="K8035" s="166"/>
      <c r="Q8035" s="166"/>
      <c r="R8035" s="166"/>
      <c r="S8035" s="166"/>
    </row>
    <row r="8036" spans="3:19">
      <c r="C8036" s="165"/>
      <c r="D8036" s="165"/>
      <c r="E8036" s="166"/>
      <c r="I8036" s="165"/>
      <c r="J8036" s="165"/>
      <c r="K8036" s="166"/>
      <c r="Q8036" s="166"/>
      <c r="R8036" s="166"/>
      <c r="S8036" s="166"/>
    </row>
    <row r="8037" spans="3:19">
      <c r="C8037" s="165"/>
      <c r="D8037" s="165"/>
      <c r="E8037" s="166"/>
      <c r="I8037" s="165"/>
      <c r="J8037" s="165"/>
      <c r="K8037" s="166"/>
      <c r="Q8037" s="166"/>
      <c r="R8037" s="166"/>
      <c r="S8037" s="166"/>
    </row>
    <row r="8038" spans="3:19">
      <c r="C8038" s="165"/>
      <c r="D8038" s="165"/>
      <c r="E8038" s="166"/>
      <c r="I8038" s="165"/>
      <c r="J8038" s="165"/>
      <c r="K8038" s="166"/>
      <c r="Q8038" s="166"/>
      <c r="R8038" s="166"/>
      <c r="S8038" s="166"/>
    </row>
    <row r="8039" spans="3:19">
      <c r="C8039" s="165"/>
      <c r="D8039" s="165"/>
      <c r="E8039" s="166"/>
      <c r="I8039" s="165"/>
      <c r="J8039" s="165"/>
      <c r="K8039" s="166"/>
      <c r="Q8039" s="166"/>
      <c r="R8039" s="166"/>
      <c r="S8039" s="166"/>
    </row>
    <row r="8040" spans="3:19">
      <c r="C8040" s="165"/>
      <c r="D8040" s="165"/>
      <c r="E8040" s="166"/>
      <c r="I8040" s="165"/>
      <c r="J8040" s="165"/>
      <c r="K8040" s="166"/>
      <c r="Q8040" s="166"/>
      <c r="R8040" s="166"/>
      <c r="S8040" s="166"/>
    </row>
    <row r="8041" spans="3:19">
      <c r="C8041" s="165"/>
      <c r="D8041" s="165"/>
      <c r="E8041" s="166"/>
      <c r="I8041" s="165"/>
      <c r="J8041" s="165"/>
      <c r="K8041" s="166"/>
      <c r="Q8041" s="166"/>
      <c r="R8041" s="166"/>
      <c r="S8041" s="166"/>
    </row>
    <row r="8042" spans="3:19">
      <c r="C8042" s="165"/>
      <c r="D8042" s="165"/>
      <c r="E8042" s="166"/>
      <c r="I8042" s="165"/>
      <c r="J8042" s="165"/>
      <c r="K8042" s="166"/>
      <c r="Q8042" s="166"/>
      <c r="R8042" s="166"/>
      <c r="S8042" s="166"/>
    </row>
    <row r="8043" spans="3:19">
      <c r="C8043" s="165"/>
      <c r="D8043" s="165"/>
      <c r="E8043" s="166"/>
      <c r="I8043" s="165"/>
      <c r="J8043" s="165"/>
      <c r="K8043" s="166"/>
      <c r="Q8043" s="166"/>
      <c r="R8043" s="166"/>
      <c r="S8043" s="166"/>
    </row>
    <row r="8044" spans="3:19">
      <c r="C8044" s="165"/>
      <c r="D8044" s="165"/>
      <c r="E8044" s="166"/>
      <c r="I8044" s="165"/>
      <c r="J8044" s="165"/>
      <c r="K8044" s="166"/>
      <c r="Q8044" s="166"/>
      <c r="R8044" s="166"/>
      <c r="S8044" s="166"/>
    </row>
    <row r="8045" spans="3:19">
      <c r="C8045" s="165"/>
      <c r="D8045" s="165"/>
      <c r="E8045" s="166"/>
      <c r="I8045" s="165"/>
      <c r="J8045" s="165"/>
      <c r="K8045" s="166"/>
      <c r="Q8045" s="166"/>
      <c r="R8045" s="166"/>
      <c r="S8045" s="166"/>
    </row>
    <row r="8046" spans="3:19">
      <c r="C8046" s="165"/>
      <c r="D8046" s="165"/>
      <c r="E8046" s="166"/>
      <c r="I8046" s="165"/>
      <c r="J8046" s="165"/>
      <c r="K8046" s="166"/>
      <c r="Q8046" s="166"/>
      <c r="R8046" s="166"/>
      <c r="S8046" s="166"/>
    </row>
    <row r="8047" spans="3:19">
      <c r="C8047" s="165"/>
      <c r="D8047" s="165"/>
      <c r="E8047" s="166"/>
      <c r="I8047" s="165"/>
      <c r="J8047" s="165"/>
      <c r="K8047" s="166"/>
      <c r="Q8047" s="166"/>
      <c r="R8047" s="166"/>
      <c r="S8047" s="166"/>
    </row>
    <row r="8048" spans="3:19">
      <c r="C8048" s="165"/>
      <c r="D8048" s="165"/>
      <c r="E8048" s="166"/>
      <c r="I8048" s="165"/>
      <c r="J8048" s="165"/>
      <c r="K8048" s="166"/>
      <c r="Q8048" s="166"/>
      <c r="R8048" s="166"/>
      <c r="S8048" s="166"/>
    </row>
    <row r="8049" spans="3:19">
      <c r="C8049" s="165"/>
      <c r="D8049" s="165"/>
      <c r="E8049" s="166"/>
      <c r="I8049" s="165"/>
      <c r="J8049" s="165"/>
      <c r="K8049" s="166"/>
      <c r="Q8049" s="166"/>
      <c r="R8049" s="166"/>
      <c r="S8049" s="166"/>
    </row>
    <row r="8050" spans="3:19">
      <c r="C8050" s="165"/>
      <c r="D8050" s="165"/>
      <c r="E8050" s="166"/>
      <c r="I8050" s="165"/>
      <c r="J8050" s="165"/>
      <c r="K8050" s="166"/>
      <c r="Q8050" s="166"/>
      <c r="R8050" s="166"/>
      <c r="S8050" s="166"/>
    </row>
    <row r="8051" spans="3:19">
      <c r="C8051" s="165"/>
      <c r="D8051" s="165"/>
      <c r="E8051" s="166"/>
      <c r="I8051" s="165"/>
      <c r="J8051" s="165"/>
      <c r="K8051" s="166"/>
      <c r="Q8051" s="166"/>
      <c r="R8051" s="166"/>
      <c r="S8051" s="166"/>
    </row>
    <row r="8052" spans="3:19">
      <c r="C8052" s="165"/>
      <c r="D8052" s="165"/>
      <c r="E8052" s="166"/>
      <c r="I8052" s="165"/>
      <c r="J8052" s="165"/>
      <c r="K8052" s="166"/>
      <c r="Q8052" s="166"/>
      <c r="R8052" s="166"/>
      <c r="S8052" s="166"/>
    </row>
    <row r="8053" spans="3:19">
      <c r="C8053" s="165"/>
      <c r="D8053" s="165"/>
      <c r="E8053" s="166"/>
      <c r="I8053" s="165"/>
      <c r="J8053" s="165"/>
      <c r="K8053" s="166"/>
      <c r="Q8053" s="166"/>
      <c r="R8053" s="166"/>
      <c r="S8053" s="166"/>
    </row>
    <row r="8054" spans="3:19">
      <c r="C8054" s="165"/>
      <c r="D8054" s="165"/>
      <c r="E8054" s="166"/>
      <c r="I8054" s="165"/>
      <c r="J8054" s="165"/>
      <c r="K8054" s="166"/>
      <c r="Q8054" s="166"/>
      <c r="R8054" s="166"/>
      <c r="S8054" s="166"/>
    </row>
    <row r="8055" spans="3:19">
      <c r="C8055" s="165"/>
      <c r="D8055" s="165"/>
      <c r="E8055" s="166"/>
      <c r="I8055" s="165"/>
      <c r="J8055" s="165"/>
      <c r="K8055" s="166"/>
      <c r="Q8055" s="166"/>
      <c r="R8055" s="166"/>
      <c r="S8055" s="166"/>
    </row>
    <row r="8056" spans="3:19">
      <c r="C8056" s="165"/>
      <c r="D8056" s="165"/>
      <c r="E8056" s="166"/>
      <c r="I8056" s="165"/>
      <c r="J8056" s="165"/>
      <c r="K8056" s="166"/>
      <c r="Q8056" s="166"/>
      <c r="R8056" s="166"/>
      <c r="S8056" s="166"/>
    </row>
    <row r="8057" spans="3:19">
      <c r="C8057" s="165"/>
      <c r="D8057" s="165"/>
      <c r="E8057" s="166"/>
      <c r="I8057" s="165"/>
      <c r="J8057" s="165"/>
      <c r="K8057" s="166"/>
      <c r="Q8057" s="166"/>
      <c r="R8057" s="166"/>
      <c r="S8057" s="166"/>
    </row>
    <row r="8058" spans="3:19">
      <c r="C8058" s="165"/>
      <c r="D8058" s="165"/>
      <c r="E8058" s="166"/>
      <c r="I8058" s="165"/>
      <c r="J8058" s="165"/>
      <c r="K8058" s="166"/>
      <c r="Q8058" s="166"/>
      <c r="R8058" s="166"/>
      <c r="S8058" s="166"/>
    </row>
    <row r="8059" spans="3:19">
      <c r="C8059" s="165"/>
      <c r="D8059" s="165"/>
      <c r="E8059" s="166"/>
      <c r="I8059" s="165"/>
      <c r="J8059" s="165"/>
      <c r="K8059" s="166"/>
      <c r="Q8059" s="166"/>
      <c r="R8059" s="166"/>
      <c r="S8059" s="166"/>
    </row>
    <row r="8060" spans="3:19">
      <c r="C8060" s="165"/>
      <c r="D8060" s="165"/>
      <c r="E8060" s="166"/>
      <c r="I8060" s="165"/>
      <c r="J8060" s="165"/>
      <c r="K8060" s="166"/>
      <c r="Q8060" s="166"/>
      <c r="R8060" s="166"/>
      <c r="S8060" s="166"/>
    </row>
    <row r="8061" spans="3:19">
      <c r="C8061" s="165"/>
      <c r="D8061" s="165"/>
      <c r="E8061" s="166"/>
      <c r="I8061" s="165"/>
      <c r="J8061" s="165"/>
      <c r="K8061" s="166"/>
      <c r="Q8061" s="166"/>
      <c r="R8061" s="166"/>
      <c r="S8061" s="166"/>
    </row>
    <row r="8062" spans="3:19">
      <c r="C8062" s="165"/>
      <c r="D8062" s="165"/>
      <c r="E8062" s="166"/>
      <c r="I8062" s="165"/>
      <c r="J8062" s="165"/>
      <c r="K8062" s="166"/>
      <c r="Q8062" s="166"/>
      <c r="R8062" s="166"/>
      <c r="S8062" s="166"/>
    </row>
    <row r="8063" spans="3:19">
      <c r="C8063" s="165"/>
      <c r="D8063" s="165"/>
      <c r="E8063" s="166"/>
      <c r="I8063" s="165"/>
      <c r="J8063" s="165"/>
      <c r="K8063" s="166"/>
      <c r="Q8063" s="166"/>
      <c r="R8063" s="166"/>
      <c r="S8063" s="166"/>
    </row>
    <row r="8064" spans="3:19">
      <c r="C8064" s="165"/>
      <c r="D8064" s="165"/>
      <c r="E8064" s="166"/>
      <c r="I8064" s="165"/>
      <c r="J8064" s="165"/>
      <c r="K8064" s="166"/>
      <c r="Q8064" s="166"/>
      <c r="R8064" s="166"/>
      <c r="S8064" s="166"/>
    </row>
    <row r="8065" spans="3:19">
      <c r="C8065" s="165"/>
      <c r="D8065" s="165"/>
      <c r="E8065" s="166"/>
      <c r="I8065" s="165"/>
      <c r="J8065" s="165"/>
      <c r="K8065" s="166"/>
      <c r="Q8065" s="166"/>
      <c r="R8065" s="166"/>
      <c r="S8065" s="166"/>
    </row>
    <row r="8066" spans="3:19">
      <c r="C8066" s="165"/>
      <c r="D8066" s="165"/>
      <c r="E8066" s="166"/>
      <c r="I8066" s="165"/>
      <c r="J8066" s="165"/>
      <c r="K8066" s="166"/>
      <c r="Q8066" s="166"/>
      <c r="R8066" s="166"/>
      <c r="S8066" s="166"/>
    </row>
    <row r="8067" spans="3:19">
      <c r="C8067" s="165"/>
      <c r="D8067" s="165"/>
      <c r="E8067" s="166"/>
      <c r="I8067" s="165"/>
      <c r="J8067" s="165"/>
      <c r="K8067" s="166"/>
      <c r="Q8067" s="166"/>
      <c r="R8067" s="166"/>
      <c r="S8067" s="166"/>
    </row>
    <row r="8068" spans="3:19">
      <c r="C8068" s="165"/>
      <c r="D8068" s="165"/>
      <c r="E8068" s="166"/>
      <c r="I8068" s="165"/>
      <c r="J8068" s="165"/>
      <c r="K8068" s="166"/>
      <c r="Q8068" s="166"/>
      <c r="R8068" s="166"/>
      <c r="S8068" s="166"/>
    </row>
    <row r="8069" spans="3:19">
      <c r="C8069" s="165"/>
      <c r="D8069" s="165"/>
      <c r="E8069" s="166"/>
      <c r="I8069" s="165"/>
      <c r="J8069" s="165"/>
      <c r="K8069" s="166"/>
      <c r="Q8069" s="166"/>
      <c r="R8069" s="166"/>
      <c r="S8069" s="166"/>
    </row>
    <row r="8070" spans="3:19">
      <c r="C8070" s="165"/>
      <c r="D8070" s="165"/>
      <c r="E8070" s="166"/>
      <c r="I8070" s="165"/>
      <c r="J8070" s="165"/>
      <c r="K8070" s="166"/>
      <c r="Q8070" s="166"/>
      <c r="R8070" s="166"/>
      <c r="S8070" s="166"/>
    </row>
    <row r="8071" spans="3:19">
      <c r="C8071" s="165"/>
      <c r="D8071" s="165"/>
      <c r="E8071" s="166"/>
      <c r="I8071" s="165"/>
      <c r="J8071" s="165"/>
      <c r="K8071" s="166"/>
      <c r="Q8071" s="166"/>
      <c r="R8071" s="166"/>
      <c r="S8071" s="166"/>
    </row>
    <row r="8072" spans="3:19">
      <c r="C8072" s="165"/>
      <c r="D8072" s="165"/>
      <c r="E8072" s="166"/>
      <c r="I8072" s="165"/>
      <c r="J8072" s="165"/>
      <c r="K8072" s="166"/>
      <c r="Q8072" s="166"/>
      <c r="R8072" s="166"/>
      <c r="S8072" s="166"/>
    </row>
    <row r="8073" spans="3:19">
      <c r="C8073" s="165"/>
      <c r="D8073" s="165"/>
      <c r="E8073" s="166"/>
      <c r="J8073" s="165"/>
      <c r="K8073" s="166"/>
      <c r="Q8073" s="166"/>
      <c r="R8073" s="166"/>
      <c r="S8073" s="166"/>
    </row>
    <row r="8074" spans="3:19">
      <c r="C8074" s="165"/>
      <c r="D8074" s="165"/>
      <c r="E8074" s="166"/>
      <c r="I8074" s="165"/>
      <c r="J8074" s="165"/>
      <c r="K8074" s="166"/>
      <c r="Q8074" s="166"/>
      <c r="R8074" s="166"/>
      <c r="S8074" s="166"/>
    </row>
    <row r="8075" spans="3:19">
      <c r="C8075" s="165"/>
      <c r="D8075" s="165"/>
      <c r="E8075" s="166"/>
      <c r="I8075" s="165"/>
      <c r="J8075" s="165"/>
      <c r="K8075" s="166"/>
      <c r="Q8075" s="166"/>
      <c r="R8075" s="166"/>
      <c r="S8075" s="166"/>
    </row>
    <row r="8076" spans="3:19">
      <c r="C8076" s="165"/>
      <c r="D8076" s="165"/>
      <c r="E8076" s="166"/>
      <c r="I8076" s="165"/>
      <c r="J8076" s="165"/>
      <c r="K8076" s="166"/>
      <c r="Q8076" s="166"/>
      <c r="R8076" s="166"/>
      <c r="S8076" s="166"/>
    </row>
    <row r="8077" spans="3:19">
      <c r="C8077" s="165"/>
      <c r="D8077" s="165"/>
      <c r="E8077" s="166"/>
      <c r="I8077" s="165"/>
      <c r="J8077" s="165"/>
      <c r="K8077" s="166"/>
      <c r="Q8077" s="166"/>
      <c r="R8077" s="166"/>
      <c r="S8077" s="166"/>
    </row>
    <row r="8078" spans="3:19">
      <c r="C8078" s="165"/>
      <c r="D8078" s="165"/>
      <c r="E8078" s="166"/>
      <c r="I8078" s="165"/>
      <c r="J8078" s="165"/>
      <c r="K8078" s="166"/>
      <c r="Q8078" s="166"/>
      <c r="R8078" s="166"/>
      <c r="S8078" s="166"/>
    </row>
    <row r="8079" spans="3:19">
      <c r="C8079" s="165"/>
      <c r="D8079" s="165"/>
      <c r="E8079" s="166"/>
      <c r="I8079" s="165"/>
      <c r="J8079" s="165"/>
      <c r="K8079" s="166"/>
      <c r="Q8079" s="166"/>
      <c r="R8079" s="166"/>
      <c r="S8079" s="166"/>
    </row>
    <row r="8080" spans="3:19">
      <c r="C8080" s="165"/>
      <c r="D8080" s="165"/>
      <c r="E8080" s="166"/>
      <c r="I8080" s="165"/>
      <c r="J8080" s="165"/>
      <c r="K8080" s="166"/>
      <c r="Q8080" s="166"/>
      <c r="R8080" s="166"/>
      <c r="S8080" s="166"/>
    </row>
    <row r="8081" spans="3:19">
      <c r="C8081" s="165"/>
      <c r="D8081" s="165"/>
      <c r="E8081" s="166"/>
      <c r="I8081" s="165"/>
      <c r="J8081" s="165"/>
      <c r="K8081" s="166"/>
      <c r="Q8081" s="166"/>
      <c r="R8081" s="166"/>
      <c r="S8081" s="166"/>
    </row>
    <row r="8082" spans="3:19">
      <c r="C8082" s="165"/>
      <c r="D8082" s="165"/>
      <c r="E8082" s="166"/>
      <c r="I8082" s="165"/>
      <c r="J8082" s="165"/>
      <c r="K8082" s="166"/>
      <c r="Q8082" s="166"/>
      <c r="R8082" s="166"/>
      <c r="S8082" s="166"/>
    </row>
    <row r="8083" spans="3:19">
      <c r="C8083" s="165"/>
      <c r="D8083" s="165"/>
      <c r="E8083" s="166"/>
      <c r="I8083" s="165"/>
      <c r="J8083" s="165"/>
      <c r="K8083" s="166"/>
      <c r="Q8083" s="166"/>
      <c r="R8083" s="166"/>
      <c r="S8083" s="166"/>
    </row>
    <row r="8084" spans="3:19">
      <c r="C8084" s="165"/>
      <c r="D8084" s="165"/>
      <c r="E8084" s="166"/>
      <c r="I8084" s="165"/>
      <c r="J8084" s="165"/>
      <c r="K8084" s="166"/>
      <c r="Q8084" s="166"/>
      <c r="R8084" s="166"/>
      <c r="S8084" s="166"/>
    </row>
    <row r="8085" spans="3:19">
      <c r="C8085" s="165"/>
      <c r="D8085" s="165"/>
      <c r="E8085" s="166"/>
      <c r="I8085" s="165"/>
      <c r="J8085" s="165"/>
      <c r="K8085" s="166"/>
      <c r="Q8085" s="166"/>
      <c r="R8085" s="166"/>
      <c r="S8085" s="166"/>
    </row>
    <row r="8086" spans="3:19">
      <c r="C8086" s="165"/>
      <c r="D8086" s="165"/>
      <c r="E8086" s="166"/>
      <c r="I8086" s="165"/>
      <c r="J8086" s="165"/>
      <c r="K8086" s="166"/>
      <c r="Q8086" s="166"/>
      <c r="R8086" s="166"/>
      <c r="S8086" s="166"/>
    </row>
    <row r="8087" spans="3:19">
      <c r="C8087" s="165"/>
      <c r="D8087" s="165"/>
      <c r="E8087" s="166"/>
      <c r="I8087" s="165"/>
      <c r="J8087" s="165"/>
      <c r="K8087" s="166"/>
      <c r="Q8087" s="166"/>
      <c r="R8087" s="166"/>
      <c r="S8087" s="166"/>
    </row>
    <row r="8088" spans="3:19">
      <c r="C8088" s="165"/>
      <c r="D8088" s="165"/>
      <c r="E8088" s="166"/>
      <c r="I8088" s="165"/>
      <c r="J8088" s="165"/>
      <c r="K8088" s="166"/>
      <c r="Q8088" s="166"/>
      <c r="R8088" s="166"/>
      <c r="S8088" s="166"/>
    </row>
    <row r="8089" spans="3:19">
      <c r="C8089" s="165"/>
      <c r="D8089" s="165"/>
      <c r="E8089" s="166"/>
      <c r="I8089" s="165"/>
      <c r="J8089" s="165"/>
      <c r="K8089" s="166"/>
      <c r="Q8089" s="166"/>
      <c r="R8089" s="166"/>
      <c r="S8089" s="166"/>
    </row>
    <row r="8090" spans="3:19">
      <c r="C8090" s="165"/>
      <c r="D8090" s="165"/>
      <c r="E8090" s="166"/>
      <c r="I8090" s="165"/>
      <c r="J8090" s="165"/>
      <c r="K8090" s="166"/>
      <c r="Q8090" s="166"/>
      <c r="R8090" s="166"/>
      <c r="S8090" s="166"/>
    </row>
    <row r="8091" spans="3:19">
      <c r="C8091" s="165"/>
      <c r="D8091" s="165"/>
      <c r="E8091" s="166"/>
      <c r="I8091" s="165"/>
      <c r="J8091" s="165"/>
      <c r="K8091" s="166"/>
      <c r="Q8091" s="166"/>
      <c r="R8091" s="166"/>
      <c r="S8091" s="166"/>
    </row>
    <row r="8092" spans="3:19">
      <c r="C8092" s="165"/>
      <c r="D8092" s="165"/>
      <c r="E8092" s="166"/>
      <c r="I8092" s="165"/>
      <c r="J8092" s="165"/>
      <c r="K8092" s="166"/>
      <c r="Q8092" s="166"/>
      <c r="R8092" s="166"/>
      <c r="S8092" s="166"/>
    </row>
    <row r="8093" spans="3:19">
      <c r="C8093" s="165"/>
      <c r="D8093" s="165"/>
      <c r="E8093" s="166"/>
      <c r="I8093" s="165"/>
      <c r="J8093" s="165"/>
      <c r="K8093" s="166"/>
      <c r="Q8093" s="166"/>
      <c r="R8093" s="166"/>
      <c r="S8093" s="166"/>
    </row>
    <row r="8094" spans="3:19">
      <c r="C8094" s="165"/>
      <c r="D8094" s="165"/>
      <c r="E8094" s="166"/>
      <c r="I8094" s="165"/>
      <c r="J8094" s="165"/>
      <c r="K8094" s="166"/>
      <c r="Q8094" s="166"/>
      <c r="R8094" s="166"/>
      <c r="S8094" s="166"/>
    </row>
    <row r="8095" spans="3:19">
      <c r="C8095" s="165"/>
      <c r="D8095" s="165"/>
      <c r="E8095" s="166"/>
      <c r="I8095" s="165"/>
      <c r="J8095" s="165"/>
      <c r="K8095" s="166"/>
      <c r="Q8095" s="166"/>
      <c r="R8095" s="166"/>
      <c r="S8095" s="166"/>
    </row>
    <row r="8096" spans="3:19">
      <c r="C8096" s="165"/>
      <c r="D8096" s="165"/>
      <c r="E8096" s="166"/>
      <c r="I8096" s="165"/>
      <c r="J8096" s="165"/>
      <c r="K8096" s="166"/>
      <c r="Q8096" s="166"/>
      <c r="R8096" s="166"/>
      <c r="S8096" s="166"/>
    </row>
    <row r="8097" spans="3:19">
      <c r="C8097" s="165"/>
      <c r="D8097" s="165"/>
      <c r="E8097" s="166"/>
      <c r="I8097" s="165"/>
      <c r="J8097" s="165"/>
      <c r="K8097" s="166"/>
      <c r="Q8097" s="166"/>
      <c r="R8097" s="166"/>
      <c r="S8097" s="166"/>
    </row>
    <row r="8098" spans="3:19">
      <c r="C8098" s="165"/>
      <c r="E8098" s="166"/>
      <c r="J8098" s="165"/>
      <c r="K8098" s="166"/>
      <c r="Q8098" s="166"/>
      <c r="R8098" s="166"/>
      <c r="S8098" s="166"/>
    </row>
    <row r="8099" spans="3:19">
      <c r="C8099" s="165"/>
      <c r="D8099" s="165"/>
      <c r="E8099" s="166"/>
      <c r="I8099" s="165"/>
      <c r="J8099" s="165"/>
      <c r="K8099" s="166"/>
      <c r="Q8099" s="166"/>
      <c r="R8099" s="166"/>
      <c r="S8099" s="166"/>
    </row>
    <row r="8100" spans="3:19">
      <c r="C8100" s="165"/>
      <c r="D8100" s="165"/>
      <c r="E8100" s="166"/>
      <c r="I8100" s="165"/>
      <c r="K8100" s="166"/>
      <c r="Q8100" s="166"/>
      <c r="R8100" s="166"/>
      <c r="S8100" s="166"/>
    </row>
    <row r="8101" spans="3:19">
      <c r="C8101" s="165"/>
      <c r="D8101" s="165"/>
      <c r="E8101" s="166"/>
      <c r="I8101" s="165"/>
      <c r="J8101" s="165"/>
      <c r="K8101" s="166"/>
      <c r="Q8101" s="166"/>
      <c r="R8101" s="166"/>
      <c r="S8101" s="166"/>
    </row>
    <row r="8102" spans="3:19">
      <c r="C8102" s="165"/>
      <c r="D8102" s="165"/>
      <c r="E8102" s="166"/>
      <c r="I8102" s="165"/>
      <c r="J8102" s="165"/>
      <c r="K8102" s="166"/>
      <c r="Q8102" s="166"/>
      <c r="R8102" s="166"/>
      <c r="S8102" s="166"/>
    </row>
    <row r="8103" spans="3:19">
      <c r="C8103" s="165"/>
      <c r="D8103" s="165"/>
      <c r="E8103" s="166"/>
      <c r="I8103" s="165"/>
      <c r="J8103" s="165"/>
      <c r="K8103" s="166"/>
      <c r="Q8103" s="166"/>
      <c r="R8103" s="166"/>
      <c r="S8103" s="166"/>
    </row>
    <row r="8104" spans="3:19">
      <c r="C8104" s="165"/>
      <c r="D8104" s="165"/>
      <c r="E8104" s="166"/>
      <c r="I8104" s="165"/>
      <c r="J8104" s="165"/>
      <c r="K8104" s="166"/>
      <c r="Q8104" s="166"/>
      <c r="R8104" s="166"/>
      <c r="S8104" s="166"/>
    </row>
    <row r="8105" spans="3:19">
      <c r="C8105" s="165"/>
      <c r="D8105" s="165"/>
      <c r="E8105" s="166"/>
      <c r="J8105" s="165"/>
      <c r="K8105" s="166"/>
      <c r="Q8105" s="166"/>
      <c r="R8105" s="166"/>
      <c r="S8105" s="166"/>
    </row>
    <row r="8106" spans="3:19">
      <c r="C8106" s="165"/>
      <c r="D8106" s="165"/>
      <c r="E8106" s="166"/>
      <c r="I8106" s="165"/>
      <c r="J8106" s="165"/>
      <c r="K8106" s="166"/>
      <c r="Q8106" s="166"/>
      <c r="R8106" s="166"/>
      <c r="S8106" s="166"/>
    </row>
    <row r="8107" spans="3:19">
      <c r="C8107" s="165"/>
      <c r="D8107" s="165"/>
      <c r="E8107" s="166"/>
      <c r="I8107" s="165"/>
      <c r="J8107" s="165"/>
      <c r="K8107" s="166"/>
      <c r="Q8107" s="166"/>
      <c r="R8107" s="166"/>
      <c r="S8107" s="166"/>
    </row>
    <row r="8108" spans="3:19">
      <c r="C8108" s="165"/>
      <c r="D8108" s="165"/>
      <c r="E8108" s="166"/>
      <c r="I8108" s="165"/>
      <c r="J8108" s="165"/>
      <c r="K8108" s="166"/>
      <c r="Q8108" s="166"/>
      <c r="R8108" s="166"/>
      <c r="S8108" s="166"/>
    </row>
    <row r="8109" spans="3:19">
      <c r="C8109" s="165"/>
      <c r="D8109" s="165"/>
      <c r="E8109" s="166"/>
      <c r="I8109" s="165"/>
      <c r="J8109" s="165"/>
      <c r="K8109" s="166"/>
      <c r="Q8109" s="166"/>
      <c r="R8109" s="166"/>
      <c r="S8109" s="166"/>
    </row>
    <row r="8110" spans="3:19">
      <c r="C8110" s="165"/>
      <c r="D8110" s="165"/>
      <c r="E8110" s="166"/>
      <c r="I8110" s="165"/>
      <c r="K8110" s="166"/>
      <c r="Q8110" s="166"/>
      <c r="R8110" s="166"/>
      <c r="S8110" s="166"/>
    </row>
    <row r="8111" spans="3:19">
      <c r="C8111" s="165"/>
      <c r="D8111" s="165"/>
      <c r="E8111" s="166"/>
      <c r="I8111" s="165"/>
      <c r="J8111" s="165"/>
      <c r="K8111" s="166"/>
      <c r="Q8111" s="166"/>
      <c r="R8111" s="166"/>
      <c r="S8111" s="166"/>
    </row>
    <row r="8112" spans="3:19">
      <c r="C8112" s="165"/>
      <c r="D8112" s="165"/>
      <c r="E8112" s="166"/>
      <c r="I8112" s="165"/>
      <c r="J8112" s="165"/>
      <c r="K8112" s="166"/>
      <c r="Q8112" s="166"/>
      <c r="R8112" s="166"/>
      <c r="S8112" s="166"/>
    </row>
    <row r="8113" spans="3:19">
      <c r="C8113" s="165"/>
      <c r="D8113" s="165"/>
      <c r="E8113" s="166"/>
      <c r="I8113" s="165"/>
      <c r="J8113" s="165"/>
      <c r="K8113" s="166"/>
      <c r="Q8113" s="166"/>
      <c r="R8113" s="166"/>
      <c r="S8113" s="166"/>
    </row>
    <row r="8114" spans="3:19">
      <c r="C8114" s="165"/>
      <c r="D8114" s="165"/>
      <c r="E8114" s="166"/>
      <c r="I8114" s="165"/>
      <c r="J8114" s="165"/>
      <c r="K8114" s="166"/>
      <c r="Q8114" s="166"/>
      <c r="R8114" s="166"/>
      <c r="S8114" s="166"/>
    </row>
    <row r="8115" spans="3:19">
      <c r="C8115" s="165"/>
      <c r="D8115" s="165"/>
      <c r="E8115" s="166"/>
      <c r="I8115" s="165"/>
      <c r="J8115" s="165"/>
      <c r="K8115" s="166"/>
      <c r="Q8115" s="166"/>
      <c r="R8115" s="166"/>
      <c r="S8115" s="166"/>
    </row>
    <row r="8116" spans="3:19">
      <c r="C8116" s="165"/>
      <c r="D8116" s="165"/>
      <c r="E8116" s="166"/>
      <c r="I8116" s="165"/>
      <c r="J8116" s="165"/>
      <c r="K8116" s="166"/>
      <c r="Q8116" s="166"/>
      <c r="R8116" s="166"/>
      <c r="S8116" s="166"/>
    </row>
    <row r="8117" spans="3:19">
      <c r="C8117" s="165"/>
      <c r="D8117" s="165"/>
      <c r="E8117" s="166"/>
      <c r="I8117" s="165"/>
      <c r="J8117" s="165"/>
      <c r="K8117" s="166"/>
      <c r="Q8117" s="166"/>
      <c r="R8117" s="166"/>
      <c r="S8117" s="166"/>
    </row>
    <row r="8118" spans="3:19">
      <c r="C8118" s="165"/>
      <c r="D8118" s="165"/>
      <c r="E8118" s="166"/>
      <c r="I8118" s="165"/>
      <c r="J8118" s="165"/>
      <c r="K8118" s="166"/>
      <c r="Q8118" s="166"/>
      <c r="R8118" s="166"/>
      <c r="S8118" s="166"/>
    </row>
    <row r="8119" spans="3:19">
      <c r="C8119" s="165"/>
      <c r="D8119" s="165"/>
      <c r="E8119" s="166"/>
      <c r="I8119" s="165"/>
      <c r="J8119" s="165"/>
      <c r="K8119" s="166"/>
      <c r="Q8119" s="166"/>
      <c r="R8119" s="166"/>
      <c r="S8119" s="166"/>
    </row>
    <row r="8120" spans="3:19">
      <c r="C8120" s="165"/>
      <c r="D8120" s="165"/>
      <c r="E8120" s="166"/>
      <c r="I8120" s="165"/>
      <c r="J8120" s="165"/>
      <c r="K8120" s="166"/>
      <c r="Q8120" s="166"/>
      <c r="R8120" s="166"/>
      <c r="S8120" s="166"/>
    </row>
    <row r="8121" spans="3:19">
      <c r="C8121" s="165"/>
      <c r="D8121" s="165"/>
      <c r="E8121" s="166"/>
      <c r="I8121" s="165"/>
      <c r="K8121" s="166"/>
      <c r="Q8121" s="166"/>
      <c r="R8121" s="166"/>
      <c r="S8121" s="166"/>
    </row>
    <row r="8122" spans="3:19">
      <c r="C8122" s="165"/>
      <c r="D8122" s="165"/>
      <c r="E8122" s="166"/>
      <c r="I8122" s="165"/>
      <c r="J8122" s="165"/>
      <c r="K8122" s="166"/>
      <c r="Q8122" s="166"/>
      <c r="R8122" s="166"/>
      <c r="S8122" s="166"/>
    </row>
    <row r="8123" spans="3:19">
      <c r="C8123" s="165"/>
      <c r="D8123" s="165"/>
      <c r="E8123" s="166"/>
      <c r="I8123" s="165"/>
      <c r="J8123" s="165"/>
      <c r="K8123" s="166"/>
      <c r="Q8123" s="166"/>
      <c r="R8123" s="166"/>
      <c r="S8123" s="166"/>
    </row>
    <row r="8124" spans="3:19">
      <c r="C8124" s="165"/>
      <c r="D8124" s="165"/>
      <c r="E8124" s="166"/>
      <c r="I8124" s="165"/>
      <c r="J8124" s="165"/>
      <c r="K8124" s="166"/>
      <c r="Q8124" s="166"/>
      <c r="R8124" s="166"/>
      <c r="S8124" s="166"/>
    </row>
    <row r="8125" spans="3:19">
      <c r="C8125" s="165"/>
      <c r="D8125" s="165"/>
      <c r="E8125" s="166"/>
      <c r="I8125" s="165"/>
      <c r="J8125" s="165"/>
      <c r="K8125" s="166"/>
      <c r="Q8125" s="166"/>
      <c r="R8125" s="166"/>
      <c r="S8125" s="166"/>
    </row>
    <row r="8126" spans="3:19">
      <c r="C8126" s="165"/>
      <c r="D8126" s="165"/>
      <c r="E8126" s="166"/>
      <c r="I8126" s="165"/>
      <c r="J8126" s="165"/>
      <c r="K8126" s="166"/>
      <c r="Q8126" s="166"/>
      <c r="R8126" s="166"/>
      <c r="S8126" s="166"/>
    </row>
    <row r="8127" spans="3:19">
      <c r="C8127" s="165"/>
      <c r="D8127" s="165"/>
      <c r="E8127" s="166"/>
      <c r="I8127" s="165"/>
      <c r="J8127" s="165"/>
      <c r="K8127" s="166"/>
      <c r="Q8127" s="166"/>
      <c r="R8127" s="166"/>
      <c r="S8127" s="166"/>
    </row>
    <row r="8128" spans="3:19">
      <c r="C8128" s="165"/>
      <c r="D8128" s="165"/>
      <c r="E8128" s="166"/>
      <c r="I8128" s="165"/>
      <c r="J8128" s="165"/>
      <c r="K8128" s="166"/>
      <c r="Q8128" s="166"/>
      <c r="R8128" s="166"/>
      <c r="S8128" s="166"/>
    </row>
    <row r="8129" spans="3:19">
      <c r="C8129" s="165"/>
      <c r="D8129" s="165"/>
      <c r="E8129" s="166"/>
      <c r="I8129" s="165"/>
      <c r="J8129" s="165"/>
      <c r="K8129" s="166"/>
      <c r="Q8129" s="166"/>
      <c r="R8129" s="166"/>
      <c r="S8129" s="166"/>
    </row>
    <row r="8130" spans="3:19">
      <c r="C8130" s="165"/>
      <c r="D8130" s="165"/>
      <c r="E8130" s="166"/>
      <c r="I8130" s="165"/>
      <c r="J8130" s="165"/>
      <c r="K8130" s="166"/>
      <c r="Q8130" s="166"/>
      <c r="R8130" s="166"/>
      <c r="S8130" s="166"/>
    </row>
    <row r="8131" spans="3:19">
      <c r="C8131" s="165"/>
      <c r="D8131" s="165"/>
      <c r="E8131" s="166"/>
      <c r="I8131" s="165"/>
      <c r="J8131" s="165"/>
      <c r="K8131" s="166"/>
      <c r="Q8131" s="166"/>
      <c r="R8131" s="166"/>
      <c r="S8131" s="166"/>
    </row>
    <row r="8132" spans="3:19">
      <c r="C8132" s="165"/>
      <c r="D8132" s="165"/>
      <c r="E8132" s="166"/>
      <c r="I8132" s="165"/>
      <c r="J8132" s="165"/>
      <c r="K8132" s="166"/>
      <c r="Q8132" s="166"/>
      <c r="R8132" s="166"/>
      <c r="S8132" s="166"/>
    </row>
    <row r="8133" spans="3:19">
      <c r="C8133" s="165"/>
      <c r="D8133" s="165"/>
      <c r="E8133" s="166"/>
      <c r="I8133" s="165"/>
      <c r="J8133" s="165"/>
      <c r="K8133" s="166"/>
      <c r="Q8133" s="166"/>
      <c r="R8133" s="166"/>
      <c r="S8133" s="166"/>
    </row>
    <row r="8134" spans="3:19">
      <c r="C8134" s="165"/>
      <c r="D8134" s="165"/>
      <c r="E8134" s="166"/>
      <c r="I8134" s="165"/>
      <c r="J8134" s="165"/>
      <c r="K8134" s="166"/>
      <c r="Q8134" s="166"/>
      <c r="R8134" s="166"/>
      <c r="S8134" s="166"/>
    </row>
    <row r="8135" spans="3:19">
      <c r="C8135" s="165"/>
      <c r="D8135" s="165"/>
      <c r="E8135" s="166"/>
      <c r="I8135" s="165"/>
      <c r="J8135" s="165"/>
      <c r="K8135" s="166"/>
      <c r="Q8135" s="166"/>
      <c r="R8135" s="166"/>
      <c r="S8135" s="166"/>
    </row>
    <row r="8136" spans="3:19">
      <c r="C8136" s="165"/>
      <c r="D8136" s="165"/>
      <c r="E8136" s="166"/>
      <c r="I8136" s="165"/>
      <c r="J8136" s="165"/>
      <c r="K8136" s="166"/>
      <c r="Q8136" s="166"/>
      <c r="R8136" s="166"/>
      <c r="S8136" s="166"/>
    </row>
    <row r="8137" spans="3:19">
      <c r="C8137" s="165"/>
      <c r="D8137" s="165"/>
      <c r="E8137" s="166"/>
      <c r="I8137" s="165"/>
      <c r="J8137" s="165"/>
      <c r="K8137" s="166"/>
      <c r="Q8137" s="166"/>
      <c r="R8137" s="166"/>
      <c r="S8137" s="166"/>
    </row>
    <row r="8138" spans="3:19">
      <c r="C8138" s="165"/>
      <c r="D8138" s="165"/>
      <c r="E8138" s="166"/>
      <c r="I8138" s="165"/>
      <c r="J8138" s="165"/>
      <c r="K8138" s="166"/>
      <c r="Q8138" s="166"/>
      <c r="R8138" s="166"/>
      <c r="S8138" s="166"/>
    </row>
    <row r="8139" spans="3:19">
      <c r="C8139" s="165"/>
      <c r="D8139" s="165"/>
      <c r="E8139" s="166"/>
      <c r="I8139" s="165"/>
      <c r="J8139" s="165"/>
      <c r="K8139" s="166"/>
      <c r="Q8139" s="166"/>
      <c r="R8139" s="166"/>
      <c r="S8139" s="166"/>
    </row>
    <row r="8140" spans="3:19">
      <c r="C8140" s="165"/>
      <c r="D8140" s="165"/>
      <c r="E8140" s="166"/>
      <c r="I8140" s="165"/>
      <c r="J8140" s="165"/>
      <c r="K8140" s="166"/>
      <c r="Q8140" s="166"/>
      <c r="R8140" s="166"/>
      <c r="S8140" s="166"/>
    </row>
    <row r="8141" spans="3:19">
      <c r="C8141" s="165"/>
      <c r="D8141" s="165"/>
      <c r="E8141" s="166"/>
      <c r="I8141" s="165"/>
      <c r="J8141" s="165"/>
      <c r="K8141" s="166"/>
      <c r="Q8141" s="166"/>
      <c r="R8141" s="166"/>
      <c r="S8141" s="166"/>
    </row>
    <row r="8142" spans="3:19">
      <c r="C8142" s="165"/>
      <c r="D8142" s="165"/>
      <c r="E8142" s="166"/>
      <c r="I8142" s="165"/>
      <c r="J8142" s="165"/>
      <c r="K8142" s="166"/>
      <c r="Q8142" s="166"/>
      <c r="R8142" s="166"/>
      <c r="S8142" s="166"/>
    </row>
    <row r="8143" spans="3:19">
      <c r="C8143" s="165"/>
      <c r="D8143" s="165"/>
      <c r="E8143" s="166"/>
      <c r="I8143" s="165"/>
      <c r="J8143" s="165"/>
      <c r="K8143" s="166"/>
      <c r="Q8143" s="166"/>
      <c r="R8143" s="166"/>
      <c r="S8143" s="166"/>
    </row>
    <row r="8144" spans="3:19">
      <c r="C8144" s="165"/>
      <c r="D8144" s="165"/>
      <c r="E8144" s="166"/>
      <c r="I8144" s="165"/>
      <c r="J8144" s="165"/>
      <c r="K8144" s="166"/>
      <c r="Q8144" s="166"/>
      <c r="R8144" s="166"/>
      <c r="S8144" s="166"/>
    </row>
    <row r="8145" spans="3:19">
      <c r="C8145" s="165"/>
      <c r="D8145" s="165"/>
      <c r="E8145" s="166"/>
      <c r="I8145" s="165"/>
      <c r="J8145" s="165"/>
      <c r="K8145" s="166"/>
      <c r="Q8145" s="166"/>
      <c r="R8145" s="166"/>
      <c r="S8145" s="166"/>
    </row>
    <row r="8146" spans="3:19">
      <c r="C8146" s="165"/>
      <c r="D8146" s="165"/>
      <c r="E8146" s="166"/>
      <c r="I8146" s="165"/>
      <c r="J8146" s="165"/>
      <c r="K8146" s="166"/>
      <c r="Q8146" s="166"/>
      <c r="R8146" s="166"/>
      <c r="S8146" s="166"/>
    </row>
    <row r="8147" spans="3:19">
      <c r="C8147" s="165"/>
      <c r="D8147" s="165"/>
      <c r="E8147" s="166"/>
      <c r="I8147" s="165"/>
      <c r="J8147" s="165"/>
      <c r="K8147" s="166"/>
      <c r="Q8147" s="166"/>
      <c r="R8147" s="166"/>
      <c r="S8147" s="166"/>
    </row>
    <row r="8148" spans="3:19">
      <c r="C8148" s="165"/>
      <c r="D8148" s="165"/>
      <c r="E8148" s="166"/>
      <c r="I8148" s="165"/>
      <c r="J8148" s="165"/>
      <c r="K8148" s="166"/>
      <c r="Q8148" s="166"/>
      <c r="R8148" s="166"/>
      <c r="S8148" s="166"/>
    </row>
    <row r="8149" spans="3:19">
      <c r="C8149" s="165"/>
      <c r="D8149" s="165"/>
      <c r="E8149" s="166"/>
      <c r="I8149" s="165"/>
      <c r="J8149" s="165"/>
      <c r="K8149" s="166"/>
      <c r="Q8149" s="166"/>
      <c r="R8149" s="166"/>
      <c r="S8149" s="166"/>
    </row>
    <row r="8150" spans="3:19">
      <c r="C8150" s="165"/>
      <c r="D8150" s="165"/>
      <c r="E8150" s="166"/>
      <c r="I8150" s="165"/>
      <c r="J8150" s="165"/>
      <c r="K8150" s="166"/>
      <c r="Q8150" s="166"/>
      <c r="R8150" s="166"/>
      <c r="S8150" s="166"/>
    </row>
    <row r="8151" spans="3:19">
      <c r="C8151" s="165"/>
      <c r="D8151" s="165"/>
      <c r="E8151" s="166"/>
      <c r="I8151" s="165"/>
      <c r="J8151" s="165"/>
      <c r="K8151" s="166"/>
      <c r="Q8151" s="166"/>
      <c r="R8151" s="166"/>
      <c r="S8151" s="166"/>
    </row>
    <row r="8152" spans="3:19">
      <c r="C8152" s="165"/>
      <c r="D8152" s="165"/>
      <c r="E8152" s="166"/>
      <c r="I8152" s="165"/>
      <c r="J8152" s="165"/>
      <c r="K8152" s="166"/>
      <c r="Q8152" s="166"/>
      <c r="R8152" s="166"/>
      <c r="S8152" s="166"/>
    </row>
    <row r="8153" spans="3:19">
      <c r="C8153" s="165"/>
      <c r="D8153" s="165"/>
      <c r="E8153" s="166"/>
      <c r="I8153" s="165"/>
      <c r="J8153" s="165"/>
      <c r="K8153" s="166"/>
      <c r="Q8153" s="166"/>
      <c r="R8153" s="166"/>
      <c r="S8153" s="166"/>
    </row>
    <row r="8154" spans="3:19">
      <c r="C8154" s="165"/>
      <c r="D8154" s="165"/>
      <c r="E8154" s="166"/>
      <c r="I8154" s="165"/>
      <c r="J8154" s="165"/>
      <c r="K8154" s="166"/>
      <c r="Q8154" s="166"/>
      <c r="R8154" s="166"/>
      <c r="S8154" s="166"/>
    </row>
    <row r="8155" spans="3:19">
      <c r="C8155" s="165"/>
      <c r="D8155" s="165"/>
      <c r="E8155" s="166"/>
      <c r="I8155" s="165"/>
      <c r="J8155" s="165"/>
      <c r="K8155" s="166"/>
      <c r="Q8155" s="166"/>
      <c r="R8155" s="166"/>
      <c r="S8155" s="166"/>
    </row>
    <row r="8156" spans="3:19">
      <c r="C8156" s="165"/>
      <c r="D8156" s="165"/>
      <c r="E8156" s="166"/>
      <c r="I8156" s="165"/>
      <c r="J8156" s="165"/>
      <c r="K8156" s="166"/>
      <c r="Q8156" s="166"/>
      <c r="R8156" s="166"/>
      <c r="S8156" s="166"/>
    </row>
    <row r="8157" spans="3:19">
      <c r="C8157" s="165"/>
      <c r="D8157" s="165"/>
      <c r="E8157" s="166"/>
      <c r="I8157" s="165"/>
      <c r="J8157" s="165"/>
      <c r="K8157" s="166"/>
      <c r="Q8157" s="166"/>
      <c r="R8157" s="166"/>
      <c r="S8157" s="166"/>
    </row>
    <row r="8158" spans="3:19">
      <c r="C8158" s="165"/>
      <c r="D8158" s="165"/>
      <c r="E8158" s="166"/>
      <c r="I8158" s="165"/>
      <c r="J8158" s="165"/>
      <c r="K8158" s="166"/>
      <c r="Q8158" s="166"/>
      <c r="R8158" s="166"/>
      <c r="S8158" s="166"/>
    </row>
    <row r="8159" spans="3:19">
      <c r="C8159" s="165"/>
      <c r="D8159" s="165"/>
      <c r="E8159" s="166"/>
      <c r="I8159" s="165"/>
      <c r="J8159" s="165"/>
      <c r="K8159" s="166"/>
      <c r="Q8159" s="166"/>
      <c r="R8159" s="166"/>
      <c r="S8159" s="166"/>
    </row>
    <row r="8160" spans="3:19">
      <c r="C8160" s="165"/>
      <c r="D8160" s="165"/>
      <c r="E8160" s="166"/>
      <c r="I8160" s="165"/>
      <c r="J8160" s="165"/>
      <c r="K8160" s="166"/>
      <c r="Q8160" s="166"/>
      <c r="R8160" s="166"/>
      <c r="S8160" s="166"/>
    </row>
    <row r="8161" spans="3:19">
      <c r="C8161" s="165"/>
      <c r="D8161" s="165"/>
      <c r="E8161" s="166"/>
      <c r="I8161" s="165"/>
      <c r="J8161" s="165"/>
      <c r="K8161" s="166"/>
      <c r="Q8161" s="166"/>
      <c r="R8161" s="166"/>
      <c r="S8161" s="166"/>
    </row>
    <row r="8162" spans="3:19">
      <c r="C8162" s="165"/>
      <c r="D8162" s="165"/>
      <c r="E8162" s="166"/>
      <c r="I8162" s="165"/>
      <c r="J8162" s="165"/>
      <c r="K8162" s="166"/>
      <c r="Q8162" s="166"/>
      <c r="R8162" s="166"/>
      <c r="S8162" s="166"/>
    </row>
    <row r="8163" spans="3:19">
      <c r="C8163" s="165"/>
      <c r="D8163" s="165"/>
      <c r="E8163" s="166"/>
      <c r="I8163" s="165"/>
      <c r="J8163" s="165"/>
      <c r="K8163" s="166"/>
      <c r="Q8163" s="166"/>
      <c r="R8163" s="166"/>
      <c r="S8163" s="166"/>
    </row>
    <row r="8164" spans="3:19">
      <c r="C8164" s="165"/>
      <c r="D8164" s="165"/>
      <c r="E8164" s="166"/>
      <c r="I8164" s="165"/>
      <c r="J8164" s="165"/>
      <c r="K8164" s="166"/>
      <c r="Q8164" s="166"/>
      <c r="R8164" s="166"/>
      <c r="S8164" s="166"/>
    </row>
    <row r="8165" spans="3:19">
      <c r="C8165" s="165"/>
      <c r="D8165" s="165"/>
      <c r="E8165" s="166"/>
      <c r="I8165" s="165"/>
      <c r="J8165" s="165"/>
      <c r="K8165" s="166"/>
      <c r="Q8165" s="166"/>
      <c r="R8165" s="166"/>
      <c r="S8165" s="166"/>
    </row>
    <row r="8166" spans="3:19">
      <c r="C8166" s="165"/>
      <c r="D8166" s="165"/>
      <c r="E8166" s="166"/>
      <c r="I8166" s="165"/>
      <c r="J8166" s="165"/>
      <c r="K8166" s="166"/>
      <c r="Q8166" s="166"/>
      <c r="R8166" s="166"/>
      <c r="S8166" s="166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2026-09-01T12:24:09Z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