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420" documentId="8_{AF585B22-221D-4780-BB9C-493D365A6A02}" xr6:coauthVersionLast="47" xr6:coauthVersionMax="47" xr10:uidLastSave="{1302CDEF-E50F-4EA9-BF70-AA9E588D2F43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98" i="3" l="1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<sst xmlns="http://schemas.openxmlformats.org/spreadsheetml/2006/main" count="12145" uniqueCount="437">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</sst>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71" activePane="bottomLeft" state="frozen"/>
      <selection pane="bottomLeft" activeCell="E799" sqref="E79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/>
      <c r="M787" s="35">
        <f t="shared" ca="1" si="174"/>
        <v>0.15156875000684522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0.19462430556240073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/>
      <c r="G800" s="28" t="str">
        <f t="shared" si="176"/>
        <v/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/>
      <c r="G801" s="28" t="str">
        <f t="shared" si="176"/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/>
      <c r="G802" s="28" t="str">
        <f t="shared" si="176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/>
      <c r="G803" s="28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233</v>
      </c>
      <c r="F804" s="27"/>
      <c r="G804" s="28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61</v>
      </c>
      <c r="G810" s="36">
        <f>SUM(G798:G809)</f>
        <v>284.2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352</v>
      </c>
      <c r="G811" s="40">
        <f>G797+G810</f>
        <v>284.2</v>
      </c>
      <c r="H811" s="41"/>
      <c r="I811" s="41"/>
      <c r="J811" s="41"/>
      <c r="K811" s="41"/>
      <c r="L811" s="41"/>
      <c r="M811" s="42">
        <f ca="1">IFERROR(M797+M810,"")</f>
        <v>0.19462430556240073</v>
      </c>
      <c r="N811" s="40" t="s">
        <v>239</v>
      </c>
      <c r="O811" s="43">
        <f>IFERROR(O797+O810,"")</f>
        <v>2191180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 G797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71" activePane="bottomLeft" state="frozen"/>
      <selection pane="bottomLeft" activeCell="H805" sqref="H8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0.66545763889007503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0.82309652777896392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0.93281875000118608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0.64392986111488426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0.81476319444821765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0.95990208333710658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31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185</v>
      </c>
      <c r="G811" s="40">
        <f>G797+G810</f>
        <v>652.4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648030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64" zoomScale="50" zoomScaleNormal="50" workbookViewId="0">
      <selection activeCell="J798" sqref="J7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28"/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/>
      <c r="M798" s="30">
        <f t="shared" ref="M798:M809" ca="1" si="177">IFERROR(IF(K798="","",IF(L798="",MOD(NOW()-K798,1),IF(L798&gt;=K798,L798-K798,L798+1-K798))),"")</f>
        <v>2.2631944448221475E-3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6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2.2631944448221475E-3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100</v>
      </c>
      <c r="G811" s="40">
        <f>G797+G810</f>
        <v>400.4</v>
      </c>
      <c r="H811" s="41"/>
      <c r="I811" s="41"/>
      <c r="J811" s="41"/>
      <c r="K811" s="41"/>
      <c r="L811" s="41"/>
      <c r="M811" s="42">
        <f ca="1">IFERROR(M797+M810,"")</f>
        <v>0.10504097222259984</v>
      </c>
      <c r="N811" s="40" t="s">
        <v>239</v>
      </c>
      <c r="O811" s="43">
        <f>IFERROR(O797+O810,"")</f>
        <v>419450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F803" sqref="F80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0.65573541667254176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0.85504097222809738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1.2224020833392084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434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435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436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28"/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0.10416666666666674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0.55347222222222214</v>
      </c>
      <c r="N811" s="40" t="s">
        <v>239</v>
      </c>
      <c r="O811" s="43">
        <f>IFERROR(O797+O810,"")</f>
        <v>99040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2026-07-31T01:43:31Z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