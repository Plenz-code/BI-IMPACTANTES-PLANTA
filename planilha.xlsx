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837" documentId="8_{AF585B22-221D-4780-BB9C-493D365A6A02}" xr6:coauthVersionLast="47" xr6:coauthVersionMax="47" xr10:uidLastSave="{FAE36B30-D309-4448-A601-4553DCE850E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<sst xmlns="http://schemas.openxmlformats.org/spreadsheetml/2006/main" count="2912" uniqueCount="249">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</sst>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6"/>
      <c r="I52" s="16"/>
      <c r="J52" s="16"/>
      <c r="K52" s="16" t="s">
        <v>186</v>
      </c>
      <c r="L52" s="16"/>
      <c r="M52" s="16"/>
    </row>
    <row r="53" spans="1:13" ht="36" customHeight="1">
      <c r="H53" s="96"/>
      <c r="I53" s="17"/>
      <c r="J53" s="17"/>
      <c r="K53" s="17" t="s">
        <v>187</v>
      </c>
      <c r="L53" s="17"/>
      <c r="M53" s="17"/>
    </row>
    <row r="54" spans="1:13" ht="15" customHeight="1">
      <c r="H54" s="96"/>
      <c r="I54" s="16"/>
      <c r="J54" s="16"/>
      <c r="K54" s="16" t="s">
        <v>188</v>
      </c>
      <c r="L54" s="16"/>
      <c r="M54" s="16"/>
    </row>
    <row r="55" spans="1:13" ht="15" customHeight="1">
      <c r="H55" s="96"/>
      <c r="I55" s="17"/>
      <c r="J55" s="17"/>
      <c r="K55" s="17" t="s">
        <v>189</v>
      </c>
      <c r="L55" s="17"/>
      <c r="M55" s="17"/>
    </row>
    <row r="56" spans="1:13" ht="15" customHeight="1">
      <c r="H56" s="96"/>
      <c r="I56" s="16"/>
      <c r="J56" s="16"/>
      <c r="K56" s="16" t="s">
        <v>190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14" activePane="bottomLeft" state="frozen"/>
      <selection pane="bottomLeft" activeCell="F145" sqref="F14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>
        <v>7</v>
      </c>
      <c r="G138" s="28" t="str">
        <f t="shared" si="30"/>
        <v/>
      </c>
      <c r="H138" s="26" t="s">
        <v>19</v>
      </c>
      <c r="I138" s="26" t="s">
        <v>23</v>
      </c>
      <c r="J138" s="26" t="s">
        <v>50</v>
      </c>
      <c r="K138" s="29">
        <v>0.5493055555555556</v>
      </c>
      <c r="L138" s="29"/>
      <c r="M138" s="30">
        <f t="shared" ca="1" si="31"/>
        <v>8.5284606480854563E-2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>
        <v>8</v>
      </c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>
        <v>7</v>
      </c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>
        <v>6</v>
      </c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>
        <v>0</v>
      </c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>
        <v>0</v>
      </c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34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0.12000682870307677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34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0.12000682870307677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45" sqref="F1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63</v>
      </c>
      <c r="G149" s="36">
        <f>SUM(G137:G148)</f>
        <v>315</v>
      </c>
      <c r="H149" s="37"/>
      <c r="I149" s="37"/>
      <c r="J149" s="37"/>
      <c r="K149" s="37"/>
      <c r="L149" s="37"/>
      <c r="M149" s="38">
        <f ca="1">IFERROR(SUM(M137:M148),"")</f>
        <v>0.18333333333333329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63</v>
      </c>
      <c r="G163" s="40">
        <f>G149+G162</f>
        <v>315</v>
      </c>
      <c r="H163" s="41"/>
      <c r="I163" s="41"/>
      <c r="J163" s="41"/>
      <c r="K163" s="41"/>
      <c r="L163" s="41"/>
      <c r="M163" s="42">
        <f ca="1">IFERROR(M149+M162,"")</f>
        <v>0.18333333333333329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F145" sqref="F14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6</v>
      </c>
      <c r="G141" s="34">
        <f t="shared" si="30"/>
        <v>30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202</v>
      </c>
      <c r="F144" s="27">
        <v>6</v>
      </c>
      <c r="G144" s="28">
        <f t="shared" si="30"/>
        <v>30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41</v>
      </c>
      <c r="G149" s="36">
        <f>SUM(G137:G148)</f>
        <v>205</v>
      </c>
      <c r="H149" s="37"/>
      <c r="I149" s="37"/>
      <c r="J149" s="37"/>
      <c r="K149" s="37"/>
      <c r="L149" s="37"/>
      <c r="M149" s="38">
        <f ca="1">IFERROR(SUM(M137:M148),"")</f>
        <v>3.5416666666666707E-2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41</v>
      </c>
      <c r="G163" s="40">
        <f>G149+G162</f>
        <v>205</v>
      </c>
      <c r="H163" s="41"/>
      <c r="I163" s="41"/>
      <c r="J163" s="41"/>
      <c r="K163" s="41"/>
      <c r="L163" s="41"/>
      <c r="M163" s="42">
        <f ca="1">IFERROR(M149+M162,"")</f>
        <v>3.5416666666666707E-2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07" activePane="bottomLeft" state="frozen"/>
      <selection pane="bottomLeft" activeCell="F145" sqref="F14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238</v>
      </c>
      <c r="L58" s="29">
        <v>0.54097222222222219</v>
      </c>
      <c r="M58" s="30" t="str">
        <f t="shared" ca="1" si="13"/>
        <v/>
      </c>
      <c r="N58" s="27" t="s">
        <v>239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0.38528460648376495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0.58459016203932057</v>
      </c>
      <c r="N135" s="36" t="s">
        <v>205</v>
      </c>
      <c r="O135" s="39">
        <v>729290</v>
      </c>
    </row>
    <row r="136" spans="1:18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0.9519512731504316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19</v>
      </c>
      <c r="I139" s="33" t="s">
        <v>152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248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>
        <v>6</v>
      </c>
      <c r="G144" s="28">
        <f t="shared" si="30"/>
        <v>30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61"/>
      <c r="L149" s="61"/>
      <c r="M149" s="38">
        <f ca="1">IFERROR(SUM(M137:M148),"")</f>
        <v>3.7500000000000033E-2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79</v>
      </c>
      <c r="G163" s="40">
        <f>G149+G162</f>
        <v>395</v>
      </c>
      <c r="H163" s="41"/>
      <c r="I163" s="41"/>
      <c r="J163" s="41"/>
      <c r="K163" s="63"/>
      <c r="L163" s="63"/>
      <c r="M163" s="42">
        <f ca="1">IFERROR(M149+M162,"")</f>
        <v>3.7500000000000033E-2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2026-07-06T19:14:35Z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