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4676" documentId="8_{AF585B22-221D-4780-BB9C-493D365A6A02}" xr6:coauthVersionLast="47" xr6:coauthVersionMax="47" xr10:uidLastSave="{02CC372F-FD01-4AEB-A1B1-542AA44662DE}"/>
  <bookViews>
    <workbookView xWindow="-110" yWindow="-110" windowWidth="25820" windowHeight="15500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81" i="5" l="1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<sst xmlns="http://schemas.openxmlformats.org/spreadsheetml/2006/main" count="4349" uniqueCount="284">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</sst>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2" sqref="G12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26323330</v>
      </c>
      <c r="D35" s="13">
        <f>IFERROR(SUM(D4:D34),"")</f>
        <v>9218510</v>
      </c>
      <c r="E35" s="13">
        <f>IFERROR(SUM(E4:E34),"")</f>
        <v>6477270</v>
      </c>
      <c r="F35" s="13">
        <f>IFERROR(SUM(F4:F34),"")</f>
        <v>11510180</v>
      </c>
      <c r="G35" s="13">
        <f>IFERROR(SUM(G4:G34),"")</f>
        <v>27205960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30" zoomScale="85" zoomScaleNormal="85" workbookViewId="0">
      <selection activeCell="K63" sqref="K6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/>
    </row>
    <row r="53" spans="1:13" ht="36" customHeight="1">
      <c r="H53" s="101"/>
      <c r="I53" s="17"/>
      <c r="J53" s="17"/>
      <c r="K53" s="17" t="s">
        <v>193</v>
      </c>
      <c r="L53" s="17"/>
      <c r="M53" s="17"/>
    </row>
    <row r="54" spans="1:13" ht="15" customHeight="1">
      <c r="H54" s="101"/>
      <c r="I54" s="16"/>
      <c r="J54" s="16"/>
      <c r="K54" s="16" t="s">
        <v>194</v>
      </c>
      <c r="L54" s="16"/>
      <c r="M54" s="16"/>
    </row>
    <row r="55" spans="1:13" ht="15" customHeight="1">
      <c r="H55" s="101"/>
      <c r="I55" s="17"/>
      <c r="J55" s="17"/>
      <c r="K55" s="17" t="s">
        <v>195</v>
      </c>
      <c r="L55" s="17"/>
      <c r="M55" s="17"/>
    </row>
    <row r="56" spans="1:13" ht="15" customHeight="1">
      <c r="H56" s="101"/>
      <c r="I56" s="16"/>
      <c r="J56" s="16"/>
      <c r="K56" s="16" t="s">
        <v>196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197</v>
      </c>
      <c r="L58" s="16"/>
      <c r="M58" s="16"/>
    </row>
    <row r="59" spans="1:13" ht="15" customHeight="1">
      <c r="H59" s="101"/>
      <c r="I59" s="17"/>
      <c r="J59" s="17"/>
      <c r="K59" s="17" t="s">
        <v>198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199</v>
      </c>
      <c r="L61" s="17"/>
      <c r="M61" s="17"/>
    </row>
    <row r="62" spans="1:13" ht="15" customHeight="1">
      <c r="H62" s="101"/>
      <c r="I62" s="16"/>
      <c r="J62" s="16"/>
      <c r="K62" s="16" t="s">
        <v>200</v>
      </c>
      <c r="L62" s="16"/>
      <c r="M62" s="16"/>
    </row>
    <row r="63" spans="1:13" ht="15" customHeight="1">
      <c r="H63" s="101"/>
      <c r="I63" s="17"/>
      <c r="J63" s="17"/>
      <c r="K63" s="17"/>
      <c r="L63" s="17"/>
      <c r="M63" s="17"/>
    </row>
    <row r="64" spans="1:13" ht="15" customHeight="1">
      <c r="H64" s="101"/>
      <c r="I64" s="16"/>
      <c r="J64" s="16"/>
      <c r="K64" s="16"/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18" activePane="bottomLeft" state="frozen"/>
      <selection pane="bottomLeft" activeCell="F252" sqref="F252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201</v>
      </c>
      <c r="C1" s="23" t="s">
        <v>12</v>
      </c>
      <c r="D1" s="22" t="s">
        <v>13</v>
      </c>
      <c r="E1" s="22" t="s">
        <v>202</v>
      </c>
      <c r="F1" s="23" t="s">
        <v>203</v>
      </c>
      <c r="G1" s="23" t="s">
        <v>204</v>
      </c>
      <c r="H1" s="23" t="s">
        <v>14</v>
      </c>
      <c r="I1" s="23" t="s">
        <v>15</v>
      </c>
      <c r="J1" s="23" t="s">
        <v>205</v>
      </c>
      <c r="K1" s="23" t="s">
        <v>206</v>
      </c>
      <c r="L1" s="23" t="s">
        <v>207</v>
      </c>
      <c r="M1" s="24" t="s">
        <v>208</v>
      </c>
      <c r="N1" s="23" t="s">
        <v>209</v>
      </c>
      <c r="O1" s="23" t="s">
        <v>210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211</v>
      </c>
      <c r="E2" s="59" t="s">
        <v>212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213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212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212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212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212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212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212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212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212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212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212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212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214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215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212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212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212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212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212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212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212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212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212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212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212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216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215</v>
      </c>
      <c r="O27" s="39">
        <v>1183060</v>
      </c>
    </row>
    <row r="28" spans="1:15" ht="18" customHeight="1">
      <c r="A28" s="94" t="s">
        <v>217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218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212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212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219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212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212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212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212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212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212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214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215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212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212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212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212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212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212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212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212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212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212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212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216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215</v>
      </c>
      <c r="O54" s="39">
        <v>959290</v>
      </c>
    </row>
    <row r="55" spans="1:15" ht="18" customHeight="1">
      <c r="A55" s="94" t="s">
        <v>217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218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212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212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212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212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212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212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212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212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212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212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212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212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214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215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212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212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220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212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212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212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212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212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212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212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212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216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215</v>
      </c>
      <c r="O81" s="39">
        <v>878050</v>
      </c>
    </row>
    <row r="82" spans="1:15" ht="18" customHeight="1">
      <c r="A82" s="94" t="s">
        <v>217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218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212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221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212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212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212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212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212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212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212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212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214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215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222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216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215</v>
      </c>
      <c r="O108" s="39">
        <v>1700000</v>
      </c>
    </row>
    <row r="109" spans="1:15" ht="18" customHeight="1">
      <c r="A109" s="94" t="s">
        <v>217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218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212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195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212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212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212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212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212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212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212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212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212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212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212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214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215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212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216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215</v>
      </c>
      <c r="O135" s="39">
        <v>862330</v>
      </c>
    </row>
    <row r="136" spans="1:15" ht="18" customHeight="1">
      <c r="A136" s="94" t="s">
        <v>217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218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212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212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212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212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212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212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212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212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214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215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212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212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212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212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212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212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212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212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212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212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212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212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216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215</v>
      </c>
      <c r="O162" s="44">
        <v>1546080</v>
      </c>
    </row>
    <row r="163" spans="1:15" ht="18" customHeight="1">
      <c r="A163" s="94" t="s">
        <v>217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218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212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212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212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212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212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212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212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212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212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212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214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215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212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212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212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212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212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212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212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212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212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212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212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212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216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215</v>
      </c>
      <c r="O189" s="39">
        <v>2355810</v>
      </c>
    </row>
    <row r="190" spans="1:15" ht="18" customHeight="1">
      <c r="A190" s="94" t="s">
        <v>217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218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212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212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212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212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212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212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212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212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212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212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212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212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214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215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212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212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212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212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212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212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212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212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212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212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212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212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216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215</v>
      </c>
      <c r="O216" s="45">
        <v>2013260</v>
      </c>
    </row>
    <row r="217" spans="1:15" ht="18" customHeight="1">
      <c r="A217" s="94" t="s">
        <v>217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218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212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223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212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212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212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212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212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212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212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212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212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212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214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215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212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212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212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212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212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212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212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212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212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212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212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212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216</v>
      </c>
      <c r="B243" s="92"/>
      <c r="C243" s="92"/>
      <c r="D243" s="92"/>
      <c r="E243" s="93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215</v>
      </c>
      <c r="O243" s="39">
        <v>1545480</v>
      </c>
    </row>
    <row r="244" spans="1:15" ht="18" customHeight="1">
      <c r="A244" s="94" t="s">
        <v>217</v>
      </c>
      <c r="B244" s="95"/>
      <c r="C244" s="95"/>
      <c r="D244" s="95"/>
      <c r="E244" s="96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218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212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224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212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212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212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212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212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212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212</v>
      </c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212</v>
      </c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212</v>
      </c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212</v>
      </c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212</v>
      </c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214</v>
      </c>
      <c r="B257" s="92"/>
      <c r="C257" s="92"/>
      <c r="D257" s="92"/>
      <c r="E257" s="93">
        <f>SUM(E245:E256)</f>
        <v>0</v>
      </c>
      <c r="F257" s="36">
        <f>SUM(F245:F256)</f>
        <v>170</v>
      </c>
      <c r="G257" s="36">
        <f>SUM(G245:G256)</f>
        <v>850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215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216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215</v>
      </c>
      <c r="O270" s="39"/>
    </row>
    <row r="271" spans="1:15" ht="18" customHeight="1">
      <c r="A271" s="94" t="s">
        <v>217</v>
      </c>
      <c r="B271" s="95"/>
      <c r="C271" s="95"/>
      <c r="D271" s="95"/>
      <c r="E271" s="96">
        <f>E257+E270</f>
        <v>0</v>
      </c>
      <c r="F271" s="40">
        <f>F257+F270</f>
        <v>170</v>
      </c>
      <c r="G271" s="40">
        <f>G257+G270</f>
        <v>850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218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214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215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216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215</v>
      </c>
      <c r="O297" s="39"/>
    </row>
    <row r="298" spans="1:15" ht="18" customHeight="1">
      <c r="A298" s="94" t="s">
        <v>217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218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214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215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216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215</v>
      </c>
      <c r="O324" s="39"/>
    </row>
    <row r="325" spans="1:15" ht="18" customHeight="1">
      <c r="A325" s="94" t="s">
        <v>217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218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214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215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216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215</v>
      </c>
      <c r="O351" s="39"/>
    </row>
    <row r="352" spans="1:15" ht="18" customHeight="1">
      <c r="A352" s="94" t="s">
        <v>217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218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214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215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216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215</v>
      </c>
      <c r="O378" s="39"/>
    </row>
    <row r="379" spans="1:15" ht="18" customHeight="1">
      <c r="A379" s="94" t="s">
        <v>217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218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214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215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216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215</v>
      </c>
      <c r="O405" s="39"/>
    </row>
    <row r="406" spans="1:15" ht="18" customHeight="1">
      <c r="A406" s="94" t="s">
        <v>217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218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214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215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216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215</v>
      </c>
      <c r="O432" s="39"/>
    </row>
    <row r="433" spans="1:15" ht="18" customHeight="1">
      <c r="A433" s="94" t="s">
        <v>217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218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214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215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216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215</v>
      </c>
      <c r="O459" s="39"/>
    </row>
    <row r="460" spans="1:15" ht="18" customHeight="1">
      <c r="A460" s="94" t="s">
        <v>217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218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214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215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216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215</v>
      </c>
      <c r="O486" s="39"/>
    </row>
    <row r="487" spans="1:15" ht="18" customHeight="1">
      <c r="A487" s="94" t="s">
        <v>217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218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214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215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216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215</v>
      </c>
      <c r="O513" s="39"/>
    </row>
    <row r="514" spans="1:15" ht="18" customHeight="1">
      <c r="A514" s="94" t="s">
        <v>217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218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214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215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216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215</v>
      </c>
      <c r="O540" s="39"/>
    </row>
    <row r="541" spans="1:15" ht="18" customHeight="1">
      <c r="A541" s="94" t="s">
        <v>217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218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214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215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216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215</v>
      </c>
      <c r="O567" s="39"/>
    </row>
    <row r="568" spans="1:15" ht="18" customHeight="1">
      <c r="A568" s="94" t="s">
        <v>217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218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214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215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216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215</v>
      </c>
      <c r="O594" s="39"/>
    </row>
    <row r="595" spans="1:15" ht="18" customHeight="1">
      <c r="A595" s="94" t="s">
        <v>217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218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214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215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216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215</v>
      </c>
      <c r="O621" s="39"/>
    </row>
    <row r="622" spans="1:15" ht="18" customHeight="1">
      <c r="A622" s="94" t="s">
        <v>217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218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214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215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216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215</v>
      </c>
      <c r="O648" s="39"/>
    </row>
    <row r="649" spans="1:15" ht="18" customHeight="1">
      <c r="A649" s="94" t="s">
        <v>217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218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214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215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216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215</v>
      </c>
      <c r="O675" s="39"/>
    </row>
    <row r="676" spans="1:15" ht="18" customHeight="1">
      <c r="A676" s="94" t="s">
        <v>217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218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214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215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216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215</v>
      </c>
      <c r="O702" s="39"/>
    </row>
    <row r="703" spans="1:15" ht="18" customHeight="1">
      <c r="A703" s="94" t="s">
        <v>217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218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214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215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216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215</v>
      </c>
      <c r="O729" s="39"/>
    </row>
    <row r="730" spans="1:15" ht="18" customHeight="1">
      <c r="A730" s="94" t="s">
        <v>217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218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214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215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216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215</v>
      </c>
      <c r="O756" s="39"/>
    </row>
    <row r="757" spans="1:15" ht="18" customHeight="1">
      <c r="A757" s="94" t="s">
        <v>217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218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214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215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216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215</v>
      </c>
      <c r="O783" s="39"/>
    </row>
    <row r="784" spans="1:15" ht="18" customHeight="1">
      <c r="A784" s="94" t="s">
        <v>217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218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214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215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216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215</v>
      </c>
      <c r="O810" s="39"/>
    </row>
    <row r="811" spans="1:15" ht="18" customHeight="1">
      <c r="A811" s="94" t="s">
        <v>217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218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18" activePane="bottomLeft" state="frozen"/>
      <selection pane="bottomLeft" activeCell="F252" sqref="F252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201</v>
      </c>
      <c r="C1" s="23" t="s">
        <v>12</v>
      </c>
      <c r="D1" s="22" t="s">
        <v>13</v>
      </c>
      <c r="E1" s="22" t="s">
        <v>202</v>
      </c>
      <c r="F1" s="23" t="s">
        <v>203</v>
      </c>
      <c r="G1" s="23" t="s">
        <v>204</v>
      </c>
      <c r="H1" s="23" t="s">
        <v>14</v>
      </c>
      <c r="I1" s="23" t="s">
        <v>15</v>
      </c>
      <c r="J1" s="23" t="s">
        <v>205</v>
      </c>
      <c r="K1" s="23" t="s">
        <v>206</v>
      </c>
      <c r="L1" s="23" t="s">
        <v>207</v>
      </c>
      <c r="M1" s="24" t="s">
        <v>208</v>
      </c>
      <c r="N1" s="23" t="s">
        <v>209</v>
      </c>
      <c r="O1" s="23" t="s">
        <v>210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225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225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214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215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225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216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215</v>
      </c>
      <c r="O27" s="78">
        <v>393200</v>
      </c>
    </row>
    <row r="28" spans="1:15" ht="18" customHeight="1">
      <c r="A28" s="94" t="s">
        <v>217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218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226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225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225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225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225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225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225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225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214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215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225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225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225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227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225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225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225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225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225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225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225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225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225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216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215</v>
      </c>
      <c r="O54" s="85">
        <v>276360</v>
      </c>
    </row>
    <row r="55" spans="1:15" ht="18" customHeight="1">
      <c r="A55" s="94" t="s">
        <v>217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218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228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229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214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215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225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225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225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225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225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225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225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225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225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225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225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216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215</v>
      </c>
      <c r="O81" s="54">
        <v>787860</v>
      </c>
    </row>
    <row r="82" spans="1:15" ht="18" customHeight="1">
      <c r="A82" s="94" t="s">
        <v>217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218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225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230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225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225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225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225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212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212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212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212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214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215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225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231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225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232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225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233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225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225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225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225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225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225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225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225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225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216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215</v>
      </c>
      <c r="O108" s="54">
        <v>1087080</v>
      </c>
    </row>
    <row r="109" spans="1:15" ht="18" customHeight="1">
      <c r="A109" s="94" t="s">
        <v>217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218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225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225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234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225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225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225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225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225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214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215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212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235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212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212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236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212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237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212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212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212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194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238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212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194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216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215</v>
      </c>
      <c r="O135" s="54">
        <v>794480</v>
      </c>
    </row>
    <row r="136" spans="1:15" ht="18" customHeight="1">
      <c r="A136" s="94" t="s">
        <v>217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218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194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212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212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239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212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212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212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212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212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214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215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212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240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212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198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225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225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225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225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225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225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225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225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216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215</v>
      </c>
      <c r="O162" s="54">
        <v>882280</v>
      </c>
    </row>
    <row r="163" spans="1:15" ht="18" customHeight="1">
      <c r="A163" s="94" t="s">
        <v>217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218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225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225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225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225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225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225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225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225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225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225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214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215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216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215</v>
      </c>
      <c r="O189" s="78"/>
    </row>
    <row r="190" spans="1:15" ht="18" customHeight="1">
      <c r="A190" s="94" t="s">
        <v>217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218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214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215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225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212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225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242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225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243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225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225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225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225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225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225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216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215</v>
      </c>
      <c r="O216" s="78">
        <v>648410</v>
      </c>
    </row>
    <row r="217" spans="1:15" ht="18" customHeight="1">
      <c r="A217" s="94" t="s">
        <v>217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218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225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244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225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245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225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225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225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225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225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225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225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225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225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214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215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225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198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212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246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225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225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240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225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225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225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225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225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225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225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216</v>
      </c>
      <c r="B243" s="92"/>
      <c r="C243" s="92"/>
      <c r="D243" s="92"/>
      <c r="E243" s="93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215</v>
      </c>
      <c r="O243" s="78">
        <v>849060</v>
      </c>
    </row>
    <row r="244" spans="1:15" ht="18" customHeight="1">
      <c r="A244" s="94" t="s">
        <v>217</v>
      </c>
      <c r="B244" s="95"/>
      <c r="C244" s="95"/>
      <c r="D244" s="95"/>
      <c r="E244" s="96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218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225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247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225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225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225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225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225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225</v>
      </c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225</v>
      </c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225</v>
      </c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225</v>
      </c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225</v>
      </c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214</v>
      </c>
      <c r="B257" s="92"/>
      <c r="C257" s="92"/>
      <c r="D257" s="92"/>
      <c r="E257" s="93">
        <f>SUM(E245:E256)</f>
        <v>0</v>
      </c>
      <c r="F257" s="36">
        <f>SUM(F245:F256)</f>
        <v>79</v>
      </c>
      <c r="G257" s="36">
        <f>SUM(G245:G256)</f>
        <v>331.79999999999995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215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216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215</v>
      </c>
      <c r="O270" s="78"/>
    </row>
    <row r="271" spans="1:15" ht="18" customHeight="1">
      <c r="A271" s="94" t="s">
        <v>217</v>
      </c>
      <c r="B271" s="95"/>
      <c r="C271" s="95"/>
      <c r="D271" s="95"/>
      <c r="E271" s="96">
        <f>E257+E270</f>
        <v>0</v>
      </c>
      <c r="F271" s="40">
        <f>F257+F270</f>
        <v>79</v>
      </c>
      <c r="G271" s="40">
        <f>G257+G270</f>
        <v>331.79999999999995</v>
      </c>
      <c r="H271" s="41"/>
      <c r="I271" s="41"/>
      <c r="J271" s="41"/>
      <c r="K271" s="41"/>
      <c r="L271" s="41"/>
      <c r="M271" s="42">
        <f ca="1">IFERROR(M257+M270,"")</f>
        <v>7.2222222222222243E-2</v>
      </c>
      <c r="N271" s="40" t="s">
        <v>218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214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215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216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215</v>
      </c>
      <c r="O297" s="78"/>
    </row>
    <row r="298" spans="1:15" ht="18" customHeight="1">
      <c r="A298" s="94" t="s">
        <v>217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218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214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215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216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215</v>
      </c>
      <c r="O324" s="78"/>
    </row>
    <row r="325" spans="1:15" ht="18" customHeight="1">
      <c r="A325" s="94" t="s">
        <v>217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218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214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215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216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215</v>
      </c>
      <c r="O351" s="78"/>
    </row>
    <row r="352" spans="1:15" ht="18" customHeight="1">
      <c r="A352" s="94" t="s">
        <v>217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218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214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215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216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215</v>
      </c>
      <c r="O378" s="78"/>
    </row>
    <row r="379" spans="1:15" ht="18" customHeight="1">
      <c r="A379" s="94" t="s">
        <v>217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218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214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215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216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215</v>
      </c>
      <c r="O405" s="78"/>
    </row>
    <row r="406" spans="1:15" ht="18" customHeight="1">
      <c r="A406" s="94" t="s">
        <v>217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218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214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215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216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215</v>
      </c>
      <c r="O432" s="78"/>
    </row>
    <row r="433" spans="1:15" ht="18" customHeight="1">
      <c r="A433" s="94" t="s">
        <v>217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218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214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215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216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215</v>
      </c>
      <c r="O459" s="78"/>
    </row>
    <row r="460" spans="1:15" ht="18" customHeight="1">
      <c r="A460" s="94" t="s">
        <v>217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218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214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215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216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215</v>
      </c>
      <c r="O486" s="78"/>
    </row>
    <row r="487" spans="1:15" ht="18" customHeight="1">
      <c r="A487" s="94" t="s">
        <v>217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218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214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215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216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215</v>
      </c>
      <c r="O513" s="78"/>
    </row>
    <row r="514" spans="1:15" ht="18" customHeight="1">
      <c r="A514" s="94" t="s">
        <v>217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218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214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215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216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215</v>
      </c>
      <c r="O540" s="78"/>
    </row>
    <row r="541" spans="1:15" ht="18" customHeight="1">
      <c r="A541" s="94" t="s">
        <v>217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218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214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215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216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215</v>
      </c>
      <c r="O567" s="78"/>
    </row>
    <row r="568" spans="1:15" ht="18" customHeight="1">
      <c r="A568" s="94" t="s">
        <v>217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218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214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215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216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215</v>
      </c>
      <c r="O594" s="78"/>
    </row>
    <row r="595" spans="1:15" ht="18" customHeight="1">
      <c r="A595" s="94" t="s">
        <v>217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218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214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215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216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215</v>
      </c>
      <c r="O621" s="78"/>
    </row>
    <row r="622" spans="1:15" ht="18" customHeight="1">
      <c r="A622" s="94" t="s">
        <v>217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218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214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215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216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215</v>
      </c>
      <c r="O648" s="78"/>
    </row>
    <row r="649" spans="1:15" ht="18" customHeight="1">
      <c r="A649" s="94" t="s">
        <v>217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218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214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215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216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215</v>
      </c>
      <c r="O675" s="78"/>
    </row>
    <row r="676" spans="1:15" ht="18" customHeight="1">
      <c r="A676" s="94" t="s">
        <v>217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218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214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215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216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215</v>
      </c>
      <c r="O702" s="78"/>
    </row>
    <row r="703" spans="1:15" ht="18" customHeight="1">
      <c r="A703" s="94" t="s">
        <v>217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218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214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215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216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215</v>
      </c>
      <c r="O729" s="78"/>
    </row>
    <row r="730" spans="1:15" ht="18" customHeight="1">
      <c r="A730" s="94" t="s">
        <v>217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218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214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215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216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215</v>
      </c>
      <c r="O756" s="39"/>
    </row>
    <row r="757" spans="1:15" ht="18" customHeight="1">
      <c r="A757" s="94" t="s">
        <v>217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218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214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215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216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215</v>
      </c>
      <c r="O783" s="39"/>
    </row>
    <row r="784" spans="1:15" ht="18" customHeight="1">
      <c r="A784" s="94" t="s">
        <v>217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218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214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215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216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215</v>
      </c>
      <c r="O810" s="39"/>
    </row>
    <row r="811" spans="1:15" ht="18" customHeight="1">
      <c r="A811" s="94" t="s">
        <v>217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218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211" zoomScale="50" zoomScaleNormal="50" workbookViewId="0">
      <selection activeCell="F252" sqref="F252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201</v>
      </c>
      <c r="C1" s="23" t="s">
        <v>12</v>
      </c>
      <c r="D1" s="22" t="s">
        <v>13</v>
      </c>
      <c r="E1" s="22" t="s">
        <v>202</v>
      </c>
      <c r="F1" s="23" t="s">
        <v>203</v>
      </c>
      <c r="G1" s="23" t="s">
        <v>204</v>
      </c>
      <c r="H1" s="23" t="s">
        <v>14</v>
      </c>
      <c r="I1" s="23" t="s">
        <v>15</v>
      </c>
      <c r="J1" s="23" t="s">
        <v>205</v>
      </c>
      <c r="K1" s="23" t="s">
        <v>206</v>
      </c>
      <c r="L1" s="23" t="s">
        <v>207</v>
      </c>
      <c r="M1" s="24" t="s">
        <v>208</v>
      </c>
      <c r="N1" s="23" t="s">
        <v>209</v>
      </c>
      <c r="O1" s="23" t="s">
        <v>210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248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249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214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215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225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225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225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225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225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225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225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225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225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225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225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216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215</v>
      </c>
      <c r="O27" s="39">
        <v>308500</v>
      </c>
    </row>
    <row r="28" spans="1:15" ht="18" customHeight="1">
      <c r="A28" s="94" t="s">
        <v>217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218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250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225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225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225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225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225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225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225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225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225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225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225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214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215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225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225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225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225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225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225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225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225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225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225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225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225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216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215</v>
      </c>
      <c r="O54" s="39">
        <v>124290</v>
      </c>
    </row>
    <row r="55" spans="1:15" ht="18" customHeight="1">
      <c r="A55" s="94" t="s">
        <v>217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218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225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225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225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225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251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225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225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225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225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225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225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225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225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214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215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225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252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225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225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225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225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225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225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225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225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225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216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215</v>
      </c>
      <c r="O81" s="39">
        <v>396340</v>
      </c>
    </row>
    <row r="82" spans="1:15" ht="18" customHeight="1">
      <c r="A82" s="94" t="s">
        <v>217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218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212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212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212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253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212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212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212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212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212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214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215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225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225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225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225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225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216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215</v>
      </c>
      <c r="O108" s="39">
        <v>41230</v>
      </c>
    </row>
    <row r="109" spans="1:15" ht="18" customHeight="1">
      <c r="A109" s="94" t="s">
        <v>217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218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225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225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214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215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212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212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212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212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212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212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212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238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216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215</v>
      </c>
      <c r="O135" s="39">
        <v>381250</v>
      </c>
    </row>
    <row r="136" spans="1:15" ht="18" customHeight="1">
      <c r="A136" s="94" t="s">
        <v>217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218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212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212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212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212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212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254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212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212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212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212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214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215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212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255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212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225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225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225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225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225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225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225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225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225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216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215</v>
      </c>
      <c r="O162" s="39">
        <v>337120</v>
      </c>
    </row>
    <row r="163" spans="1:15" ht="18" customHeight="1">
      <c r="A163" s="94" t="s">
        <v>217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218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212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225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225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256</v>
      </c>
      <c r="N166" s="27" t="s">
        <v>257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225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225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225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225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225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225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225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225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225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214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215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225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225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225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225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225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225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225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225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225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225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225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225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216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215</v>
      </c>
      <c r="O189" s="39">
        <v>747210</v>
      </c>
    </row>
    <row r="190" spans="1:15" ht="18" customHeight="1">
      <c r="A190" s="94" t="s">
        <v>217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218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225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225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258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225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225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225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225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225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225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225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225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214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215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225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212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225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225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225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225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225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225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225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225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216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215</v>
      </c>
      <c r="O216" s="39">
        <v>468430</v>
      </c>
    </row>
    <row r="217" spans="1:15" ht="18" customHeight="1">
      <c r="A217" s="94" t="s">
        <v>217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218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225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225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225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225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225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225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225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225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225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225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225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225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214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215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225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212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225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225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225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225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225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225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225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225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212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225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216</v>
      </c>
      <c r="B243" s="92"/>
      <c r="C243" s="92"/>
      <c r="D243" s="92"/>
      <c r="E243" s="93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215</v>
      </c>
      <c r="O243" s="39">
        <v>575930</v>
      </c>
    </row>
    <row r="244" spans="1:15" ht="18" customHeight="1">
      <c r="A244" s="94" t="s">
        <v>217</v>
      </c>
      <c r="B244" s="95"/>
      <c r="C244" s="95"/>
      <c r="D244" s="95"/>
      <c r="E244" s="96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218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225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200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225</v>
      </c>
      <c r="F246" s="27">
        <v>15</v>
      </c>
      <c r="G246" s="34">
        <f t="shared" si="54"/>
        <v>63</v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225</v>
      </c>
      <c r="F247" s="27">
        <v>12</v>
      </c>
      <c r="G247" s="28">
        <f t="shared" si="54"/>
        <v>50.400000000000006</v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225</v>
      </c>
      <c r="F248" s="27">
        <v>18</v>
      </c>
      <c r="G248" s="34">
        <f t="shared" si="54"/>
        <v>75.600000000000009</v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225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225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225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225</v>
      </c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225</v>
      </c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225</v>
      </c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225</v>
      </c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225</v>
      </c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214</v>
      </c>
      <c r="B257" s="92"/>
      <c r="C257" s="92"/>
      <c r="D257" s="92"/>
      <c r="E257" s="93">
        <f>SUM(E245:E256)</f>
        <v>0</v>
      </c>
      <c r="F257" s="36">
        <f>SUM(F245:F256)</f>
        <v>90</v>
      </c>
      <c r="G257" s="36">
        <f>SUM(G245:G256)</f>
        <v>378</v>
      </c>
      <c r="H257" s="37"/>
      <c r="I257" s="37"/>
      <c r="J257" s="37"/>
      <c r="K257" s="37"/>
      <c r="L257" s="37"/>
      <c r="M257" s="38">
        <f ca="1">IFERROR(SUM(M245:M256),"")</f>
        <v>1.5972222222222276E-2</v>
      </c>
      <c r="N257" s="36" t="s">
        <v>215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216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215</v>
      </c>
      <c r="O270" s="39"/>
    </row>
    <row r="271" spans="1:15" ht="18" customHeight="1">
      <c r="A271" s="94" t="s">
        <v>217</v>
      </c>
      <c r="B271" s="95"/>
      <c r="C271" s="95"/>
      <c r="D271" s="95"/>
      <c r="E271" s="96">
        <f>E257+E270</f>
        <v>0</v>
      </c>
      <c r="F271" s="40">
        <f>F257+F270</f>
        <v>90</v>
      </c>
      <c r="G271" s="40">
        <f>G257+G270</f>
        <v>378</v>
      </c>
      <c r="H271" s="41"/>
      <c r="I271" s="41"/>
      <c r="J271" s="41"/>
      <c r="K271" s="41"/>
      <c r="L271" s="41"/>
      <c r="M271" s="42">
        <f ca="1">IFERROR(M257+M270,"")</f>
        <v>1.5972222222222276E-2</v>
      </c>
      <c r="N271" s="40" t="s">
        <v>218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214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215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216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215</v>
      </c>
      <c r="O297" s="39"/>
    </row>
    <row r="298" spans="1:15" ht="18" customHeight="1">
      <c r="A298" s="94" t="s">
        <v>217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218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214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215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216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215</v>
      </c>
      <c r="O324" s="39"/>
    </row>
    <row r="325" spans="1:15" ht="18" customHeight="1">
      <c r="A325" s="94" t="s">
        <v>217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218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214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215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216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215</v>
      </c>
      <c r="O351" s="39"/>
    </row>
    <row r="352" spans="1:15" ht="18" customHeight="1">
      <c r="A352" s="94" t="s">
        <v>217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218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214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215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216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215</v>
      </c>
      <c r="O378" s="39"/>
    </row>
    <row r="379" spans="1:15" ht="18" customHeight="1">
      <c r="A379" s="94" t="s">
        <v>217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218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214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215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216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215</v>
      </c>
      <c r="O405" s="39"/>
    </row>
    <row r="406" spans="1:15" ht="18" customHeight="1">
      <c r="A406" s="94" t="s">
        <v>217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218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214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215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216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215</v>
      </c>
      <c r="O432" s="39"/>
    </row>
    <row r="433" spans="1:15" ht="18" customHeight="1">
      <c r="A433" s="94" t="s">
        <v>217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218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214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215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216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215</v>
      </c>
      <c r="O459" s="39"/>
    </row>
    <row r="460" spans="1:15" ht="18" customHeight="1">
      <c r="A460" s="94" t="s">
        <v>217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218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214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215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216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215</v>
      </c>
      <c r="O486" s="39"/>
    </row>
    <row r="487" spans="1:15" ht="18" customHeight="1">
      <c r="A487" s="94" t="s">
        <v>217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218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214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215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216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215</v>
      </c>
      <c r="O513" s="39"/>
    </row>
    <row r="514" spans="1:15" ht="18" customHeight="1">
      <c r="A514" s="94" t="s">
        <v>217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218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214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215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216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215</v>
      </c>
      <c r="O540" s="39"/>
    </row>
    <row r="541" spans="1:15" ht="18" customHeight="1">
      <c r="A541" s="94" t="s">
        <v>217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218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214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215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216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215</v>
      </c>
      <c r="O567" s="39"/>
    </row>
    <row r="568" spans="1:15" ht="18" customHeight="1">
      <c r="A568" s="94" t="s">
        <v>217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218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214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215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216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215</v>
      </c>
      <c r="O594" s="39"/>
    </row>
    <row r="595" spans="1:15" ht="18" customHeight="1">
      <c r="A595" s="94" t="s">
        <v>217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218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214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215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216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215</v>
      </c>
      <c r="O621" s="39"/>
    </row>
    <row r="622" spans="1:15" ht="18" customHeight="1">
      <c r="A622" s="94" t="s">
        <v>217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218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214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215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216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215</v>
      </c>
      <c r="O648" s="39"/>
    </row>
    <row r="649" spans="1:15" ht="18" customHeight="1">
      <c r="A649" s="94" t="s">
        <v>217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218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214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215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216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215</v>
      </c>
      <c r="O675" s="39"/>
    </row>
    <row r="676" spans="1:15" ht="18" customHeight="1">
      <c r="A676" s="94" t="s">
        <v>217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218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214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215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216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215</v>
      </c>
      <c r="O702" s="39"/>
    </row>
    <row r="703" spans="1:15" ht="18" customHeight="1">
      <c r="A703" s="94" t="s">
        <v>217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218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214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215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216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215</v>
      </c>
      <c r="O729" s="39"/>
    </row>
    <row r="730" spans="1:15" ht="18" customHeight="1">
      <c r="A730" s="94" t="s">
        <v>217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218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214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215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216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215</v>
      </c>
      <c r="O756" s="39"/>
    </row>
    <row r="757" spans="1:15" ht="18" customHeight="1">
      <c r="A757" s="94" t="s">
        <v>217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218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214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215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216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215</v>
      </c>
      <c r="O783" s="39"/>
    </row>
    <row r="784" spans="1:15" ht="18" customHeight="1">
      <c r="A784" s="94" t="s">
        <v>217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218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214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215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216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215</v>
      </c>
      <c r="O810" s="39"/>
    </row>
    <row r="811" spans="1:15" ht="18" customHeight="1">
      <c r="A811" s="94" t="s">
        <v>217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218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217" activePane="bottomLeft" state="frozen"/>
      <selection pane="bottomLeft" activeCell="I247" sqref="I247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201</v>
      </c>
      <c r="C1" s="23" t="s">
        <v>12</v>
      </c>
      <c r="D1" s="22" t="s">
        <v>13</v>
      </c>
      <c r="E1" s="22" t="s">
        <v>202</v>
      </c>
      <c r="F1" s="23" t="s">
        <v>203</v>
      </c>
      <c r="G1" s="23" t="s">
        <v>204</v>
      </c>
      <c r="H1" s="23" t="s">
        <v>14</v>
      </c>
      <c r="I1" s="23" t="s">
        <v>15</v>
      </c>
      <c r="J1" s="23" t="s">
        <v>205</v>
      </c>
      <c r="K1" s="23" t="s">
        <v>206</v>
      </c>
      <c r="L1" s="23" t="s">
        <v>207</v>
      </c>
      <c r="M1" s="24" t="s">
        <v>208</v>
      </c>
      <c r="N1" s="23" t="s">
        <v>209</v>
      </c>
      <c r="O1" s="23" t="s">
        <v>210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259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225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252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214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215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260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216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215</v>
      </c>
      <c r="O27" s="39">
        <v>202230</v>
      </c>
    </row>
    <row r="28" spans="1:15" ht="18" customHeight="1">
      <c r="A28" s="94" t="s">
        <v>217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218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261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225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225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225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225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225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262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225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225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225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225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225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214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215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225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225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225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225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225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225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225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225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225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225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216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215</v>
      </c>
      <c r="O54" s="39">
        <v>473910</v>
      </c>
    </row>
    <row r="55" spans="1:15" ht="18" customHeight="1">
      <c r="A55" s="94" t="s">
        <v>217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218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225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225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225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263</v>
      </c>
      <c r="L58" s="29">
        <v>0.54097222222222219</v>
      </c>
      <c r="M58" s="30" t="str">
        <f t="shared" ca="1" si="13"/>
        <v/>
      </c>
      <c r="N58" s="27" t="s">
        <v>264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225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225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225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225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225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225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225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225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214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215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225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225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248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225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193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225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265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225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266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225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267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225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268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225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225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225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216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215</v>
      </c>
      <c r="O81" s="39">
        <v>565120</v>
      </c>
    </row>
    <row r="82" spans="1:15" ht="18" customHeight="1">
      <c r="A82" s="94" t="s">
        <v>217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218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269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225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225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212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212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212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212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212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212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212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214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215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225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225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225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194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225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216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215</v>
      </c>
      <c r="O108" s="39">
        <v>558590</v>
      </c>
    </row>
    <row r="109" spans="1:15" ht="18" customHeight="1">
      <c r="A109" s="94" t="s">
        <v>217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218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194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270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225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225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225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225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214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215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212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212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271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212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196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272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212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212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212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0.33596111111546634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212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238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216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0.53526666667102196</v>
      </c>
      <c r="N135" s="36" t="s">
        <v>215</v>
      </c>
      <c r="O135" s="39">
        <v>729290</v>
      </c>
    </row>
    <row r="136" spans="1:18" ht="18" customHeight="1">
      <c r="A136" s="94" t="s">
        <v>217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0.90262777778213299</v>
      </c>
      <c r="N136" s="40" t="s">
        <v>218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212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212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212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273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212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212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212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212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212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212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212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214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215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212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212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225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274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225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225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225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225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225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225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225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225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225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216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215</v>
      </c>
      <c r="O162" s="39">
        <v>697320</v>
      </c>
    </row>
    <row r="163" spans="1:15" ht="18" customHeight="1">
      <c r="A163" s="94" t="s">
        <v>217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218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212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225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225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225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225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275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225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225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225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225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225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214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215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225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225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225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225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225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225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225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225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225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225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225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225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216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215</v>
      </c>
      <c r="O189" s="39">
        <v>973580</v>
      </c>
    </row>
    <row r="190" spans="1:15" ht="18" customHeight="1">
      <c r="A190" s="94" t="s">
        <v>217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218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225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225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225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276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225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277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225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225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225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225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225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214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215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225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212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225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278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225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225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225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225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225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225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225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225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225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216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215</v>
      </c>
      <c r="O216" s="45">
        <v>1060630</v>
      </c>
    </row>
    <row r="217" spans="1:15" ht="18" customHeight="1">
      <c r="A217" s="94" t="s">
        <v>217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218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225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279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225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225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280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225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225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225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225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225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281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225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225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225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214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215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225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212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282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225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225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225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225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225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225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212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225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212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216</v>
      </c>
      <c r="B243" s="92"/>
      <c r="C243" s="92"/>
      <c r="D243" s="92"/>
      <c r="E243" s="93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215</v>
      </c>
      <c r="O243" s="39">
        <v>982340</v>
      </c>
    </row>
    <row r="244" spans="1:15" ht="18" customHeight="1">
      <c r="A244" s="94" t="s">
        <v>217</v>
      </c>
      <c r="B244" s="95"/>
      <c r="C244" s="95"/>
      <c r="D244" s="95"/>
      <c r="E244" s="96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218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225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283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225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199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225</v>
      </c>
      <c r="F247" s="27">
        <v>17</v>
      </c>
      <c r="G247" s="28">
        <f t="shared" si="54"/>
        <v>71.400000000000006</v>
      </c>
      <c r="H247" s="33" t="s">
        <v>18</v>
      </c>
      <c r="I247" s="33" t="s">
        <v>57</v>
      </c>
      <c r="J247" s="33"/>
      <c r="K247" s="29">
        <v>0.56944444444444442</v>
      </c>
      <c r="L247" s="29"/>
      <c r="M247" s="30">
        <f t="shared" ca="1" si="55"/>
        <v>1.5822222223505378E-2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225</v>
      </c>
      <c r="F248" s="27">
        <v>5</v>
      </c>
      <c r="G248" s="34">
        <f t="shared" si="54"/>
        <v>21</v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225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225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225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225</v>
      </c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225</v>
      </c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225</v>
      </c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225</v>
      </c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225</v>
      </c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214</v>
      </c>
      <c r="B257" s="92"/>
      <c r="C257" s="92"/>
      <c r="D257" s="92"/>
      <c r="E257" s="93">
        <f>SUM(E245:E256)</f>
        <v>0</v>
      </c>
      <c r="F257" s="36">
        <f>SUM(F245:F256)</f>
        <v>101</v>
      </c>
      <c r="G257" s="36">
        <f>SUM(G245:G256)</f>
        <v>424.19999999999993</v>
      </c>
      <c r="H257" s="37"/>
      <c r="I257" s="37"/>
      <c r="J257" s="37"/>
      <c r="K257" s="61"/>
      <c r="L257" s="61"/>
      <c r="M257" s="38">
        <f ca="1">IFERROR(SUM(M245:M256),"")</f>
        <v>0.10818333333461649</v>
      </c>
      <c r="N257" s="36" t="s">
        <v>215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216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215</v>
      </c>
      <c r="O270" s="39"/>
    </row>
    <row r="271" spans="1:15" ht="18" customHeight="1">
      <c r="A271" s="94" t="s">
        <v>217</v>
      </c>
      <c r="B271" s="95"/>
      <c r="C271" s="95"/>
      <c r="D271" s="95"/>
      <c r="E271" s="96">
        <f>E257+E270</f>
        <v>0</v>
      </c>
      <c r="F271" s="40">
        <f>F257+F270</f>
        <v>101</v>
      </c>
      <c r="G271" s="40">
        <f>G257+G270</f>
        <v>424.19999999999993</v>
      </c>
      <c r="H271" s="41"/>
      <c r="I271" s="41"/>
      <c r="J271" s="41"/>
      <c r="K271" s="63"/>
      <c r="L271" s="63"/>
      <c r="M271" s="42">
        <f ca="1">IFERROR(M257+M270,"")</f>
        <v>0.10818333333461649</v>
      </c>
      <c r="N271" s="40" t="s">
        <v>218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214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215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216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215</v>
      </c>
      <c r="O297" s="39"/>
    </row>
    <row r="298" spans="1:15" ht="18" customHeight="1">
      <c r="A298" s="94" t="s">
        <v>217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218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214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215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216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215</v>
      </c>
      <c r="O324" s="39"/>
    </row>
    <row r="325" spans="1:15" ht="18" customHeight="1">
      <c r="A325" s="94" t="s">
        <v>217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218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214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215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216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215</v>
      </c>
      <c r="O351" s="39"/>
    </row>
    <row r="352" spans="1:15" ht="18" customHeight="1">
      <c r="A352" s="94" t="s">
        <v>217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218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214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215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216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215</v>
      </c>
      <c r="O378" s="39"/>
    </row>
    <row r="379" spans="1:15" ht="18" customHeight="1">
      <c r="A379" s="94" t="s">
        <v>217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218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214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215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216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215</v>
      </c>
      <c r="O405" s="39"/>
    </row>
    <row r="406" spans="1:15" ht="18" customHeight="1">
      <c r="A406" s="94" t="s">
        <v>217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218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214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215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216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215</v>
      </c>
      <c r="O432" s="39"/>
    </row>
    <row r="433" spans="1:17" ht="18" customHeight="1">
      <c r="A433" s="94" t="s">
        <v>217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218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214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215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216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215</v>
      </c>
      <c r="O459" s="39"/>
    </row>
    <row r="460" spans="1:15" ht="18" customHeight="1">
      <c r="A460" s="94" t="s">
        <v>217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218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214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215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216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215</v>
      </c>
      <c r="O486" s="39"/>
    </row>
    <row r="487" spans="1:15" ht="18" customHeight="1">
      <c r="A487" s="94" t="s">
        <v>217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218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214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215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216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215</v>
      </c>
      <c r="O513" s="39"/>
    </row>
    <row r="514" spans="1:15" ht="18" customHeight="1">
      <c r="A514" s="94" t="s">
        <v>217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218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214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215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216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215</v>
      </c>
      <c r="O540" s="39"/>
    </row>
    <row r="541" spans="1:15" ht="18" customHeight="1">
      <c r="A541" s="94" t="s">
        <v>217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218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214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215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216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215</v>
      </c>
      <c r="O567" s="39"/>
    </row>
    <row r="568" spans="1:15" ht="18" customHeight="1">
      <c r="A568" s="94" t="s">
        <v>217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218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214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215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216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215</v>
      </c>
      <c r="O594" s="39"/>
    </row>
    <row r="595" spans="1:15" ht="18" customHeight="1">
      <c r="A595" s="94" t="s">
        <v>217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218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214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215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216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215</v>
      </c>
      <c r="O621" s="39"/>
    </row>
    <row r="622" spans="1:15" ht="18" customHeight="1">
      <c r="A622" s="94" t="s">
        <v>217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218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214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215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216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215</v>
      </c>
      <c r="O648" s="39"/>
    </row>
    <row r="649" spans="1:15" ht="18" customHeight="1">
      <c r="A649" s="94" t="s">
        <v>217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218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214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215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216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215</v>
      </c>
      <c r="O675" s="39"/>
    </row>
    <row r="676" spans="1:15" ht="18" customHeight="1">
      <c r="A676" s="94" t="s">
        <v>217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218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214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215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216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215</v>
      </c>
      <c r="O702" s="39"/>
    </row>
    <row r="703" spans="1:15" ht="18" customHeight="1">
      <c r="A703" s="94" t="s">
        <v>217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218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214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215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216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215</v>
      </c>
      <c r="O729" s="39"/>
    </row>
    <row r="730" spans="1:15" ht="18" customHeight="1">
      <c r="A730" s="94" t="s">
        <v>217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218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214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215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216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215</v>
      </c>
      <c r="O756" s="39"/>
    </row>
    <row r="757" spans="1:15" ht="18" customHeight="1">
      <c r="A757" s="94" t="s">
        <v>217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218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214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215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216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215</v>
      </c>
      <c r="O783" s="39"/>
    </row>
    <row r="784" spans="1:15" ht="18" customHeight="1">
      <c r="A784" s="94" t="s">
        <v>217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218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214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215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216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215</v>
      </c>
      <c r="O810" s="39"/>
    </row>
    <row r="811" spans="1:15" ht="18" customHeight="1">
      <c r="A811" s="94" t="s">
        <v>217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218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2026-07-10T18:03:10Z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