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08" documentId="8_{C51EB6CB-002B-4D6B-B68F-DDEBDB4460C0}" xr6:coauthVersionLast="47" xr6:coauthVersionMax="47" xr10:uidLastSave="{7852F1E3-0959-4A23-A17B-860EEAA3D076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<sst xmlns="http://schemas.openxmlformats.org/spreadsheetml/2006/main" count="4083" uniqueCount="299">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</sst>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N193" sqref="N1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70</v>
      </c>
      <c r="G203" s="36">
        <f>SUM(G191:G202)</f>
        <v>350</v>
      </c>
      <c r="H203" s="37"/>
      <c r="I203" s="37"/>
      <c r="J203" s="37"/>
      <c r="K203" s="37"/>
      <c r="L203" s="37"/>
      <c r="M203" s="38">
        <f ca="1">IFERROR(SUM(M191:M202),"")</f>
        <v>2.6388888888888906E-2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70</v>
      </c>
      <c r="G217" s="40">
        <f>G203+G216</f>
        <v>350</v>
      </c>
      <c r="H217" s="41"/>
      <c r="I217" s="41"/>
      <c r="J217" s="41"/>
      <c r="K217" s="41"/>
      <c r="L217" s="41"/>
      <c r="M217" s="42">
        <f ca="1">IFERROR(M203+M216,"")</f>
        <v>2.6388888888888906E-2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4" sqref="F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0.31083090277388692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0.44971979166277581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0.53444201388499812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35</v>
      </c>
      <c r="G203" s="36">
        <f>SUM(G191:G202)</f>
        <v>147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35</v>
      </c>
      <c r="G217" s="40">
        <f>G203+G216</f>
        <v>147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J193" sqref="J1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/>
      <c r="M193" s="35">
        <f t="shared" ca="1" si="43"/>
        <v>1.8031250001513399E-3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</v>
      </c>
      <c r="G203" s="36">
        <f>SUM(G191:G202)</f>
        <v>8.4</v>
      </c>
      <c r="H203" s="37"/>
      <c r="I203" s="37"/>
      <c r="J203" s="37"/>
      <c r="K203" s="37"/>
      <c r="L203" s="37"/>
      <c r="M203" s="38">
        <f ca="1">IFERROR(SUM(M191:M202),"")</f>
        <v>6.8469791666817936E-2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</v>
      </c>
      <c r="G217" s="40">
        <f>G203+G216</f>
        <v>8.4</v>
      </c>
      <c r="H217" s="41"/>
      <c r="I217" s="41"/>
      <c r="J217" s="41"/>
      <c r="K217" s="41"/>
      <c r="L217" s="41"/>
      <c r="M217" s="42">
        <f ca="1">IFERROR(M203+M216,"")</f>
        <v>6.8469791666817936E-2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80" activePane="bottomLeft" state="frozen"/>
      <selection pane="bottomLeft" activeCell="J192" sqref="J1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20</v>
      </c>
      <c r="I192" s="26" t="s">
        <v>157</v>
      </c>
      <c r="J192" s="33" t="s">
        <v>74</v>
      </c>
      <c r="K192" s="29">
        <v>0.43055555555555558</v>
      </c>
      <c r="L192" s="29"/>
      <c r="M192" s="30">
        <f t="shared" ca="1" si="43"/>
        <v>1.8031250001513399E-3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44</v>
      </c>
      <c r="G203" s="36">
        <f>SUM(G191:G202)</f>
        <v>184.8</v>
      </c>
      <c r="H203" s="37"/>
      <c r="I203" s="37"/>
      <c r="J203" s="37"/>
      <c r="K203" s="61"/>
      <c r="L203" s="61"/>
      <c r="M203" s="38">
        <f ca="1">IFERROR(SUM(M191:M202),"")</f>
        <v>2.1247569444595771E-2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44</v>
      </c>
      <c r="G217" s="40">
        <f>G203+G216</f>
        <v>184.8</v>
      </c>
      <c r="H217" s="41"/>
      <c r="I217" s="41"/>
      <c r="J217" s="41"/>
      <c r="K217" s="63"/>
      <c r="L217" s="63"/>
      <c r="M217" s="42">
        <f ca="1">IFERROR(M203+M216,"")</f>
        <v>2.1247569444595771E-2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2026-08-08T14:22:48Z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