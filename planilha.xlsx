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982" documentId="8_{C51EB6CB-002B-4D6B-B68F-DDEBDB4460C0}" xr6:coauthVersionLast="47" xr6:coauthVersionMax="47" xr10:uidLastSave="{EC319770-56A1-4981-A5F6-C7D106B2DB01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<sst xmlns="http://schemas.openxmlformats.org/spreadsheetml/2006/main" count="2594" uniqueCount="265">
  <si>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</si>
  <si>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</si>
  <si>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</si>
  <si>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</si>
  <si>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</si>
  <si>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</si>
  <si>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</si>
  <si>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</si>
  <si>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</si>
  <si>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</si>
  <si>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</si>
  <si>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</si>
  <si>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</si>
  <si>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</si>
  <si>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</si>
  <si>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</si>
  <si>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</si>
  <si>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</si>
  <si>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</si>
  <si>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</si>
  <si>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</si>
  <si>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</si>
  <si>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</si>
  <si>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</si>
  <si>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</si>
  <si>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</si>
  <si>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</si>
  <si>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</si>
  <si>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</si>
  <si>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</si>
  <si>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</si>
  <si>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</si>
  <si>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</si>
  <si>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</si>
  <si>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</si>
  <si>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</si>
  <si>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</si>
  <si>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</si>
  <si>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</si>
  <si>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</si>
  <si>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</si>
  <si>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</si>
  <si>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</si>
  <si>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</si>
  <si>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</si>
  <si>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</si>
  <si>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</si>
  <si>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</si>
  <si>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</si>
  <si>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</si>
  <si>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</si>
  <si>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</si>
  <si>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</si>
  <si>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</si>
  <si>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</si>
  <si>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</si>
  <si>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</si>
  <si>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</si>
  <si>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</si>
  <si>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</si>
  <si>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</si>
  <si>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</si>
  <si>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</si>
  <si>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</si>
  <si>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</si>
  <si>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</si>
  <si>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</si>
  <si>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</si>
  <si>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</si>
  <si>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</si>
  <si>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</si>
  <si>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</si>
  <si>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</si>
  <si>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</si>
  <si>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</si>
  <si>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</si>
  <si>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</si>
  <si>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</si>
  <si>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</si>
  <si>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</si>
  <si>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</si>
  <si>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</si>
  <si>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</si>
  <si>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</si>
  <si>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</si>
  <si>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</si>
  <si>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</si>
  <si>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</si>
  <si>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</si>
  <si>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</si>
  <si>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</si>
  <si>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</si>
  <si>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</si>
  <si>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</si>
  <si>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</si>
  <si>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</si>
  <si>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</si>
  <si>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</si>
  <si>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</si>
  <si>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</si>
  <si>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</si>
  <si>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</si>
  <si>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</si>
  <si>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</si>
  <si>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</si>
  <si>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</si>
  <si>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</si>
  <si>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</si>
  <si>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</si>
  <si>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</si>
  <si>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</si>
  <si>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</si>
  <si>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</si>
  <si>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</si>
  <si>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</si>
  <si>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</si>
  <si>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</si>
  <si>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</si>
  <si>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</si>
  <si>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</si>
  <si>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</si>
  <si>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</si>
  <si>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</si>
  <si>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</si>
  <si>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</si>
  <si>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</si>
  <si>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</si>
  <si>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</si>
  <si>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</si>
  <si>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</si>
  <si>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</si>
  <si>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</si>
  <si>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</si>
  <si>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</si>
  <si>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</si>
  <si>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</si>
  <si>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</si>
  <si>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</si>
  <si>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</si>
  <si>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</si>
  <si>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</si>
  <si>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</si>
  <si>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</si>
  <si>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</si>
  <si>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</si>
  <si>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</si>
  <si>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</si>
  <si>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</si>
  <si>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</si>
  <si>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</si>
  <si>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</si>
  <si>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</si>
  <si>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</si>
  <si>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</si>
  <si>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</si>
  <si>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</si>
  <si>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</si>
  <si>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</si>
  <si>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</si>
  <si>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</si>
  <si>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</si>
  <si>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</si>
  <si>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</si>
  <si>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</si>
  <si>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</si>
  <si>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</si>
  <si>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</si>
  <si>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</si>
  <si>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</si>
  <si>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</si>
  <si>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</si>
  <si>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</si>
  <si>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</si>
  <si>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</si>
  <si>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</si>
  <si>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</si>
  <si>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</si>
  <si>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</si>
  <si>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</si>
  <si>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</si>
  <si>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</si>
  <si>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</si>
  <si>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</si>
  <si>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</si>
  <si>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</si>
  <si>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</si>
  <si>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</si>
  <si>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</si>
  <si>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</si>
  <si>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</si>
  <si>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</si>
  <si>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</si>
  <si>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</si>
  <si>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</si>
  <si>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</si>
  <si>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</si>
  <si>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</si>
  <si>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</si>
  <si>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</si>
  <si>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</si>
  <si>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</si>
  <si>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</si>
  <si>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</si>
  <si>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</si>
  <si>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</si>
  <si>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</si>
  <si>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</si>
  <si>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</si>
  <si>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</si>
  <si>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</si>
  <si>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</si>
  <si>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</si>
  <si>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</si>
  <si>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</si>
  <si>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</si>
  <si>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</si>
  <si>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</si>
  <si>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</si>
  <si>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</si>
  <si>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</si>
  <si>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</si>
  <si>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</si>
  <si>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</si>
  <si>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</si>
  <si>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</si>
  <si>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</si>
  <si>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</si>
  <si>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</si>
  <si>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</si>
  <si>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</si>
  <si>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</si>
  <si>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</si>
  <si>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</si>
  <si>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</si>
  <si>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</si>
  <si>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</si>
  <si>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</si>
  <si>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</si>
  <si>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</si>
  <si>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</si>
  <si>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</si>
  <si>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</si>
  <si>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</si>
  <si>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</si>
  <si>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</si>
  <si>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</si>
  <si>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</si>
  <si>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</si>
  <si>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</si>
  <si>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</si>
  <si>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</si>
  <si>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bomba com problema,troca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</si>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</sst>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2050</v>
      </c>
      <c r="D7" s="11">
        <f>IFERROR('Linha 1'!O109,"")</f>
        <v>449600</v>
      </c>
      <c r="E7" s="11">
        <f>IFERROR('Linha 2'!O109,"")</f>
        <v>204160</v>
      </c>
      <c r="F7" s="11">
        <f>IFERROR('Linha 3'!O109,"")</f>
        <v>786700</v>
      </c>
      <c r="G7" s="12">
        <f t="shared" si="0"/>
        <v>1440460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7781455</v>
      </c>
      <c r="D35" s="13">
        <f>IFERROR(SUM(D4:D34),"")</f>
        <v>3343680</v>
      </c>
      <c r="E35" s="13">
        <f>IFERROR(SUM(E4:E34),"")</f>
        <v>1813040</v>
      </c>
      <c r="F35" s="13">
        <f>IFERROR(SUM(F4:F34),"")</f>
        <v>4048370</v>
      </c>
      <c r="G35" s="13">
        <f>IFERROR(SUM(G4:G34),"")</f>
        <v>9205090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/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9" activePane="bottomLeft" state="frozen"/>
      <selection pane="bottomLeft" activeCell="E97" sqref="E9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36</v>
      </c>
      <c r="G108" s="36">
        <f>SUM(G96:G107)</f>
        <v>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345</v>
      </c>
      <c r="G109" s="40">
        <f>G95+G108</f>
        <v>1725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2050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5" t="s">
        <v>233</v>
      </c>
      <c r="B811" s="116"/>
      <c r="C811" s="116"/>
      <c r="D811" s="116"/>
      <c r="E811" s="117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F97" sqref="F9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0.71704525462700985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0.85593414351589869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0.94065636573812106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/>
      <c r="F96" s="27">
        <v>3</v>
      </c>
      <c r="G96" s="34" t="str">
        <f t="shared" ref="G96:G107" si="21">IF(F96="","",IF(E96="PC 17",F96*4.2,IF(E96="PC 19",F96*5,IF(E96="CB",F96*24,""))))</f>
        <v/>
      </c>
      <c r="H96" s="26" t="s">
        <v>18</v>
      </c>
      <c r="I96" s="26" t="s">
        <v>138</v>
      </c>
      <c r="J96" s="26"/>
      <c r="K96" s="29">
        <v>0.79166666666666663</v>
      </c>
      <c r="L96" s="29"/>
      <c r="M96" s="30">
        <f t="shared" ref="M96:M107" ca="1" si="22">IFERROR(IF(K96="","",IF(L96="",MOD(NOW()-K96,1),IF(L96&gt;=K96,L96-K96,L96+1-K96))),"")</f>
        <v>4.6906365743780043E-2</v>
      </c>
      <c r="N96" s="46" t="s">
        <v>251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3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4.6906365743780043E-2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99</v>
      </c>
      <c r="G109" s="40">
        <f>G95+G108</f>
        <v>403.2</v>
      </c>
      <c r="H109" s="41"/>
      <c r="I109" s="41"/>
      <c r="J109" s="41"/>
      <c r="K109" s="41"/>
      <c r="L109" s="41"/>
      <c r="M109" s="42">
        <f ca="1">IFERROR(M95+M108,"")</f>
        <v>0.26357303241044677</v>
      </c>
      <c r="N109" s="40" t="s">
        <v>234</v>
      </c>
      <c r="O109" s="82">
        <f>IFERROR(O95+O108,"")</f>
        <v>449600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91" zoomScale="50" zoomScaleNormal="50" workbookViewId="0">
      <selection activeCell="F97" sqref="F9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257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/>
      <c r="F96" s="27">
        <v>5</v>
      </c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5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53</v>
      </c>
      <c r="G109" s="40">
        <f>G95+G108</f>
        <v>201.6</v>
      </c>
      <c r="H109" s="41"/>
      <c r="I109" s="41"/>
      <c r="J109" s="41"/>
      <c r="K109" s="41"/>
      <c r="L109" s="41"/>
      <c r="M109" s="42">
        <f ca="1">IFERROR(M95+M108,"")</f>
        <v>0.15625</v>
      </c>
      <c r="N109" s="40" t="s">
        <v>234</v>
      </c>
      <c r="O109" s="43">
        <f>IFERROR(O95+O108,"")</f>
        <v>204160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91" activePane="bottomLeft" state="frozen"/>
      <selection pane="bottomLeft" activeCell="E102" sqref="E10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20</v>
      </c>
      <c r="G108" s="36">
        <f>SUM(G96:G107)</f>
        <v>84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203</v>
      </c>
      <c r="G109" s="40">
        <f>G95+G108</f>
        <v>852.6</v>
      </c>
      <c r="H109" s="41"/>
      <c r="I109" s="41"/>
      <c r="J109" s="41"/>
      <c r="K109" s="63"/>
      <c r="L109" s="63"/>
      <c r="M109" s="42">
        <f ca="1">IFERROR(M95+M108,"")</f>
        <v>4.0972222222222132E-2</v>
      </c>
      <c r="N109" s="40" t="s">
        <v>234</v>
      </c>
      <c r="O109" s="48">
        <f>IFERROR(O95+O108,"")</f>
        <v>786700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2026-08-05T00:07:33Z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