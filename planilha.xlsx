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29" documentId="8_{AF585B22-221D-4780-BB9C-493D365A6A02}" xr6:coauthVersionLast="47" xr6:coauthVersionMax="47" xr10:uidLastSave="{4154C68F-B374-430D-A549-ED5AEF430FA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<sst xmlns="http://schemas.openxmlformats.org/spreadsheetml/2006/main" count="9130" uniqueCount="377">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</sst>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92" sqref="F5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6.0822569445008412E-2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7.4711458333897252E-2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0.13304479166723054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4.059027778566815E-4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0.15804479166674557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0.26776701388896773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0.97887812500266591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1.1497114583359993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1.2948503472248882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124</v>
      </c>
      <c r="G594" s="36">
        <f>SUM(G582:G593)</f>
        <v>529.59999999999991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354</v>
      </c>
      <c r="G595" s="40">
        <f>G581+G594</f>
        <v>1495.6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F591" sqref="F5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146</v>
      </c>
      <c r="G595" s="40">
        <f>G581+G594</f>
        <v>617.20000000000005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1" sqref="F5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0.99068368056032341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1.189989236115879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1.5573503472269901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/>
      <c r="M583" s="35">
        <f t="shared" ref="M582:M593" ca="1" si="131">IFERROR(IF(K583="","",IF(L583="",MOD(NOW()-K583,1),IF(L583&gt;=K583,L583-K583,L583+1-K583))),"")</f>
        <v>8.7392361165257171E-3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112</v>
      </c>
      <c r="G594" s="36">
        <f>SUM(G582:G593)</f>
        <v>470.8</v>
      </c>
      <c r="H594" s="37"/>
      <c r="I594" s="37"/>
      <c r="J594" s="37"/>
      <c r="K594" s="61"/>
      <c r="L594" s="61"/>
      <c r="M594" s="38">
        <f ca="1">IFERROR(SUM(M582:M593),"")</f>
        <v>8.7392361165257171E-3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112</v>
      </c>
      <c r="G595" s="40">
        <f>G581+G594</f>
        <v>470.8</v>
      </c>
      <c r="H595" s="41"/>
      <c r="I595" s="41"/>
      <c r="J595" s="41"/>
      <c r="K595" s="63"/>
      <c r="L595" s="63"/>
      <c r="M595" s="42">
        <f ca="1">IFERROR(M581+M594,"")</f>
        <v>0.50873923611652572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2026-07-23T09:46:06Z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