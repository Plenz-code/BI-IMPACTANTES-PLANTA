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17" documentId="8_{AF585B22-221D-4780-BB9C-493D365A6A02}" xr6:coauthVersionLast="47" xr6:coauthVersionMax="47" xr10:uidLastSave="{7439A85A-8EFF-40B6-B1A7-371CEF3BB1B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<sst xmlns="http://schemas.openxmlformats.org/spreadsheetml/2006/main" count="8410" uniqueCount="362">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</sst>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J529" sqref="J5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/>
      <c r="M529" s="35">
        <f t="shared" ref="M528:M539" ca="1" si="119">IFERROR(IF(K529="","",IF(L529="",MOD(NOW()-K529,1),IF(L529&gt;=K529,L529-K529,L529+1-K529))),"")</f>
        <v>9.2002315068384632E-4</v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148</v>
      </c>
      <c r="G540" s="36">
        <f>SUM(G528:G539)</f>
        <v>740</v>
      </c>
      <c r="H540" s="37"/>
      <c r="I540" s="37"/>
      <c r="J540" s="37"/>
      <c r="K540" s="37"/>
      <c r="L540" s="37"/>
      <c r="M540" s="38">
        <f ca="1">IFERROR(SUM(M528:M539),"")</f>
        <v>3.4253356484017179E-2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322</v>
      </c>
      <c r="G541" s="40">
        <f>G527+G540</f>
        <v>1610</v>
      </c>
      <c r="H541" s="41"/>
      <c r="I541" s="41"/>
      <c r="J541" s="41"/>
      <c r="K541" s="41"/>
      <c r="L541" s="41"/>
      <c r="M541" s="42">
        <f ca="1">IFERROR(M527+M540,"")</f>
        <v>0.23078113426179492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4" sqref="F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0.81897557870252058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0.97661446759140946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1.0863366898136317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0.79744780092732981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0.9682811342606632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1.1134200231495521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63</v>
      </c>
      <c r="G540" s="36">
        <f>SUM(G528:G539)</f>
        <v>264.60000000000002</v>
      </c>
      <c r="H540" s="37"/>
      <c r="I540" s="37"/>
      <c r="J540" s="37"/>
      <c r="K540" s="37"/>
      <c r="L540" s="37"/>
      <c r="M540" s="38">
        <f ca="1">IFERROR(SUM(M528:M539),"")</f>
        <v>4.9305555555555623E-2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247</v>
      </c>
      <c r="G541" s="40">
        <f>G527+G540</f>
        <v>1037.4000000000001</v>
      </c>
      <c r="H541" s="41"/>
      <c r="I541" s="41"/>
      <c r="J541" s="41"/>
      <c r="K541" s="41"/>
      <c r="L541" s="41"/>
      <c r="M541" s="42">
        <f ca="1">IFERROR(M527+M540,"")</f>
        <v>0.13680555555555571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4" sqref="F5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/>
      <c r="I533" s="33"/>
      <c r="J533" s="33"/>
      <c r="K533" s="29">
        <v>2.5000000000000001E-2</v>
      </c>
      <c r="L533" s="29"/>
      <c r="M533" s="35">
        <f t="shared" ca="1" si="118"/>
        <v>3.355891203682404E-2</v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27</v>
      </c>
      <c r="G540" s="36">
        <f>SUM(G528:G539)</f>
        <v>113.4</v>
      </c>
      <c r="H540" s="37"/>
      <c r="I540" s="37"/>
      <c r="J540" s="37"/>
      <c r="K540" s="37"/>
      <c r="L540" s="37"/>
      <c r="M540" s="38">
        <f ca="1">IFERROR(SUM(M528:M539),"")</f>
        <v>0.10925335648126844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78</v>
      </c>
      <c r="G541" s="40">
        <f>G527+G540</f>
        <v>327.60000000000002</v>
      </c>
      <c r="H541" s="41"/>
      <c r="I541" s="41"/>
      <c r="J541" s="41"/>
      <c r="K541" s="41"/>
      <c r="L541" s="41"/>
      <c r="M541" s="42">
        <f ca="1">IFERROR(M527+M540,"")</f>
        <v>0.21342002314793501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4" sqref="F5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0.80925335648498731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1.0085589120405429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1.375920023151654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52</v>
      </c>
      <c r="G540" s="36">
        <f>SUM(G528:G539)</f>
        <v>218.4</v>
      </c>
      <c r="H540" s="37"/>
      <c r="I540" s="37"/>
      <c r="J540" s="37"/>
      <c r="K540" s="61"/>
      <c r="L540" s="61"/>
      <c r="M540" s="38">
        <f ca="1">IFERROR(SUM(M528:M539),"")</f>
        <v>5.5555555555555552E-2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132</v>
      </c>
      <c r="G541" s="40">
        <f>G527+G540</f>
        <v>554.40000000000009</v>
      </c>
      <c r="H541" s="41"/>
      <c r="I541" s="41"/>
      <c r="J541" s="41"/>
      <c r="K541" s="63"/>
      <c r="L541" s="63"/>
      <c r="M541" s="42">
        <f ca="1">IFERROR(M527+M540,"")</f>
        <v>0.36736111111111103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2026-07-21T05:24:28Z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