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85" documentId="13_ncr:1_{0A10D8D4-8450-4366-8075-B53B08E6B7EA}" xr6:coauthVersionLast="47" xr6:coauthVersionMax="47" xr10:uidLastSave="{D56E2414-D8B1-43FE-8FCE-8AFF43187A53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<sst xmlns="http://schemas.openxmlformats.org/spreadsheetml/2006/main" count="7520" uniqueCount="363">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</sst>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 x14ac:dyDescent="0.25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 x14ac:dyDescent="0.25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 x14ac:dyDescent="0.25">
      <c r="M2" s="170"/>
    </row>
    <row r="3" spans="1:18" ht="26.1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70"/>
      <c r="N58" s="16"/>
      <c r="O58" s="16"/>
      <c r="P58" s="16" t="s">
        <v>216</v>
      </c>
      <c r="Q58" s="16"/>
      <c r="R58" s="16"/>
    </row>
    <row r="59" spans="1:18" ht="15" customHeight="1" x14ac:dyDescent="0.25">
      <c r="M59" s="170"/>
      <c r="N59" s="17"/>
      <c r="O59" s="17"/>
      <c r="P59" s="17" t="s">
        <v>217</v>
      </c>
      <c r="Q59" s="17"/>
      <c r="R59" s="17"/>
    </row>
    <row r="60" spans="1:18" ht="15" customHeight="1" x14ac:dyDescent="0.25">
      <c r="M60" s="170"/>
      <c r="N60" s="16"/>
      <c r="O60" s="16"/>
      <c r="P60" s="77" t="s">
        <v>112</v>
      </c>
      <c r="Q60" s="16"/>
      <c r="R60" s="16"/>
    </row>
    <row r="61" spans="1:18" ht="15" customHeight="1" x14ac:dyDescent="0.25">
      <c r="M61" s="170"/>
      <c r="N61" s="17"/>
      <c r="O61" s="17"/>
      <c r="P61" s="17" t="s">
        <v>218</v>
      </c>
      <c r="Q61" s="17"/>
      <c r="R61" s="17"/>
    </row>
    <row r="62" spans="1:18" ht="15" customHeight="1" x14ac:dyDescent="0.25">
      <c r="M62" s="170"/>
      <c r="N62" s="16"/>
      <c r="O62" s="16"/>
      <c r="P62" s="16" t="s">
        <v>219</v>
      </c>
      <c r="Q62" s="16"/>
      <c r="R62" s="16"/>
    </row>
    <row r="63" spans="1:18" ht="15" customHeight="1" x14ac:dyDescent="0.25">
      <c r="M63" s="170"/>
      <c r="N63" s="17"/>
      <c r="O63" s="17"/>
      <c r="P63" s="17" t="s">
        <v>220</v>
      </c>
      <c r="Q63" s="17"/>
      <c r="R63" s="17"/>
    </row>
    <row r="64" spans="1:18" ht="15" customHeight="1" x14ac:dyDescent="0.25">
      <c r="M64" s="170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70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70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70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70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70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70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70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70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70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70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70"/>
      <c r="N75" s="17"/>
      <c r="O75" s="17"/>
      <c r="P75" s="17" t="s">
        <v>232</v>
      </c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1" activePane="bottomLeft" state="frozen"/>
      <selection sqref="A1:G409"/>
      <selection pane="bottomLeft" activeCell="J434" sqref="J434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59" t="s">
        <v>244</v>
      </c>
      <c r="B14" s="160"/>
      <c r="C14" s="160"/>
      <c r="D14" s="160"/>
      <c r="E14" s="17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59" t="s">
        <v>247</v>
      </c>
      <c r="B27" s="160"/>
      <c r="C27" s="160"/>
      <c r="D27" s="160"/>
      <c r="E27" s="17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25">
      <c r="A28" s="161" t="s">
        <v>248</v>
      </c>
      <c r="B28" s="162"/>
      <c r="C28" s="162"/>
      <c r="D28" s="162"/>
      <c r="E28" s="17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59" t="s">
        <v>244</v>
      </c>
      <c r="B41" s="160"/>
      <c r="C41" s="160"/>
      <c r="D41" s="160"/>
      <c r="E41" s="17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59" t="s">
        <v>247</v>
      </c>
      <c r="B54" s="160"/>
      <c r="C54" s="160"/>
      <c r="D54" s="160"/>
      <c r="E54" s="17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25">
      <c r="A55" s="161" t="s">
        <v>248</v>
      </c>
      <c r="B55" s="162"/>
      <c r="C55" s="162"/>
      <c r="D55" s="162"/>
      <c r="E55" s="17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59" t="s">
        <v>244</v>
      </c>
      <c r="B68" s="160"/>
      <c r="C68" s="160"/>
      <c r="D68" s="160"/>
      <c r="E68" s="17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59" t="s">
        <v>247</v>
      </c>
      <c r="B81" s="160"/>
      <c r="C81" s="160"/>
      <c r="D81" s="160"/>
      <c r="E81" s="17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25">
      <c r="A82" s="161" t="s">
        <v>248</v>
      </c>
      <c r="B82" s="162"/>
      <c r="C82" s="162"/>
      <c r="D82" s="162"/>
      <c r="E82" s="17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59" t="s">
        <v>244</v>
      </c>
      <c r="B95" s="160"/>
      <c r="C95" s="160"/>
      <c r="D95" s="160"/>
      <c r="E95" s="17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59" t="s">
        <v>247</v>
      </c>
      <c r="B108" s="160"/>
      <c r="C108" s="160"/>
      <c r="D108" s="160"/>
      <c r="E108" s="17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25">
      <c r="A109" s="161" t="s">
        <v>248</v>
      </c>
      <c r="B109" s="162"/>
      <c r="C109" s="162"/>
      <c r="D109" s="162"/>
      <c r="E109" s="17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59" t="s">
        <v>244</v>
      </c>
      <c r="B122" s="160"/>
      <c r="C122" s="160"/>
      <c r="D122" s="160"/>
      <c r="E122" s="17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59" t="s">
        <v>247</v>
      </c>
      <c r="B135" s="160"/>
      <c r="C135" s="160"/>
      <c r="D135" s="160"/>
      <c r="E135" s="17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25">
      <c r="A136" s="161" t="s">
        <v>248</v>
      </c>
      <c r="B136" s="162"/>
      <c r="C136" s="162"/>
      <c r="D136" s="162"/>
      <c r="E136" s="17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59" t="s">
        <v>244</v>
      </c>
      <c r="B149" s="160"/>
      <c r="C149" s="160"/>
      <c r="D149" s="160"/>
      <c r="E149" s="17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59" t="s">
        <v>247</v>
      </c>
      <c r="B162" s="160"/>
      <c r="C162" s="160"/>
      <c r="D162" s="160"/>
      <c r="E162" s="17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25">
      <c r="A163" s="161" t="s">
        <v>248</v>
      </c>
      <c r="B163" s="162"/>
      <c r="C163" s="162"/>
      <c r="D163" s="162"/>
      <c r="E163" s="17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59" t="s">
        <v>244</v>
      </c>
      <c r="B176" s="160"/>
      <c r="C176" s="160"/>
      <c r="D176" s="160"/>
      <c r="E176" s="17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59" t="s">
        <v>247</v>
      </c>
      <c r="B189" s="160"/>
      <c r="C189" s="160"/>
      <c r="D189" s="160"/>
      <c r="E189" s="17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25">
      <c r="A190" s="161" t="s">
        <v>248</v>
      </c>
      <c r="B190" s="162"/>
      <c r="C190" s="162"/>
      <c r="D190" s="162"/>
      <c r="E190" s="17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59" t="s">
        <v>244</v>
      </c>
      <c r="B203" s="160"/>
      <c r="C203" s="160"/>
      <c r="D203" s="160"/>
      <c r="E203" s="17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59" t="s">
        <v>247</v>
      </c>
      <c r="B216" s="160"/>
      <c r="C216" s="160"/>
      <c r="D216" s="160"/>
      <c r="E216" s="17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25">
      <c r="A217" s="161" t="s">
        <v>248</v>
      </c>
      <c r="B217" s="162"/>
      <c r="C217" s="162"/>
      <c r="D217" s="162"/>
      <c r="E217" s="17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63" t="s">
        <v>244</v>
      </c>
      <c r="B230" s="164"/>
      <c r="C230" s="164"/>
      <c r="D230" s="164"/>
      <c r="E230" s="17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59" t="s">
        <v>247</v>
      </c>
      <c r="B243" s="160"/>
      <c r="C243" s="160"/>
      <c r="D243" s="160"/>
      <c r="E243" s="17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25">
      <c r="A244" s="161" t="s">
        <v>248</v>
      </c>
      <c r="B244" s="162"/>
      <c r="C244" s="162"/>
      <c r="D244" s="162"/>
      <c r="E244" s="17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59" t="s">
        <v>244</v>
      </c>
      <c r="B257" s="160"/>
      <c r="C257" s="160"/>
      <c r="D257" s="160"/>
      <c r="E257" s="17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59" t="s">
        <v>247</v>
      </c>
      <c r="B270" s="160"/>
      <c r="C270" s="160"/>
      <c r="D270" s="160"/>
      <c r="E270" s="17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25">
      <c r="A271" s="161" t="s">
        <v>248</v>
      </c>
      <c r="B271" s="162"/>
      <c r="C271" s="162"/>
      <c r="D271" s="162"/>
      <c r="E271" s="17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59" t="s">
        <v>244</v>
      </c>
      <c r="B284" s="160"/>
      <c r="C284" s="160"/>
      <c r="D284" s="160"/>
      <c r="E284" s="17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59" t="s">
        <v>247</v>
      </c>
      <c r="B297" s="160"/>
      <c r="C297" s="160"/>
      <c r="D297" s="160"/>
      <c r="E297" s="17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25">
      <c r="A298" s="161" t="s">
        <v>248</v>
      </c>
      <c r="B298" s="162"/>
      <c r="C298" s="162"/>
      <c r="D298" s="162"/>
      <c r="E298" s="17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59" t="s">
        <v>244</v>
      </c>
      <c r="B311" s="160"/>
      <c r="C311" s="160"/>
      <c r="D311" s="160"/>
      <c r="E311" s="177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59" t="s">
        <v>247</v>
      </c>
      <c r="B324" s="160"/>
      <c r="C324" s="160"/>
      <c r="D324" s="160"/>
      <c r="E324" s="17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25">
      <c r="A325" s="161" t="s">
        <v>248</v>
      </c>
      <c r="B325" s="162"/>
      <c r="C325" s="162"/>
      <c r="D325" s="162"/>
      <c r="E325" s="17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59" t="s">
        <v>244</v>
      </c>
      <c r="B338" s="160"/>
      <c r="C338" s="160"/>
      <c r="D338" s="160"/>
      <c r="E338" s="177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59" t="s">
        <v>247</v>
      </c>
      <c r="B351" s="160"/>
      <c r="C351" s="160"/>
      <c r="D351" s="160"/>
      <c r="E351" s="177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25">
      <c r="A352" s="161" t="s">
        <v>248</v>
      </c>
      <c r="B352" s="162"/>
      <c r="C352" s="162"/>
      <c r="D352" s="162"/>
      <c r="E352" s="176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59" t="s">
        <v>244</v>
      </c>
      <c r="B365" s="160"/>
      <c r="C365" s="160"/>
      <c r="D365" s="160"/>
      <c r="E365" s="177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59" t="s">
        <v>247</v>
      </c>
      <c r="B378" s="160"/>
      <c r="C378" s="160"/>
      <c r="D378" s="160"/>
      <c r="E378" s="177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25">
      <c r="A379" s="161" t="s">
        <v>248</v>
      </c>
      <c r="B379" s="162"/>
      <c r="C379" s="162"/>
      <c r="D379" s="162"/>
      <c r="E379" s="176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59" t="s">
        <v>244</v>
      </c>
      <c r="B392" s="160"/>
      <c r="C392" s="160"/>
      <c r="D392" s="160"/>
      <c r="E392" s="177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59" t="s">
        <v>247</v>
      </c>
      <c r="B405" s="160"/>
      <c r="C405" s="160"/>
      <c r="D405" s="160"/>
      <c r="E405" s="177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25">
      <c r="A406" s="161" t="s">
        <v>248</v>
      </c>
      <c r="B406" s="162"/>
      <c r="C406" s="162"/>
      <c r="D406" s="162"/>
      <c r="E406" s="176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59" t="s">
        <v>244</v>
      </c>
      <c r="B419" s="160"/>
      <c r="C419" s="160"/>
      <c r="D419" s="160"/>
      <c r="E419" s="177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59" t="s">
        <v>247</v>
      </c>
      <c r="B432" s="160"/>
      <c r="C432" s="160"/>
      <c r="D432" s="160"/>
      <c r="E432" s="177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 x14ac:dyDescent="0.25">
      <c r="A433" s="161" t="s">
        <v>248</v>
      </c>
      <c r="B433" s="162"/>
      <c r="C433" s="162"/>
      <c r="D433" s="162"/>
      <c r="E433" s="176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K434" s="29">
        <v>0.52638888888888891</v>
      </c>
      <c r="L434" s="29"/>
      <c r="M434" s="30">
        <f t="shared" ref="M434:M445" ca="1" si="92">IFERROR(IF(K434="","",IF(L434="",MOD(NOW()-K434,1),IF(L434&gt;=K434,L434-K434,L434+1-K434))),"")</f>
        <v>1.2535069443401881E-2</v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59" t="s">
        <v>244</v>
      </c>
      <c r="B446" s="160"/>
      <c r="C446" s="160"/>
      <c r="D446" s="160"/>
      <c r="E446" s="177">
        <f>SUM(E434:E445)</f>
        <v>0</v>
      </c>
      <c r="F446" s="36">
        <f>SUM(F434:F445)</f>
        <v>70</v>
      </c>
      <c r="G446" s="36">
        <f>SUM(G434:G445)</f>
        <v>350</v>
      </c>
      <c r="H446" s="37"/>
      <c r="I446" s="37"/>
      <c r="J446" s="37"/>
      <c r="K446" s="37"/>
      <c r="L446" s="37"/>
      <c r="M446" s="38">
        <f ca="1">IFERROR(SUM(M434:M445),"")</f>
        <v>1.2535069443401881E-2</v>
      </c>
      <c r="N446" s="36" t="s">
        <v>245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59" t="s">
        <v>247</v>
      </c>
      <c r="B459" s="160"/>
      <c r="C459" s="160"/>
      <c r="D459" s="160"/>
      <c r="E459" s="17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25">
      <c r="A460" s="161" t="s">
        <v>248</v>
      </c>
      <c r="B460" s="162"/>
      <c r="C460" s="162"/>
      <c r="D460" s="162"/>
      <c r="E460" s="176">
        <f>E446+E459</f>
        <v>0</v>
      </c>
      <c r="F460" s="40">
        <f>F446+F459</f>
        <v>70</v>
      </c>
      <c r="G460" s="40">
        <f>G446+G459</f>
        <v>350</v>
      </c>
      <c r="H460" s="41"/>
      <c r="I460" s="41"/>
      <c r="J460" s="41"/>
      <c r="K460" s="41"/>
      <c r="L460" s="41"/>
      <c r="M460" s="42">
        <f ca="1">IFERROR(M446+M459,"")</f>
        <v>1.2535069443401881E-2</v>
      </c>
      <c r="N460" s="40" t="s">
        <v>249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59" t="s">
        <v>244</v>
      </c>
      <c r="B473" s="160"/>
      <c r="C473" s="160"/>
      <c r="D473" s="160"/>
      <c r="E473" s="17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59" t="s">
        <v>247</v>
      </c>
      <c r="B486" s="160"/>
      <c r="C486" s="160"/>
      <c r="D486" s="160"/>
      <c r="E486" s="17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25">
      <c r="A487" s="161" t="s">
        <v>248</v>
      </c>
      <c r="B487" s="162"/>
      <c r="C487" s="162"/>
      <c r="D487" s="162"/>
      <c r="E487" s="17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59" t="s">
        <v>244</v>
      </c>
      <c r="B500" s="160"/>
      <c r="C500" s="160"/>
      <c r="D500" s="160"/>
      <c r="E500" s="17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59" t="s">
        <v>247</v>
      </c>
      <c r="B513" s="160"/>
      <c r="C513" s="160"/>
      <c r="D513" s="160"/>
      <c r="E513" s="17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25">
      <c r="A514" s="161" t="s">
        <v>248</v>
      </c>
      <c r="B514" s="162"/>
      <c r="C514" s="162"/>
      <c r="D514" s="162"/>
      <c r="E514" s="17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59" t="s">
        <v>244</v>
      </c>
      <c r="B527" s="160"/>
      <c r="C527" s="160"/>
      <c r="D527" s="160"/>
      <c r="E527" s="17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59" t="s">
        <v>247</v>
      </c>
      <c r="B540" s="160"/>
      <c r="C540" s="160"/>
      <c r="D540" s="160"/>
      <c r="E540" s="17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25">
      <c r="A541" s="161" t="s">
        <v>248</v>
      </c>
      <c r="B541" s="162"/>
      <c r="C541" s="162"/>
      <c r="D541" s="162"/>
      <c r="E541" s="17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59" t="s">
        <v>244</v>
      </c>
      <c r="B554" s="160"/>
      <c r="C554" s="160"/>
      <c r="D554" s="160"/>
      <c r="E554" s="17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59" t="s">
        <v>247</v>
      </c>
      <c r="B567" s="160"/>
      <c r="C567" s="160"/>
      <c r="D567" s="160"/>
      <c r="E567" s="17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25">
      <c r="A568" s="161" t="s">
        <v>248</v>
      </c>
      <c r="B568" s="162"/>
      <c r="C568" s="162"/>
      <c r="D568" s="162"/>
      <c r="E568" s="17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59" t="s">
        <v>244</v>
      </c>
      <c r="B581" s="160"/>
      <c r="C581" s="160"/>
      <c r="D581" s="160"/>
      <c r="E581" s="17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59" t="s">
        <v>247</v>
      </c>
      <c r="B594" s="160"/>
      <c r="C594" s="160"/>
      <c r="D594" s="160"/>
      <c r="E594" s="17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25">
      <c r="A595" s="161" t="s">
        <v>248</v>
      </c>
      <c r="B595" s="162"/>
      <c r="C595" s="162"/>
      <c r="D595" s="162"/>
      <c r="E595" s="17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59" t="s">
        <v>244</v>
      </c>
      <c r="B608" s="160"/>
      <c r="C608" s="160"/>
      <c r="D608" s="160"/>
      <c r="E608" s="17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59" t="s">
        <v>247</v>
      </c>
      <c r="B621" s="160"/>
      <c r="C621" s="160"/>
      <c r="D621" s="160"/>
      <c r="E621" s="17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25">
      <c r="A622" s="161" t="s">
        <v>248</v>
      </c>
      <c r="B622" s="162"/>
      <c r="C622" s="162"/>
      <c r="D622" s="162"/>
      <c r="E622" s="17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59" t="s">
        <v>244</v>
      </c>
      <c r="B635" s="160"/>
      <c r="C635" s="160"/>
      <c r="D635" s="160"/>
      <c r="E635" s="17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59" t="s">
        <v>247</v>
      </c>
      <c r="B648" s="160"/>
      <c r="C648" s="160"/>
      <c r="D648" s="160"/>
      <c r="E648" s="17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25">
      <c r="A649" s="161" t="s">
        <v>248</v>
      </c>
      <c r="B649" s="162"/>
      <c r="C649" s="162"/>
      <c r="D649" s="162"/>
      <c r="E649" s="17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59" t="s">
        <v>244</v>
      </c>
      <c r="B662" s="160"/>
      <c r="C662" s="160"/>
      <c r="D662" s="160"/>
      <c r="E662" s="17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59" t="s">
        <v>247</v>
      </c>
      <c r="B675" s="160"/>
      <c r="C675" s="160"/>
      <c r="D675" s="160"/>
      <c r="E675" s="17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25">
      <c r="A676" s="161" t="s">
        <v>248</v>
      </c>
      <c r="B676" s="162"/>
      <c r="C676" s="162"/>
      <c r="D676" s="162"/>
      <c r="E676" s="17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59" t="s">
        <v>244</v>
      </c>
      <c r="B689" s="160"/>
      <c r="C689" s="160"/>
      <c r="D689" s="160"/>
      <c r="E689" s="17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59" t="s">
        <v>247</v>
      </c>
      <c r="B702" s="160"/>
      <c r="C702" s="160"/>
      <c r="D702" s="160"/>
      <c r="E702" s="17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25">
      <c r="A703" s="161" t="s">
        <v>248</v>
      </c>
      <c r="B703" s="162"/>
      <c r="C703" s="162"/>
      <c r="D703" s="162"/>
      <c r="E703" s="17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59" t="s">
        <v>244</v>
      </c>
      <c r="B716" s="160"/>
      <c r="C716" s="160"/>
      <c r="D716" s="160"/>
      <c r="E716" s="17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59" t="s">
        <v>247</v>
      </c>
      <c r="B729" s="160"/>
      <c r="C729" s="160"/>
      <c r="D729" s="160"/>
      <c r="E729" s="17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25">
      <c r="A730" s="161" t="s">
        <v>248</v>
      </c>
      <c r="B730" s="162"/>
      <c r="C730" s="162"/>
      <c r="D730" s="162"/>
      <c r="E730" s="17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59" t="s">
        <v>244</v>
      </c>
      <c r="B743" s="160"/>
      <c r="C743" s="160"/>
      <c r="D743" s="160"/>
      <c r="E743" s="17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59" t="s">
        <v>247</v>
      </c>
      <c r="B756" s="160"/>
      <c r="C756" s="160"/>
      <c r="D756" s="160"/>
      <c r="E756" s="17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25">
      <c r="A757" s="161" t="s">
        <v>248</v>
      </c>
      <c r="B757" s="162"/>
      <c r="C757" s="162"/>
      <c r="D757" s="162"/>
      <c r="E757" s="17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59" t="s">
        <v>244</v>
      </c>
      <c r="B770" s="160"/>
      <c r="C770" s="160"/>
      <c r="D770" s="160"/>
      <c r="E770" s="17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59" t="s">
        <v>247</v>
      </c>
      <c r="B783" s="160"/>
      <c r="C783" s="160"/>
      <c r="D783" s="160"/>
      <c r="E783" s="17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25">
      <c r="A784" s="161" t="s">
        <v>248</v>
      </c>
      <c r="B784" s="162"/>
      <c r="C784" s="162"/>
      <c r="D784" s="162"/>
      <c r="E784" s="17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59" t="s">
        <v>244</v>
      </c>
      <c r="B797" s="160"/>
      <c r="C797" s="160"/>
      <c r="D797" s="160"/>
      <c r="E797" s="17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59" t="s">
        <v>247</v>
      </c>
      <c r="B810" s="160"/>
      <c r="C810" s="160"/>
      <c r="D810" s="160"/>
      <c r="E810" s="17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25">
      <c r="A811" s="173" t="s">
        <v>248</v>
      </c>
      <c r="B811" s="174"/>
      <c r="C811" s="174"/>
      <c r="D811" s="174"/>
      <c r="E811" s="175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59" t="s">
        <v>244</v>
      </c>
      <c r="B824" s="160"/>
      <c r="C824" s="160"/>
      <c r="D824" s="160"/>
      <c r="E824" s="17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59" t="s">
        <v>247</v>
      </c>
      <c r="B837" s="160"/>
      <c r="C837" s="160"/>
      <c r="D837" s="160"/>
      <c r="E837" s="17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25">
      <c r="A838" s="161" t="s">
        <v>248</v>
      </c>
      <c r="B838" s="162"/>
      <c r="C838" s="162"/>
      <c r="D838" s="162"/>
      <c r="E838" s="17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allowBlank="1" showErrorMessage="1" errorTitle="Valor inválido" error="Selecione PC 17 ou PC 19 da lista." sqref="E15:E26 E2:E13 E454:E838 E29:E229 E231:E310 E312:E381 E383:E452" xr:uid="{997D648D-8B8D-4608-8680-D36F97031004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900 J2:J434" xr:uid="{CAD48489-D534-460E-998B-4291DED28366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5D255000-831F-4FEE-9FF6-2A9D4DB0CAEC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688A391B-1D47-4A28-A5AA-78C8B551994F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7B9F7A4A-0427-4263-B294-2FAAA3AB5A74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9C84FF90-6936-433C-A27D-71F689C077BB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892B80A9-C9F6-474B-A316-4F1D74267CF1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01" activePane="bottomLeft" state="frozen"/>
      <selection sqref="A1:G409"/>
      <selection pane="bottomLeft" activeCell="G440" sqref="G440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25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0.41739618054998573</v>
      </c>
      <c r="R53" s="46" t="s">
        <v>281</v>
      </c>
      <c r="S53" s="31"/>
    </row>
    <row r="54" spans="1:20" ht="15.75" customHeight="1" thickBot="1" x14ac:dyDescent="0.3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0.55628506943887457</v>
      </c>
      <c r="R54" s="36" t="s">
        <v>245</v>
      </c>
      <c r="S54" s="75">
        <v>352430</v>
      </c>
      <c r="T54" s="117"/>
    </row>
    <row r="55" spans="1:20" ht="18" customHeight="1" x14ac:dyDescent="0.25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0.64100729166109693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25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25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25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25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25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25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25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25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25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25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 x14ac:dyDescent="0.25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59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247.8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25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59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247.8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25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2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25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25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25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25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25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25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25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25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25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39" sqref="G439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25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25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25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25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25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25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25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25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25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25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25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25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 x14ac:dyDescent="0.25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42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176.4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42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176.4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39" sqref="G439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25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25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25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25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25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25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25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25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25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25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25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25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 x14ac:dyDescent="0.25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554.40000000000009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554.40000000000009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2026-08-17T16:56:03Z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