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04" documentId="8_{C51EB6CB-002B-4D6B-B68F-DDEBDB4460C0}" xr6:coauthVersionLast="47" xr6:coauthVersionMax="47" xr10:uidLastSave="{58153259-192E-4F34-8D22-3079D99709EE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<sst xmlns="http://schemas.openxmlformats.org/spreadsheetml/2006/main" count="2843" uniqueCount="273">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</sst>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K110" sqref="K1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/>
      <c r="M110" s="30">
        <f t="shared" ref="M110:M121" ca="1" si="25">IFERROR(IF(K110="","",IF(L110="",MOD(NOW()-K110,1),IF(L110&gt;=K110,L110-K110,L110+1-K110))),"")</f>
        <v>0.21485613426193595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0.21485613426193595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0.21485613426193595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K118" sqref="K1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0.53499502314662095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0.67388391203550979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0.75860613425773216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117</v>
      </c>
      <c r="G122" s="36">
        <f>SUM(G110:G121)</f>
        <v>491.40000000000003</v>
      </c>
      <c r="H122" s="37"/>
      <c r="I122" s="37"/>
      <c r="J122" s="37"/>
      <c r="K122" s="37"/>
      <c r="L122" s="37"/>
      <c r="M122" s="38">
        <f ca="1">IFERROR(SUM(M110:M121),"")</f>
        <v>8.4027777777777812E-2</v>
      </c>
      <c r="N122" s="36" t="s">
        <v>231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117</v>
      </c>
      <c r="G136" s="40">
        <f>G122+G135</f>
        <v>491.40000000000003</v>
      </c>
      <c r="H136" s="41"/>
      <c r="I136" s="41"/>
      <c r="J136" s="41"/>
      <c r="K136" s="41"/>
      <c r="L136" s="41"/>
      <c r="M136" s="42">
        <f ca="1">IFERROR(M122+M135,"")</f>
        <v>8.4027777777777812E-2</v>
      </c>
      <c r="N136" s="40" t="s">
        <v>235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F118" sqref="F1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0.37805057870718883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0.425272800929411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0.581522800929411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55</v>
      </c>
      <c r="G122" s="36">
        <f>SUM(G110:G121)</f>
        <v>231.00000000000003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</v>
      </c>
      <c r="G136" s="40">
        <f>G122+G135</f>
        <v>231.00000000000003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H131" sqref="H1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123</v>
      </c>
      <c r="G122" s="36">
        <f>SUM(G110:G121)</f>
        <v>516.6</v>
      </c>
      <c r="H122" s="37"/>
      <c r="I122" s="37"/>
      <c r="J122" s="37"/>
      <c r="K122" s="61"/>
      <c r="L122" s="61"/>
      <c r="M122" s="38">
        <f ca="1">IFERROR(SUM(M110:M121),"")</f>
        <v>7.083333333333347E-2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 t="s">
        <v>272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123</v>
      </c>
      <c r="G136" s="40">
        <f>G122+G135</f>
        <v>516.6</v>
      </c>
      <c r="H136" s="41"/>
      <c r="I136" s="41"/>
      <c r="J136" s="41"/>
      <c r="K136" s="63"/>
      <c r="L136" s="63"/>
      <c r="M136" s="42">
        <f ca="1">IFERROR(M122+M135,"")</f>
        <v>7.083333333333347E-2</v>
      </c>
      <c r="N136" s="40" t="s">
        <v>235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2026-08-05T19:45:24Z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