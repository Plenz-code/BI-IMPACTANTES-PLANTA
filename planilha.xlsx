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95" documentId="13_ncr:1_{0A10D8D4-8450-4366-8075-B53B08E6B7EA}" xr6:coauthVersionLast="47" xr6:coauthVersionMax="47" xr10:uidLastSave="{6D6DE927-3AD9-4BD4-84B2-B1C99B3F52DC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8" i="5"/>
  <c r="J408" i="5" s="1"/>
  <c r="H409" i="5"/>
  <c r="J409" i="5" s="1"/>
  <c r="H410" i="5"/>
  <c r="J410" i="5" s="1"/>
  <c r="H411" i="5"/>
  <c r="J411" i="5" s="1"/>
  <c r="H412" i="5"/>
  <c r="J412" i="5" s="1"/>
  <c r="H413" i="5"/>
  <c r="J413" i="5" s="1"/>
  <c r="H414" i="5"/>
  <c r="J414" i="5" s="1"/>
  <c r="H415" i="5"/>
  <c r="J415" i="5" s="1"/>
  <c r="H416" i="5"/>
  <c r="J416" i="5" s="1"/>
  <c r="H417" i="5"/>
  <c r="J417" i="5" s="1"/>
  <c r="H418" i="5"/>
  <c r="J418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8" i="4"/>
  <c r="J408" i="4" s="1"/>
  <c r="H409" i="4"/>
  <c r="J409" i="4" s="1"/>
  <c r="H410" i="4"/>
  <c r="J410" i="4" s="1"/>
  <c r="H411" i="4"/>
  <c r="J411" i="4" s="1"/>
  <c r="H412" i="4"/>
  <c r="J412" i="4" s="1"/>
  <c r="H413" i="4"/>
  <c r="J413" i="4" s="1"/>
  <c r="H414" i="4"/>
  <c r="J414" i="4" s="1"/>
  <c r="H415" i="4"/>
  <c r="J415" i="4" s="1"/>
  <c r="H416" i="4"/>
  <c r="J416" i="4" s="1"/>
  <c r="H417" i="4"/>
  <c r="J417" i="4" s="1"/>
  <c r="H418" i="4"/>
  <c r="J418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H407" i="6" s="1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H407" i="5" s="1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H407" i="4" s="1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07" i="6" l="1"/>
  <c r="J419" i="6" s="1"/>
  <c r="H419" i="6"/>
  <c r="H433" i="6" s="1"/>
  <c r="J407" i="5"/>
  <c r="J419" i="5" s="1"/>
  <c r="H419" i="5"/>
  <c r="H433" i="5" s="1"/>
  <c r="J407" i="4"/>
  <c r="J419" i="4" s="1"/>
  <c r="H419" i="4"/>
  <c r="H433" i="4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33" i="6" l="1"/>
  <c r="T433" i="6" s="1"/>
  <c r="T419" i="6"/>
  <c r="T419" i="5"/>
  <c r="J433" i="5"/>
  <c r="T433" i="5" s="1"/>
  <c r="T419" i="4"/>
  <c r="J433" i="4"/>
  <c r="T433" i="4" s="1"/>
  <c r="H19" i="1" s="1"/>
  <c r="J19" i="1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<sst xmlns="http://schemas.openxmlformats.org/spreadsheetml/2006/main" count="7105" uniqueCount="355">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</sst>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2" activePane="bottomLeft" state="frozen"/>
      <selection pane="bottomLeft" activeCell="F409" sqref="F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45</v>
      </c>
      <c r="G419" s="36">
        <f>SUM(G407:G418)</f>
        <v>225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45</v>
      </c>
      <c r="G433" s="40">
        <f>G419+G432</f>
        <v>225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89" activePane="bottomLeft" state="frozen"/>
      <selection pane="bottomLeft" activeCell="O318" sqref="O31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0.26339189814461861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0.4022807870335075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0.48700300925572981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58.800000000000004</v>
      </c>
      <c r="L419" s="37"/>
      <c r="M419" s="37"/>
      <c r="N419" s="37"/>
      <c r="O419" s="37"/>
      <c r="P419" s="37"/>
      <c r="Q419" s="38">
        <f ca="1">IFERROR(SUM(Q407:Q418),"")</f>
        <v>7.6388888888888618E-3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58.800000000000004</v>
      </c>
      <c r="L433" s="41"/>
      <c r="M433" s="41"/>
      <c r="N433" s="41"/>
      <c r="O433" s="41"/>
      <c r="P433" s="41"/>
      <c r="Q433" s="42">
        <f ca="1">IFERROR(Q419+Q432,"")</f>
        <v>7.6388888888888618E-3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08" sqref="G40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/>
      <c r="Q407" s="35">
        <f t="shared" ref="Q407:Q418" ca="1" si="98">IFERROR(IF(O407="","",IF(P407="",MOD(NOW()-O407,1),IF(P407&gt;=O407,P407-O407,P407+1-O407))),"")</f>
        <v>4.4641898144618608E-2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16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67.2</v>
      </c>
      <c r="L419" s="37"/>
      <c r="M419" s="37"/>
      <c r="N419" s="37"/>
      <c r="O419" s="37"/>
      <c r="P419" s="37"/>
      <c r="Q419" s="38">
        <f ca="1">IFERROR(SUM(Q407:Q418),"")</f>
        <v>4.4641898144618608E-2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67.2</v>
      </c>
      <c r="L433" s="41"/>
      <c r="M433" s="41"/>
      <c r="N433" s="41"/>
      <c r="O433" s="41"/>
      <c r="P433" s="41"/>
      <c r="Q433" s="42">
        <f ca="1">IFERROR(Q419+Q432,"")</f>
        <v>4.4641898144618608E-2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94" activePane="bottomLeft" state="frozen"/>
      <selection pane="bottomLeft" activeCell="E408" sqref="E408:G40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0.7571418981460738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0.82172523147940701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0.88144745370162925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42</v>
      </c>
      <c r="L419" s="37"/>
      <c r="M419" s="37"/>
      <c r="N419" s="37"/>
      <c r="O419" s="61"/>
      <c r="P419" s="61"/>
      <c r="Q419" s="38">
        <f ca="1">IFERROR(SUM(Q407:Q418),"")</f>
        <v>1.2500000000000011E-2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42</v>
      </c>
      <c r="L433" s="41"/>
      <c r="M433" s="41"/>
      <c r="N433" s="41"/>
      <c r="O433" s="63"/>
      <c r="P433" s="63"/>
      <c r="Q433" s="42">
        <f ca="1">IFERROR(Q419+Q432,"")</f>
        <v>1.2500000000000011E-2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2026-08-16T13:14:48Z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