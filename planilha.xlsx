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54" documentId="8_{AF585B22-221D-4780-BB9C-493D365A6A02}" xr6:coauthVersionLast="47" xr6:coauthVersionMax="47" xr10:uidLastSave="{C407706F-B83D-4A5A-ABEC-FF8F71D2302D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<sst xmlns="http://schemas.openxmlformats.org/spreadsheetml/2006/main" count="6891" uniqueCount="332">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</sst>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5" sqref="F42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220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220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220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220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220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220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159</v>
      </c>
      <c r="G432" s="36">
        <f>SUM(G420:G431)</f>
        <v>795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380</v>
      </c>
      <c r="G433" s="40">
        <f>G419+G432</f>
        <v>1900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7" activePane="bottomLeft" state="frozen"/>
      <selection pane="bottomLeft" activeCell="F426" sqref="F4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0.80541122685099253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0.96305011573988142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1.0727723379621037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246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246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40</v>
      </c>
      <c r="G432" s="36">
        <f>SUM(G420:G431)</f>
        <v>168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179</v>
      </c>
      <c r="G433" s="40">
        <f>G419+G432</f>
        <v>764.60000000000014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25" sqref="F4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246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20</v>
      </c>
      <c r="G432" s="36">
        <f>SUM(G420:G431)</f>
        <v>86.4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81</v>
      </c>
      <c r="G433" s="40">
        <f>G419+G432</f>
        <v>346.6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26" sqref="F4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0.79568900463345926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0.99499456018901489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1.3623556713001259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0</v>
      </c>
      <c r="G420" s="28">
        <f t="shared" ref="G420:G431" si="93">IF(F420="","",IF(E420="PC 17",F420*4.2,IF(E420="PC 19",F420*5,"")))</f>
        <v>0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/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 t="s">
        <v>20</v>
      </c>
      <c r="I422" s="26" t="s">
        <v>138</v>
      </c>
      <c r="J422" s="26" t="s">
        <v>181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>
        <v>21</v>
      </c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35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0.16736111111111115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149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0.40138888888888891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2026-07-17T05:04:47Z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