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31" documentId="8_{C51EB6CB-002B-4D6B-B68F-DDEBDB4460C0}" xr6:coauthVersionLast="47" xr6:coauthVersionMax="47" xr10:uidLastSave="{BD9F8C70-6476-4E1E-8EC4-51DD5DC0E7E7}"/>
  <bookViews>
    <workbookView xWindow="-108" yWindow="-108" windowWidth="23256" windowHeight="12456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<sst xmlns="http://schemas.openxmlformats.org/spreadsheetml/2006/main" count="1443" uniqueCount="244">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</sst>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8" t="s">
        <v>0</v>
      </c>
      <c r="B1" s="108"/>
      <c r="C1" s="108"/>
      <c r="D1" s="108"/>
      <c r="E1" s="108"/>
      <c r="F1" s="108"/>
      <c r="G1" s="108"/>
    </row>
    <row r="2" spans="1:7" ht="24.75" customHeight="1">
      <c r="A2" s="109"/>
      <c r="B2" s="10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0" t="s">
        <v>9</v>
      </c>
      <c r="B35" s="110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1" t="s">
        <v>10</v>
      </c>
      <c r="B1" s="111"/>
      <c r="C1" s="111"/>
      <c r="D1" s="111"/>
      <c r="E1" s="111"/>
      <c r="F1" s="111"/>
      <c r="G1" s="111"/>
      <c r="H1" s="112"/>
      <c r="I1" s="113" t="s">
        <v>11</v>
      </c>
      <c r="J1" s="113"/>
      <c r="K1" s="113"/>
      <c r="L1" s="113"/>
      <c r="M1" s="113"/>
    </row>
    <row r="2" spans="1:13" ht="4.5" customHeight="1">
      <c r="H2" s="11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2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2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2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2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2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2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2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2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2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2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2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2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2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2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2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2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2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2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2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2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2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2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2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2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2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2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2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2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2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2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2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2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2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2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2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2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2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2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2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2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2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2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2"/>
      <c r="I56" s="16"/>
      <c r="J56" s="16"/>
      <c r="K56" s="16" t="s">
        <v>202</v>
      </c>
      <c r="L56" s="16"/>
      <c r="M56" s="16"/>
    </row>
    <row r="57" spans="1:13" ht="15" customHeight="1">
      <c r="H57" s="112"/>
      <c r="I57" s="17"/>
      <c r="J57" s="17"/>
      <c r="K57" s="17" t="s">
        <v>50</v>
      </c>
      <c r="L57" s="17"/>
      <c r="M57" s="17"/>
    </row>
    <row r="58" spans="1:13" ht="15" customHeight="1">
      <c r="H58" s="112"/>
      <c r="I58" s="16"/>
      <c r="J58" s="16"/>
      <c r="K58" s="16" t="s">
        <v>203</v>
      </c>
      <c r="L58" s="16"/>
      <c r="M58" s="16"/>
    </row>
    <row r="59" spans="1:13" ht="15" customHeight="1">
      <c r="H59" s="112"/>
      <c r="I59" s="17"/>
      <c r="J59" s="17"/>
      <c r="K59" s="17" t="s">
        <v>204</v>
      </c>
      <c r="L59" s="17"/>
      <c r="M59" s="17"/>
    </row>
    <row r="60" spans="1:13" ht="15" customHeight="1">
      <c r="H60" s="112"/>
      <c r="I60" s="16"/>
      <c r="J60" s="16"/>
      <c r="K60" s="86" t="s">
        <v>105</v>
      </c>
      <c r="L60" s="16"/>
      <c r="M60" s="16"/>
    </row>
    <row r="61" spans="1:13" ht="15" customHeight="1">
      <c r="H61" s="112"/>
      <c r="I61" s="17"/>
      <c r="J61" s="17"/>
      <c r="K61" s="17" t="s">
        <v>205</v>
      </c>
      <c r="L61" s="17"/>
      <c r="M61" s="17"/>
    </row>
    <row r="62" spans="1:13" ht="15" customHeight="1">
      <c r="H62" s="112"/>
      <c r="I62" s="16"/>
      <c r="J62" s="16"/>
      <c r="K62" s="16" t="s">
        <v>206</v>
      </c>
      <c r="L62" s="16"/>
      <c r="M62" s="16"/>
    </row>
    <row r="63" spans="1:13" ht="15" customHeight="1">
      <c r="H63" s="112"/>
      <c r="I63" s="17"/>
      <c r="J63" s="17"/>
      <c r="K63" s="17" t="s">
        <v>207</v>
      </c>
      <c r="L63" s="17"/>
      <c r="M63" s="17"/>
    </row>
    <row r="64" spans="1:13" ht="15" customHeight="1">
      <c r="H64" s="112"/>
      <c r="I64" s="16"/>
      <c r="J64" s="16"/>
      <c r="K64" s="16" t="s">
        <v>208</v>
      </c>
      <c r="L64" s="16"/>
      <c r="M64" s="16"/>
    </row>
    <row r="65" spans="8:13" ht="15" customHeight="1">
      <c r="H65" s="112"/>
      <c r="I65" s="17"/>
      <c r="J65" s="17"/>
      <c r="K65" s="17" t="s">
        <v>209</v>
      </c>
      <c r="L65" s="17"/>
      <c r="M65" s="17"/>
    </row>
    <row r="66" spans="8:13" ht="15" customHeight="1">
      <c r="H66" s="112"/>
      <c r="I66" s="16"/>
      <c r="J66" s="16"/>
      <c r="K66" s="16" t="s">
        <v>210</v>
      </c>
      <c r="L66" s="16"/>
      <c r="M66" s="16"/>
    </row>
    <row r="67" spans="8:13" ht="15" customHeight="1">
      <c r="H67" s="112"/>
      <c r="I67" s="17"/>
      <c r="J67" s="17"/>
      <c r="K67" s="17" t="s">
        <v>211</v>
      </c>
      <c r="L67" s="17"/>
      <c r="M67" s="17"/>
    </row>
    <row r="68" spans="8:13" ht="15" customHeight="1">
      <c r="H68" s="112"/>
      <c r="I68" s="16"/>
      <c r="J68" s="16"/>
      <c r="K68" s="16" t="s">
        <v>212</v>
      </c>
      <c r="L68" s="16"/>
      <c r="M68" s="16"/>
    </row>
    <row r="69" spans="8:13" ht="15" customHeight="1">
      <c r="H69" s="112"/>
      <c r="I69" s="17"/>
      <c r="J69" s="17"/>
      <c r="K69" s="17" t="s">
        <v>213</v>
      </c>
      <c r="L69" s="17"/>
      <c r="M69" s="17"/>
    </row>
    <row r="70" spans="8:13" ht="15" customHeight="1">
      <c r="H70" s="112"/>
      <c r="I70" s="16"/>
      <c r="J70" s="16"/>
      <c r="K70" s="16" t="s">
        <v>214</v>
      </c>
      <c r="L70" s="16"/>
      <c r="M70" s="16"/>
    </row>
    <row r="71" spans="8:13" ht="15" customHeight="1">
      <c r="H71" s="112"/>
      <c r="I71" s="17"/>
      <c r="J71" s="17"/>
      <c r="K71" s="17" t="s">
        <v>215</v>
      </c>
      <c r="L71" s="17"/>
      <c r="M71" s="17"/>
    </row>
    <row r="72" spans="8:13" ht="15" customHeight="1">
      <c r="H72" s="112"/>
      <c r="I72" s="16"/>
      <c r="J72" s="16"/>
      <c r="K72" s="16" t="s">
        <v>216</v>
      </c>
      <c r="L72" s="16"/>
      <c r="M72" s="16"/>
    </row>
    <row r="73" spans="8:13" ht="15" customHeight="1">
      <c r="H73" s="112"/>
      <c r="I73" s="17"/>
      <c r="J73" s="17"/>
      <c r="K73" s="17"/>
      <c r="L73" s="17"/>
      <c r="M73" s="17"/>
    </row>
    <row r="74" spans="8:13" ht="15" customHeight="1">
      <c r="H74" s="112"/>
      <c r="I74" s="16"/>
      <c r="J74" s="16"/>
      <c r="K74" s="16"/>
      <c r="L74" s="16"/>
      <c r="M74" s="16"/>
    </row>
    <row r="75" spans="8:13" ht="15" customHeight="1">
      <c r="H75" s="11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" activePane="bottomLeft" state="frozen"/>
      <selection pane="bottomLeft" activeCell="F24" sqref="F2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/>
      <c r="M16" s="30">
        <f t="shared" ca="1" si="4"/>
        <v>3.0614236115070526E-2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148</v>
      </c>
      <c r="G27" s="36">
        <f>SUM(G15:G26)</f>
        <v>740</v>
      </c>
      <c r="H27" s="37"/>
      <c r="I27" s="37"/>
      <c r="J27" s="37"/>
      <c r="K27" s="37"/>
      <c r="L27" s="37"/>
      <c r="M27" s="38">
        <f ca="1">IFERROR(SUM(M15:M26),"")</f>
        <v>0.10630868055951498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344</v>
      </c>
      <c r="G28" s="40">
        <f>G14+G27</f>
        <v>1720</v>
      </c>
      <c r="H28" s="41"/>
      <c r="I28" s="41"/>
      <c r="J28" s="41"/>
      <c r="K28" s="41"/>
      <c r="L28" s="41"/>
      <c r="M28" s="42">
        <f ca="1">IFERROR(M14+M27,"")</f>
        <v>0.17228090278173719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99" t="s">
        <v>231</v>
      </c>
      <c r="B811" s="100"/>
      <c r="C811" s="100"/>
      <c r="D811" s="100"/>
      <c r="E811" s="101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8" activePane="bottomLeft" state="frozen"/>
      <selection pane="bottomLeft" activeCell="I23" sqref="I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237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238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12</v>
      </c>
      <c r="G21" s="34">
        <f t="shared" si="3"/>
        <v>50.400000000000006</v>
      </c>
      <c r="H21" s="33" t="s">
        <v>19</v>
      </c>
      <c r="I21" s="33" t="s">
        <v>31</v>
      </c>
      <c r="J21" s="33" t="s">
        <v>50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>
        <v>7</v>
      </c>
      <c r="G23" s="34">
        <f t="shared" si="3"/>
        <v>29.400000000000002</v>
      </c>
      <c r="H23" s="33" t="s">
        <v>19</v>
      </c>
      <c r="I23" s="33" t="s">
        <v>39</v>
      </c>
      <c r="J23" s="33"/>
      <c r="K23" s="29">
        <v>0.2013888888888889</v>
      </c>
      <c r="L23" s="29"/>
      <c r="M23" s="35">
        <f t="shared" ca="1" si="4"/>
        <v>7.5312500121071935E-4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106</v>
      </c>
      <c r="G27" s="36">
        <f>SUM(G15:G26)</f>
        <v>445.2</v>
      </c>
      <c r="H27" s="37"/>
      <c r="I27" s="37"/>
      <c r="J27" s="37"/>
      <c r="K27" s="37"/>
      <c r="L27" s="37"/>
      <c r="M27" s="38">
        <f ca="1">IFERROR(SUM(M15:M26),"")</f>
        <v>5.4919791667877332E-2</v>
      </c>
      <c r="N27" s="36" t="s">
        <v>229</v>
      </c>
      <c r="O27" s="77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218</v>
      </c>
      <c r="G28" s="40">
        <f>G14+G27</f>
        <v>915.6</v>
      </c>
      <c r="H28" s="41"/>
      <c r="I28" s="41"/>
      <c r="J28" s="41"/>
      <c r="K28" s="41"/>
      <c r="L28" s="41"/>
      <c r="M28" s="42">
        <f ca="1">IFERROR(M14+M27,"")</f>
        <v>0.2556142361123217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F24" sqref="F2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239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237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233</v>
      </c>
      <c r="F23" s="27">
        <v>20</v>
      </c>
      <c r="G23" s="34">
        <f t="shared" si="3"/>
        <v>84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84</v>
      </c>
      <c r="G27" s="36">
        <f>SUM(G15:G26)</f>
        <v>352.79999999999995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165</v>
      </c>
      <c r="G28" s="40">
        <f>G14+G27</f>
        <v>693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5" t="s">
        <v>228</v>
      </c>
      <c r="B338" s="106"/>
      <c r="C338" s="106"/>
      <c r="D338" s="106"/>
      <c r="E338" s="107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5" t="s">
        <v>228</v>
      </c>
      <c r="B365" s="106"/>
      <c r="C365" s="106"/>
      <c r="D365" s="106"/>
      <c r="E365" s="107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" activePane="bottomLeft" state="frozen"/>
      <selection pane="bottomLeft" activeCell="K23" sqref="K2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5" t="s">
        <v>228</v>
      </c>
      <c r="B14" s="106"/>
      <c r="C14" s="106"/>
      <c r="D14" s="106"/>
      <c r="E14" s="107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242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243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/>
      <c r="M22" s="30">
        <f t="shared" ca="1" si="4"/>
        <v>2.1420138946268708E-3</v>
      </c>
      <c r="N22" s="27" t="s">
        <v>240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5" t="s">
        <v>230</v>
      </c>
      <c r="B27" s="106"/>
      <c r="C27" s="106"/>
      <c r="D27" s="106"/>
      <c r="E27" s="107"/>
      <c r="F27" s="36">
        <f>SUM(F15:F26)</f>
        <v>118</v>
      </c>
      <c r="G27" s="36">
        <f>SUM(G15:G26)</f>
        <v>495.6</v>
      </c>
      <c r="H27" s="37"/>
      <c r="I27" s="37"/>
      <c r="J27" s="37"/>
      <c r="K27" s="61"/>
      <c r="L27" s="61"/>
      <c r="M27" s="38">
        <f ca="1">IFERROR(SUM(M15:M26),"")</f>
        <v>0.11464201389462696</v>
      </c>
      <c r="N27" s="36" t="s">
        <v>229</v>
      </c>
      <c r="O27" s="39"/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248</v>
      </c>
      <c r="G28" s="40">
        <f>G14+G27</f>
        <v>1041.6000000000001</v>
      </c>
      <c r="H28" s="41"/>
      <c r="I28" s="41"/>
      <c r="J28" s="41"/>
      <c r="K28" s="63"/>
      <c r="L28" s="63"/>
      <c r="M28" s="42">
        <f ca="1">IFERROR(M14+M27,"")</f>
        <v>0.15353090278351589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5" t="s">
        <v>228</v>
      </c>
      <c r="B41" s="106"/>
      <c r="C41" s="106"/>
      <c r="D41" s="106"/>
      <c r="E41" s="107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5" t="s">
        <v>230</v>
      </c>
      <c r="B54" s="106"/>
      <c r="C54" s="106"/>
      <c r="D54" s="106"/>
      <c r="E54" s="107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5" t="s">
        <v>228</v>
      </c>
      <c r="B68" s="106"/>
      <c r="C68" s="106"/>
      <c r="D68" s="106"/>
      <c r="E68" s="107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5" t="s">
        <v>230</v>
      </c>
      <c r="B81" s="106"/>
      <c r="C81" s="106"/>
      <c r="D81" s="106"/>
      <c r="E81" s="107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5" t="s">
        <v>228</v>
      </c>
      <c r="B95" s="106"/>
      <c r="C95" s="106"/>
      <c r="D95" s="106"/>
      <c r="E95" s="107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5" t="s">
        <v>230</v>
      </c>
      <c r="B108" s="106"/>
      <c r="C108" s="106"/>
      <c r="D108" s="106"/>
      <c r="E108" s="107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5" t="s">
        <v>228</v>
      </c>
      <c r="B122" s="106"/>
      <c r="C122" s="106"/>
      <c r="D122" s="106"/>
      <c r="E122" s="107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5" t="s">
        <v>230</v>
      </c>
      <c r="B135" s="106"/>
      <c r="C135" s="106"/>
      <c r="D135" s="106"/>
      <c r="E135" s="107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5" t="s">
        <v>228</v>
      </c>
      <c r="B149" s="106"/>
      <c r="C149" s="106"/>
      <c r="D149" s="106"/>
      <c r="E149" s="107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5" t="s">
        <v>230</v>
      </c>
      <c r="B162" s="106"/>
      <c r="C162" s="106"/>
      <c r="D162" s="106"/>
      <c r="E162" s="107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5" t="s">
        <v>228</v>
      </c>
      <c r="B176" s="106"/>
      <c r="C176" s="106"/>
      <c r="D176" s="106"/>
      <c r="E176" s="107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5" t="s">
        <v>230</v>
      </c>
      <c r="B189" s="106"/>
      <c r="C189" s="106"/>
      <c r="D189" s="106"/>
      <c r="E189" s="107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5" t="s">
        <v>228</v>
      </c>
      <c r="B203" s="106"/>
      <c r="C203" s="106"/>
      <c r="D203" s="106"/>
      <c r="E203" s="107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5" t="s">
        <v>230</v>
      </c>
      <c r="B216" s="106"/>
      <c r="C216" s="106"/>
      <c r="D216" s="106"/>
      <c r="E216" s="107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5" t="s">
        <v>228</v>
      </c>
      <c r="B230" s="106"/>
      <c r="C230" s="106"/>
      <c r="D230" s="106"/>
      <c r="E230" s="10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5" t="s">
        <v>230</v>
      </c>
      <c r="B243" s="106"/>
      <c r="C243" s="106"/>
      <c r="D243" s="106"/>
      <c r="E243" s="107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5" t="s">
        <v>228</v>
      </c>
      <c r="B257" s="106"/>
      <c r="C257" s="106"/>
      <c r="D257" s="106"/>
      <c r="E257" s="107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5" t="s">
        <v>230</v>
      </c>
      <c r="B270" s="106"/>
      <c r="C270" s="106"/>
      <c r="D270" s="106"/>
      <c r="E270" s="107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5" t="s">
        <v>228</v>
      </c>
      <c r="B284" s="106"/>
      <c r="C284" s="106"/>
      <c r="D284" s="106"/>
      <c r="E284" s="107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5" t="s">
        <v>230</v>
      </c>
      <c r="B297" s="106"/>
      <c r="C297" s="106"/>
      <c r="D297" s="106"/>
      <c r="E297" s="107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5" t="s">
        <v>228</v>
      </c>
      <c r="B311" s="106"/>
      <c r="C311" s="106"/>
      <c r="D311" s="106"/>
      <c r="E311" s="107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5" t="s">
        <v>230</v>
      </c>
      <c r="B324" s="106"/>
      <c r="C324" s="106"/>
      <c r="D324" s="106"/>
      <c r="E324" s="107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5" t="s">
        <v>228</v>
      </c>
      <c r="B338" s="106"/>
      <c r="C338" s="106"/>
      <c r="D338" s="106"/>
      <c r="E338" s="107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5" t="s">
        <v>230</v>
      </c>
      <c r="B351" s="106"/>
      <c r="C351" s="106"/>
      <c r="D351" s="106"/>
      <c r="E351" s="107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5" t="s">
        <v>230</v>
      </c>
      <c r="B378" s="106"/>
      <c r="C378" s="106"/>
      <c r="D378" s="106"/>
      <c r="E378" s="107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5" t="s">
        <v>228</v>
      </c>
      <c r="B392" s="106"/>
      <c r="C392" s="106"/>
      <c r="D392" s="106"/>
      <c r="E392" s="107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5" t="s">
        <v>230</v>
      </c>
      <c r="B405" s="106"/>
      <c r="C405" s="106"/>
      <c r="D405" s="106"/>
      <c r="E405" s="107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5" t="s">
        <v>228</v>
      </c>
      <c r="B419" s="106"/>
      <c r="C419" s="106"/>
      <c r="D419" s="106"/>
      <c r="E419" s="107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5" t="s">
        <v>230</v>
      </c>
      <c r="B432" s="106"/>
      <c r="C432" s="106"/>
      <c r="D432" s="106"/>
      <c r="E432" s="107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5" t="s">
        <v>228</v>
      </c>
      <c r="B446" s="106"/>
      <c r="C446" s="106"/>
      <c r="D446" s="106"/>
      <c r="E446" s="107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5" t="s">
        <v>230</v>
      </c>
      <c r="B459" s="106"/>
      <c r="C459" s="106"/>
      <c r="D459" s="106"/>
      <c r="E459" s="107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5" t="s">
        <v>228</v>
      </c>
      <c r="B473" s="106"/>
      <c r="C473" s="106"/>
      <c r="D473" s="106"/>
      <c r="E473" s="107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5" t="s">
        <v>230</v>
      </c>
      <c r="B486" s="106"/>
      <c r="C486" s="106"/>
      <c r="D486" s="106"/>
      <c r="E486" s="107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5" t="s">
        <v>228</v>
      </c>
      <c r="B500" s="106"/>
      <c r="C500" s="106"/>
      <c r="D500" s="106"/>
      <c r="E500" s="107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5" t="s">
        <v>230</v>
      </c>
      <c r="B513" s="106"/>
      <c r="C513" s="106"/>
      <c r="D513" s="106"/>
      <c r="E513" s="107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5" t="s">
        <v>228</v>
      </c>
      <c r="B527" s="106"/>
      <c r="C527" s="106"/>
      <c r="D527" s="106"/>
      <c r="E527" s="107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5" t="s">
        <v>230</v>
      </c>
      <c r="B540" s="106"/>
      <c r="C540" s="106"/>
      <c r="D540" s="106"/>
      <c r="E540" s="107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5" t="s">
        <v>228</v>
      </c>
      <c r="B554" s="106"/>
      <c r="C554" s="106"/>
      <c r="D554" s="106"/>
      <c r="E554" s="107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5" t="s">
        <v>230</v>
      </c>
      <c r="B567" s="106"/>
      <c r="C567" s="106"/>
      <c r="D567" s="106"/>
      <c r="E567" s="107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5" t="s">
        <v>228</v>
      </c>
      <c r="B581" s="106"/>
      <c r="C581" s="106"/>
      <c r="D581" s="106"/>
      <c r="E581" s="107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5" t="s">
        <v>230</v>
      </c>
      <c r="B594" s="106"/>
      <c r="C594" s="106"/>
      <c r="D594" s="106"/>
      <c r="E594" s="107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5" t="s">
        <v>228</v>
      </c>
      <c r="B608" s="106"/>
      <c r="C608" s="106"/>
      <c r="D608" s="106"/>
      <c r="E608" s="107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5" t="s">
        <v>230</v>
      </c>
      <c r="B621" s="106"/>
      <c r="C621" s="106"/>
      <c r="D621" s="106"/>
      <c r="E621" s="107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5" t="s">
        <v>228</v>
      </c>
      <c r="B635" s="106"/>
      <c r="C635" s="106"/>
      <c r="D635" s="106"/>
      <c r="E635" s="107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5" t="s">
        <v>230</v>
      </c>
      <c r="B648" s="106"/>
      <c r="C648" s="106"/>
      <c r="D648" s="106"/>
      <c r="E648" s="107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5" t="s">
        <v>228</v>
      </c>
      <c r="B662" s="106"/>
      <c r="C662" s="106"/>
      <c r="D662" s="106"/>
      <c r="E662" s="107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5" t="s">
        <v>230</v>
      </c>
      <c r="B675" s="106"/>
      <c r="C675" s="106"/>
      <c r="D675" s="106"/>
      <c r="E675" s="107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5" t="s">
        <v>228</v>
      </c>
      <c r="B689" s="106"/>
      <c r="C689" s="106"/>
      <c r="D689" s="106"/>
      <c r="E689" s="107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5" t="s">
        <v>230</v>
      </c>
      <c r="B702" s="106"/>
      <c r="C702" s="106"/>
      <c r="D702" s="106"/>
      <c r="E702" s="107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5" t="s">
        <v>228</v>
      </c>
      <c r="B716" s="106"/>
      <c r="C716" s="106"/>
      <c r="D716" s="106"/>
      <c r="E716" s="107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5" t="s">
        <v>230</v>
      </c>
      <c r="B729" s="106"/>
      <c r="C729" s="106"/>
      <c r="D729" s="106"/>
      <c r="E729" s="107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5" t="s">
        <v>228</v>
      </c>
      <c r="B743" s="106"/>
      <c r="C743" s="106"/>
      <c r="D743" s="106"/>
      <c r="E743" s="107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5" t="s">
        <v>230</v>
      </c>
      <c r="B756" s="106"/>
      <c r="C756" s="106"/>
      <c r="D756" s="106"/>
      <c r="E756" s="107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5" t="s">
        <v>228</v>
      </c>
      <c r="B770" s="106"/>
      <c r="C770" s="106"/>
      <c r="D770" s="106"/>
      <c r="E770" s="107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5" t="s">
        <v>230</v>
      </c>
      <c r="B783" s="106"/>
      <c r="C783" s="106"/>
      <c r="D783" s="106"/>
      <c r="E783" s="107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5" t="s">
        <v>228</v>
      </c>
      <c r="B797" s="106"/>
      <c r="C797" s="106"/>
      <c r="D797" s="106"/>
      <c r="E797" s="107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5" t="s">
        <v>230</v>
      </c>
      <c r="B810" s="106"/>
      <c r="C810" s="106"/>
      <c r="D810" s="106"/>
      <c r="E810" s="107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5" t="s">
        <v>228</v>
      </c>
      <c r="B824" s="106"/>
      <c r="C824" s="106"/>
      <c r="D824" s="106"/>
      <c r="E824" s="107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5" t="s">
        <v>230</v>
      </c>
      <c r="B837" s="106"/>
      <c r="C837" s="106"/>
      <c r="D837" s="106"/>
      <c r="E837" s="107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231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2026-08-02T08:51:05Z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