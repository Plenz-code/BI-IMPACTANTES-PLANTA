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012" documentId="8_{AF585B22-221D-4780-BB9C-493D365A6A02}" xr6:coauthVersionLast="47" xr6:coauthVersionMax="47" xr10:uidLastSave="{481BD258-FD15-4834-9CB6-62BA13C32AD0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I680" i="4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<sst xmlns="http://schemas.openxmlformats.org/spreadsheetml/2006/main" count="10360" uniqueCount="395">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</sst>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0" sqref="G3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76555748</v>
      </c>
      <c r="D35" s="13">
        <f>IFERROR(SUM(D4:D34),"")</f>
        <v>30759010</v>
      </c>
      <c r="E35" s="13">
        <f>IFERROR(SUM(E4:E34),"")</f>
        <v>17834230</v>
      </c>
      <c r="F35" s="13">
        <f>IFERROR(SUM(F4:F34),"")</f>
        <v>31529630</v>
      </c>
      <c r="G35" s="13">
        <f>IFERROR(SUM(G4:G34),"")</f>
        <v>80122870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658" activePane="bottomLeft" state="frozen"/>
      <selection pane="bottomLeft" activeCell="N678" sqref="N67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230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233</v>
      </c>
      <c r="O675" s="39">
        <v>471180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236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230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264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230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230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230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230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230</v>
      </c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230</v>
      </c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230</v>
      </c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230</v>
      </c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230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230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230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44</v>
      </c>
      <c r="G689" s="36">
        <f>SUM(G677:G688)</f>
        <v>220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44</v>
      </c>
      <c r="G703" s="40">
        <f>G689+G702</f>
        <v>220</v>
      </c>
      <c r="H703" s="41"/>
      <c r="I703" s="41"/>
      <c r="J703" s="41"/>
      <c r="K703" s="41"/>
      <c r="L703" s="41"/>
      <c r="M703" s="42">
        <f ca="1">IFERROR(M689+M702,"")</f>
        <v>0.19236111111111104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59" activePane="bottomLeft" state="frozen"/>
      <selection pane="bottomLeft" activeCell="F682" sqref="F68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265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266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267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268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271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272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273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274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275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276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277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279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281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282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284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279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287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288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290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292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294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295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0.30490439814457204</v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0.46254328703346093</v>
      </c>
      <c r="N378" s="36" t="s">
        <v>233</v>
      </c>
      <c r="O378" s="77">
        <v>511980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0.57226550925568309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279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296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297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298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0.28337662036938127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0.45420995370271466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0.59934884259160359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300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301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302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303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304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305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306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307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308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309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310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312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313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314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315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316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233</v>
      </c>
      <c r="O675" s="77">
        <v>681950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236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135</v>
      </c>
      <c r="J677" s="33" t="s">
        <v>206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</v>
      </c>
      <c r="G678" s="28">
        <f t="shared" si="150"/>
        <v>8.4</v>
      </c>
      <c r="H678" s="26" t="s">
        <v>19</v>
      </c>
      <c r="I678" s="26" t="s">
        <v>156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317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135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3"/>
      <c r="F680" s="104"/>
      <c r="G680" s="104"/>
      <c r="H680" s="104"/>
      <c r="I680" s="105">
        <f>SUM(I668:I679)</f>
        <v>0</v>
      </c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23</v>
      </c>
      <c r="G681" s="34">
        <f t="shared" si="150"/>
        <v>96.600000000000009</v>
      </c>
      <c r="H681" s="33"/>
      <c r="I681" s="33"/>
      <c r="J681" s="33"/>
      <c r="K681" s="29">
        <v>0.54166666666666663</v>
      </c>
      <c r="L681" s="29"/>
      <c r="M681" s="35">
        <f t="shared" ca="1" si="151"/>
        <v>2.821064816089347E-3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/>
      <c r="B689" s="104"/>
      <c r="C689" s="104"/>
      <c r="D689" s="104"/>
      <c r="E689" s="105">
        <f>SUM(E677:E688)</f>
        <v>0</v>
      </c>
      <c r="F689" s="36">
        <f>SUM(F677:F688)</f>
        <v>61</v>
      </c>
      <c r="G689" s="36">
        <f>SUM(G677:G688)</f>
        <v>256.20000000000005</v>
      </c>
      <c r="H689" s="37"/>
      <c r="I689" s="37"/>
      <c r="J689" s="37"/>
      <c r="K689" s="37"/>
      <c r="L689" s="37"/>
      <c r="M689" s="38">
        <f ca="1">IFERROR(SUM(M677:M688),"")</f>
        <v>9.8654398149422673E-2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61</v>
      </c>
      <c r="G703" s="40">
        <f>G689+G702</f>
        <v>256.20000000000005</v>
      </c>
      <c r="H703" s="41"/>
      <c r="I703" s="41"/>
      <c r="J703" s="41"/>
      <c r="K703" s="41"/>
      <c r="L703" s="41"/>
      <c r="M703" s="42">
        <f ca="1">IFERROR(M689+M702,"")</f>
        <v>9.8654398149422673E-2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6">
    <mergeCell ref="E680:I680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679 I680 E681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G680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H680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I2:I679 I681:I900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H407:H679 H681:H900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61" zoomScale="50" zoomScaleNormal="50" workbookViewId="0">
      <selection activeCell="F683" sqref="F68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315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318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320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301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321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276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278</v>
      </c>
      <c r="K141" s="29">
        <v>0.71597222222222223</v>
      </c>
      <c r="L141" s="29" t="s">
        <v>323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324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325</v>
      </c>
      <c r="N166" s="27" t="s">
        <v>326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327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328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329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330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331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333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335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298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337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338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339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340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342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343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344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317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317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346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233</v>
      </c>
      <c r="O675" s="39">
        <v>323580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236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56</v>
      </c>
      <c r="G689" s="36">
        <f>SUM(G677:G688)</f>
        <v>235.20000000000002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56</v>
      </c>
      <c r="G703" s="40">
        <f>G689+G702</f>
        <v>235.20000000000002</v>
      </c>
      <c r="H703" s="41"/>
      <c r="I703" s="41"/>
      <c r="J703" s="41"/>
      <c r="K703" s="41"/>
      <c r="L703" s="41"/>
      <c r="M703" s="42">
        <f ca="1">IFERROR(M689+M702,"")</f>
        <v>2.3611111111111083E-2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72" activePane="bottomLeft" state="frozen"/>
      <selection pane="bottomLeft" activeCell="F683" sqref="F68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347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301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348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349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350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351</v>
      </c>
      <c r="L58" s="29">
        <v>0.54097222222222219</v>
      </c>
      <c r="M58" s="30" t="str">
        <f t="shared" ca="1" si="13"/>
        <v/>
      </c>
      <c r="N58" s="27" t="s">
        <v>352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315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353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354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355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356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357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358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359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360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0.29518217592703877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276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0.49448773148259439</v>
      </c>
      <c r="N135" s="36" t="s">
        <v>233</v>
      </c>
      <c r="O135" s="39">
        <v>729290</v>
      </c>
    </row>
    <row r="136" spans="1:18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0.86184884259370542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361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363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364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365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366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367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368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370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371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372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273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301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232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373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374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375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376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363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377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378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379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312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380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381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356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356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382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383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384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385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386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387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388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389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390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391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392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393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159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394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233</v>
      </c>
      <c r="O675" s="39">
        <v>486620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236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20</v>
      </c>
      <c r="G678" s="28">
        <f t="shared" si="150"/>
        <v>84</v>
      </c>
      <c r="H678" s="26" t="s">
        <v>18</v>
      </c>
      <c r="I678" s="26" t="s">
        <v>159</v>
      </c>
      <c r="J678" s="26" t="s">
        <v>121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13</v>
      </c>
      <c r="G680" s="28">
        <f t="shared" si="150"/>
        <v>54.6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257</v>
      </c>
      <c r="F681" s="27">
        <v>10</v>
      </c>
      <c r="G681" s="34">
        <f>IF(F681="","",IF(E682="PC 17",F681*4.2,IF(E682="PC 19",F681*5,"")))</f>
        <v>42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17</v>
      </c>
      <c r="G682" s="28"/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96</v>
      </c>
      <c r="G689" s="36">
        <f>SUM(G677:G688)</f>
        <v>331.8</v>
      </c>
      <c r="H689" s="37"/>
      <c r="I689" s="37"/>
      <c r="J689" s="37"/>
      <c r="K689" s="61"/>
      <c r="L689" s="61"/>
      <c r="M689" s="38">
        <f ca="1">IFERROR(SUM(M677:M688),"")</f>
        <v>4.6527777777777835E-2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96</v>
      </c>
      <c r="G703" s="40">
        <f>G689+G702</f>
        <v>331.8</v>
      </c>
      <c r="H703" s="41"/>
      <c r="I703" s="41"/>
      <c r="J703" s="41"/>
      <c r="K703" s="63"/>
      <c r="L703" s="63"/>
      <c r="M703" s="42">
        <f ca="1">IFERROR(M689+M702,"")</f>
        <v>4.6527777777777835E-2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2026-07-26T17:04:34Z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