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821" documentId="8_{AF585B22-221D-4780-BB9C-493D365A6A02}" xr6:coauthVersionLast="47" xr6:coauthVersionMax="47" xr10:uidLastSave="{34DC5DF3-FB5F-484D-9B56-F1BC7814BA82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<sst xmlns="http://schemas.openxmlformats.org/spreadsheetml/2006/main" count="6879" uniqueCount="332">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</sst>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E431" sqref="E43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244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245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245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223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220</v>
      </c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220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220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220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220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220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220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135</v>
      </c>
      <c r="G432" s="36">
        <f>SUM(G420:G431)</f>
        <v>675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356</v>
      </c>
      <c r="G433" s="40">
        <f>G419+G432</f>
        <v>1780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226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7" activePane="bottomLeft" state="frozen"/>
      <selection pane="bottomLeft" activeCell="L421" sqref="L4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0.73266458333091578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0.89030347221980466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1.0000256944420269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261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278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279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246</v>
      </c>
      <c r="F420" s="27">
        <v>4</v>
      </c>
      <c r="G420" s="28">
        <f t="shared" ref="G420:G431" si="93">IF(F420="","",IF(E420="PC 17",F420*4.2,IF(E420="PC 19",F420*5,"")))</f>
        <v>16.8</v>
      </c>
      <c r="H420" s="26"/>
      <c r="I420" s="26"/>
      <c r="J420" s="26"/>
      <c r="K420" s="29">
        <v>0.81666666666666665</v>
      </c>
      <c r="L420" s="29">
        <v>0.96736111111111112</v>
      </c>
      <c r="M420" s="30">
        <f t="shared" ref="M420:M431" ca="1" si="94">IFERROR(IF(K420="","",IF(L420="",MOD(NOW()-K420,1),IF(L420&gt;=K420,L420-K420,L420+1-K420))),"")</f>
        <v>0.15069444444444446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246</v>
      </c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246</v>
      </c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246</v>
      </c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246</v>
      </c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246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4</v>
      </c>
      <c r="G432" s="36">
        <f>SUM(G420:G431)</f>
        <v>16.8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143</v>
      </c>
      <c r="G433" s="40">
        <f>G419+G432</f>
        <v>613.40000000000009</v>
      </c>
      <c r="H433" s="41"/>
      <c r="I433" s="41"/>
      <c r="J433" s="41"/>
      <c r="K433" s="41"/>
      <c r="L433" s="41"/>
      <c r="M433" s="42">
        <f ca="1">IFERROR(M419+M432,"")</f>
        <v>0.29583333333333334</v>
      </c>
      <c r="N433" s="40" t="s">
        <v>226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17" zoomScale="50" zoomScaleNormal="50" workbookViewId="0">
      <selection activeCell="F423" sqref="F4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260</v>
      </c>
      <c r="K141" s="29">
        <v>0.71597222222222223</v>
      </c>
      <c r="L141" s="29" t="s">
        <v>287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289</v>
      </c>
      <c r="N166" s="27" t="s">
        <v>290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 t="s">
        <v>220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0.96736111111111112</v>
      </c>
      <c r="M420" s="30">
        <f t="shared" ref="M420:M431" ca="1" si="94">IFERROR(IF(K420="","",IF(L420="",MOD(NOW()-K420,1),IF(L420&gt;=K420,L420-K420,L420+1-K420))),"")</f>
        <v>0.15069444444444446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 t="s">
        <v>246</v>
      </c>
      <c r="F421" s="27">
        <v>0</v>
      </c>
      <c r="G421" s="34">
        <f t="shared" si="93"/>
        <v>0</v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 t="s">
        <v>246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 t="s">
        <v>246</v>
      </c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 t="s">
        <v>246</v>
      </c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 t="s">
        <v>246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 t="s">
        <v>246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 t="s">
        <v>246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 t="s">
        <v>246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 t="s">
        <v>246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 t="s">
        <v>246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 t="s">
        <v>246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3</v>
      </c>
      <c r="G432" s="36">
        <f>SUM(G420:G431)</f>
        <v>15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64</v>
      </c>
      <c r="G433" s="40">
        <f>G419+G432</f>
        <v>275.2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226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L421" sqref="L42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304</v>
      </c>
      <c r="L58" s="29">
        <v>0.54097222222222219</v>
      </c>
      <c r="M58" s="30" t="str">
        <f t="shared" ca="1" si="13"/>
        <v/>
      </c>
      <c r="N58" s="27" t="s">
        <v>305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0.7229423611133825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0.92224791666893813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1.2896090277800492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0.13472222222222219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114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0.36874999999999997</v>
      </c>
      <c r="N433" s="40" t="s">
        <v>226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2026-07-17T03:20:27Z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