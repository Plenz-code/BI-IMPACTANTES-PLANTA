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5677" documentId="8_{AF585B22-221D-4780-BB9C-493D365A6A02}" xr6:coauthVersionLast="47" xr6:coauthVersionMax="47" xr10:uidLastSave="{A82245E3-BA4B-4F5F-BC0F-CDA236DD3374}"/>
  <bookViews>
    <workbookView xWindow="-110" yWindow="-110" windowWidth="25820" windowHeight="1550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84" i="5" l="1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<sst xmlns="http://schemas.openxmlformats.org/spreadsheetml/2006/main" count="5155" uniqueCount="300">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</sst>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2" sqref="G12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33867540</v>
      </c>
      <c r="D35" s="13">
        <f>IFERROR(SUM(D4:D34),"")</f>
        <v>11860280</v>
      </c>
      <c r="E35" s="13">
        <f>IFERROR(SUM(E4:E34),"")</f>
        <v>8208750</v>
      </c>
      <c r="F35" s="13">
        <f>IFERROR(SUM(F4:F34),"")</f>
        <v>15429200</v>
      </c>
      <c r="G35" s="13">
        <f>IFERROR(SUM(G4:G34),"")</f>
        <v>35498230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K65" sqref="K6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1"/>
      <c r="I53" s="17"/>
      <c r="J53" s="17"/>
      <c r="K53" s="17" t="s">
        <v>194</v>
      </c>
      <c r="L53" s="17"/>
      <c r="M53" s="17"/>
    </row>
    <row r="54" spans="1:13" ht="15" customHeight="1">
      <c r="H54" s="101"/>
      <c r="I54" s="16"/>
      <c r="J54" s="16"/>
      <c r="K54" s="16" t="s">
        <v>195</v>
      </c>
      <c r="L54" s="16"/>
      <c r="M54" s="16"/>
    </row>
    <row r="55" spans="1:13" ht="15" customHeight="1">
      <c r="H55" s="101"/>
      <c r="I55" s="17"/>
      <c r="J55" s="17"/>
      <c r="K55" s="17" t="s">
        <v>196</v>
      </c>
      <c r="L55" s="17"/>
      <c r="M55" s="17"/>
    </row>
    <row r="56" spans="1:13" ht="15" customHeight="1">
      <c r="H56" s="101"/>
      <c r="I56" s="16"/>
      <c r="J56" s="16"/>
      <c r="K56" s="16" t="s">
        <v>197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198</v>
      </c>
      <c r="L58" s="16"/>
      <c r="M58" s="16"/>
    </row>
    <row r="59" spans="1:13" ht="15" customHeight="1">
      <c r="H59" s="101"/>
      <c r="I59" s="17"/>
      <c r="J59" s="17"/>
      <c r="K59" s="17" t="s">
        <v>199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200</v>
      </c>
      <c r="L61" s="17"/>
      <c r="M61" s="17"/>
    </row>
    <row r="62" spans="1:13" ht="15" customHeight="1">
      <c r="H62" s="101"/>
      <c r="I62" s="16"/>
      <c r="J62" s="16"/>
      <c r="K62" s="16" t="s">
        <v>201</v>
      </c>
      <c r="L62" s="16"/>
      <c r="M62" s="16"/>
    </row>
    <row r="63" spans="1:13" ht="15" customHeight="1">
      <c r="H63" s="101"/>
      <c r="I63" s="17"/>
      <c r="J63" s="17"/>
      <c r="K63" s="17" t="s">
        <v>202</v>
      </c>
      <c r="L63" s="17"/>
      <c r="M63" s="17"/>
    </row>
    <row r="64" spans="1:13" ht="15" customHeight="1">
      <c r="H64" s="101"/>
      <c r="I64" s="16"/>
      <c r="J64" s="16"/>
      <c r="K64" s="16" t="s">
        <v>203</v>
      </c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68" activePane="bottomLeft" state="frozen"/>
      <selection pane="bottomLeft" activeCell="F309" sqref="F309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214</v>
      </c>
      <c r="E2" s="59" t="s">
        <v>215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216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215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215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215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215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215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215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215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215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215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215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215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217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218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215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215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215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215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215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215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215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215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215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215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215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215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219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218</v>
      </c>
      <c r="O27" s="39">
        <v>1183060</v>
      </c>
    </row>
    <row r="28" spans="1:15" ht="18" customHeight="1">
      <c r="A28" s="94" t="s">
        <v>220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221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215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215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222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215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215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215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215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215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215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215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217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218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215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215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215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215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215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215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215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215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215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215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215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219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218</v>
      </c>
      <c r="O54" s="39">
        <v>959290</v>
      </c>
    </row>
    <row r="55" spans="1:15" ht="18" customHeight="1">
      <c r="A55" s="94" t="s">
        <v>220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221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215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215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215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215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215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215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215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215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215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215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215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215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217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218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215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215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223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215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215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215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215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215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215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215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215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219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218</v>
      </c>
      <c r="O81" s="39">
        <v>878050</v>
      </c>
    </row>
    <row r="82" spans="1:15" ht="18" customHeight="1">
      <c r="A82" s="94" t="s">
        <v>220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221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215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224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215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215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215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215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215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215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217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218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225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219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218</v>
      </c>
      <c r="O108" s="39">
        <v>1700000</v>
      </c>
    </row>
    <row r="109" spans="1:15" ht="18" customHeight="1">
      <c r="A109" s="94" t="s">
        <v>220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221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215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196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215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215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215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215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215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215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215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215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215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215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215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217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218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219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218</v>
      </c>
      <c r="O135" s="39">
        <v>862330</v>
      </c>
    </row>
    <row r="136" spans="1:15" ht="18" customHeight="1">
      <c r="A136" s="94" t="s">
        <v>220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221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215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215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217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218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215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215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215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215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215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215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215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215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215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215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219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218</v>
      </c>
      <c r="O162" s="44">
        <v>1546080</v>
      </c>
    </row>
    <row r="163" spans="1:15" ht="18" customHeight="1">
      <c r="A163" s="94" t="s">
        <v>220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221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215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215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215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215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215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215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215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215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215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215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217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218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215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215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215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215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215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215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215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215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215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215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215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215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219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218</v>
      </c>
      <c r="O189" s="39">
        <v>2355810</v>
      </c>
    </row>
    <row r="190" spans="1:15" ht="18" customHeight="1">
      <c r="A190" s="94" t="s">
        <v>220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221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215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215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215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215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215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215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215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215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215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215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215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215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217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218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215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215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215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215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215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215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215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215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215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215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215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219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218</v>
      </c>
      <c r="O216" s="45">
        <v>2013260</v>
      </c>
    </row>
    <row r="217" spans="1:15" ht="18" customHeight="1">
      <c r="A217" s="94" t="s">
        <v>220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221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215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226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215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215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215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215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215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215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215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215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215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215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217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218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215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215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215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215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215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215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215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215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215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215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215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219</v>
      </c>
      <c r="B243" s="92"/>
      <c r="C243" s="92"/>
      <c r="D243" s="92"/>
      <c r="E243" s="93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218</v>
      </c>
      <c r="O243" s="39">
        <v>1545480</v>
      </c>
    </row>
    <row r="244" spans="1:15" ht="18" customHeight="1">
      <c r="A244" s="94" t="s">
        <v>220</v>
      </c>
      <c r="B244" s="95"/>
      <c r="C244" s="95"/>
      <c r="D244" s="95"/>
      <c r="E244" s="96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221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215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227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215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215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215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215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215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215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215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215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215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215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215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217</v>
      </c>
      <c r="B257" s="92"/>
      <c r="C257" s="92"/>
      <c r="D257" s="92"/>
      <c r="E257" s="93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218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215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215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215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215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215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215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215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215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215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215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215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215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219</v>
      </c>
      <c r="B270" s="92"/>
      <c r="C270" s="92"/>
      <c r="D270" s="92"/>
      <c r="E270" s="93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218</v>
      </c>
      <c r="O270" s="39">
        <v>1182690</v>
      </c>
    </row>
    <row r="271" spans="1:15" ht="18" customHeight="1">
      <c r="A271" s="94" t="s">
        <v>220</v>
      </c>
      <c r="B271" s="95"/>
      <c r="C271" s="95"/>
      <c r="D271" s="95"/>
      <c r="E271" s="96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221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215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215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215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215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215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215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215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215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215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215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215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215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217</v>
      </c>
      <c r="B284" s="92"/>
      <c r="C284" s="92"/>
      <c r="D284" s="92"/>
      <c r="E284" s="93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218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215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228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215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215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215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215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229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215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229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215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229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215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229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215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229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215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229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215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229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215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229</v>
      </c>
      <c r="O296" s="47"/>
    </row>
    <row r="297" spans="1:15" ht="15.75" customHeight="1">
      <c r="A297" s="91" t="s">
        <v>219</v>
      </c>
      <c r="B297" s="92"/>
      <c r="C297" s="92"/>
      <c r="D297" s="92"/>
      <c r="E297" s="93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218</v>
      </c>
      <c r="O297" s="39">
        <v>1843460</v>
      </c>
    </row>
    <row r="298" spans="1:15" ht="18" customHeight="1">
      <c r="A298" s="94" t="s">
        <v>220</v>
      </c>
      <c r="B298" s="95"/>
      <c r="C298" s="95"/>
      <c r="D298" s="95"/>
      <c r="E298" s="96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221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126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230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215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111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215</v>
      </c>
      <c r="F301" s="27">
        <v>20.5</v>
      </c>
      <c r="G301" s="34">
        <f t="shared" si="66"/>
        <v>102.5</v>
      </c>
      <c r="H301" s="33" t="s">
        <v>20</v>
      </c>
      <c r="I301" s="33" t="s">
        <v>23</v>
      </c>
      <c r="J301" s="33" t="s">
        <v>130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231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215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215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215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215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215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215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215</v>
      </c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215</v>
      </c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217</v>
      </c>
      <c r="B311" s="92"/>
      <c r="C311" s="92"/>
      <c r="D311" s="92"/>
      <c r="E311" s="93">
        <f>SUM(E299:E310)</f>
        <v>0</v>
      </c>
      <c r="F311" s="36">
        <f>SUM(F299:F310)</f>
        <v>180.5</v>
      </c>
      <c r="G311" s="36">
        <f>SUM(G299:G310)</f>
        <v>902.5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218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219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218</v>
      </c>
      <c r="O324" s="39"/>
    </row>
    <row r="325" spans="1:15" ht="18" customHeight="1">
      <c r="A325" s="94" t="s">
        <v>220</v>
      </c>
      <c r="B325" s="95"/>
      <c r="C325" s="95"/>
      <c r="D325" s="95"/>
      <c r="E325" s="96">
        <f>E311+E324</f>
        <v>0</v>
      </c>
      <c r="F325" s="40">
        <f>F311+F324</f>
        <v>180.5</v>
      </c>
      <c r="G325" s="40">
        <f>G311+G324</f>
        <v>902.5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221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217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219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218</v>
      </c>
      <c r="O351" s="39"/>
    </row>
    <row r="352" spans="1:15" ht="18" customHeight="1">
      <c r="A352" s="94" t="s">
        <v>220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221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217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219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218</v>
      </c>
      <c r="O378" s="39"/>
    </row>
    <row r="379" spans="1:15" ht="18" customHeight="1">
      <c r="A379" s="94" t="s">
        <v>220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217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219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218</v>
      </c>
      <c r="O405" s="39"/>
    </row>
    <row r="406" spans="1:15" ht="18" customHeight="1">
      <c r="A406" s="94" t="s">
        <v>220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217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219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218</v>
      </c>
      <c r="O432" s="39"/>
    </row>
    <row r="433" spans="1:15" ht="18" customHeight="1">
      <c r="A433" s="94" t="s">
        <v>220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217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219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218</v>
      </c>
      <c r="O459" s="39"/>
    </row>
    <row r="460" spans="1:15" ht="18" customHeight="1">
      <c r="A460" s="94" t="s">
        <v>220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217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219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218</v>
      </c>
      <c r="O486" s="39"/>
    </row>
    <row r="487" spans="1:15" ht="18" customHeight="1">
      <c r="A487" s="94" t="s">
        <v>220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217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219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218</v>
      </c>
      <c r="O513" s="39"/>
    </row>
    <row r="514" spans="1:15" ht="18" customHeight="1">
      <c r="A514" s="94" t="s">
        <v>220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217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219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218</v>
      </c>
      <c r="O540" s="39"/>
    </row>
    <row r="541" spans="1:15" ht="18" customHeight="1">
      <c r="A541" s="94" t="s">
        <v>220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217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219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218</v>
      </c>
      <c r="O567" s="39"/>
    </row>
    <row r="568" spans="1:15" ht="18" customHeight="1">
      <c r="A568" s="94" t="s">
        <v>220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217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219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218</v>
      </c>
      <c r="O594" s="39"/>
    </row>
    <row r="595" spans="1:15" ht="18" customHeight="1">
      <c r="A595" s="94" t="s">
        <v>220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217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219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218</v>
      </c>
      <c r="O621" s="39"/>
    </row>
    <row r="622" spans="1:15" ht="18" customHeight="1">
      <c r="A622" s="94" t="s">
        <v>220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217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219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218</v>
      </c>
      <c r="O648" s="39"/>
    </row>
    <row r="649" spans="1:15" ht="18" customHeight="1">
      <c r="A649" s="94" t="s">
        <v>220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217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219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218</v>
      </c>
      <c r="O675" s="39"/>
    </row>
    <row r="676" spans="1:15" ht="18" customHeight="1">
      <c r="A676" s="94" t="s">
        <v>220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217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219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218</v>
      </c>
      <c r="O702" s="39"/>
    </row>
    <row r="703" spans="1:15" ht="18" customHeight="1">
      <c r="A703" s="94" t="s">
        <v>220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217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219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218</v>
      </c>
      <c r="O729" s="39"/>
    </row>
    <row r="730" spans="1:15" ht="18" customHeight="1">
      <c r="A730" s="94" t="s">
        <v>220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217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219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4" t="s">
        <v>220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217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219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4" t="s">
        <v>220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217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219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4" t="s">
        <v>220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221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72" activePane="bottomLeft" state="frozen"/>
      <selection pane="bottomLeft" activeCell="F309" sqref="F309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232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232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232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232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232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232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232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232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232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232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232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217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218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232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232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232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232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232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232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232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232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232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232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232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219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218</v>
      </c>
      <c r="O27" s="78">
        <v>393200</v>
      </c>
    </row>
    <row r="28" spans="1:15" ht="18" customHeight="1">
      <c r="A28" s="94" t="s">
        <v>220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221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232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233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232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232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232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232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232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232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232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232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232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217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218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232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232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232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234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232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232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232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232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232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232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232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232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232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219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218</v>
      </c>
      <c r="O54" s="85">
        <v>276360</v>
      </c>
    </row>
    <row r="55" spans="1:15" ht="18" customHeight="1">
      <c r="A55" s="94" t="s">
        <v>220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221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235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236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217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218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232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232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232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232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232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232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232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232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232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232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232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219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218</v>
      </c>
      <c r="O81" s="54">
        <v>787860</v>
      </c>
    </row>
    <row r="82" spans="1:15" ht="18" customHeight="1">
      <c r="A82" s="94" t="s">
        <v>220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221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232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237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215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215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217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218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232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238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232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239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232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240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232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232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232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232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232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232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232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232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232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219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218</v>
      </c>
      <c r="O108" s="54">
        <v>1087080</v>
      </c>
    </row>
    <row r="109" spans="1:15" ht="18" customHeight="1">
      <c r="A109" s="94" t="s">
        <v>220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221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232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232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241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232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232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232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232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232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232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217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218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215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242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215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243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215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244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215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215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215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195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245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215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195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219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218</v>
      </c>
      <c r="O135" s="54">
        <v>794480</v>
      </c>
    </row>
    <row r="136" spans="1:15" ht="18" customHeight="1">
      <c r="A136" s="94" t="s">
        <v>220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221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195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246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215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215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217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218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247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199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232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232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232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232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232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232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232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232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232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219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218</v>
      </c>
      <c r="O162" s="54">
        <v>882280</v>
      </c>
    </row>
    <row r="163" spans="1:15" ht="18" customHeight="1">
      <c r="A163" s="94" t="s">
        <v>220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221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232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232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232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232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232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232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232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232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232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232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232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232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217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218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219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218</v>
      </c>
      <c r="O189" s="78"/>
    </row>
    <row r="190" spans="1:15" ht="18" customHeight="1">
      <c r="A190" s="94" t="s">
        <v>220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221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217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218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232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232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249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232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250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232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232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232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232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232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232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232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232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219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218</v>
      </c>
      <c r="O216" s="78">
        <v>648410</v>
      </c>
    </row>
    <row r="217" spans="1:15" ht="18" customHeight="1">
      <c r="A217" s="94" t="s">
        <v>220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221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232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251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232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252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232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232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232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232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232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232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232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232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232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217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218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232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199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253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232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232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247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232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232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232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232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232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232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219</v>
      </c>
      <c r="B243" s="92"/>
      <c r="C243" s="92"/>
      <c r="D243" s="92"/>
      <c r="E243" s="93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218</v>
      </c>
      <c r="O243" s="78">
        <v>849060</v>
      </c>
    </row>
    <row r="244" spans="1:15" ht="18" customHeight="1">
      <c r="A244" s="94" t="s">
        <v>220</v>
      </c>
      <c r="B244" s="95"/>
      <c r="C244" s="95"/>
      <c r="D244" s="95"/>
      <c r="E244" s="96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221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232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254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232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232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232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232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232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232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232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232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232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232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232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217</v>
      </c>
      <c r="B257" s="92"/>
      <c r="C257" s="92"/>
      <c r="D257" s="92"/>
      <c r="E257" s="93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218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215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232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232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232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232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232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232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232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232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232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232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232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219</v>
      </c>
      <c r="B270" s="92"/>
      <c r="C270" s="92"/>
      <c r="D270" s="92"/>
      <c r="E270" s="93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218</v>
      </c>
      <c r="O270" s="78">
        <v>625070</v>
      </c>
    </row>
    <row r="271" spans="1:15" ht="18" customHeight="1">
      <c r="A271" s="94" t="s">
        <v>220</v>
      </c>
      <c r="B271" s="95"/>
      <c r="C271" s="95"/>
      <c r="D271" s="95"/>
      <c r="E271" s="96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221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232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255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232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256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232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232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232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232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232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232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232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232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232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232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217</v>
      </c>
      <c r="B284" s="92"/>
      <c r="C284" s="92"/>
      <c r="D284" s="92"/>
      <c r="E284" s="93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218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232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232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257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232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232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215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232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232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232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232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232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232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232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219</v>
      </c>
      <c r="B297" s="92"/>
      <c r="C297" s="92"/>
      <c r="D297" s="92"/>
      <c r="E297" s="93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218</v>
      </c>
      <c r="O297" s="78">
        <v>761660</v>
      </c>
    </row>
    <row r="298" spans="1:15" ht="18" customHeight="1">
      <c r="A298" s="94" t="s">
        <v>220</v>
      </c>
      <c r="B298" s="95"/>
      <c r="C298" s="95"/>
      <c r="D298" s="95"/>
      <c r="E298" s="96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221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232</v>
      </c>
      <c r="F300" s="27">
        <v>6</v>
      </c>
      <c r="G300" s="28">
        <f t="shared" si="66"/>
        <v>25.200000000000003</v>
      </c>
      <c r="H300" s="26" t="s">
        <v>17</v>
      </c>
      <c r="I300" s="26" t="s">
        <v>134</v>
      </c>
      <c r="J300" s="26" t="s">
        <v>88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232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232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232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232</v>
      </c>
      <c r="F304" s="27">
        <v>8</v>
      </c>
      <c r="G304" s="28">
        <f t="shared" si="66"/>
        <v>33.6</v>
      </c>
      <c r="H304" s="26" t="s">
        <v>19</v>
      </c>
      <c r="I304" s="26" t="s">
        <v>155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232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232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232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232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232</v>
      </c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217</v>
      </c>
      <c r="B311" s="92"/>
      <c r="C311" s="92"/>
      <c r="D311" s="92"/>
      <c r="E311" s="93">
        <f>SUM(E299:E310)</f>
        <v>0</v>
      </c>
      <c r="F311" s="36">
        <f>SUM(F299:F310)</f>
        <v>75</v>
      </c>
      <c r="G311" s="36">
        <f>SUM(G299:G310)</f>
        <v>315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218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219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218</v>
      </c>
      <c r="O324" s="78"/>
    </row>
    <row r="325" spans="1:15" ht="18" customHeight="1">
      <c r="A325" s="94" t="s">
        <v>220</v>
      </c>
      <c r="B325" s="95"/>
      <c r="C325" s="95"/>
      <c r="D325" s="95"/>
      <c r="E325" s="96">
        <f>E311+E324</f>
        <v>0</v>
      </c>
      <c r="F325" s="40">
        <f>F311+F324</f>
        <v>75</v>
      </c>
      <c r="G325" s="40">
        <f>G311+G324</f>
        <v>315</v>
      </c>
      <c r="H325" s="41"/>
      <c r="I325" s="41"/>
      <c r="J325" s="41"/>
      <c r="K325" s="41"/>
      <c r="L325" s="41"/>
      <c r="M325" s="42">
        <f ca="1">IFERROR(M311+M324,"")</f>
        <v>0.15069444444444441</v>
      </c>
      <c r="N325" s="40" t="s">
        <v>221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217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218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219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218</v>
      </c>
      <c r="O351" s="78"/>
    </row>
    <row r="352" spans="1:15" ht="18" customHeight="1">
      <c r="A352" s="94" t="s">
        <v>220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221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217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218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219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218</v>
      </c>
      <c r="O378" s="78"/>
    </row>
    <row r="379" spans="1:15" ht="18" customHeight="1">
      <c r="A379" s="94" t="s">
        <v>220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221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217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218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219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218</v>
      </c>
      <c r="O405" s="78"/>
    </row>
    <row r="406" spans="1:15" ht="18" customHeight="1">
      <c r="A406" s="94" t="s">
        <v>220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221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217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218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219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218</v>
      </c>
      <c r="O432" s="78"/>
    </row>
    <row r="433" spans="1:15" ht="18" customHeight="1">
      <c r="A433" s="94" t="s">
        <v>220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221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217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218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219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218</v>
      </c>
      <c r="O459" s="78"/>
    </row>
    <row r="460" spans="1:15" ht="18" customHeight="1">
      <c r="A460" s="94" t="s">
        <v>220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221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217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218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219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218</v>
      </c>
      <c r="O486" s="78"/>
    </row>
    <row r="487" spans="1:15" ht="18" customHeight="1">
      <c r="A487" s="94" t="s">
        <v>220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221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217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218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219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218</v>
      </c>
      <c r="O513" s="78"/>
    </row>
    <row r="514" spans="1:15" ht="18" customHeight="1">
      <c r="A514" s="94" t="s">
        <v>220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221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217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218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219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218</v>
      </c>
      <c r="O540" s="78"/>
    </row>
    <row r="541" spans="1:15" ht="18" customHeight="1">
      <c r="A541" s="94" t="s">
        <v>220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221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217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218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219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218</v>
      </c>
      <c r="O567" s="78"/>
    </row>
    <row r="568" spans="1:15" ht="18" customHeight="1">
      <c r="A568" s="94" t="s">
        <v>220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221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217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218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219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218</v>
      </c>
      <c r="O594" s="78"/>
    </row>
    <row r="595" spans="1:15" ht="18" customHeight="1">
      <c r="A595" s="94" t="s">
        <v>220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221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217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218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219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218</v>
      </c>
      <c r="O621" s="78"/>
    </row>
    <row r="622" spans="1:15" ht="18" customHeight="1">
      <c r="A622" s="94" t="s">
        <v>220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221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217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218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219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218</v>
      </c>
      <c r="O648" s="78"/>
    </row>
    <row r="649" spans="1:15" ht="18" customHeight="1">
      <c r="A649" s="94" t="s">
        <v>220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221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217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218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219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218</v>
      </c>
      <c r="O675" s="78"/>
    </row>
    <row r="676" spans="1:15" ht="18" customHeight="1">
      <c r="A676" s="94" t="s">
        <v>220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221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217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218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219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218</v>
      </c>
      <c r="O702" s="78"/>
    </row>
    <row r="703" spans="1:15" ht="18" customHeight="1">
      <c r="A703" s="94" t="s">
        <v>220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221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217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218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219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218</v>
      </c>
      <c r="O729" s="78"/>
    </row>
    <row r="730" spans="1:15" ht="18" customHeight="1">
      <c r="A730" s="94" t="s">
        <v>220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221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217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218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219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4" t="s">
        <v>220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221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217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218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219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4" t="s">
        <v>220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221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217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218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219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4" t="s">
        <v>220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221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275" zoomScale="50" zoomScaleNormal="50" workbookViewId="0">
      <selection activeCell="F309" sqref="F309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232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232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258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232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232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259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232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232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232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232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232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232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232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217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218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232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232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232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232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232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232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232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232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232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232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232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232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219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218</v>
      </c>
      <c r="O27" s="39">
        <v>308500</v>
      </c>
    </row>
    <row r="28" spans="1:15" ht="18" customHeight="1">
      <c r="A28" s="94" t="s">
        <v>220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221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232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260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232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232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232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232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232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232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232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232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232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232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232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217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218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232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232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232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232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232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232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232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232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232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232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232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232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219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218</v>
      </c>
      <c r="O54" s="39">
        <v>124290</v>
      </c>
    </row>
    <row r="55" spans="1:15" ht="18" customHeight="1">
      <c r="A55" s="94" t="s">
        <v>220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221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232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232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232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232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261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232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232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232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232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232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232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232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232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217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218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232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262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232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232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232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232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232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232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232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232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232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219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218</v>
      </c>
      <c r="O81" s="39">
        <v>396340</v>
      </c>
    </row>
    <row r="82" spans="1:15" ht="18" customHeight="1">
      <c r="A82" s="94" t="s">
        <v>220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221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215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215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263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215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215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215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217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218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232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232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232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232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232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219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218</v>
      </c>
      <c r="O108" s="39">
        <v>41230</v>
      </c>
    </row>
    <row r="109" spans="1:15" ht="18" customHeight="1">
      <c r="A109" s="94" t="s">
        <v>220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221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232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232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232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217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218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215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215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215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215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215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215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245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219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218</v>
      </c>
      <c r="O135" s="39">
        <v>381250</v>
      </c>
    </row>
    <row r="136" spans="1:15" ht="18" customHeight="1">
      <c r="A136" s="94" t="s">
        <v>220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221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264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215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215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217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218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265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232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232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232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232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232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232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232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232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232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219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218</v>
      </c>
      <c r="O162" s="39">
        <v>337120</v>
      </c>
    </row>
    <row r="163" spans="1:15" ht="18" customHeight="1">
      <c r="A163" s="94" t="s">
        <v>220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221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215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232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232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266</v>
      </c>
      <c r="N166" s="27" t="s">
        <v>267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232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232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232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232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232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232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232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232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232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217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218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232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232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232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232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232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232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232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232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232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232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232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232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219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218</v>
      </c>
      <c r="O189" s="39">
        <v>747210</v>
      </c>
    </row>
    <row r="190" spans="1:15" ht="18" customHeight="1">
      <c r="A190" s="94" t="s">
        <v>220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221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232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232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268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232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232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232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232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232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232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232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232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232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232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217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218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232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232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232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232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232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232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232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232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232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232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232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219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218</v>
      </c>
      <c r="O216" s="39">
        <v>468430</v>
      </c>
    </row>
    <row r="217" spans="1:15" ht="18" customHeight="1">
      <c r="A217" s="94" t="s">
        <v>220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221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232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232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232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232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232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232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232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232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232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232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232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232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217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218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232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232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232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232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232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232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232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232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215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232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219</v>
      </c>
      <c r="B243" s="92"/>
      <c r="C243" s="92"/>
      <c r="D243" s="92"/>
      <c r="E243" s="93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218</v>
      </c>
      <c r="O243" s="39">
        <v>575930</v>
      </c>
    </row>
    <row r="244" spans="1:15" ht="18" customHeight="1">
      <c r="A244" s="94" t="s">
        <v>220</v>
      </c>
      <c r="B244" s="95"/>
      <c r="C244" s="95"/>
      <c r="D244" s="95"/>
      <c r="E244" s="96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221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232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201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232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232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232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232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232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232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232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232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232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232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232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217</v>
      </c>
      <c r="B257" s="92"/>
      <c r="C257" s="92"/>
      <c r="D257" s="92"/>
      <c r="E257" s="93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218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232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269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232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232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232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232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270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232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232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232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232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232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232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219</v>
      </c>
      <c r="B270" s="92"/>
      <c r="C270" s="92"/>
      <c r="D270" s="92"/>
      <c r="E270" s="93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218</v>
      </c>
      <c r="O270" s="39">
        <v>483510</v>
      </c>
    </row>
    <row r="271" spans="1:15" ht="18" customHeight="1">
      <c r="A271" s="94" t="s">
        <v>220</v>
      </c>
      <c r="B271" s="95"/>
      <c r="C271" s="95"/>
      <c r="D271" s="95"/>
      <c r="E271" s="96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221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232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232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232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232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232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232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232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232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232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232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232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232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217</v>
      </c>
      <c r="B284" s="92"/>
      <c r="C284" s="92"/>
      <c r="D284" s="92"/>
      <c r="E284" s="93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218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232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232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271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232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232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272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232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232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232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232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232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232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232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219</v>
      </c>
      <c r="B297" s="92"/>
      <c r="C297" s="92"/>
      <c r="D297" s="92"/>
      <c r="E297" s="93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218</v>
      </c>
      <c r="O297" s="39">
        <v>487980</v>
      </c>
    </row>
    <row r="298" spans="1:15" ht="18" customHeight="1">
      <c r="A298" s="94" t="s">
        <v>220</v>
      </c>
      <c r="B298" s="95"/>
      <c r="C298" s="95"/>
      <c r="D298" s="95"/>
      <c r="E298" s="96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221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232</v>
      </c>
      <c r="F300" s="27">
        <v>7</v>
      </c>
      <c r="G300" s="28">
        <f t="shared" si="66"/>
        <v>29.400000000000002</v>
      </c>
      <c r="H300" s="26" t="s">
        <v>20</v>
      </c>
      <c r="I300" s="26" t="s">
        <v>131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232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232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273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232</v>
      </c>
      <c r="F303" s="27">
        <v>3</v>
      </c>
      <c r="G303" s="34">
        <f t="shared" si="66"/>
        <v>12.600000000000001</v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232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232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232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232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232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232</v>
      </c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215</v>
      </c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217</v>
      </c>
      <c r="B311" s="92"/>
      <c r="C311" s="92"/>
      <c r="D311" s="92"/>
      <c r="E311" s="93">
        <f>SUM(E299:E310)</f>
        <v>0</v>
      </c>
      <c r="F311" s="36">
        <f>SUM(F299:F310)</f>
        <v>53</v>
      </c>
      <c r="G311" s="36">
        <f>SUM(G299:G310)</f>
        <v>222.60000000000002</v>
      </c>
      <c r="H311" s="37"/>
      <c r="I311" s="37"/>
      <c r="J311" s="37"/>
      <c r="K311" s="37"/>
      <c r="L311" s="37"/>
      <c r="M311" s="38">
        <f ca="1">IFERROR(SUM(M299:M310),"")</f>
        <v>9.3749999999999889E-2</v>
      </c>
      <c r="N311" s="36" t="s">
        <v>218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219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218</v>
      </c>
      <c r="O324" s="39"/>
    </row>
    <row r="325" spans="1:15" ht="18" customHeight="1">
      <c r="A325" s="94" t="s">
        <v>220</v>
      </c>
      <c r="B325" s="95"/>
      <c r="C325" s="95"/>
      <c r="D325" s="95"/>
      <c r="E325" s="96">
        <f>E311+E324</f>
        <v>0</v>
      </c>
      <c r="F325" s="40">
        <f>F311+F324</f>
        <v>53</v>
      </c>
      <c r="G325" s="40">
        <f>G311+G324</f>
        <v>222.60000000000002</v>
      </c>
      <c r="H325" s="41"/>
      <c r="I325" s="41"/>
      <c r="J325" s="41"/>
      <c r="K325" s="41"/>
      <c r="L325" s="41"/>
      <c r="M325" s="42">
        <f ca="1">IFERROR(M311+M324,"")</f>
        <v>9.3749999999999889E-2</v>
      </c>
      <c r="N325" s="40" t="s">
        <v>221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217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219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218</v>
      </c>
      <c r="O351" s="39"/>
    </row>
    <row r="352" spans="1:15" ht="18" customHeight="1">
      <c r="A352" s="94" t="s">
        <v>220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221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217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219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218</v>
      </c>
      <c r="O378" s="39"/>
    </row>
    <row r="379" spans="1:15" ht="18" customHeight="1">
      <c r="A379" s="94" t="s">
        <v>220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217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219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218</v>
      </c>
      <c r="O405" s="39"/>
    </row>
    <row r="406" spans="1:15" ht="18" customHeight="1">
      <c r="A406" s="94" t="s">
        <v>220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217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219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218</v>
      </c>
      <c r="O432" s="39"/>
    </row>
    <row r="433" spans="1:15" ht="18" customHeight="1">
      <c r="A433" s="94" t="s">
        <v>220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217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219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218</v>
      </c>
      <c r="O459" s="39"/>
    </row>
    <row r="460" spans="1:15" ht="18" customHeight="1">
      <c r="A460" s="94" t="s">
        <v>220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217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219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218</v>
      </c>
      <c r="O486" s="39"/>
    </row>
    <row r="487" spans="1:15" ht="18" customHeight="1">
      <c r="A487" s="94" t="s">
        <v>220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217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219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218</v>
      </c>
      <c r="O513" s="39"/>
    </row>
    <row r="514" spans="1:15" ht="18" customHeight="1">
      <c r="A514" s="94" t="s">
        <v>220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217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219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218</v>
      </c>
      <c r="O540" s="39"/>
    </row>
    <row r="541" spans="1:15" ht="18" customHeight="1">
      <c r="A541" s="94" t="s">
        <v>220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217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219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218</v>
      </c>
      <c r="O567" s="39"/>
    </row>
    <row r="568" spans="1:15" ht="18" customHeight="1">
      <c r="A568" s="94" t="s">
        <v>220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217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219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218</v>
      </c>
      <c r="O594" s="39"/>
    </row>
    <row r="595" spans="1:15" ht="18" customHeight="1">
      <c r="A595" s="94" t="s">
        <v>220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217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219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218</v>
      </c>
      <c r="O621" s="39"/>
    </row>
    <row r="622" spans="1:15" ht="18" customHeight="1">
      <c r="A622" s="94" t="s">
        <v>220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217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219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218</v>
      </c>
      <c r="O648" s="39"/>
    </row>
    <row r="649" spans="1:15" ht="18" customHeight="1">
      <c r="A649" s="94" t="s">
        <v>220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217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219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218</v>
      </c>
      <c r="O675" s="39"/>
    </row>
    <row r="676" spans="1:15" ht="18" customHeight="1">
      <c r="A676" s="94" t="s">
        <v>220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217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219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218</v>
      </c>
      <c r="O702" s="39"/>
    </row>
    <row r="703" spans="1:15" ht="18" customHeight="1">
      <c r="A703" s="94" t="s">
        <v>220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217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219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218</v>
      </c>
      <c r="O729" s="39"/>
    </row>
    <row r="730" spans="1:15" ht="18" customHeight="1">
      <c r="A730" s="94" t="s">
        <v>220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217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219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4" t="s">
        <v>220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217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219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4" t="s">
        <v>220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217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219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4" t="s">
        <v>220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221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268" activePane="bottomLeft" state="frozen"/>
      <selection pane="bottomLeft" activeCell="J302" sqref="J302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232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274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232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262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232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232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232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232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232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232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232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232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232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232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217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218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232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232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275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232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232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232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232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232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232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232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232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232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219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218</v>
      </c>
      <c r="O27" s="39">
        <v>202230</v>
      </c>
    </row>
    <row r="28" spans="1:15" ht="18" customHeight="1">
      <c r="A28" s="94" t="s">
        <v>220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221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232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276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232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232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232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232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232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277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232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232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232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232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232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217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218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232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232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232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232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232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232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232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232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232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232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219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218</v>
      </c>
      <c r="O54" s="39">
        <v>473910</v>
      </c>
    </row>
    <row r="55" spans="1:15" ht="18" customHeight="1">
      <c r="A55" s="94" t="s">
        <v>220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221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232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232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232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278</v>
      </c>
      <c r="L58" s="29">
        <v>0.54097222222222219</v>
      </c>
      <c r="M58" s="30" t="str">
        <f t="shared" ca="1" si="13"/>
        <v/>
      </c>
      <c r="N58" s="27" t="s">
        <v>279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232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232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232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232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232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232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232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232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232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217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218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232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232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258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232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232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280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232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281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232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282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232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283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232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232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232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219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218</v>
      </c>
      <c r="O81" s="39">
        <v>565120</v>
      </c>
    </row>
    <row r="82" spans="1:15" ht="18" customHeight="1">
      <c r="A82" s="94" t="s">
        <v>220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221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232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284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215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215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215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215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217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218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232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232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232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195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232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232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219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218</v>
      </c>
      <c r="O108" s="39">
        <v>558590</v>
      </c>
    </row>
    <row r="109" spans="1:15" ht="18" customHeight="1">
      <c r="A109" s="94" t="s">
        <v>220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221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195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285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232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232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232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232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232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217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218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215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286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215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197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287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215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215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215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0.47368854167143581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215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245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219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0.67299409722699144</v>
      </c>
      <c r="N135" s="36" t="s">
        <v>218</v>
      </c>
      <c r="O135" s="39">
        <v>729290</v>
      </c>
    </row>
    <row r="136" spans="1:18" ht="18" customHeight="1">
      <c r="A136" s="94" t="s">
        <v>220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1.0403552083381025</v>
      </c>
      <c r="N136" s="40" t="s">
        <v>221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288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215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215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215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215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217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218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232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289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232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232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232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232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232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232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232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232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232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219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218</v>
      </c>
      <c r="O162" s="39">
        <v>697320</v>
      </c>
    </row>
    <row r="163" spans="1:15" ht="18" customHeight="1">
      <c r="A163" s="94" t="s">
        <v>220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221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215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232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232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232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232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290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232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232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232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232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232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232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232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217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218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232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232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232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232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232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232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232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232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232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232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232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232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219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218</v>
      </c>
      <c r="O189" s="39">
        <v>973580</v>
      </c>
    </row>
    <row r="190" spans="1:15" ht="18" customHeight="1">
      <c r="A190" s="94" t="s">
        <v>220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221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232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232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232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291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232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292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232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232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232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232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232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232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232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232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217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218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232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232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293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232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232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232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232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232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232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232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232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232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219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218</v>
      </c>
      <c r="O216" s="45">
        <v>1060630</v>
      </c>
    </row>
    <row r="217" spans="1:15" ht="18" customHeight="1">
      <c r="A217" s="94" t="s">
        <v>220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221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232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294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232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232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295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232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232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232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232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232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296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232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232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232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217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218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232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297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232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232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232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232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232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232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215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232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215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232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219</v>
      </c>
      <c r="B243" s="92"/>
      <c r="C243" s="92"/>
      <c r="D243" s="92"/>
      <c r="E243" s="93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218</v>
      </c>
      <c r="O243" s="39">
        <v>982340</v>
      </c>
    </row>
    <row r="244" spans="1:15" ht="18" customHeight="1">
      <c r="A244" s="94" t="s">
        <v>220</v>
      </c>
      <c r="B244" s="95"/>
      <c r="C244" s="95"/>
      <c r="D244" s="95"/>
      <c r="E244" s="96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221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232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298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232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200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232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232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232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232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232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232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232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232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232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232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217</v>
      </c>
      <c r="B257" s="92"/>
      <c r="C257" s="92"/>
      <c r="D257" s="92"/>
      <c r="E257" s="93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218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232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232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232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232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232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232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232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232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232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232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232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219</v>
      </c>
      <c r="B270" s="92"/>
      <c r="C270" s="92"/>
      <c r="D270" s="92"/>
      <c r="E270" s="93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218</v>
      </c>
      <c r="O270" s="39">
        <v>1208450</v>
      </c>
    </row>
    <row r="271" spans="1:15" ht="18" customHeight="1">
      <c r="A271" s="94" t="s">
        <v>220</v>
      </c>
      <c r="B271" s="95"/>
      <c r="C271" s="95"/>
      <c r="D271" s="95"/>
      <c r="E271" s="96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221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232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232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232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232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232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232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232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232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232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232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232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232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217</v>
      </c>
      <c r="B284" s="92"/>
      <c r="C284" s="92"/>
      <c r="D284" s="92"/>
      <c r="E284" s="93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218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232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232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232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232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215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232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232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232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232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232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232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232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219</v>
      </c>
      <c r="B297" s="92"/>
      <c r="C297" s="92"/>
      <c r="D297" s="92"/>
      <c r="E297" s="93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218</v>
      </c>
      <c r="O297" s="39">
        <v>1049090</v>
      </c>
    </row>
    <row r="298" spans="1:15" ht="18" customHeight="1">
      <c r="A298" s="94" t="s">
        <v>220</v>
      </c>
      <c r="B298" s="95"/>
      <c r="C298" s="95"/>
      <c r="D298" s="95"/>
      <c r="E298" s="96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221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299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232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202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232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203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232</v>
      </c>
      <c r="F302" s="27">
        <v>0</v>
      </c>
      <c r="G302" s="28">
        <f t="shared" si="66"/>
        <v>0</v>
      </c>
      <c r="H302" s="26" t="s">
        <v>18</v>
      </c>
      <c r="I302" s="26" t="s">
        <v>136</v>
      </c>
      <c r="J302" s="26" t="s">
        <v>126</v>
      </c>
      <c r="K302" s="29">
        <v>0.72222222222222221</v>
      </c>
      <c r="L302" s="29"/>
      <c r="M302" s="30">
        <f t="shared" ca="1" si="67"/>
        <v>7.7187500573927537E-4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232</v>
      </c>
      <c r="F303" s="27">
        <v>0</v>
      </c>
      <c r="G303" s="34">
        <f t="shared" si="66"/>
        <v>0</v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232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232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232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232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232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232</v>
      </c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217</v>
      </c>
      <c r="B311" s="92"/>
      <c r="C311" s="92"/>
      <c r="D311" s="92"/>
      <c r="E311" s="93">
        <f>SUM(E299:E310)</f>
        <v>0</v>
      </c>
      <c r="F311" s="36">
        <f>SUM(F299:F310)</f>
        <v>23</v>
      </c>
      <c r="G311" s="36">
        <f>SUM(G299:G310)</f>
        <v>96.6</v>
      </c>
      <c r="H311" s="37"/>
      <c r="I311" s="37"/>
      <c r="J311" s="37"/>
      <c r="K311" s="61"/>
      <c r="L311" s="61"/>
      <c r="M311" s="38">
        <f ca="1">IFERROR(SUM(M299:M310),"")</f>
        <v>0.35007743056129492</v>
      </c>
      <c r="N311" s="36" t="s">
        <v>218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219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218</v>
      </c>
      <c r="O324" s="39"/>
    </row>
    <row r="325" spans="1:15" ht="18" customHeight="1">
      <c r="A325" s="94" t="s">
        <v>220</v>
      </c>
      <c r="B325" s="95"/>
      <c r="C325" s="95"/>
      <c r="D325" s="95"/>
      <c r="E325" s="96">
        <f>E311+E324</f>
        <v>0</v>
      </c>
      <c r="F325" s="40">
        <f>F311+F324</f>
        <v>23</v>
      </c>
      <c r="G325" s="40">
        <f>G311+G324</f>
        <v>96.6</v>
      </c>
      <c r="H325" s="41"/>
      <c r="I325" s="41"/>
      <c r="J325" s="41"/>
      <c r="K325" s="63"/>
      <c r="L325" s="63"/>
      <c r="M325" s="42">
        <f ca="1">IFERROR(M311+M324,"")</f>
        <v>0.35007743056129492</v>
      </c>
      <c r="N325" s="40" t="s">
        <v>221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217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219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218</v>
      </c>
      <c r="O351" s="39"/>
    </row>
    <row r="352" spans="1:15" ht="18" customHeight="1">
      <c r="A352" s="94" t="s">
        <v>220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221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217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219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218</v>
      </c>
      <c r="O378" s="39"/>
    </row>
    <row r="379" spans="1:15" ht="18" customHeight="1">
      <c r="A379" s="94" t="s">
        <v>220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221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217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219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218</v>
      </c>
      <c r="O405" s="39"/>
    </row>
    <row r="406" spans="1:15" ht="18" customHeight="1">
      <c r="A406" s="94" t="s">
        <v>220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221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217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219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218</v>
      </c>
      <c r="O432" s="39"/>
    </row>
    <row r="433" spans="1:17" ht="18" customHeight="1">
      <c r="A433" s="94" t="s">
        <v>220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221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217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218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219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218</v>
      </c>
      <c r="O459" s="39"/>
    </row>
    <row r="460" spans="1:15" ht="18" customHeight="1">
      <c r="A460" s="94" t="s">
        <v>220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217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219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218</v>
      </c>
      <c r="O486" s="39"/>
    </row>
    <row r="487" spans="1:15" ht="18" customHeight="1">
      <c r="A487" s="94" t="s">
        <v>220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217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219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218</v>
      </c>
      <c r="O513" s="39"/>
    </row>
    <row r="514" spans="1:15" ht="18" customHeight="1">
      <c r="A514" s="94" t="s">
        <v>220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217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219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218</v>
      </c>
      <c r="O540" s="39"/>
    </row>
    <row r="541" spans="1:15" ht="18" customHeight="1">
      <c r="A541" s="94" t="s">
        <v>220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217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219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218</v>
      </c>
      <c r="O567" s="39"/>
    </row>
    <row r="568" spans="1:15" ht="18" customHeight="1">
      <c r="A568" s="94" t="s">
        <v>220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217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219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218</v>
      </c>
      <c r="O594" s="39"/>
    </row>
    <row r="595" spans="1:15" ht="18" customHeight="1">
      <c r="A595" s="94" t="s">
        <v>220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217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219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218</v>
      </c>
      <c r="O621" s="39"/>
    </row>
    <row r="622" spans="1:15" ht="18" customHeight="1">
      <c r="A622" s="94" t="s">
        <v>220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217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219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218</v>
      </c>
      <c r="O648" s="39"/>
    </row>
    <row r="649" spans="1:15" ht="18" customHeight="1">
      <c r="A649" s="94" t="s">
        <v>220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217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219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218</v>
      </c>
      <c r="O675" s="39"/>
    </row>
    <row r="676" spans="1:15" ht="18" customHeight="1">
      <c r="A676" s="94" t="s">
        <v>220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217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219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218</v>
      </c>
      <c r="O702" s="39"/>
    </row>
    <row r="703" spans="1:15" ht="18" customHeight="1">
      <c r="A703" s="94" t="s">
        <v>220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217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219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218</v>
      </c>
      <c r="O729" s="39"/>
    </row>
    <row r="730" spans="1:15" ht="18" customHeight="1">
      <c r="A730" s="94" t="s">
        <v>220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217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219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4" t="s">
        <v>220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217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219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4" t="s">
        <v>220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217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219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4" t="s">
        <v>220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221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2026-07-12T21:21:37Z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