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67" documentId="8_{C51EB6CB-002B-4D6B-B68F-DDEBDB4460C0}" xr6:coauthVersionLast="47" xr6:coauthVersionMax="47" xr10:uidLastSave="{BAF41BA3-5BBA-47A5-9E1B-2DE786EC7431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<sst xmlns="http://schemas.openxmlformats.org/spreadsheetml/2006/main" count="3460" uniqueCount="286">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</sst>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2" sqref="F1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85</v>
      </c>
      <c r="H162" s="37"/>
      <c r="I162" s="37"/>
      <c r="J162" s="37"/>
      <c r="K162" s="37"/>
      <c r="L162" s="37"/>
      <c r="M162" s="38">
        <f ca="1">IFERROR(SUM(M150:M161),"")</f>
        <v>6.4583333333333326E-2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306</v>
      </c>
      <c r="G163" s="40">
        <f>G149+G162</f>
        <v>1530</v>
      </c>
      <c r="H163" s="41"/>
      <c r="I163" s="41"/>
      <c r="J163" s="41"/>
      <c r="K163" s="41"/>
      <c r="L163" s="41"/>
      <c r="M163" s="42">
        <f ca="1">IFERROR(M149+M162,"")</f>
        <v>0.16319444444444448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0" activePane="bottomLeft" state="frozen"/>
      <selection pane="bottomLeft" activeCell="L153" sqref="L1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0.79569398147577886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0.93458287036466769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1.0193050925868901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 t="s">
        <v>20</v>
      </c>
      <c r="I152" s="26" t="s">
        <v>39</v>
      </c>
      <c r="J152" s="26" t="s">
        <v>36</v>
      </c>
      <c r="K152" s="29">
        <v>0.90138888888888891</v>
      </c>
      <c r="L152" s="29">
        <v>0.91666666666666663</v>
      </c>
      <c r="M152" s="30">
        <f t="shared" ca="1" si="34"/>
        <v>1.5277777777777724E-2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24</v>
      </c>
      <c r="G162" s="36">
        <f>SUM(G150:G161)</f>
        <v>100.80000000000001</v>
      </c>
      <c r="H162" s="37"/>
      <c r="I162" s="37"/>
      <c r="J162" s="37"/>
      <c r="K162" s="37"/>
      <c r="L162" s="37"/>
      <c r="M162" s="38">
        <f ca="1">IFERROR(SUM(M150:M161),"")</f>
        <v>4.5138888888888951E-2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164</v>
      </c>
      <c r="G163" s="40">
        <f>G149+G162</f>
        <v>688.8</v>
      </c>
      <c r="H163" s="41"/>
      <c r="I163" s="41"/>
      <c r="J163" s="41"/>
      <c r="K163" s="41"/>
      <c r="L163" s="41"/>
      <c r="M163" s="42">
        <f ca="1">IFERROR(M149+M162,"")</f>
        <v>0.22083333333333338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2" sqref="F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</v>
      </c>
      <c r="G162" s="36">
        <f>SUM(G150:G161)</f>
        <v>33.6</v>
      </c>
      <c r="H162" s="37"/>
      <c r="I162" s="37"/>
      <c r="J162" s="37"/>
      <c r="K162" s="37"/>
      <c r="L162" s="37"/>
      <c r="M162" s="38">
        <f ca="1">IFERROR(SUM(M150:M161),"")</f>
        <v>6.8055555555555536E-2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41</v>
      </c>
      <c r="G163" s="40">
        <f>G149+G162</f>
        <v>172.2</v>
      </c>
      <c r="H163" s="41"/>
      <c r="I163" s="41"/>
      <c r="J163" s="41"/>
      <c r="K163" s="41"/>
      <c r="L163" s="41"/>
      <c r="M163" s="42">
        <f ca="1">IFERROR(M149+M162,"")</f>
        <v>0.22152777777777771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2" sqref="F1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21</v>
      </c>
      <c r="G162" s="36">
        <f>SUM(G150:G161)</f>
        <v>88.2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203</v>
      </c>
      <c r="G163" s="40">
        <f>G149+G162</f>
        <v>852.60000000000014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2026-08-07T02:01:18Z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