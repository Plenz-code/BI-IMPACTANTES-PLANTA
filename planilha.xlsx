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98" documentId="8_{AF585B22-221D-4780-BB9C-493D365A6A02}" xr6:coauthVersionLast="47" xr6:coauthVersionMax="47" xr10:uidLastSave="{058895F7-AD2A-47AF-84F2-F005210E9195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<sst xmlns="http://schemas.openxmlformats.org/spreadsheetml/2006/main" count="2183" uniqueCount="227">
  <si>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</si>
  <si>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</si>
  <si>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</si>
  <si>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</si>
  <si>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</si>
  <si>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</si>
  <si>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</si>
  <si>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</si>
  <si>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</si>
  <si>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</si>
  <si>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</si>
  <si>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</si>
  <si>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</si>
  <si>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</si>
  <si>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</si>
  <si>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</si>
  <si>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</si>
  <si>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</si>
  <si>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</si>
  <si>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</si>
  <si>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</si>
  <si>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</si>
  <si>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</si>
  <si>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</si>
  <si>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</si>
  <si>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</si>
  <si>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</si>
  <si>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</si>
  <si>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</si>
  <si>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</si>
  <si>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</si>
  <si>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</si>
  <si>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</si>
  <si>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</si>
  <si>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</si>
  <si>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</si>
  <si>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</si>
  <si>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</si>
  <si>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</si>
  <si>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</si>
  <si>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</si>
  <si>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</si>
  <si>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</si>
  <si>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</si>
  <si>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</si>
  <si>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</si>
  <si>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</si>
  <si>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</si>
  <si>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</si>
  <si>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</si>
  <si>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</si>
  <si>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</si>
  <si>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</si>
  <si>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</si>
  <si>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</si>
  <si>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</si>
  <si>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</si>
  <si>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</si>
  <si>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</si>
  <si>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</si>
  <si>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</si>
  <si>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</si>
  <si>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</si>
  <si>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</si>
  <si>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</si>
  <si>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</si>
  <si>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</si>
  <si>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</si>
  <si>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</si>
  <si>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</si>
  <si>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</si>
  <si>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</si>
  <si>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</si>
  <si>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</si>
  <si>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</si>
  <si>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</si>
  <si>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</si>
  <si>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</si>
  <si>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</si>
  <si>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</si>
  <si>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</si>
  <si>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</si>
  <si>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</si>
  <si>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</si>
  <si>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</si>
  <si>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</si>
  <si>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</si>
  <si>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</si>
  <si>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</si>
  <si>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</si>
  <si>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</si>
  <si>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</si>
  <si>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</si>
  <si>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</si>
  <si>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</si>
  <si>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</si>
  <si>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</si>
  <si>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</si>
  <si>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</si>
  <si>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</si>
  <si>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</si>
  <si>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</si>
  <si>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</si>
  <si>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</si>
  <si>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</si>
  <si>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</si>
  <si>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</si>
  <si>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</si>
  <si>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</si>
  <si>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</si>
  <si>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</si>
  <si>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</si>
  <si>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</si>
  <si>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</si>
  <si>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</si>
  <si>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</si>
  <si>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</si>
  <si>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</si>
  <si>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</si>
  <si>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</si>
  <si>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</si>
  <si>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</si>
  <si>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</si>
  <si>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</si>
  <si>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</si>
  <si>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</si>
  <si>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</si>
  <si>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</si>
  <si>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</si>
  <si>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</si>
  <si>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</si>
  <si>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</si>
  <si>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</si>
  <si>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</si>
  <si>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</si>
  <si>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</si>
  <si>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</si>
  <si>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</si>
  <si>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</si>
  <si>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</si>
  <si>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</si>
  <si>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</si>
  <si>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</si>
  <si>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</si>
  <si>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</si>
  <si>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</si>
  <si>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</si>
  <si>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</si>
  <si>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</si>
  <si>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</si>
  <si>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</si>
  <si>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</si>
  <si>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</si>
  <si>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</si>
  <si>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</si>
  <si>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</si>
  <si>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</si>
  <si>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</si>
  <si>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</si>
  <si>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</si>
  <si>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</si>
  <si>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</si>
  <si>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</si>
  <si>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</si>
  <si>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</si>
  <si>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</si>
  <si>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</si>
  <si>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</si>
  <si>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</si>
  <si>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</si>
  <si>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</si>
  <si>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</si>
  <si>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</si>
  <si>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</si>
  <si>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</si>
  <si>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</si>
  <si>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</si>
  <si>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</si>
  <si>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</si>
  <si>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</si>
  <si>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</si>
  <si>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</si>
  <si>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</si>
  <si>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</si>
  <si>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</si>
  <si>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</si>
  <si>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</si>
  <si>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</si>
  <si>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</si>
  <si>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</si>
  <si>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</si>
  <si>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</si>
  <si>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</si>
  <si>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</si>
  <si>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</si>
  <si>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</si>
  <si>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</si>
  <si>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</si>
  <si>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</si>
  <si>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</si>
  <si>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</si>
  <si>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</si>
  <si>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</si>
  <si>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</si>
  <si>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</si>
  <si>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</si>
  <si>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</si>
  <si>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</si>
  <si>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</si>
  <si>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</si>
  <si>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</si>
  <si>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</si>
  <si>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</si>
  <si>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</si>
  <si>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</si>
  <si>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troca de grelha,troca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</si>
  <si>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</si>
  <si>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</si>
  <si>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</si>
  <si>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</si>
  <si>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</si>
  <si>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</si>
  <si>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</si>
  <si>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</si>
  <si>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</si>
  <si>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</si>
  <si>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martelo,troca de grelha,revestimento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</si>
</sst>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87" sqref="F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/>
      <c r="I85" s="33" t="s">
        <v>136</v>
      </c>
      <c r="J85" s="33"/>
      <c r="K85" s="29">
        <v>0.48402777777777778</v>
      </c>
      <c r="L85" s="29"/>
      <c r="M85" s="35">
        <f t="shared" ca="1" si="19"/>
        <v>2.1840046298166271E-2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82</v>
      </c>
      <c r="G95" s="36">
        <f>SUM(G83:G94)</f>
        <v>410</v>
      </c>
      <c r="H95" s="37"/>
      <c r="I95" s="37"/>
      <c r="J95" s="37"/>
      <c r="K95" s="37"/>
      <c r="L95" s="37"/>
      <c r="M95" s="38">
        <f ca="1">IFERROR(SUM(M83:M94),"")</f>
        <v>8.4340046298166271E-2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82</v>
      </c>
      <c r="G109" s="40">
        <f>G95+G108</f>
        <v>410</v>
      </c>
      <c r="H109" s="41"/>
      <c r="I109" s="41"/>
      <c r="J109" s="41"/>
      <c r="K109" s="41"/>
      <c r="L109" s="41"/>
      <c r="M109" s="42">
        <f ca="1">IFERROR(M95+M108,"")</f>
        <v>8.4340046298166271E-2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E94" sqref="E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51</v>
      </c>
      <c r="G95" s="36">
        <f>SUM(G83:G94)</f>
        <v>214.2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51</v>
      </c>
      <c r="G109" s="40">
        <f>G95+G108</f>
        <v>214.2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66" activePane="bottomLeft" state="frozen"/>
      <selection pane="bottomLeft" activeCell="L84" sqref="L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 t="s">
        <v>20</v>
      </c>
      <c r="I83" s="33" t="s">
        <v>47</v>
      </c>
      <c r="J83" s="33"/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F88" sqref="F8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/>
      <c r="I83" s="33" t="s">
        <v>52</v>
      </c>
      <c r="J83" s="33"/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15</v>
      </c>
      <c r="G95" s="36">
        <f>SUM(G83:G94)</f>
        <v>63.000000000000007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15</v>
      </c>
      <c r="G109" s="40">
        <f>G95+G108</f>
        <v>63.000000000000007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2026-07-04T16:08:32Z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