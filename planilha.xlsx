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98" documentId="8_{AF585B22-221D-4780-BB9C-493D365A6A02}" xr6:coauthVersionLast="47" xr6:coauthVersionMax="47" xr10:uidLastSave="{C9408867-136B-40F2-B453-FDCE39C4CFD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<sst xmlns="http://schemas.openxmlformats.org/spreadsheetml/2006/main" count="7470" uniqueCount="346">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</sst>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H467" sqref="H4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I461" sqref="I4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0.11719293981150258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0.27483182870039147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0.38455405092261363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9.5665162036311813E-2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0.26649849536964521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0.41163738425853408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/>
      <c r="I461" s="33" t="s">
        <v>31</v>
      </c>
      <c r="J461" s="33"/>
      <c r="K461" s="29">
        <v>0.33680555555555558</v>
      </c>
      <c r="L461" s="29"/>
      <c r="M461" s="35">
        <f t="shared" ref="M461:M472" ca="1" si="103">IFERROR(IF(K461="","",IF(L461="",MOD(NOW()-K461,1),IF(L461&gt;=K461,L461-K461,L461+1-K461))),"")</f>
        <v>1.997071759251412E-2</v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20</v>
      </c>
      <c r="G473" s="36">
        <f>SUM(G461:G472)</f>
        <v>100</v>
      </c>
      <c r="H473" s="37"/>
      <c r="I473" s="37"/>
      <c r="J473" s="37"/>
      <c r="K473" s="37"/>
      <c r="L473" s="37"/>
      <c r="M473" s="38">
        <f ca="1">IFERROR(SUM(M461:M472),"")</f>
        <v>1.997071759251412E-2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20</v>
      </c>
      <c r="G487" s="40">
        <f>G473+G486</f>
        <v>100</v>
      </c>
      <c r="H487" s="41"/>
      <c r="I487" s="41"/>
      <c r="J487" s="41"/>
      <c r="K487" s="41"/>
      <c r="L487" s="41"/>
      <c r="M487" s="42">
        <f ca="1">IFERROR(M473+M486,"")</f>
        <v>1.997071759251412E-2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L469" sqref="L4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299</v>
      </c>
      <c r="N166" s="27" t="s">
        <v>300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N462" sqref="N4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315</v>
      </c>
      <c r="L58" s="29">
        <v>0.54097222222222219</v>
      </c>
      <c r="M58" s="30" t="str">
        <f t="shared" ca="1" si="13"/>
        <v/>
      </c>
      <c r="N58" s="27" t="s">
        <v>316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0.10747083333262708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0.30677638888818271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0.67413749999929373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343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/>
      <c r="M461" s="35">
        <f t="shared" ref="M461:M472" ca="1" si="103">IFERROR(IF(K461="","",IF(L461="",MOD(NOW()-K461,1),IF(L461&gt;=K461,L461-K461,L461+1-K461))),"")</f>
        <v>3.0387499995413236E-2</v>
      </c>
      <c r="N461" s="27" t="s">
        <v>345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5</v>
      </c>
      <c r="G473" s="36">
        <f>SUM(G461:G472)</f>
        <v>25</v>
      </c>
      <c r="H473" s="37"/>
      <c r="I473" s="37"/>
      <c r="J473" s="37"/>
      <c r="K473" s="61"/>
      <c r="L473" s="61"/>
      <c r="M473" s="38">
        <f ca="1">IFERROR(SUM(M461:M472),"")</f>
        <v>3.0387499995413236E-2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5</v>
      </c>
      <c r="G487" s="40">
        <f>G473+G486</f>
        <v>25</v>
      </c>
      <c r="H487" s="41"/>
      <c r="I487" s="41"/>
      <c r="J487" s="41"/>
      <c r="K487" s="63"/>
      <c r="L487" s="63"/>
      <c r="M487" s="42">
        <f ca="1">IFERROR(M473+M486,"")</f>
        <v>3.0387499995413236E-2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2026-07-18T12:34:19Z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