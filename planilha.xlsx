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491" documentId="13_ncr:1_{0A10D8D4-8450-4366-8075-B53B08E6B7EA}" xr6:coauthVersionLast="47" xr6:coauthVersionMax="47" xr10:uidLastSave="{56EB4E2F-6D4C-46BF-8ECA-604DE74A412B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<sst xmlns="http://schemas.openxmlformats.org/spreadsheetml/2006/main" count="6696" uniqueCount="349">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</sst>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E383" sqref="E383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53</v>
      </c>
      <c r="D380" s="59" t="s">
        <v>29</v>
      </c>
      <c r="E380" s="59" t="s">
        <v>243</v>
      </c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53</v>
      </c>
      <c r="D381" s="59" t="s">
        <v>29</v>
      </c>
      <c r="E381" s="59" t="s">
        <v>243</v>
      </c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53</v>
      </c>
      <c r="D382" s="59" t="s">
        <v>29</v>
      </c>
      <c r="F382" s="27"/>
      <c r="G382" s="28" t="str">
        <f>IF(F382="","",IF(E383="PC 17",F382*4.2,IF(E383="PC 19",F382*5,IF(E383="CB",F382*35,""))))</f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53</v>
      </c>
      <c r="D383" s="59" t="s">
        <v>29</v>
      </c>
      <c r="E383" s="59" t="s">
        <v>243</v>
      </c>
      <c r="F383" s="27"/>
      <c r="G383" s="34" t="str">
        <f>IF(F383="","",IF(#REF!="PC 17",F383*4.2,IF(#REF!="PC 19",F383*5,IF(#REF!="CB",F383*35,""))))</f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53</v>
      </c>
      <c r="D384" s="59" t="s">
        <v>29</v>
      </c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53</v>
      </c>
      <c r="D385" s="59" t="s">
        <v>29</v>
      </c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53</v>
      </c>
      <c r="D386" s="59" t="s">
        <v>29</v>
      </c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53</v>
      </c>
      <c r="D387" s="59" t="s">
        <v>29</v>
      </c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53</v>
      </c>
      <c r="D388" s="59" t="s">
        <v>29</v>
      </c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53</v>
      </c>
      <c r="D389" s="59" t="s">
        <v>29</v>
      </c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53</v>
      </c>
      <c r="D390" s="59" t="s">
        <v>29</v>
      </c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53</v>
      </c>
      <c r="D391" s="59" t="s">
        <v>29</v>
      </c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62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0.18531388888368383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0.32420277777257273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0.40892499999479504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3" activePane="bottomLeft" state="frozen"/>
      <selection pane="bottomLeft" activeCell="G380" sqref="G38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53</v>
      </c>
      <c r="D381" s="59" t="s">
        <v>37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4" activePane="bottomLeft" state="frozen"/>
      <selection pane="bottomLeft" activeCell="G380" sqref="G380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53</v>
      </c>
      <c r="D380" s="59" t="s">
        <v>37</v>
      </c>
      <c r="E380" s="108" t="s">
        <v>259</v>
      </c>
      <c r="F380" s="140" t="str">
        <f>IFERROR(IF($D380="","",VLOOKUP($D380,Cadastro!$C$4:$E$7,3,FALSE)),"")</f>
        <v>b</v>
      </c>
      <c r="G380" s="105"/>
      <c r="H380" s="140" t="str">
        <f>IFERROR(IF($G380="","",$G380*$S$392/$G$392/Cadastro!$E$33),"")</f>
        <v/>
      </c>
      <c r="I380" s="141">
        <f>IFERROR(IF($D380="","",VLOOKUP($D380,Cadastro!$C$4:$G$7,5,FALSE)),"")</f>
        <v>0.6</v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53</v>
      </c>
      <c r="D381" s="59" t="s">
        <v>37</v>
      </c>
      <c r="E381" s="108" t="s">
        <v>259</v>
      </c>
      <c r="F381" s="134" t="str">
        <f>IFERROR(IF($D381="","",VLOOKUP($D381,Cadastro!$C$4:$E$7,3,FALSE)),"")</f>
        <v>b</v>
      </c>
      <c r="G381" s="105"/>
      <c r="H381" s="134" t="str">
        <f>IFERROR(IF($G381="","",$G381*$S$392/$G$392/Cadastro!$E$33),"")</f>
        <v/>
      </c>
      <c r="I381" s="135">
        <f>IFERROR(IF($D381="","",VLOOKUP($D381,Cadastro!$C$4:$G$7,5,FALSE)),"")</f>
        <v>0.6</v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53</v>
      </c>
      <c r="D382" s="59" t="s">
        <v>37</v>
      </c>
      <c r="E382" s="108" t="s">
        <v>259</v>
      </c>
      <c r="F382" s="134" t="str">
        <f>IFERROR(IF($D382="","",VLOOKUP($D382,Cadastro!$C$4:$E$7,3,FALSE)),"")</f>
        <v>b</v>
      </c>
      <c r="G382" s="105"/>
      <c r="H382" s="134" t="str">
        <f>IFERROR(IF($G382="","",$G382*$S$392/$G$392/Cadastro!$E$33),"")</f>
        <v/>
      </c>
      <c r="I382" s="135">
        <f>IFERROR(IF($D382="","",VLOOKUP($D382,Cadastro!$C$4:$G$7,5,FALSE)),"")</f>
        <v>0.6</v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53</v>
      </c>
      <c r="D383" s="59" t="s">
        <v>37</v>
      </c>
      <c r="E383" s="108" t="s">
        <v>259</v>
      </c>
      <c r="F383" s="134" t="str">
        <f>IFERROR(IF($D383="","",VLOOKUP($D383,Cadastro!$C$4:$E$7,3,FALSE)),"")</f>
        <v>b</v>
      </c>
      <c r="G383" s="105"/>
      <c r="H383" s="134" t="str">
        <f>IFERROR(IF($G383="","",$G383*$S$392/$G$392/Cadastro!$E$33),"")</f>
        <v/>
      </c>
      <c r="I383" s="135">
        <f>IFERROR(IF($D383="","",VLOOKUP($D383,Cadastro!$C$4:$G$7,5,FALSE)),"")</f>
        <v>0.6</v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53</v>
      </c>
      <c r="D384" s="59" t="s">
        <v>37</v>
      </c>
      <c r="E384" s="108" t="s">
        <v>259</v>
      </c>
      <c r="F384" s="134" t="str">
        <f>IFERROR(IF($D384="","",VLOOKUP($D384,Cadastro!$C$4:$E$7,3,FALSE)),"")</f>
        <v>b</v>
      </c>
      <c r="G384" s="105"/>
      <c r="H384" s="134" t="str">
        <f>IFERROR(IF($G384="","",$G384*$S$392/$G$392/Cadastro!$E$33),"")</f>
        <v/>
      </c>
      <c r="I384" s="135">
        <f>IFERROR(IF($D384="","",VLOOKUP($D384,Cadastro!$C$4:$G$7,5,FALSE)),"")</f>
        <v>0.6</v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53</v>
      </c>
      <c r="D385" s="59" t="s">
        <v>37</v>
      </c>
      <c r="E385" s="108" t="s">
        <v>259</v>
      </c>
      <c r="F385" s="134" t="str">
        <f>IFERROR(IF($D385="","",VLOOKUP($D385,Cadastro!$C$4:$E$7,3,FALSE)),"")</f>
        <v>b</v>
      </c>
      <c r="G385" s="105"/>
      <c r="H385" s="134" t="str">
        <f>IFERROR(IF($G385="","",$G385*$S$392/$G$392/Cadastro!$E$33),"")</f>
        <v/>
      </c>
      <c r="I385" s="135">
        <f>IFERROR(IF($D385="","",VLOOKUP($D385,Cadastro!$C$4:$G$7,5,FALSE)),"")</f>
        <v>0.6</v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53</v>
      </c>
      <c r="D386" s="59" t="s">
        <v>37</v>
      </c>
      <c r="E386" s="108" t="s">
        <v>259</v>
      </c>
      <c r="F386" s="134" t="str">
        <f>IFERROR(IF($D386="","",VLOOKUP($D386,Cadastro!$C$4:$E$7,3,FALSE)),"")</f>
        <v>b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53</v>
      </c>
      <c r="D387" s="59" t="s">
        <v>37</v>
      </c>
      <c r="E387" s="108" t="s">
        <v>259</v>
      </c>
      <c r="F387" s="134" t="str">
        <f>IFERROR(IF($D387="","",VLOOKUP($D387,Cadastro!$C$4:$E$7,3,FALSE)),"")</f>
        <v>b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53</v>
      </c>
      <c r="D388" s="59" t="s">
        <v>37</v>
      </c>
      <c r="E388" s="108" t="s">
        <v>259</v>
      </c>
      <c r="F388" s="134" t="str">
        <f>IFERROR(IF($D388="","",VLOOKUP($D388,Cadastro!$C$4:$E$7,3,FALSE)),"")</f>
        <v>b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53</v>
      </c>
      <c r="D389" s="59" t="s">
        <v>37</v>
      </c>
      <c r="E389" s="108" t="s">
        <v>259</v>
      </c>
      <c r="F389" s="134" t="str">
        <f>IFERROR(IF($D389="","",VLOOKUP($D389,Cadastro!$C$4:$E$7,3,FALSE)),"")</f>
        <v>b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53</v>
      </c>
      <c r="D390" s="59" t="s">
        <v>37</v>
      </c>
      <c r="E390" s="108" t="s">
        <v>259</v>
      </c>
      <c r="F390" s="134" t="str">
        <f>IFERROR(IF($D390="","",VLOOKUP($D390,Cadastro!$C$4:$E$7,3,FALSE)),"")</f>
        <v>b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53</v>
      </c>
      <c r="D391" s="59" t="s">
        <v>37</v>
      </c>
      <c r="E391" s="108" t="s">
        <v>259</v>
      </c>
      <c r="F391" s="137" t="str">
        <f>IFERROR(IF($D391="","",VLOOKUP($D391,Cadastro!$C$4:$E$7,3,FALSE)),"")</f>
        <v>b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2026-08-15T11:22:01Z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