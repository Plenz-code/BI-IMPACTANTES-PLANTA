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12" documentId="8_{C51EB6CB-002B-4D6B-B68F-DDEBDB4460C0}" xr6:coauthVersionLast="47" xr6:coauthVersionMax="47" xr10:uidLastSave="{EF8E1772-48CB-4B87-A3B3-004829A1199C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<sst xmlns="http://schemas.openxmlformats.org/spreadsheetml/2006/main" count="2665" uniqueCount="269">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</sst>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F106" sqref="F10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396</v>
      </c>
      <c r="G108" s="36">
        <f>SUM(G96:G107)</f>
        <v>1980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705</v>
      </c>
      <c r="G109" s="40">
        <f>G95+G108</f>
        <v>3525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106" sqref="F1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0.12505474536737893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0.26394363425626782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0.34866585647849013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251</v>
      </c>
      <c r="M96" s="30" t="str">
        <f t="shared" ref="M96:M107" ca="1" si="22">IFERROR(IF(K96="","",IF(L96="",MOD(NOW()-K96,1),IF(L96&gt;=K96,L96-K96,L96+1-K96))),"")</f>
        <v/>
      </c>
      <c r="N96" s="46" t="s">
        <v>252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231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3</v>
      </c>
      <c r="G101" s="28">
        <f t="shared" si="21"/>
        <v>12.600000000000001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81</v>
      </c>
      <c r="G108" s="36">
        <f>SUM(G96:G107)</f>
        <v>340.20000000000005</v>
      </c>
      <c r="H108" s="37"/>
      <c r="I108" s="37"/>
      <c r="J108" s="37"/>
      <c r="K108" s="37"/>
      <c r="L108" s="37"/>
      <c r="M108" s="38">
        <f ca="1">IFERROR(SUM(M96:M107),"")</f>
        <v>6.4583333333333326E-2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177</v>
      </c>
      <c r="G109" s="40">
        <f>G95+G108</f>
        <v>743.40000000000009</v>
      </c>
      <c r="H109" s="41"/>
      <c r="I109" s="41"/>
      <c r="J109" s="41"/>
      <c r="K109" s="41"/>
      <c r="L109" s="41"/>
      <c r="M109" s="42">
        <f ca="1">IFERROR(M95+M108,"")</f>
        <v>0.28125000000000006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" zoomScale="50" zoomScaleNormal="50" workbookViewId="0">
      <selection activeCell="F106" sqref="F1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7</v>
      </c>
      <c r="G99" s="28">
        <f t="shared" si="21"/>
        <v>29.400000000000002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72</v>
      </c>
      <c r="G108" s="36">
        <f>SUM(G96:G107)</f>
        <v>302.40000000000003</v>
      </c>
      <c r="H108" s="37"/>
      <c r="I108" s="37"/>
      <c r="J108" s="37"/>
      <c r="K108" s="37"/>
      <c r="L108" s="37"/>
      <c r="M108" s="38">
        <f ca="1">IFERROR(SUM(M96:M107),"")</f>
        <v>4.2361111111111072E-2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120</v>
      </c>
      <c r="G109" s="40">
        <f>G95+G108</f>
        <v>504</v>
      </c>
      <c r="H109" s="41"/>
      <c r="I109" s="41"/>
      <c r="J109" s="41"/>
      <c r="K109" s="41"/>
      <c r="L109" s="41"/>
      <c r="M109" s="42">
        <f ca="1">IFERROR(M95+M108,"")</f>
        <v>0.19861111111111107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4" activePane="bottomLeft" state="frozen"/>
      <selection pane="bottomLeft" activeCell="J98" sqref="J9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 t="s">
        <v>20</v>
      </c>
      <c r="I98" s="26" t="s">
        <v>52</v>
      </c>
      <c r="J98" s="26" t="s">
        <v>62</v>
      </c>
      <c r="K98" s="29">
        <v>0.24513888888888888</v>
      </c>
      <c r="L98" s="29"/>
      <c r="M98" s="35">
        <f t="shared" ca="1" si="22"/>
        <v>1.4436342607950792E-3</v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172</v>
      </c>
      <c r="G108" s="36">
        <f>SUM(G96:G107)</f>
        <v>722.4</v>
      </c>
      <c r="H108" s="37"/>
      <c r="I108" s="37"/>
      <c r="J108" s="37"/>
      <c r="K108" s="61"/>
      <c r="L108" s="61"/>
      <c r="M108" s="38">
        <f ca="1">IFERROR(SUM(M96:M107),"")</f>
        <v>3.2693634260795135E-2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355</v>
      </c>
      <c r="G109" s="40">
        <f>G95+G108</f>
        <v>1491</v>
      </c>
      <c r="H109" s="41"/>
      <c r="I109" s="41"/>
      <c r="J109" s="41"/>
      <c r="K109" s="63"/>
      <c r="L109" s="63"/>
      <c r="M109" s="42">
        <f ca="1">IFERROR(M95+M108,"")</f>
        <v>7.3665856483017267E-2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2026-08-05T09:55:29Z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