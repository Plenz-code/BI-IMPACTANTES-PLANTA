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24" documentId="8_{AF585B22-221D-4780-BB9C-493D365A6A02}" xr6:coauthVersionLast="47" xr6:coauthVersionMax="47" xr10:uidLastSave="{6800C40D-5283-411D-A0E2-D842D6CE986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<sst xmlns="http://schemas.openxmlformats.org/spreadsheetml/2006/main" count="12379" uniqueCount="443">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</sst>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21" sqref="G8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98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98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84" activePane="bottomLeft" state="frozen"/>
      <selection pane="bottomLeft" activeCell="H816" sqref="H8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0.49157233795995126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0.64921122684884014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0.7589334490710623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0.47004456018476048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0.64087789351809388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0.78601678240698281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/>
      <c r="K816" s="98">
        <v>0.72986111111111107</v>
      </c>
      <c r="L816" s="98"/>
      <c r="M816" s="78">
        <f ca="1">IFERROR(IF(K816="","",IF(L816="",MOD(NOW()-K816,1),IF(L816&gt;=K816,L816-K816,L816+1-K816))),"")</f>
        <v>1.2945601847604848E-3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161</v>
      </c>
      <c r="G824" s="109">
        <f>SUM(G812:G823)</f>
        <v>676.2</v>
      </c>
      <c r="H824" s="37"/>
      <c r="I824" s="37"/>
      <c r="J824" s="37"/>
      <c r="K824" s="37"/>
      <c r="L824" s="37"/>
      <c r="M824" s="110">
        <f ca="1">IFERROR(SUM(M812:M823),"")</f>
        <v>7.4905671295871612E-2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161</v>
      </c>
      <c r="G838" s="111">
        <f>G824+G837</f>
        <v>676.2</v>
      </c>
      <c r="H838" s="41"/>
      <c r="I838" s="41"/>
      <c r="J838" s="41"/>
      <c r="K838" s="41"/>
      <c r="L838" s="41"/>
      <c r="M838" s="112">
        <f ca="1">IFERROR(M824+M837,"")</f>
        <v>7.4905671295871612E-2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2" sqref="F8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90</v>
      </c>
      <c r="G824" s="109">
        <f>SUM(G812:G823)</f>
        <v>377.99999999999994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90</v>
      </c>
      <c r="G838" s="111">
        <f>G824+G837</f>
        <v>377.99999999999994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2" sqref="F8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0.48185011574241798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0.68115567129797361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1.0485167824090846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106</v>
      </c>
      <c r="G824" s="109">
        <f>SUM(G812:G823)</f>
        <v>445.20000000000005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106</v>
      </c>
      <c r="G838" s="111">
        <f>G824+G837</f>
        <v>445.20000000000005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2026-07-31T21:33:07Z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