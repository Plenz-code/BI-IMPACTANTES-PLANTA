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46" documentId="13_ncr:1_{0A10D8D4-8450-4366-8075-B53B08E6B7EA}" xr6:coauthVersionLast="47" xr6:coauthVersionMax="47" xr10:uidLastSave="{9CE9FF5D-E4D6-49FB-9D8C-C27F8A4B901E}"/>
  <bookViews>
    <workbookView xWindow="-28920" yWindow="-6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5" i="5"/>
  <c r="J355" i="5" s="1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5" i="4"/>
  <c r="J355" i="4" s="1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4" i="6" s="1"/>
  <c r="J35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3" i="5" l="1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<sst xmlns="http://schemas.openxmlformats.org/spreadsheetml/2006/main" count="6267" uniqueCount="342">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</sst>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F355" sqref="F35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5" t="s">
        <v>245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5" t="s">
        <v>245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5" t="s">
        <v>245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5" t="s">
        <v>245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5" t="s">
        <v>245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5" t="s">
        <v>245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5" t="s">
        <v>245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5" t="s">
        <v>245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241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5" t="s">
        <v>245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5" t="s">
        <v>245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5" t="s">
        <v>245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241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5" t="s">
        <v>245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5" t="s">
        <v>245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 t="s">
        <v>240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 t="s">
        <v>240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 t="s">
        <v>240</v>
      </c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 t="s">
        <v>35</v>
      </c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 t="s">
        <v>35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 t="s">
        <v>35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 t="s">
        <v>35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 t="s">
        <v>35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54">
        <f>SUM(E353:E364)</f>
        <v>0</v>
      </c>
      <c r="F365" s="36">
        <f>SUM(F353:F364)</f>
        <v>71</v>
      </c>
      <c r="G365" s="36">
        <f>SUM(G353:G364)</f>
        <v>355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5" t="s">
        <v>245</v>
      </c>
      <c r="B379" s="156"/>
      <c r="C379" s="156"/>
      <c r="D379" s="156"/>
      <c r="E379" s="157">
        <f>E365+E378</f>
        <v>0</v>
      </c>
      <c r="F379" s="40">
        <f>F365+F378</f>
        <v>71</v>
      </c>
      <c r="G379" s="40">
        <f>G365+G378</f>
        <v>355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5" t="s">
        <v>245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5" t="s">
        <v>245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5" t="s">
        <v>245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5" t="s">
        <v>245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5" t="s">
        <v>245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5" t="s">
        <v>245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5" t="s">
        <v>245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5" t="s">
        <v>245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5" t="s">
        <v>245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5" t="s">
        <v>245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5" t="s">
        <v>245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5" t="s">
        <v>245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5" t="s">
        <v>245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5" t="s">
        <v>245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5" t="s">
        <v>245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1" t="s">
        <v>245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5" t="s">
        <v>245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5" sqref="G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0.27040428240434267</v>
      </c>
      <c r="R53" s="46" t="s">
        <v>276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0.40929317129323156</v>
      </c>
      <c r="R54" s="36" t="s">
        <v>242</v>
      </c>
      <c r="S54" s="75">
        <v>352430</v>
      </c>
      <c r="T54" s="117"/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0.49401539351545387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241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27</v>
      </c>
      <c r="E330" s="108" t="s">
        <v>240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27</v>
      </c>
      <c r="E331" s="108" t="s">
        <v>240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 t="s">
        <v>256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7" activePane="bottomLeft" state="frozen"/>
      <selection pane="bottomLeft" activeCell="E356" sqref="E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27</v>
      </c>
      <c r="E330" s="108" t="s">
        <v>240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27</v>
      </c>
      <c r="E331" s="108" t="s">
        <v>256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 t="s">
        <v>256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 t="s">
        <v>256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 t="s">
        <v>256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D358" sqref="D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27</v>
      </c>
      <c r="E326" s="108" t="s">
        <v>240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27</v>
      </c>
      <c r="E327" s="108" t="s">
        <v>240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27</v>
      </c>
      <c r="E328" s="108" t="s">
        <v>240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27</v>
      </c>
      <c r="E329" s="108" t="s">
        <v>240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27</v>
      </c>
      <c r="E330" s="108" t="s">
        <v>256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27</v>
      </c>
      <c r="E331" s="108" t="s">
        <v>240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27</v>
      </c>
      <c r="E332" s="108" t="s">
        <v>256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27</v>
      </c>
      <c r="E333" s="108" t="s">
        <v>256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27</v>
      </c>
      <c r="E334" s="108" t="s">
        <v>256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27</v>
      </c>
      <c r="E335" s="108" t="s">
        <v>256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27</v>
      </c>
      <c r="E336" s="108" t="s">
        <v>256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27</v>
      </c>
      <c r="E337" s="108" t="s">
        <v>256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27</v>
      </c>
      <c r="E339" s="109" t="s">
        <v>256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27</v>
      </c>
      <c r="E340" s="109" t="s">
        <v>256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27</v>
      </c>
      <c r="E341" s="109" t="s">
        <v>256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27</v>
      </c>
      <c r="E342" s="109" t="s">
        <v>256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27</v>
      </c>
      <c r="E343" s="109" t="s">
        <v>256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27</v>
      </c>
      <c r="E344" s="109" t="s">
        <v>256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27</v>
      </c>
      <c r="E345" s="109" t="s">
        <v>256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27</v>
      </c>
      <c r="E346" s="109" t="s">
        <v>256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27</v>
      </c>
      <c r="E347" s="109" t="s">
        <v>256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27</v>
      </c>
      <c r="E348" s="109" t="s">
        <v>256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27</v>
      </c>
      <c r="E349" s="109" t="s">
        <v>256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27</v>
      </c>
      <c r="E350" s="109" t="s">
        <v>256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7.7348726852505933E-2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 t="s">
        <v>256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 t="s">
        <v>256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27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113.4</v>
      </c>
      <c r="L365" s="37"/>
      <c r="M365" s="37"/>
      <c r="N365" s="37"/>
      <c r="O365" s="61"/>
      <c r="P365" s="61"/>
      <c r="Q365" s="38">
        <f ca="1">IFERROR(SUM(Q353:Q364),"")</f>
        <v>7.7348726852505933E-2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27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113.4</v>
      </c>
      <c r="L379" s="41"/>
      <c r="M379" s="41"/>
      <c r="N379" s="41"/>
      <c r="O379" s="63"/>
      <c r="P379" s="63"/>
      <c r="Q379" s="42">
        <f ca="1">IFERROR(Q365+Q378,"")</f>
        <v>7.7348726852505933E-2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2026-08-14T13:26:18Z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