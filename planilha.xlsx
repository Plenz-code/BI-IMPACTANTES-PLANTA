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79" documentId="8_{AF585B22-221D-4780-BB9C-493D365A6A02}" xr6:coauthVersionLast="47" xr6:coauthVersionMax="47" xr10:uidLastSave="{F4DA1330-C960-49C7-B856-6EEDB7532DB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<sst xmlns="http://schemas.openxmlformats.org/spreadsheetml/2006/main" count="2361" uniqueCount="228">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</sst>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E107" sqref="E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33.6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552.80000000000007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E107" sqref="E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3</v>
      </c>
      <c r="G96" s="34">
        <f t="shared" ref="G96:G107" si="21">IF(F96="","",IF(E96="PC 17",F96*4.2,IF(E96="PC 19",F96*5,"")))</f>
        <v>12.600000000000001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457.6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K97" sqref="K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/>
      <c r="M96" s="35">
        <f t="shared" ref="M96:M107" ca="1" si="22">IFERROR(IF(K96="","",IF(L96="",MOD(NOW()-K96,1),IF(L96&gt;=K96,L96-K96,L96+1-K96))),"")</f>
        <v>6.8562500018742867E-3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6.8562500018742867E-3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0.19505069444631878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