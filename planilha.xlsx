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767" documentId="8_{1D11E9C4-FEA4-4128-910F-91CB6BBF9255}" xr6:coauthVersionLast="47" xr6:coauthVersionMax="47" xr10:uidLastSave="{47AC53B6-F4F1-4670-BA8A-AC5D31C19A2B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<sst xmlns="http://schemas.openxmlformats.org/spreadsheetml/2006/main" count="8175" uniqueCount="367">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</sst>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M43" sqref="M4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6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6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6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6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6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6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6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6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6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6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6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6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6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6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6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6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6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6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175</v>
      </c>
      <c r="L48" s="3"/>
      <c r="M48" s="3"/>
    </row>
    <row r="49" spans="1:13" ht="18" customHeight="1">
      <c r="H49" s="106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47" sqref="E74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188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190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188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190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188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190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188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190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188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190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188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190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188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190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188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190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188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190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188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190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188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190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188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190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188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190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8" t="s">
        <v>191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188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190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188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190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188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190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190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188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190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188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190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188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190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188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190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188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190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188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190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188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190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188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190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188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190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188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190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188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0</v>
      </c>
      <c r="F746" s="12">
        <f t="shared" si="168"/>
        <v>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82"/>
      <c r="D756" s="82"/>
      <c r="E756" s="19">
        <f>SUM(E744:E755)</f>
        <v>50</v>
      </c>
      <c r="F756" s="19">
        <f>SUM(F744:F755)</f>
        <v>250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22"/>
      <c r="D757" s="22"/>
      <c r="E757" s="22">
        <f>E743+E756</f>
        <v>278</v>
      </c>
      <c r="F757" s="22">
        <f>F743+F756</f>
        <v>1390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192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82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190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188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190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C447:C756 D756 C759:C769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 C770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34" zoomScale="85" zoomScaleNormal="85" workbookViewId="0">
      <selection activeCell="K744" sqref="K744:L74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188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188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8" t="s">
        <v>191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13">
        <v>0.95833333333333304</v>
      </c>
      <c r="M744" s="29" t="s">
        <v>298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/>
      <c r="H745" s="10"/>
      <c r="I745" s="16"/>
      <c r="J745" s="13"/>
      <c r="K745" s="13"/>
      <c r="L745" s="71"/>
      <c r="M745" s="29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0"/>
      <c r="I746" s="16"/>
      <c r="J746" s="13"/>
      <c r="K746" s="13"/>
      <c r="L746" s="70" t="str">
        <f t="shared" ref="L746:L755" si="168">IFERROR(IF(K746="","",IF(K746&gt;=J746,K746-J746,K746+1-J746)),"")</f>
        <v/>
      </c>
      <c r="M746" s="29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8"/>
        <v/>
      </c>
      <c r="M747" s="29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/>
      <c r="F748" s="12" t="str">
        <f t="shared" si="166"/>
        <v/>
      </c>
      <c r="G748" s="10"/>
      <c r="H748" s="10"/>
      <c r="I748" s="16"/>
      <c r="J748" s="13"/>
      <c r="K748" s="13"/>
      <c r="L748" s="70" t="str">
        <f t="shared" si="168"/>
        <v/>
      </c>
      <c r="M748" s="29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8"/>
        <v/>
      </c>
      <c r="M749" s="29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/>
      <c r="F750" s="12" t="str">
        <f t="shared" si="166"/>
        <v/>
      </c>
      <c r="G750" s="10"/>
      <c r="H750" s="10"/>
      <c r="I750" s="16"/>
      <c r="J750" s="13"/>
      <c r="K750" s="13"/>
      <c r="L750" s="70" t="str">
        <f t="shared" si="168"/>
        <v/>
      </c>
      <c r="M750" s="29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8"/>
        <v/>
      </c>
      <c r="M751" s="29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6"/>
        <v/>
      </c>
      <c r="G752" s="10"/>
      <c r="H752" s="10"/>
      <c r="I752" s="16"/>
      <c r="J752" s="13"/>
      <c r="K752" s="13"/>
      <c r="L752" s="70" t="str">
        <f t="shared" si="168"/>
        <v/>
      </c>
      <c r="M752" s="29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8"/>
        <v/>
      </c>
      <c r="M753" s="29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6"/>
      <c r="J754" s="13"/>
      <c r="K754" s="13"/>
      <c r="L754" s="70" t="str">
        <f t="shared" si="168"/>
        <v/>
      </c>
      <c r="M754" s="29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8"/>
        <v/>
      </c>
      <c r="M755" s="29"/>
      <c r="N755" s="30"/>
    </row>
    <row r="756" spans="1:14" ht="15.75" customHeight="1">
      <c r="A756" s="97" t="s">
        <v>190</v>
      </c>
      <c r="B756" s="97"/>
      <c r="C756" s="97"/>
      <c r="D756" s="97"/>
      <c r="E756" s="19">
        <f>SUM(E744:E755)</f>
        <v>10</v>
      </c>
      <c r="F756" s="19">
        <f>SUM(F744:F755)</f>
        <v>40</v>
      </c>
      <c r="G756" s="18"/>
      <c r="H756" s="18"/>
      <c r="I756" s="18"/>
      <c r="J756" s="18"/>
      <c r="K756" s="18"/>
      <c r="L756" s="72">
        <f>IFERROR(SUM(L744:L755),"")</f>
        <v>0.95833333333333304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123</v>
      </c>
      <c r="F757" s="22">
        <f>F743+F756</f>
        <v>492</v>
      </c>
      <c r="G757" s="21"/>
      <c r="H757" s="21"/>
      <c r="I757" s="21"/>
      <c r="J757" s="21"/>
      <c r="K757" s="21"/>
      <c r="L757" s="73">
        <f>IFERROR(L743+L756,"")</f>
        <v>1.1340277777777774</v>
      </c>
      <c r="M757" s="22" t="s">
        <v>192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188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B734" activePane="bottomLeft" state="frozen"/>
      <selection pane="bottomLeft" activeCell="R770" sqref="R769:AQ77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299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8" t="s">
        <v>191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8" t="s">
        <v>191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300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8" t="s">
        <v>191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8" t="s">
        <v>191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8" t="s">
        <v>191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301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302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303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306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188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309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310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311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312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313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314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315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189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298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190</v>
      </c>
      <c r="B756" s="97"/>
      <c r="C756" s="97"/>
      <c r="D756" s="97"/>
      <c r="E756" s="19">
        <f>SUM(E744:E755)</f>
        <v>7</v>
      </c>
      <c r="F756" s="19">
        <f>SUM(F744:F755)</f>
        <v>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48</v>
      </c>
      <c r="F757" s="22">
        <f>F743+F756</f>
        <v>192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192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188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29" activePane="bottomLeft" state="frozen"/>
      <selection pane="bottomLeft" activeCell="E747" sqref="E74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316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317</v>
      </c>
      <c r="I2" s="10" t="s">
        <v>318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317</v>
      </c>
      <c r="I3" s="16" t="s">
        <v>318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317</v>
      </c>
      <c r="I4" s="10" t="s">
        <v>318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317</v>
      </c>
      <c r="I5" s="16" t="s">
        <v>318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317</v>
      </c>
      <c r="I6" s="10" t="s">
        <v>318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317</v>
      </c>
      <c r="I7" s="16" t="s">
        <v>318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317</v>
      </c>
      <c r="I8" s="10" t="s">
        <v>318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317</v>
      </c>
      <c r="I9" s="16" t="s">
        <v>318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317</v>
      </c>
      <c r="I10" s="10" t="s">
        <v>318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317</v>
      </c>
      <c r="I11" s="16" t="s">
        <v>318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317</v>
      </c>
      <c r="I12" s="10" t="s">
        <v>318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317</v>
      </c>
      <c r="I13" s="16" t="s">
        <v>318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319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320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321</v>
      </c>
      <c r="I33" s="16" t="s">
        <v>322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323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323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324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325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326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327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328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329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330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331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330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332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303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333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333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333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334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335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336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337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305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338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339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340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8" t="s">
        <v>191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188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330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330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341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342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343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344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345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346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347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348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349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350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351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352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353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354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355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342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356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357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358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359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360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361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362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363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364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365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366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315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189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298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/>
      <c r="F747" s="17"/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190</v>
      </c>
      <c r="B756" s="97"/>
      <c r="C756" s="97"/>
      <c r="D756" s="97"/>
      <c r="E756" s="19">
        <f>SUM(E744:E755)</f>
        <v>24</v>
      </c>
      <c r="F756" s="19">
        <f>SUM(F744:F755)</f>
        <v>96</v>
      </c>
      <c r="G756" s="38"/>
      <c r="H756" s="38"/>
      <c r="I756" s="38"/>
      <c r="J756" s="38"/>
      <c r="K756" s="3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148</v>
      </c>
      <c r="F757" s="22">
        <f>F743+F756</f>
        <v>592</v>
      </c>
      <c r="G757" s="39"/>
      <c r="H757" s="39"/>
      <c r="I757" s="39"/>
      <c r="J757" s="39"/>
      <c r="K757" s="39"/>
      <c r="L757" s="73">
        <f>IFERROR(L743+L756,"")</f>
        <v>0.21388888888888891</v>
      </c>
      <c r="M757" s="22" t="s">
        <v>192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188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188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190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110" t="s">
        <v>191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2026-06-29T03:03:05Z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