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944" documentId="8_{C51EB6CB-002B-4D6B-B68F-DDEBDB4460C0}" xr6:coauthVersionLast="47" xr6:coauthVersionMax="47" xr10:uidLastSave="{71F4D58D-B846-4EC1-8622-E2AEE5C4FC5F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<sst xmlns="http://schemas.openxmlformats.org/spreadsheetml/2006/main" count="4903" uniqueCount="321">
  <si>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</si>
  <si>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</si>
  <si>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</si>
  <si>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</si>
  <si>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</si>
  <si>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</si>
  <si>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</si>
  <si>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</si>
  <si>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</si>
  <si>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</si>
  <si>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</si>
  <si>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</si>
  <si>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</si>
  <si>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</si>
  <si>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</si>
  <si>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</si>
  <si>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</si>
  <si>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</si>
  <si>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</si>
  <si>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</si>
  <si>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</si>
  <si>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</si>
  <si>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</si>
  <si>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</si>
  <si>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</si>
  <si>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</si>
  <si>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</si>
  <si>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</si>
  <si>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</si>
  <si>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</si>
  <si>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</si>
  <si>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</si>
  <si>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</si>
  <si>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</si>
  <si>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</si>
  <si>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</si>
  <si>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</si>
  <si>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</si>
  <si>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</si>
  <si>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</si>
  <si>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</si>
  <si>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</si>
  <si>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</si>
  <si>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</si>
  <si>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</si>
  <si>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</si>
  <si>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</si>
  <si>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</si>
  <si>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</si>
  <si>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</si>
  <si>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</si>
  <si>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</si>
  <si>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</si>
  <si>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</si>
  <si>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</si>
  <si>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</si>
  <si>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</si>
  <si>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</si>
  <si>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</si>
  <si>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</si>
  <si>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</si>
  <si>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</si>
  <si>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</si>
  <si>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</si>
  <si>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</si>
  <si>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</si>
  <si>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</si>
  <si>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</si>
  <si>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</si>
  <si>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</si>
  <si>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</si>
  <si>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</si>
  <si>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</si>
  <si>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</si>
  <si>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</si>
  <si>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</si>
  <si>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</si>
  <si>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</si>
  <si>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</si>
  <si>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</si>
  <si>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</si>
  <si>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</si>
  <si>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</si>
  <si>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</si>
  <si>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</si>
  <si>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</si>
  <si>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</si>
  <si>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</si>
  <si>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</si>
  <si>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</si>
  <si>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</si>
  <si>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</si>
  <si>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</si>
  <si>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</si>
  <si>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</si>
  <si>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</si>
  <si>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</si>
  <si>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</si>
  <si>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</si>
  <si>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</si>
  <si>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</si>
  <si>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</si>
  <si>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</si>
  <si>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</si>
  <si>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</si>
  <si>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</si>
  <si>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</si>
  <si>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</si>
  <si>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</si>
  <si>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</si>
  <si>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</si>
  <si>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</si>
  <si>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</si>
  <si>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</si>
  <si>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</si>
  <si>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</si>
  <si>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</si>
  <si>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</si>
  <si>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</si>
  <si>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</si>
  <si>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</si>
  <si>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</si>
  <si>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</si>
  <si>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</si>
  <si>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</si>
  <si>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</si>
  <si>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</si>
  <si>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</si>
  <si>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</si>
  <si>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</si>
  <si>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</si>
  <si>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</si>
  <si>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</si>
  <si>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</si>
  <si>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</si>
  <si>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</si>
  <si>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</si>
  <si>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</si>
  <si>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</si>
  <si>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</si>
  <si>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</si>
  <si>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</si>
  <si>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</si>
  <si>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</si>
  <si>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</si>
  <si>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</si>
  <si>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</si>
  <si>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</si>
  <si>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</si>
  <si>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</si>
  <si>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</si>
  <si>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</si>
  <si>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</si>
  <si>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</si>
  <si>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</si>
  <si>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</si>
  <si>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</si>
  <si>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</si>
  <si>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</si>
  <si>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</si>
  <si>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</si>
  <si>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</si>
  <si>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</si>
  <si>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</si>
  <si>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</si>
  <si>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</si>
  <si>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</si>
  <si>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</si>
  <si>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</si>
  <si>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</si>
  <si>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</si>
  <si>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</si>
  <si>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</si>
  <si>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</si>
  <si>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</si>
  <si>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</si>
  <si>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</si>
  <si>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</si>
  <si>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</si>
  <si>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</si>
  <si>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</si>
  <si>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</si>
  <si>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</si>
  <si>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</si>
  <si>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</si>
  <si>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</si>
  <si>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</si>
  <si>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</si>
  <si>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</si>
  <si>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</si>
  <si>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</si>
  <si>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</si>
  <si>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</si>
  <si>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</si>
  <si>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</si>
  <si>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</si>
  <si>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</si>
  <si>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</si>
  <si>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</si>
  <si>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</si>
  <si>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</si>
  <si>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</si>
  <si>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</si>
  <si>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</si>
  <si>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</si>
  <si>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</si>
  <si>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</si>
  <si>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</si>
  <si>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</si>
  <si>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</si>
  <si>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</si>
  <si>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</si>
  <si>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</si>
  <si>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</si>
  <si>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</si>
  <si>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</si>
  <si>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</si>
  <si>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</si>
  <si>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</si>
  <si>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</si>
  <si>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</si>
  <si>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</si>
  <si>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</si>
  <si>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</si>
  <si>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</si>
  <si>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</si>
  <si>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</si>
  <si>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</si>
  <si>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</si>
  <si>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</si>
  <si>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</si>
  <si>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</si>
  <si>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</si>
  <si>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</si>
  <si>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</si>
  <si>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</si>
  <si>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</si>
  <si>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</si>
  <si>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</si>
  <si>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</si>
  <si>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</si>
  <si>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</si>
  <si>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</si>
  <si>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</si>
  <si>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</si>
  <si>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</si>
  <si>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</si>
  <si>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</si>
  <si>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</si>
  <si>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</si>
  <si>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</si>
  <si>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</si>
  <si>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</si>
  <si>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</si>
  <si>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carregamento com caminhão basculante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</si>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</sst>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5" t="s">
        <v>0</v>
      </c>
      <c r="B1" s="115"/>
      <c r="C1" s="115"/>
      <c r="D1" s="115"/>
      <c r="E1" s="115"/>
      <c r="F1" s="115"/>
      <c r="G1" s="115"/>
    </row>
    <row r="2" spans="1:7" ht="24.75" customHeight="1">
      <c r="A2" s="116"/>
      <c r="B2" s="11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7" t="s">
        <v>9</v>
      </c>
      <c r="B35" s="117"/>
      <c r="C35" s="13">
        <f>IFERROR(SUM(C4:C34),"")</f>
        <v>30437510</v>
      </c>
      <c r="D35" s="13">
        <f>IFERROR(SUM(D4:D34),"")</f>
        <v>9653100</v>
      </c>
      <c r="E35" s="13">
        <f>IFERROR(SUM(E4:E34),"")</f>
        <v>4559940</v>
      </c>
      <c r="F35" s="13">
        <f>IFERROR(SUM(F4:F34),"")</f>
        <v>12399220</v>
      </c>
      <c r="G35" s="13">
        <f>IFERROR(SUM(G4:G34),"")</f>
        <v>26612260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8" t="s">
        <v>10</v>
      </c>
      <c r="B1" s="118"/>
      <c r="C1" s="118"/>
      <c r="D1" s="118"/>
      <c r="E1" s="118"/>
      <c r="F1" s="118"/>
      <c r="G1" s="118"/>
      <c r="H1" s="119"/>
      <c r="I1" s="120" t="s">
        <v>11</v>
      </c>
      <c r="J1" s="120"/>
      <c r="K1" s="120"/>
      <c r="L1" s="120"/>
      <c r="M1" s="120"/>
    </row>
    <row r="2" spans="1:13" ht="4.5" customHeight="1">
      <c r="H2" s="11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9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9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9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9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9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9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9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9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9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9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9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9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9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9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9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9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9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9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9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9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9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9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9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9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9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9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9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9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9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9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9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9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9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9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9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9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9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9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9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9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9"/>
      <c r="I58" s="16"/>
      <c r="J58" s="16"/>
      <c r="K58" s="16" t="s">
        <v>208</v>
      </c>
      <c r="L58" s="16"/>
      <c r="M58" s="16"/>
    </row>
    <row r="59" spans="1:13" ht="15" customHeight="1">
      <c r="H59" s="119"/>
      <c r="I59" s="17"/>
      <c r="J59" s="17"/>
      <c r="K59" s="17" t="s">
        <v>209</v>
      </c>
      <c r="L59" s="17"/>
      <c r="M59" s="17"/>
    </row>
    <row r="60" spans="1:13" ht="15" customHeight="1">
      <c r="H60" s="119"/>
      <c r="I60" s="16"/>
      <c r="J60" s="16"/>
      <c r="K60" s="86" t="s">
        <v>105</v>
      </c>
      <c r="L60" s="16"/>
      <c r="M60" s="16"/>
    </row>
    <row r="61" spans="1:13" ht="15" customHeight="1">
      <c r="H61" s="119"/>
      <c r="I61" s="17"/>
      <c r="J61" s="17"/>
      <c r="K61" s="17" t="s">
        <v>210</v>
      </c>
      <c r="L61" s="17"/>
      <c r="M61" s="17"/>
    </row>
    <row r="62" spans="1:13" ht="15" customHeight="1">
      <c r="H62" s="119"/>
      <c r="I62" s="16"/>
      <c r="J62" s="16"/>
      <c r="K62" s="16" t="s">
        <v>211</v>
      </c>
      <c r="L62" s="16"/>
      <c r="M62" s="16"/>
    </row>
    <row r="63" spans="1:13" ht="15" customHeight="1">
      <c r="H63" s="119"/>
      <c r="I63" s="17"/>
      <c r="J63" s="17"/>
      <c r="K63" s="17" t="s">
        <v>212</v>
      </c>
      <c r="L63" s="17"/>
      <c r="M63" s="17"/>
    </row>
    <row r="64" spans="1:13" ht="15" customHeight="1">
      <c r="H64" s="119"/>
      <c r="I64" s="16"/>
      <c r="J64" s="16"/>
      <c r="K64" s="16" t="s">
        <v>213</v>
      </c>
      <c r="L64" s="16"/>
      <c r="M64" s="16"/>
    </row>
    <row r="65" spans="8:13" ht="15" customHeight="1">
      <c r="H65" s="119"/>
      <c r="I65" s="17"/>
      <c r="J65" s="17"/>
      <c r="K65" s="17" t="s">
        <v>214</v>
      </c>
      <c r="L65" s="17"/>
      <c r="M65" s="17"/>
    </row>
    <row r="66" spans="8:13" ht="15" customHeight="1">
      <c r="H66" s="119"/>
      <c r="I66" s="16"/>
      <c r="J66" s="16"/>
      <c r="K66" s="16" t="s">
        <v>215</v>
      </c>
      <c r="L66" s="16"/>
      <c r="M66" s="16"/>
    </row>
    <row r="67" spans="8:13" ht="15" customHeight="1">
      <c r="H67" s="119"/>
      <c r="I67" s="17"/>
      <c r="J67" s="17"/>
      <c r="K67" s="17" t="s">
        <v>216</v>
      </c>
      <c r="L67" s="17"/>
      <c r="M67" s="17"/>
    </row>
    <row r="68" spans="8:13" ht="15" customHeight="1">
      <c r="H68" s="119"/>
      <c r="I68" s="16"/>
      <c r="J68" s="16"/>
      <c r="K68" s="16" t="s">
        <v>217</v>
      </c>
      <c r="L68" s="16"/>
      <c r="M68" s="16"/>
    </row>
    <row r="69" spans="8:13" ht="15" customHeight="1">
      <c r="H69" s="119"/>
      <c r="I69" s="17"/>
      <c r="J69" s="17"/>
      <c r="K69" s="17" t="s">
        <v>218</v>
      </c>
      <c r="L69" s="17"/>
      <c r="M69" s="17"/>
    </row>
    <row r="70" spans="8:13" ht="15" customHeight="1">
      <c r="H70" s="119"/>
      <c r="I70" s="16"/>
      <c r="J70" s="16"/>
      <c r="K70" s="16" t="s">
        <v>219</v>
      </c>
      <c r="L70" s="16"/>
      <c r="M70" s="16"/>
    </row>
    <row r="71" spans="8:13" ht="15" customHeight="1">
      <c r="H71" s="119"/>
      <c r="I71" s="17"/>
      <c r="J71" s="17"/>
      <c r="K71" s="17" t="s">
        <v>220</v>
      </c>
      <c r="L71" s="17"/>
      <c r="M71" s="17"/>
    </row>
    <row r="72" spans="8:13" ht="15" customHeight="1">
      <c r="H72" s="119"/>
      <c r="I72" s="16"/>
      <c r="J72" s="16"/>
      <c r="K72" s="16" t="s">
        <v>221</v>
      </c>
      <c r="L72" s="16"/>
      <c r="M72" s="16"/>
    </row>
    <row r="73" spans="8:13" ht="15" customHeight="1">
      <c r="H73" s="119"/>
      <c r="I73" s="17"/>
      <c r="J73" s="17"/>
      <c r="K73" s="17" t="s">
        <v>222</v>
      </c>
      <c r="L73" s="17"/>
      <c r="M73" s="17"/>
    </row>
    <row r="74" spans="8:13" ht="15" customHeight="1">
      <c r="H74" s="119"/>
      <c r="I74" s="16"/>
      <c r="J74" s="16"/>
      <c r="K74" s="16" t="s">
        <v>223</v>
      </c>
      <c r="L74" s="16"/>
      <c r="M74" s="16"/>
    </row>
    <row r="75" spans="8:13" ht="15" customHeight="1">
      <c r="H75" s="11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15" activePane="bottomLeft" state="frozen"/>
      <selection pane="bottomLeft" activeCell="E251" sqref="E25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09" t="s">
        <v>235</v>
      </c>
      <c r="B230" s="110"/>
      <c r="C230" s="110"/>
      <c r="D230" s="110"/>
      <c r="E230" s="11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254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118</v>
      </c>
      <c r="G257" s="36">
        <f>SUM(G245:G256)</f>
        <v>590</v>
      </c>
      <c r="H257" s="37"/>
      <c r="I257" s="37"/>
      <c r="J257" s="37"/>
      <c r="K257" s="37"/>
      <c r="L257" s="37"/>
      <c r="M257" s="38">
        <f ca="1">IFERROR(SUM(M245:M256),"")</f>
        <v>2.2222222222222254E-2</v>
      </c>
      <c r="N257" s="36" t="s">
        <v>236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118</v>
      </c>
      <c r="G271" s="40">
        <f>G257+G270</f>
        <v>590</v>
      </c>
      <c r="H271" s="41"/>
      <c r="I271" s="41"/>
      <c r="J271" s="41"/>
      <c r="K271" s="41"/>
      <c r="L271" s="41"/>
      <c r="M271" s="42">
        <f ca="1">IFERROR(M257+M270,"")</f>
        <v>2.2222222222222254E-2</v>
      </c>
      <c r="N271" s="40" t="s">
        <v>240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2" t="s">
        <v>239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29" activePane="bottomLeft" state="frozen"/>
      <selection pane="bottomLeft" activeCell="H254" sqref="H25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255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256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257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258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259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260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261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262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0.49533784722007113</v>
      </c>
      <c r="N53" s="46" t="s">
        <v>263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0.63422673610895997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0.71894895833118233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255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264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265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266</v>
      </c>
      <c r="M96" s="30" t="str">
        <f t="shared" ref="M96:M107" ca="1" si="22">IFERROR(IF(K96="","",IF(L96="",MOD(NOW()-K96,1),IF(L96&gt;=K96,L96-K96,L96+1-K96))),"")</f>
        <v/>
      </c>
      <c r="N96" s="46" t="s">
        <v>267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268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269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270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271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272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273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275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276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277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270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264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278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279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280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9" t="s">
        <v>235</v>
      </c>
      <c r="B230" s="110"/>
      <c r="C230" s="110"/>
      <c r="D230" s="110"/>
      <c r="E230" s="111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102</v>
      </c>
      <c r="G257" s="36">
        <f>SUM(G245:G256)</f>
        <v>485.19999999999993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77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102</v>
      </c>
      <c r="G271" s="40">
        <f>G257+G270</f>
        <v>485.19999999999993</v>
      </c>
      <c r="H271" s="41"/>
      <c r="I271" s="41"/>
      <c r="J271" s="41"/>
      <c r="K271" s="41"/>
      <c r="L271" s="41"/>
      <c r="M271" s="42">
        <f ca="1">IFERROR(M257+M270,"")</f>
        <v>2.7083333333333404E-2</v>
      </c>
      <c r="N271" s="40" t="s">
        <v>240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21" zoomScale="50" zoomScaleNormal="50" workbookViewId="0">
      <selection activeCell="F252" sqref="F25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281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258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282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281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281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283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284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285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286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288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289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273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264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290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291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276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276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292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293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294</v>
      </c>
      <c r="M222" s="30" t="str">
        <f t="shared" ca="1" si="49"/>
        <v/>
      </c>
      <c r="N222" s="27" t="s">
        <v>295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296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60</v>
      </c>
      <c r="G257" s="36">
        <f>SUM(G245:G256)</f>
        <v>277.60000000000002</v>
      </c>
      <c r="H257" s="37"/>
      <c r="I257" s="37"/>
      <c r="J257" s="37"/>
      <c r="K257" s="37"/>
      <c r="L257" s="37"/>
      <c r="M257" s="38">
        <f ca="1">IFERROR(SUM(M245:M256),"")</f>
        <v>4.5833333333333337E-2</v>
      </c>
      <c r="N257" s="36" t="s">
        <v>236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F258" s="102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102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102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F262" s="27"/>
      <c r="G262" s="34" t="str">
        <f>IF(F262="","",IF(E263="PC 17",F262*4.2,IF(E263="PC 19",F262*5,IF(E263="CB",F262*24,""))))</f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>IF(F263="","",IF(#REF!="PC 17",F263*4.2,IF(#REF!="PC 19",F263*5,IF(#REF!="CB",F263*24,""))))</f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60</v>
      </c>
      <c r="G271" s="40">
        <f>G257+G270</f>
        <v>277.60000000000002</v>
      </c>
      <c r="H271" s="41"/>
      <c r="I271" s="41"/>
      <c r="J271" s="41"/>
      <c r="K271" s="41"/>
      <c r="L271" s="41"/>
      <c r="M271" s="42">
        <f ca="1">IFERROR(M257+M270,"")</f>
        <v>4.5833333333333337E-2</v>
      </c>
      <c r="N271" s="40" t="s">
        <v>240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63:E380 E259:E261 E29:E256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21" activePane="bottomLeft" state="frozen"/>
      <selection pane="bottomLeft" activeCell="L252" sqref="L25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281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301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302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303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281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281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304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305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264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281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306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307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273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308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310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311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312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313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314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315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316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317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318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319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320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30</v>
      </c>
      <c r="E252" s="59" t="s">
        <v>250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30</v>
      </c>
      <c r="E253" s="59" t="s">
        <v>250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30</v>
      </c>
      <c r="E254" s="59" t="s">
        <v>250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30</v>
      </c>
      <c r="E255" s="59" t="s">
        <v>250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30</v>
      </c>
      <c r="E256" s="59" t="s">
        <v>250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99</v>
      </c>
      <c r="G257" s="36">
        <f>SUM(G245:G256)</f>
        <v>474.2</v>
      </c>
      <c r="H257" s="37"/>
      <c r="I257" s="37"/>
      <c r="J257" s="37"/>
      <c r="K257" s="61"/>
      <c r="L257" s="61"/>
      <c r="M257" s="38">
        <f ca="1">IFERROR(SUM(M245:M256),"")</f>
        <v>6.5972222222222265E-2</v>
      </c>
      <c r="N257" s="36" t="s">
        <v>236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99</v>
      </c>
      <c r="G271" s="40">
        <f>G257+G270</f>
        <v>474.2</v>
      </c>
      <c r="H271" s="41"/>
      <c r="I271" s="41"/>
      <c r="J271" s="41"/>
      <c r="K271" s="63"/>
      <c r="L271" s="63"/>
      <c r="M271" s="42">
        <f ca="1">IFERROR(M257+M270,"")</f>
        <v>6.5972222222222265E-2</v>
      </c>
      <c r="N271" s="40" t="s">
        <v>240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2026-08-10T18:50:17Z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