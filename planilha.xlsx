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68" documentId="8_{C51EB6CB-002B-4D6B-B68F-DDEBDB4460C0}" xr6:coauthVersionLast="47" xr6:coauthVersionMax="47" xr10:uidLastSave="{31C497CB-08B6-400B-ACF4-CD6BDDB4E2C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<sst xmlns="http://schemas.openxmlformats.org/spreadsheetml/2006/main" count="4071" uniqueCount="299">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</sst>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72" activePane="bottomLeft" state="frozen"/>
      <selection pane="bottomLeft" activeCell="K192" sqref="K1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/>
      <c r="I191" s="33"/>
      <c r="J191" s="33"/>
      <c r="K191" s="29">
        <v>0.34930555555555554</v>
      </c>
      <c r="L191" s="29"/>
      <c r="M191" s="35">
        <f t="shared" ref="M191:M202" ca="1" si="43">IFERROR(IF(K191="","",IF(L191="",MOD(NOW()-K191,1),IF(L191&gt;=K191,L191-K191,L191+1-K191))),"")</f>
        <v>4.7326388448709622E-4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175</v>
      </c>
      <c r="H203" s="37"/>
      <c r="I203" s="37"/>
      <c r="J203" s="37"/>
      <c r="K203" s="37"/>
      <c r="L203" s="37"/>
      <c r="M203" s="38">
        <f ca="1">IFERROR(SUM(M191:M202),"")</f>
        <v>4.7326388448709622E-4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175</v>
      </c>
      <c r="H217" s="41"/>
      <c r="I217" s="41"/>
      <c r="J217" s="41"/>
      <c r="K217" s="41"/>
      <c r="L217" s="41"/>
      <c r="M217" s="42">
        <f ca="1">IFERROR(M203+M216,"")</f>
        <v>4.7326388448709622E-4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J196" sqref="J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0.22825104166258825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0.36713993055147714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0.45186215277369945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99" sqref="J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6" sqref="J1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15</v>
      </c>
      <c r="G217" s="40">
        <f>G203+G216</f>
        <v>63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2026-08-08T12:24:13Z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