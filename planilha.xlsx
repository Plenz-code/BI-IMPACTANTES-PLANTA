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79" documentId="8_{AF585B22-221D-4780-BB9C-493D365A6A02}" xr6:coauthVersionLast="47" xr6:coauthVersionMax="47" xr10:uidLastSave="{4B572293-1331-416C-A442-C4BBF831127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<sst xmlns="http://schemas.openxmlformats.org/spreadsheetml/2006/main" count="11755" uniqueCount="426">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</sst>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3" sqref="F7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 t="shared" si="171"/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15</v>
      </c>
      <c r="G774" s="28">
        <f t="shared" si="171"/>
        <v>75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95</v>
      </c>
      <c r="G783" s="36">
        <f>SUM(G771:G782)</f>
        <v>475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445</v>
      </c>
      <c r="G784" s="40">
        <f>G770+G783</f>
        <v>2225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L774" sqref="L7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0.73443171296094079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0.89207060184982967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1.0017928240720519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0.71290393518575002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0.88373726851908341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1.0288761574079723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60</v>
      </c>
      <c r="G783" s="36">
        <f>SUM(G771:G782)</f>
        <v>260.8</v>
      </c>
      <c r="H783" s="37"/>
      <c r="I783" s="37"/>
      <c r="J783" s="37"/>
      <c r="K783" s="37"/>
      <c r="L783" s="37"/>
      <c r="M783" s="38">
        <f ca="1">IFERROR(SUM(M771:M782),"")</f>
        <v>4.0277777777777746E-2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194</v>
      </c>
      <c r="G784" s="40">
        <f>G770+G783</f>
        <v>831.60000000000014</v>
      </c>
      <c r="H784" s="41"/>
      <c r="I784" s="41"/>
      <c r="J784" s="41"/>
      <c r="K784" s="41"/>
      <c r="L784" s="41"/>
      <c r="M784" s="42">
        <f ca="1">IFERROR(M770+M783,"")</f>
        <v>0.13541666666666657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K775" sqref="K7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>
        <v>0.96250000000000002</v>
      </c>
      <c r="L774" s="29"/>
      <c r="M774" s="30">
        <f t="shared" ca="1" si="172"/>
        <v>1.1515046295244247E-2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19</v>
      </c>
      <c r="G783" s="36">
        <f>SUM(G771:G782)</f>
        <v>83.8</v>
      </c>
      <c r="H783" s="37"/>
      <c r="I783" s="37"/>
      <c r="J783" s="37"/>
      <c r="K783" s="37"/>
      <c r="L783" s="37"/>
      <c r="M783" s="38">
        <f ca="1">IFERROR(SUM(M771:M782),"")</f>
        <v>5.5265046295244313E-2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60</v>
      </c>
      <c r="G784" s="40">
        <f>G770+G783</f>
        <v>260</v>
      </c>
      <c r="H784" s="41"/>
      <c r="I784" s="41"/>
      <c r="J784" s="41"/>
      <c r="K784" s="41"/>
      <c r="L784" s="41"/>
      <c r="M784" s="42">
        <f ca="1">IFERROR(M770+M783,"")</f>
        <v>0.16915393518413324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64" activePane="bottomLeft" state="frozen"/>
      <selection pane="bottomLeft" activeCell="H771" sqref="H7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0.72470949074340751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0.92401504629896314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1.2913761574100742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/>
      <c r="J771" s="33"/>
      <c r="K771" s="29">
        <v>0.97222222222222221</v>
      </c>
      <c r="L771" s="29"/>
      <c r="M771" s="35">
        <f t="shared" ref="M771:M782" ca="1" si="172">IFERROR(IF(K771="","",IF(L771="",MOD(NOW()-K771,1),IF(L771&gt;=K771,L771-K771,L771+1-K771))),"")</f>
        <v>1.792824077710975E-3</v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67</v>
      </c>
      <c r="G783" s="36">
        <f>SUM(G771:G782)</f>
        <v>291</v>
      </c>
      <c r="H783" s="37"/>
      <c r="I783" s="37"/>
      <c r="J783" s="37"/>
      <c r="K783" s="61"/>
      <c r="L783" s="61"/>
      <c r="M783" s="38">
        <f ca="1">IFERROR(SUM(M771:M782),"")</f>
        <v>1.792824077710975E-3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75</v>
      </c>
      <c r="G784" s="40">
        <f>G770+G783</f>
        <v>324.60000000000002</v>
      </c>
      <c r="H784" s="41"/>
      <c r="I784" s="41"/>
      <c r="J784" s="41"/>
      <c r="K784" s="63"/>
      <c r="L784" s="63"/>
      <c r="M784" s="42">
        <f ca="1">IFERROR(M770+M783,"")</f>
        <v>0.46568171296659983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2026-07-30T03:22:42Z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