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39" documentId="8_{AF585B22-221D-4780-BB9C-493D365A6A02}" xr6:coauthVersionLast="47" xr6:coauthVersionMax="47" xr10:uidLastSave="{08439320-43CA-4BAC-9CDC-3D63D763DAA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<sst xmlns="http://schemas.openxmlformats.org/spreadsheetml/2006/main" count="12356" uniqueCount="439">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</sst>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15" sqref="F8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>
        <v>18</v>
      </c>
      <c r="G812" s="104">
        <v>50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34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34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1" activePane="bottomLeft" state="frozen"/>
      <selection pane="bottomLeft" activeCell="J812" sqref="J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0.19427662036468973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0.35191550925357862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0.46163773147580078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0.17274884258949896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0.34358217592283236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0.48872106481172123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/>
      <c r="M812" s="78">
        <f ca="1">IFERROR(IF(K812="","",IF(L812="",MOD(NOW()-K812,1),IF(L812&gt;=K812,L812-K812,L812+1-K812))),"")</f>
        <v>5.2662036614492536E-4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26</v>
      </c>
      <c r="G813" s="104">
        <f>IF(F813="","",IF(E813="PC 17",F813*4.2,IF(E813="PC 19",F813*5,"")))</f>
        <v>109.2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59</v>
      </c>
      <c r="G824" s="109">
        <f>SUM(G812:G823)</f>
        <v>247.8</v>
      </c>
      <c r="H824" s="37"/>
      <c r="I824" s="37"/>
      <c r="J824" s="37"/>
      <c r="K824" s="37"/>
      <c r="L824" s="37"/>
      <c r="M824" s="110">
        <f ca="1">IFERROR(SUM(M812:M823),"")</f>
        <v>5.2662036614492536E-4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59</v>
      </c>
      <c r="G838" s="111">
        <f>G824+G837</f>
        <v>247.8</v>
      </c>
      <c r="H838" s="41"/>
      <c r="I838" s="41"/>
      <c r="J838" s="41"/>
      <c r="K838" s="41"/>
      <c r="L838" s="41"/>
      <c r="M838" s="112">
        <f ca="1">IFERROR(M824+M837,"")</f>
        <v>5.2662036614492536E-4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5" sqref="F8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32</v>
      </c>
      <c r="G824" s="109">
        <f>SUM(G812:G823)</f>
        <v>134.4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32</v>
      </c>
      <c r="G838" s="111">
        <f>G824+G837</f>
        <v>134.4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5" sqref="F8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0.18455439814715646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0.38385995370271209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0.75122106481382311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16</v>
      </c>
      <c r="G824" s="109">
        <f>SUM(G812:G823)</f>
        <v>67.2</v>
      </c>
      <c r="H824" s="37"/>
      <c r="I824" s="37"/>
      <c r="J824" s="37"/>
      <c r="K824" s="37"/>
      <c r="L824" s="37"/>
      <c r="M824" s="110">
        <f ca="1">IFERROR(SUM(M812:M823),"")</f>
        <v>7.0833333333333304E-2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16</v>
      </c>
      <c r="G838" s="111">
        <f>G824+G837</f>
        <v>67.2</v>
      </c>
      <c r="H838" s="41"/>
      <c r="I838" s="41"/>
      <c r="J838" s="41"/>
      <c r="K838" s="41"/>
      <c r="L838" s="41"/>
      <c r="M838" s="112">
        <f ca="1">IFERROR(M824+M837,"")</f>
        <v>7.0833333333333304E-2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2026-07-31T14:26:31Z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