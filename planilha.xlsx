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04" documentId="13_ncr:1_{A6DBCFB4-28D9-4249-9038-216934055CA6}" xr6:coauthVersionLast="47" xr6:coauthVersionMax="47" xr10:uidLastSave="{1DEFB763-240F-471C-A0B2-A3D18FCCE746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2" i="5" l="1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<sst xmlns="http://schemas.openxmlformats.org/spreadsheetml/2006/main" count="9699" uniqueCount="420">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</sst>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3" activePane="bottomLeft" state="frozen"/>
      <selection pane="bottomLeft" activeCell="F575" sqref="F57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227</v>
      </c>
      <c r="G581" s="2">
        <f>SUM(G569:G580)</f>
        <v>1135</v>
      </c>
      <c r="H581" s="72"/>
      <c r="I581" s="72"/>
      <c r="J581" s="72"/>
      <c r="K581" s="72"/>
      <c r="L581" s="72"/>
      <c r="M581" s="73">
        <f ca="1">IFERROR(SUM(M569:M580),"")</f>
        <v>1.041666666666663E-2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227</v>
      </c>
      <c r="G595" s="1">
        <f>G581+G594</f>
        <v>1135</v>
      </c>
      <c r="H595" s="76"/>
      <c r="I595" s="76"/>
      <c r="J595" s="76"/>
      <c r="K595" s="76"/>
      <c r="L595" s="76"/>
      <c r="M595" s="77">
        <f ca="1">IFERROR(M581+M594,"")</f>
        <v>1.041666666666663E-2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N569" sqref="N56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0.44156747684610309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0.58045636573499082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0.66517858795721363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/>
      <c r="Q569" s="71">
        <f t="shared" ref="Q569:Q580" ca="1" si="148">IFERROR(IF(O569="","",IF(P569="",MOD(NOW()-O569,1),IF(P569&gt;=O569,P569-O569,P569+1-O569))),"")</f>
        <v>0.27142858796287328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0.27142858796287328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0.27142858796287328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48" activePane="bottomLeft" state="frozen"/>
      <selection pane="bottomLeft" activeCell="N572" sqref="N57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312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3"/>
        <v>0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3"/>
        <v>0</v>
      </c>
      <c r="K572" s="69">
        <f t="shared" si="144"/>
        <v>67.2</v>
      </c>
      <c r="L572" s="61" t="s">
        <v>29</v>
      </c>
      <c r="M572" s="61" t="s">
        <v>159</v>
      </c>
      <c r="N572" s="61" t="s">
        <v>60</v>
      </c>
      <c r="O572" s="65">
        <v>0.5625</v>
      </c>
      <c r="P572" s="65"/>
      <c r="Q572" s="66">
        <f t="shared" ca="1" si="145"/>
        <v>5.9525462711462751E-4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3"/>
        <v>0</v>
      </c>
      <c r="K573" s="69">
        <f t="shared" si="144"/>
        <v>55</v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3"/>
        <v>0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87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374.2</v>
      </c>
      <c r="L581" s="72"/>
      <c r="M581" s="72"/>
      <c r="N581" s="72"/>
      <c r="O581" s="72"/>
      <c r="P581" s="72"/>
      <c r="Q581" s="73">
        <f ca="1">IFERROR(SUM(Q569:Q580),"")</f>
        <v>5.684525462711465E-2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87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374.2</v>
      </c>
      <c r="L595" s="76"/>
      <c r="M595" s="76"/>
      <c r="N595" s="76"/>
      <c r="O595" s="76"/>
      <c r="P595" s="76"/>
      <c r="Q595" s="77">
        <f ca="1">IFERROR(Q581+Q594,"")</f>
        <v>5.684525462711465E-2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50" activePane="bottomLeft" state="frozen"/>
      <selection pane="bottomLeft" activeCell="E574" sqref="E57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402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419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105</v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116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503.2</v>
      </c>
      <c r="L581" s="72"/>
      <c r="M581" s="72"/>
      <c r="N581" s="72"/>
      <c r="O581" s="134"/>
      <c r="P581" s="134"/>
      <c r="Q581" s="73">
        <f ca="1">IFERROR(SUM(Q569:Q580),"")</f>
        <v>7.0138888888888973E-2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116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503.2</v>
      </c>
      <c r="L595" s="76"/>
      <c r="M595" s="76"/>
      <c r="N595" s="76"/>
      <c r="O595" s="135"/>
      <c r="P595" s="135"/>
      <c r="Q595" s="77">
        <f ca="1">IFERROR(Q581+Q594,"")</f>
        <v>7.0138888888888973E-2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2026-08-22T17:31:22Z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