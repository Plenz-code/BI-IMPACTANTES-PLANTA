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17" documentId="8_{C51EB6CB-002B-4D6B-B68F-DDEBDB4460C0}" xr6:coauthVersionLast="47" xr6:coauthVersionMax="47" xr10:uidLastSave="{1AFB167E-89B8-43DF-83DC-57BC85EAC780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<sst xmlns="http://schemas.openxmlformats.org/spreadsheetml/2006/main" count="4688" uniqueCount="316">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</sst>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0" t="s">
        <v>0</v>
      </c>
      <c r="B1" s="110"/>
      <c r="C1" s="110"/>
      <c r="D1" s="110"/>
      <c r="E1" s="110"/>
      <c r="F1" s="110"/>
      <c r="G1" s="110"/>
    </row>
    <row r="2" spans="1:7" ht="24.75" customHeight="1">
      <c r="A2" s="111"/>
      <c r="B2" s="11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2" t="s">
        <v>9</v>
      </c>
      <c r="B35" s="112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3" t="s">
        <v>10</v>
      </c>
      <c r="B1" s="113"/>
      <c r="C1" s="113"/>
      <c r="D1" s="113"/>
      <c r="E1" s="113"/>
      <c r="F1" s="113"/>
      <c r="G1" s="113"/>
      <c r="H1" s="114"/>
      <c r="I1" s="115" t="s">
        <v>11</v>
      </c>
      <c r="J1" s="115"/>
      <c r="K1" s="115"/>
      <c r="L1" s="115"/>
      <c r="M1" s="115"/>
    </row>
    <row r="2" spans="1:13" ht="4.5" customHeight="1">
      <c r="H2" s="11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4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4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4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4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4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4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4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4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4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4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4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4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4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4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4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4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4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4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4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4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4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4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4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4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4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4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4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4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4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4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4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4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4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4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4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4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4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4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4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4"/>
      <c r="I57" s="17"/>
      <c r="J57" s="17"/>
      <c r="K57" s="17" t="s">
        <v>50</v>
      </c>
      <c r="L57" s="17"/>
      <c r="M57" s="17"/>
    </row>
    <row r="58" spans="1:13" ht="15" customHeight="1">
      <c r="H58" s="114"/>
      <c r="I58" s="16"/>
      <c r="J58" s="16"/>
      <c r="K58" s="16" t="s">
        <v>207</v>
      </c>
      <c r="L58" s="16"/>
      <c r="M58" s="16"/>
    </row>
    <row r="59" spans="1:13" ht="15" customHeight="1">
      <c r="H59" s="114"/>
      <c r="I59" s="17"/>
      <c r="J59" s="17"/>
      <c r="K59" s="17" t="s">
        <v>208</v>
      </c>
      <c r="L59" s="17"/>
      <c r="M59" s="17"/>
    </row>
    <row r="60" spans="1:13" ht="15" customHeight="1">
      <c r="H60" s="114"/>
      <c r="I60" s="16"/>
      <c r="J60" s="16"/>
      <c r="K60" s="86" t="s">
        <v>105</v>
      </c>
      <c r="L60" s="16"/>
      <c r="M60" s="16"/>
    </row>
    <row r="61" spans="1:13" ht="15" customHeight="1">
      <c r="H61" s="114"/>
      <c r="I61" s="17"/>
      <c r="J61" s="17"/>
      <c r="K61" s="17" t="s">
        <v>209</v>
      </c>
      <c r="L61" s="17"/>
      <c r="M61" s="17"/>
    </row>
    <row r="62" spans="1:13" ht="15" customHeight="1">
      <c r="H62" s="114"/>
      <c r="I62" s="16"/>
      <c r="J62" s="16"/>
      <c r="K62" s="16" t="s">
        <v>210</v>
      </c>
      <c r="L62" s="16"/>
      <c r="M62" s="16"/>
    </row>
    <row r="63" spans="1:13" ht="15" customHeight="1">
      <c r="H63" s="114"/>
      <c r="I63" s="17"/>
      <c r="J63" s="17"/>
      <c r="K63" s="17" t="s">
        <v>211</v>
      </c>
      <c r="L63" s="17"/>
      <c r="M63" s="17"/>
    </row>
    <row r="64" spans="1:13" ht="15" customHeight="1">
      <c r="H64" s="114"/>
      <c r="I64" s="16"/>
      <c r="J64" s="16"/>
      <c r="K64" s="16" t="s">
        <v>212</v>
      </c>
      <c r="L64" s="16"/>
      <c r="M64" s="16"/>
    </row>
    <row r="65" spans="8:13" ht="15" customHeight="1">
      <c r="H65" s="114"/>
      <c r="I65" s="17"/>
      <c r="J65" s="17"/>
      <c r="K65" s="17" t="s">
        <v>213</v>
      </c>
      <c r="L65" s="17"/>
      <c r="M65" s="17"/>
    </row>
    <row r="66" spans="8:13" ht="15" customHeight="1">
      <c r="H66" s="114"/>
      <c r="I66" s="16"/>
      <c r="J66" s="16"/>
      <c r="K66" s="16" t="s">
        <v>214</v>
      </c>
      <c r="L66" s="16"/>
      <c r="M66" s="16"/>
    </row>
    <row r="67" spans="8:13" ht="15" customHeight="1">
      <c r="H67" s="114"/>
      <c r="I67" s="17"/>
      <c r="J67" s="17"/>
      <c r="K67" s="17" t="s">
        <v>215</v>
      </c>
      <c r="L67" s="17"/>
      <c r="M67" s="17"/>
    </row>
    <row r="68" spans="8:13" ht="15" customHeight="1">
      <c r="H68" s="114"/>
      <c r="I68" s="16"/>
      <c r="J68" s="16"/>
      <c r="K68" s="16" t="s">
        <v>216</v>
      </c>
      <c r="L68" s="16"/>
      <c r="M68" s="16"/>
    </row>
    <row r="69" spans="8:13" ht="15" customHeight="1">
      <c r="H69" s="114"/>
      <c r="I69" s="17"/>
      <c r="J69" s="17"/>
      <c r="K69" s="17" t="s">
        <v>217</v>
      </c>
      <c r="L69" s="17"/>
      <c r="M69" s="17"/>
    </row>
    <row r="70" spans="8:13" ht="15" customHeight="1">
      <c r="H70" s="114"/>
      <c r="I70" s="16"/>
      <c r="J70" s="16"/>
      <c r="K70" s="16" t="s">
        <v>218</v>
      </c>
      <c r="L70" s="16"/>
      <c r="M70" s="16"/>
    </row>
    <row r="71" spans="8:13" ht="15" customHeight="1">
      <c r="H71" s="114"/>
      <c r="I71" s="17"/>
      <c r="J71" s="17"/>
      <c r="K71" s="17" t="s">
        <v>219</v>
      </c>
      <c r="L71" s="17"/>
      <c r="M71" s="17"/>
    </row>
    <row r="72" spans="8:13" ht="15" customHeight="1">
      <c r="H72" s="114"/>
      <c r="I72" s="16"/>
      <c r="J72" s="16"/>
      <c r="K72" s="16" t="s">
        <v>220</v>
      </c>
      <c r="L72" s="16"/>
      <c r="M72" s="16"/>
    </row>
    <row r="73" spans="8:13" ht="15" customHeight="1">
      <c r="H73" s="114"/>
      <c r="I73" s="17"/>
      <c r="J73" s="17"/>
      <c r="K73" s="17" t="s">
        <v>221</v>
      </c>
      <c r="L73" s="17"/>
      <c r="M73" s="17"/>
    </row>
    <row r="74" spans="8:13" ht="15" customHeight="1">
      <c r="H74" s="114"/>
      <c r="I74" s="16"/>
      <c r="J74" s="16"/>
      <c r="K74" s="16" t="s">
        <v>222</v>
      </c>
      <c r="L74" s="16"/>
      <c r="M74" s="16"/>
    </row>
    <row r="75" spans="8:13" ht="15" customHeight="1">
      <c r="H75" s="11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34" sqref="F2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134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8.6111111111111027E-2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0.16527777777777758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36" sqref="F2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0.91478622685099253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1.0536751157398814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1.1383973379621037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7" t="s">
        <v>234</v>
      </c>
      <c r="B230" s="108"/>
      <c r="C230" s="108"/>
      <c r="D230" s="108"/>
      <c r="E230" s="109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57</v>
      </c>
      <c r="G243" s="36">
        <f>SUM(G231:G242)</f>
        <v>262.60000000000002</v>
      </c>
      <c r="H243" s="37"/>
      <c r="I243" s="37"/>
      <c r="J243" s="37"/>
      <c r="K243" s="37"/>
      <c r="L243" s="37"/>
      <c r="M243" s="38">
        <f ca="1">IFERROR(SUM(M231:M242),"")</f>
        <v>4.6527777777777835E-2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191</v>
      </c>
      <c r="G244" s="40">
        <f>G230+G243</f>
        <v>829.40000000000009</v>
      </c>
      <c r="H244" s="41"/>
      <c r="I244" s="41"/>
      <c r="J244" s="41"/>
      <c r="K244" s="41"/>
      <c r="L244" s="41"/>
      <c r="M244" s="42">
        <f ca="1">IFERROR(M230+M243,"")</f>
        <v>0.19583333333333353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36" sqref="F2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0.31200844907289138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0.37034178240622473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26</v>
      </c>
      <c r="G243" s="36">
        <f>SUM(G231:G242)</f>
        <v>121.20000000000002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103</v>
      </c>
      <c r="G244" s="40">
        <f>G230+G243</f>
        <v>448.6</v>
      </c>
      <c r="H244" s="41"/>
      <c r="I244" s="41"/>
      <c r="J244" s="41"/>
      <c r="K244" s="41"/>
      <c r="L244" s="41"/>
      <c r="M244" s="42">
        <f ca="1">IFERROR(M230+M243,"")</f>
        <v>0.37034178240622473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9" activePane="bottomLeft" state="frozen"/>
      <selection pane="bottomLeft" activeCell="J233" sqref="J23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/>
      <c r="M233" s="35">
        <f t="shared" ca="1" si="52"/>
        <v>8.9733796630753204E-4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56</v>
      </c>
      <c r="G243" s="36">
        <f>SUM(G231:G242)</f>
        <v>260</v>
      </c>
      <c r="H243" s="37"/>
      <c r="I243" s="37"/>
      <c r="J243" s="37"/>
      <c r="K243" s="61"/>
      <c r="L243" s="61"/>
      <c r="M243" s="38">
        <f ca="1">IFERROR(SUM(M231:M242),"")</f>
        <v>5.8536226855196438E-2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225</v>
      </c>
      <c r="G244" s="40">
        <f>G230+G243</f>
        <v>985.80000000000007</v>
      </c>
      <c r="H244" s="41"/>
      <c r="I244" s="41"/>
      <c r="J244" s="41"/>
      <c r="K244" s="63"/>
      <c r="L244" s="63"/>
      <c r="M244" s="42">
        <f ca="1">IFERROR(M230+M243,"")</f>
        <v>0.11270289352186319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2026-08-10T04:52:41Z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