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15" documentId="8_{C51EB6CB-002B-4D6B-B68F-DDEBDB4460C0}" xr6:coauthVersionLast="47" xr6:coauthVersionMax="47" xr10:uidLastSave="{C2DA2491-5650-4819-8612-6231D2362637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<sst xmlns="http://schemas.openxmlformats.org/spreadsheetml/2006/main" count="5873" uniqueCount="342">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</sst>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2" activePane="bottomLeft" state="frozen"/>
      <selection pane="bottomLeft" activeCell="F321" sqref="F321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220</v>
      </c>
      <c r="G324" s="36">
        <f>SUM(G312:G323)</f>
        <v>1100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653</v>
      </c>
      <c r="G325" s="40">
        <f>G311+G324</f>
        <v>3265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I320" sqref="I32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4.8636805549904238E-2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0.18752569443879313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0.27224791666101544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34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126</v>
      </c>
      <c r="G324" s="36">
        <f>SUM(G312:G323)</f>
        <v>539.6</v>
      </c>
      <c r="H324" s="37"/>
      <c r="I324" s="37"/>
      <c r="J324" s="37"/>
      <c r="K324" s="37"/>
      <c r="L324" s="37"/>
      <c r="M324" s="38">
        <f ca="1">IFERROR(SUM(M312:M323),"")</f>
        <v>6.4583333333333187E-2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295</v>
      </c>
      <c r="G325" s="40">
        <f>G311+G324</f>
        <v>1249.4000000000001</v>
      </c>
      <c r="H325" s="41"/>
      <c r="I325" s="41"/>
      <c r="J325" s="41"/>
      <c r="K325" s="41"/>
      <c r="L325" s="41"/>
      <c r="M325" s="42">
        <f ca="1">IFERROR(M311+M324,"")</f>
        <v>0.11805555555555533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20" sqref="F32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0.97572013888566289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1.0375256944412183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1.0986368055523295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309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51</v>
      </c>
      <c r="G324" s="36">
        <f>SUM(G312:G323)</f>
        <v>217.39999999999998</v>
      </c>
      <c r="H324" s="37"/>
      <c r="I324" s="37"/>
      <c r="J324" s="37"/>
      <c r="K324" s="37"/>
      <c r="L324" s="37"/>
      <c r="M324" s="38">
        <f ca="1">IFERROR(SUM(M312:M323),"")</f>
        <v>1.3888888888888881E-2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174</v>
      </c>
      <c r="G325" s="40">
        <f>G311+G324</f>
        <v>733.99999999999989</v>
      </c>
      <c r="H325" s="41"/>
      <c r="I325" s="41"/>
      <c r="J325" s="41"/>
      <c r="K325" s="41"/>
      <c r="L325" s="41"/>
      <c r="M325" s="42">
        <f ca="1">IFERROR(M311+M324,"")</f>
        <v>4.2361111111111169E-2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I318" sqref="I318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337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338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339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340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341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160</v>
      </c>
      <c r="G324" s="36">
        <f>SUM(G312:G323)</f>
        <v>685.59999999999991</v>
      </c>
      <c r="H324" s="37"/>
      <c r="I324" s="37"/>
      <c r="J324" s="37"/>
      <c r="K324" s="61"/>
      <c r="L324" s="61"/>
      <c r="M324" s="38">
        <f ca="1">IFERROR(SUM(M312:M323),"")</f>
        <v>4.1666666666666671E-2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352</v>
      </c>
      <c r="G325" s="40">
        <f>G311+G324</f>
        <v>1492</v>
      </c>
      <c r="H325" s="41"/>
      <c r="I325" s="41"/>
      <c r="J325" s="41"/>
      <c r="K325" s="63"/>
      <c r="L325" s="63"/>
      <c r="M325" s="42">
        <f ca="1">IFERROR(M311+M324,"")</f>
        <v>0.11736111111111112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2026-08-13T08:05:33Z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