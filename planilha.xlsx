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907" documentId="8_{AF585B22-221D-4780-BB9C-493D365A6A02}" xr6:coauthVersionLast="47" xr6:coauthVersionMax="47" xr10:uidLastSave="{0BBD3507-C87C-473F-A5A3-9D1A8B00423F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<sst xmlns="http://schemas.openxmlformats.org/spreadsheetml/2006/main" count="10315" uniqueCount="394">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</sst>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G683" sqref="G6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59" activePane="bottomLeft" state="frozen"/>
      <selection pane="bottomLeft" activeCell="E689" sqref="A689:E68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9.6971643513825256E-2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0.25461053240271414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0.36433275462493631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7.5443865738634486E-2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0.24627719907196785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0.3914160879608567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0.60530497685249429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0.73794386574138326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0.84974942129693898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/>
      <c r="J677" s="33"/>
      <c r="K677" s="29">
        <v>0.31319444444444444</v>
      </c>
      <c r="L677" s="29"/>
      <c r="M677" s="35">
        <f t="shared" ref="M677:M688" ca="1" si="151">IFERROR(IF(K677="","",IF(L677="",MOD(NOW()-K677,1),IF(L677&gt;=K677,L677-K677,L677+1-K677))),"")</f>
        <v>2.3360532402875833E-2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18</v>
      </c>
      <c r="G689" s="36">
        <f>SUM(G677:G688)</f>
        <v>75.600000000000009</v>
      </c>
      <c r="H689" s="37"/>
      <c r="I689" s="37"/>
      <c r="J689" s="37"/>
      <c r="K689" s="37"/>
      <c r="L689" s="37"/>
      <c r="M689" s="38">
        <f ca="1">IFERROR(SUM(M677:M688),"")</f>
        <v>2.3360532402875833E-2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18</v>
      </c>
      <c r="G703" s="40">
        <f>G689+G702</f>
        <v>75.600000000000009</v>
      </c>
      <c r="H703" s="41"/>
      <c r="I703" s="41"/>
      <c r="J703" s="41"/>
      <c r="K703" s="41"/>
      <c r="L703" s="41"/>
      <c r="M703" s="42">
        <f ca="1">IFERROR(M689+M702,"")</f>
        <v>2.3360532402875833E-2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55" zoomScale="50" zoomScaleNormal="50" workbookViewId="0">
      <selection activeCell="E688" sqref="E6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14</v>
      </c>
      <c r="G689" s="36">
        <f>SUM(G677:G688)</f>
        <v>58.800000000000004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14</v>
      </c>
      <c r="G703" s="40">
        <f>G689+G702</f>
        <v>58.800000000000004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F678" sqref="F6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350</v>
      </c>
      <c r="L58" s="29">
        <v>0.54097222222222219</v>
      </c>
      <c r="M58" s="30" t="str">
        <f t="shared" ca="1" si="13"/>
        <v/>
      </c>
      <c r="N58" s="27" t="s">
        <v>351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8.7249421296291985E-2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0.28655497685184761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0.65391608796295864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22</v>
      </c>
      <c r="G689" s="36">
        <f>SUM(G677:G688)</f>
        <v>92.4</v>
      </c>
      <c r="H689" s="37"/>
      <c r="I689" s="37"/>
      <c r="J689" s="37"/>
      <c r="K689" s="61"/>
      <c r="L689" s="61"/>
      <c r="M689" s="38">
        <f ca="1">IFERROR(SUM(M677:M688),"")</f>
        <v>2.0833333333333259E-3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22</v>
      </c>
      <c r="G703" s="40">
        <f>G689+G702</f>
        <v>92.4</v>
      </c>
      <c r="H703" s="41"/>
      <c r="I703" s="41"/>
      <c r="J703" s="41"/>
      <c r="K703" s="63"/>
      <c r="L703" s="63"/>
      <c r="M703" s="42">
        <f ca="1">IFERROR(M689+M702,"")</f>
        <v>2.0833333333333259E-3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2026-07-26T12:05:04Z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